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ya\Project demo\"/>
    </mc:Choice>
  </mc:AlternateContent>
  <xr:revisionPtr revIDLastSave="0" documentId="13_ncr:1_{C5F64D8A-171E-49A4-BE84-797BDFFD0556}" xr6:coauthVersionLast="47" xr6:coauthVersionMax="47" xr10:uidLastSave="{00000000-0000-0000-0000-000000000000}"/>
  <bookViews>
    <workbookView xWindow="-108" yWindow="-108" windowWidth="23256" windowHeight="12576" firstSheet="2" activeTab="7" xr2:uid="{509D49F3-1265-40B1-8C60-C1ECA7E40951}"/>
  </bookViews>
  <sheets>
    <sheet name="Noura" sheetId="7" state="hidden" r:id="rId1"/>
    <sheet name="Zakaria" sheetId="3" state="hidden" r:id="rId2"/>
    <sheet name="Ahmed " sheetId="34" r:id="rId3"/>
    <sheet name="Noura  (2)" sheetId="36" state="hidden" r:id="rId4"/>
    <sheet name="Hamza ,H " sheetId="45" r:id="rId5"/>
    <sheet name="Mourad  " sheetId="32" r:id="rId6"/>
    <sheet name="Hamza,M  " sheetId="44" r:id="rId7"/>
    <sheet name="noura-  " sheetId="46" r:id="rId8"/>
    <sheet name="Zakaria," sheetId="23" r:id="rId9"/>
    <sheet name="Revision " sheetId="2" r:id="rId10"/>
    <sheet name="Sheet1" sheetId="40" r:id="rId11"/>
    <sheet name="Noura " sheetId="29" state="hidden" r:id="rId12"/>
  </sheets>
  <externalReferences>
    <externalReference r:id="rId13"/>
  </externalReferences>
  <definedNames>
    <definedName name="_xlnm._FilterDatabase" localSheetId="2" hidden="1">'Ahmed '!$F$14:$S$33</definedName>
    <definedName name="_xlnm._FilterDatabase" localSheetId="4" hidden="1">'Hamza ,H '!$A$17:$OV$147</definedName>
    <definedName name="_xlnm._FilterDatabase" localSheetId="6" hidden="1">'Hamza,M  '!$A$17:$D$125</definedName>
    <definedName name="_xlnm._FilterDatabase" localSheetId="5" hidden="1">'Mourad  '!$A$17:$AD$39</definedName>
    <definedName name="_xlnm._FilterDatabase" localSheetId="0" hidden="1">Noura!$A$16:$CY$111</definedName>
    <definedName name="_xlnm._FilterDatabase" localSheetId="11" hidden="1">'Noura '!$A$16:$DV$99</definedName>
    <definedName name="_xlnm._FilterDatabase" localSheetId="7" hidden="1">'noura-  '!$A$17:$EA$123</definedName>
    <definedName name="_xlnm._FilterDatabase" localSheetId="3" hidden="1">'Noura  (2)'!$A$15:$DW$114</definedName>
    <definedName name="_xlnm._FilterDatabase" localSheetId="1" hidden="1">Zakaria!$A$19:$Z$37</definedName>
    <definedName name="_xlnm._FilterDatabase" localSheetId="8" hidden="1">'Zakaria,'!$A$18:$Y$38</definedName>
    <definedName name="_xlnm.Print_Area" localSheetId="2">'Ahmed '!$A$1:$Y$60</definedName>
    <definedName name="_xlnm.Print_Area" localSheetId="4">'Hamza ,H '!$A$1:$DW$167</definedName>
    <definedName name="_xlnm.Print_Area" localSheetId="6">'Hamza,M  '!$A$1:$DV$146</definedName>
    <definedName name="_xlnm.Print_Area" localSheetId="5">'Mourad  '!$A$1:$X$56</definedName>
    <definedName name="_xlnm.Print_Area" localSheetId="0">Noura!$A$1:$BW$130</definedName>
    <definedName name="_xlnm.Print_Area" localSheetId="11">'Noura '!$B$1:$DV$128</definedName>
    <definedName name="_xlnm.Print_Area" localSheetId="7">'noura-  '!$A$1:$EJ$147</definedName>
    <definedName name="_xlnm.Print_Area" localSheetId="3">'Noura  (2)'!$A$1:$DW$143</definedName>
    <definedName name="_xlnm.Print_Area" localSheetId="10">Sheet1!$A$1:$E$127</definedName>
    <definedName name="_xlnm.Print_Area" localSheetId="1">Zakaria!$A$1:$W$56</definedName>
    <definedName name="_xlnm.Print_Area" localSheetId="8">'Zakaria,'!$A$1:$Z$57</definedName>
    <definedName name="_xlnm.Print_Titles" localSheetId="4">'Hamza ,H '!$1:$16</definedName>
    <definedName name="_xlnm.Print_Titles" localSheetId="6">'Hamza,M  '!$1:$16</definedName>
    <definedName name="_xlnm.Print_Titles" localSheetId="7">'noura-  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" i="32" l="1"/>
  <c r="DZ119" i="46"/>
  <c r="DU46" i="44"/>
  <c r="DU18" i="44"/>
  <c r="DV18" i="44"/>
  <c r="DY112" i="46"/>
  <c r="DZ112" i="46"/>
  <c r="DY113" i="46"/>
  <c r="DZ113" i="46"/>
  <c r="DY114" i="46"/>
  <c r="DZ114" i="46"/>
  <c r="DY115" i="46"/>
  <c r="DZ115" i="46"/>
  <c r="DY116" i="46"/>
  <c r="DZ116" i="46"/>
  <c r="DY117" i="46"/>
  <c r="DZ117" i="46"/>
  <c r="DY118" i="46"/>
  <c r="DZ118" i="46"/>
  <c r="DY119" i="46"/>
  <c r="DY120" i="46"/>
  <c r="DZ120" i="46"/>
  <c r="W39" i="34" l="1"/>
  <c r="X39" i="34"/>
  <c r="J145" i="45" l="1"/>
  <c r="K145" i="45"/>
  <c r="DY107" i="46" l="1"/>
  <c r="DZ107" i="46"/>
  <c r="DY108" i="46"/>
  <c r="DZ108" i="46"/>
  <c r="DY109" i="46"/>
  <c r="DZ109" i="46"/>
  <c r="DY110" i="46"/>
  <c r="DZ110" i="46"/>
  <c r="DY111" i="46"/>
  <c r="DZ111" i="46"/>
  <c r="DU125" i="44"/>
  <c r="DU113" i="44" l="1"/>
  <c r="DU114" i="44"/>
  <c r="DU115" i="44"/>
  <c r="DU116" i="44"/>
  <c r="DU117" i="44"/>
  <c r="DU118" i="44"/>
  <c r="DU119" i="44"/>
  <c r="DU120" i="44"/>
  <c r="DU121" i="44"/>
  <c r="DU122" i="44"/>
  <c r="DU123" i="44"/>
  <c r="DX122" i="46"/>
  <c r="DW122" i="46"/>
  <c r="DV122" i="46"/>
  <c r="DT122" i="46"/>
  <c r="DS122" i="46"/>
  <c r="DR122" i="46"/>
  <c r="DQ122" i="46"/>
  <c r="DP122" i="46"/>
  <c r="DO122" i="46"/>
  <c r="DN122" i="46"/>
  <c r="DM122" i="46"/>
  <c r="DL122" i="46"/>
  <c r="DK122" i="46"/>
  <c r="DJ122" i="46"/>
  <c r="DI122" i="46"/>
  <c r="DH122" i="46"/>
  <c r="DG122" i="46"/>
  <c r="DF122" i="46"/>
  <c r="DE122" i="46"/>
  <c r="DD122" i="46"/>
  <c r="DC122" i="46"/>
  <c r="DB122" i="46"/>
  <c r="DA122" i="46"/>
  <c r="CZ122" i="46"/>
  <c r="CW122" i="46"/>
  <c r="CV122" i="46"/>
  <c r="CU122" i="46"/>
  <c r="CT122" i="46"/>
  <c r="CS122" i="46"/>
  <c r="CR122" i="46"/>
  <c r="CQ122" i="46"/>
  <c r="CP122" i="46"/>
  <c r="CO122" i="46"/>
  <c r="CN122" i="46"/>
  <c r="CM122" i="46"/>
  <c r="CL122" i="46"/>
  <c r="CK122" i="46"/>
  <c r="CJ122" i="46"/>
  <c r="CI122" i="46"/>
  <c r="CH122" i="46"/>
  <c r="CG122" i="46"/>
  <c r="CF122" i="46"/>
  <c r="CE122" i="46"/>
  <c r="CD122" i="46"/>
  <c r="CC122" i="46"/>
  <c r="CB122" i="46"/>
  <c r="CA122" i="46"/>
  <c r="BZ122" i="46"/>
  <c r="BY122" i="46"/>
  <c r="BX122" i="46"/>
  <c r="BW122" i="46"/>
  <c r="BV122" i="46"/>
  <c r="BU122" i="46"/>
  <c r="BT122" i="46"/>
  <c r="BS122" i="46"/>
  <c r="BR122" i="46"/>
  <c r="BQ122" i="46"/>
  <c r="BP122" i="46"/>
  <c r="BO122" i="46"/>
  <c r="BN122" i="46"/>
  <c r="BM122" i="46"/>
  <c r="BL122" i="46"/>
  <c r="BK122" i="46"/>
  <c r="BJ122" i="46"/>
  <c r="BI122" i="46"/>
  <c r="BH122" i="46"/>
  <c r="BG122" i="46"/>
  <c r="BF122" i="46"/>
  <c r="BE122" i="46"/>
  <c r="BD122" i="46"/>
  <c r="BC122" i="46"/>
  <c r="BB122" i="46"/>
  <c r="BA122" i="46"/>
  <c r="AZ122" i="46"/>
  <c r="AY122" i="46"/>
  <c r="AX122" i="46"/>
  <c r="AW122" i="46"/>
  <c r="AV122" i="46"/>
  <c r="AU122" i="46"/>
  <c r="AT122" i="46"/>
  <c r="AS122" i="46"/>
  <c r="AR122" i="46"/>
  <c r="AQ122" i="46"/>
  <c r="AP122" i="46"/>
  <c r="AO122" i="46"/>
  <c r="AN122" i="46"/>
  <c r="AM122" i="46"/>
  <c r="AL122" i="46"/>
  <c r="AK122" i="46"/>
  <c r="AJ122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DZ106" i="46"/>
  <c r="DY106" i="46"/>
  <c r="DZ105" i="46"/>
  <c r="DY105" i="46"/>
  <c r="DZ104" i="46"/>
  <c r="DY104" i="46"/>
  <c r="DZ103" i="46"/>
  <c r="DY103" i="46"/>
  <c r="DZ102" i="46"/>
  <c r="DY102" i="46"/>
  <c r="DZ101" i="46"/>
  <c r="DY101" i="46"/>
  <c r="DZ100" i="46"/>
  <c r="DY100" i="46"/>
  <c r="DZ99" i="46"/>
  <c r="DY99" i="46"/>
  <c r="DZ98" i="46"/>
  <c r="DY98" i="46"/>
  <c r="DZ97" i="46"/>
  <c r="DY97" i="46"/>
  <c r="DZ96" i="46"/>
  <c r="DY96" i="46"/>
  <c r="DZ95" i="46"/>
  <c r="DY95" i="46"/>
  <c r="DZ94" i="46"/>
  <c r="DY94" i="46"/>
  <c r="DZ93" i="46"/>
  <c r="DY93" i="46"/>
  <c r="DZ92" i="46"/>
  <c r="DY92" i="46"/>
  <c r="DZ91" i="46"/>
  <c r="DY91" i="46"/>
  <c r="DZ90" i="46"/>
  <c r="DY90" i="46"/>
  <c r="DZ89" i="46"/>
  <c r="DY89" i="46"/>
  <c r="DZ88" i="46"/>
  <c r="DY88" i="46"/>
  <c r="DZ87" i="46"/>
  <c r="DY87" i="46"/>
  <c r="DZ86" i="46"/>
  <c r="DY86" i="46"/>
  <c r="DZ85" i="46"/>
  <c r="DY85" i="46"/>
  <c r="DZ84" i="46"/>
  <c r="DY84" i="46"/>
  <c r="DZ83" i="46"/>
  <c r="DY83" i="46"/>
  <c r="DZ82" i="46"/>
  <c r="DY82" i="46"/>
  <c r="DZ81" i="46"/>
  <c r="DY81" i="46"/>
  <c r="DZ80" i="46"/>
  <c r="DY80" i="46"/>
  <c r="DZ79" i="46"/>
  <c r="DY79" i="46"/>
  <c r="DZ78" i="46"/>
  <c r="DY78" i="46"/>
  <c r="DZ77" i="46"/>
  <c r="DY77" i="46"/>
  <c r="DZ76" i="46"/>
  <c r="DY76" i="46"/>
  <c r="DZ75" i="46"/>
  <c r="DY75" i="46"/>
  <c r="DZ74" i="46"/>
  <c r="DY74" i="46"/>
  <c r="DZ73" i="46"/>
  <c r="DY73" i="46"/>
  <c r="DZ72" i="46"/>
  <c r="DY72" i="46"/>
  <c r="DZ71" i="46"/>
  <c r="DY71" i="46"/>
  <c r="DZ70" i="46"/>
  <c r="DY70" i="46"/>
  <c r="DZ69" i="46"/>
  <c r="DY69" i="46"/>
  <c r="DZ68" i="46"/>
  <c r="DY68" i="46"/>
  <c r="DZ67" i="46"/>
  <c r="DY67" i="46"/>
  <c r="DZ66" i="46"/>
  <c r="DY66" i="46"/>
  <c r="DZ65" i="46"/>
  <c r="DY65" i="46"/>
  <c r="DZ64" i="46"/>
  <c r="DY64" i="46"/>
  <c r="DZ63" i="46"/>
  <c r="DY63" i="46"/>
  <c r="DZ62" i="46"/>
  <c r="DY62" i="46"/>
  <c r="DZ61" i="46"/>
  <c r="DY61" i="46"/>
  <c r="DZ60" i="46"/>
  <c r="DY60" i="46"/>
  <c r="DZ59" i="46"/>
  <c r="DY59" i="46"/>
  <c r="DZ58" i="46"/>
  <c r="DY58" i="46"/>
  <c r="DZ57" i="46"/>
  <c r="DY57" i="46"/>
  <c r="DZ56" i="46"/>
  <c r="DY56" i="46"/>
  <c r="DZ55" i="46"/>
  <c r="DY55" i="46"/>
  <c r="DZ54" i="46"/>
  <c r="DY54" i="46"/>
  <c r="DZ53" i="46"/>
  <c r="DY53" i="46"/>
  <c r="DZ52" i="46"/>
  <c r="DY52" i="46"/>
  <c r="DZ51" i="46"/>
  <c r="DY51" i="46"/>
  <c r="DZ50" i="46"/>
  <c r="DY50" i="46"/>
  <c r="DZ49" i="46"/>
  <c r="DY49" i="46"/>
  <c r="DZ48" i="46"/>
  <c r="DY48" i="46"/>
  <c r="DZ47" i="46"/>
  <c r="DY47" i="46"/>
  <c r="DZ46" i="46"/>
  <c r="DY46" i="46"/>
  <c r="DZ45" i="46"/>
  <c r="DY45" i="46"/>
  <c r="DZ44" i="46"/>
  <c r="DY44" i="46"/>
  <c r="DZ43" i="46"/>
  <c r="DY43" i="46"/>
  <c r="DZ42" i="46"/>
  <c r="DY42" i="46"/>
  <c r="DZ41" i="46"/>
  <c r="DY41" i="46"/>
  <c r="DZ40" i="46"/>
  <c r="DY40" i="46"/>
  <c r="DZ39" i="46"/>
  <c r="DY39" i="46"/>
  <c r="DZ38" i="46"/>
  <c r="DY38" i="46"/>
  <c r="DZ37" i="46"/>
  <c r="DY37" i="46"/>
  <c r="DZ36" i="46"/>
  <c r="DY36" i="46"/>
  <c r="DZ35" i="46"/>
  <c r="DY35" i="46"/>
  <c r="DZ34" i="46"/>
  <c r="DY34" i="46"/>
  <c r="DZ33" i="46"/>
  <c r="DY33" i="46"/>
  <c r="DZ32" i="46"/>
  <c r="DY32" i="46"/>
  <c r="DZ31" i="46"/>
  <c r="DY31" i="46"/>
  <c r="DZ30" i="46"/>
  <c r="DY30" i="46"/>
  <c r="DZ29" i="46"/>
  <c r="DY29" i="46"/>
  <c r="DZ28" i="46"/>
  <c r="DY28" i="46"/>
  <c r="DZ27" i="46"/>
  <c r="DY27" i="46"/>
  <c r="DZ26" i="46"/>
  <c r="DY26" i="46"/>
  <c r="DZ25" i="46"/>
  <c r="DY25" i="46"/>
  <c r="DZ24" i="46"/>
  <c r="DY24" i="46"/>
  <c r="DZ23" i="46"/>
  <c r="DY23" i="46"/>
  <c r="DZ22" i="46"/>
  <c r="DY22" i="46"/>
  <c r="DZ21" i="46"/>
  <c r="DY21" i="46"/>
  <c r="DZ20" i="46"/>
  <c r="DY20" i="46"/>
  <c r="DZ19" i="46"/>
  <c r="DY19" i="46"/>
  <c r="DZ18" i="46"/>
  <c r="DY18" i="46"/>
  <c r="DZ3" i="46" l="1"/>
  <c r="DY3" i="46"/>
  <c r="DX146" i="45"/>
  <c r="DW146" i="45"/>
  <c r="DV146" i="45"/>
  <c r="DX145" i="45"/>
  <c r="DU145" i="45"/>
  <c r="DT145" i="45"/>
  <c r="DS145" i="45"/>
  <c r="DR145" i="45"/>
  <c r="DQ145" i="45"/>
  <c r="DP145" i="45"/>
  <c r="DO145" i="45"/>
  <c r="DN145" i="45"/>
  <c r="DM145" i="45"/>
  <c r="DL145" i="45"/>
  <c r="DK145" i="45"/>
  <c r="DJ145" i="45"/>
  <c r="DI145" i="45"/>
  <c r="DH145" i="45"/>
  <c r="DG145" i="45"/>
  <c r="DF145" i="45"/>
  <c r="DE145" i="45"/>
  <c r="DD145" i="45"/>
  <c r="DC145" i="45"/>
  <c r="DB145" i="45"/>
  <c r="DA145" i="45"/>
  <c r="CZ145" i="45"/>
  <c r="CY145" i="45"/>
  <c r="CX145" i="45"/>
  <c r="CW145" i="45"/>
  <c r="CV145" i="45"/>
  <c r="CU145" i="45"/>
  <c r="CT145" i="45"/>
  <c r="CS145" i="45"/>
  <c r="CR145" i="45"/>
  <c r="CQ145" i="45"/>
  <c r="CP145" i="45"/>
  <c r="CO145" i="45"/>
  <c r="CN145" i="45"/>
  <c r="CM145" i="45"/>
  <c r="CL145" i="45"/>
  <c r="CK145" i="45"/>
  <c r="CJ145" i="45"/>
  <c r="CI145" i="45"/>
  <c r="CH145" i="45"/>
  <c r="CG145" i="45"/>
  <c r="CF145" i="45"/>
  <c r="CE145" i="45"/>
  <c r="CD145" i="45"/>
  <c r="CC145" i="45"/>
  <c r="CB145" i="45"/>
  <c r="CA145" i="45"/>
  <c r="BZ145" i="45"/>
  <c r="BY145" i="45"/>
  <c r="BX145" i="45"/>
  <c r="BW145" i="45"/>
  <c r="BV145" i="45"/>
  <c r="BU145" i="45"/>
  <c r="BT145" i="45"/>
  <c r="BS145" i="45"/>
  <c r="BR145" i="45"/>
  <c r="BQ145" i="45"/>
  <c r="BP145" i="45"/>
  <c r="BO145" i="45"/>
  <c r="BN145" i="45"/>
  <c r="BM145" i="45"/>
  <c r="BL145" i="45"/>
  <c r="BK145" i="45"/>
  <c r="BJ145" i="45"/>
  <c r="BI145" i="45"/>
  <c r="BH145" i="45"/>
  <c r="BG145" i="45"/>
  <c r="BF145" i="45"/>
  <c r="BE145" i="45"/>
  <c r="BD145" i="45"/>
  <c r="BC145" i="45"/>
  <c r="BB145" i="45"/>
  <c r="BA145" i="45"/>
  <c r="AZ145" i="45"/>
  <c r="AY145" i="45"/>
  <c r="AX145" i="45"/>
  <c r="AW145" i="45"/>
  <c r="AV145" i="45"/>
  <c r="AU145" i="45"/>
  <c r="AT145" i="45"/>
  <c r="AS145" i="45"/>
  <c r="AR145" i="45"/>
  <c r="AQ145" i="45"/>
  <c r="AP145" i="45"/>
  <c r="AO145" i="45"/>
  <c r="AN145" i="45"/>
  <c r="AM145" i="45"/>
  <c r="AL145" i="45"/>
  <c r="AK145" i="45"/>
  <c r="AJ145" i="45"/>
  <c r="AI145" i="45"/>
  <c r="AH145" i="45"/>
  <c r="AG145" i="45"/>
  <c r="AF145" i="45"/>
  <c r="AE145" i="45"/>
  <c r="AD145" i="45"/>
  <c r="AC145" i="45"/>
  <c r="AB145" i="45"/>
  <c r="AA145" i="45"/>
  <c r="Z145" i="45"/>
  <c r="Y145" i="45"/>
  <c r="X145" i="45"/>
  <c r="W145" i="45"/>
  <c r="V145" i="45"/>
  <c r="U145" i="45"/>
  <c r="T145" i="45"/>
  <c r="S145" i="45"/>
  <c r="R145" i="45"/>
  <c r="Q145" i="45"/>
  <c r="P145" i="45"/>
  <c r="O145" i="45"/>
  <c r="N145" i="45"/>
  <c r="M145" i="45"/>
  <c r="L145" i="45"/>
  <c r="I145" i="45"/>
  <c r="H145" i="45"/>
  <c r="G145" i="45"/>
  <c r="DX144" i="45"/>
  <c r="DX119" i="45"/>
  <c r="DV119" i="45"/>
  <c r="DX118" i="45"/>
  <c r="DV118" i="45"/>
  <c r="DX117" i="45"/>
  <c r="DV117" i="45"/>
  <c r="DX116" i="45"/>
  <c r="DV116" i="45"/>
  <c r="DX115" i="45"/>
  <c r="DV115" i="45"/>
  <c r="DX114" i="45"/>
  <c r="DV114" i="45"/>
  <c r="DX113" i="45"/>
  <c r="DW113" i="45"/>
  <c r="DV113" i="45"/>
  <c r="DX112" i="45"/>
  <c r="DW112" i="45"/>
  <c r="DV112" i="45"/>
  <c r="DX111" i="45"/>
  <c r="DW111" i="45"/>
  <c r="DV111" i="45"/>
  <c r="DX110" i="45"/>
  <c r="DW110" i="45"/>
  <c r="DV110" i="45"/>
  <c r="DX109" i="45"/>
  <c r="DW109" i="45"/>
  <c r="DV109" i="45"/>
  <c r="DX108" i="45"/>
  <c r="DW108" i="45"/>
  <c r="DV108" i="45"/>
  <c r="DX107" i="45"/>
  <c r="DW107" i="45"/>
  <c r="DV107" i="45"/>
  <c r="DX106" i="45"/>
  <c r="DW106" i="45"/>
  <c r="DV106" i="45"/>
  <c r="DX105" i="45"/>
  <c r="DW105" i="45"/>
  <c r="DV105" i="45"/>
  <c r="DX104" i="45"/>
  <c r="DW104" i="45"/>
  <c r="DV104" i="45"/>
  <c r="DX103" i="45"/>
  <c r="DW103" i="45"/>
  <c r="DV103" i="45"/>
  <c r="DX102" i="45"/>
  <c r="DW102" i="45"/>
  <c r="DV102" i="45"/>
  <c r="DX101" i="45"/>
  <c r="DW101" i="45"/>
  <c r="DV101" i="45"/>
  <c r="DX100" i="45"/>
  <c r="DV100" i="45"/>
  <c r="DX99" i="45"/>
  <c r="DW99" i="45"/>
  <c r="DV99" i="45"/>
  <c r="DX98" i="45"/>
  <c r="DW98" i="45"/>
  <c r="DV98" i="45"/>
  <c r="DX97" i="45"/>
  <c r="DW97" i="45"/>
  <c r="DV97" i="45"/>
  <c r="DX96" i="45"/>
  <c r="DW96" i="45"/>
  <c r="DV96" i="45"/>
  <c r="DX95" i="45"/>
  <c r="DW95" i="45"/>
  <c r="DV95" i="45"/>
  <c r="DX94" i="45"/>
  <c r="DW94" i="45"/>
  <c r="DV94" i="45"/>
  <c r="DX93" i="45"/>
  <c r="DW93" i="45"/>
  <c r="DV93" i="45"/>
  <c r="DX92" i="45"/>
  <c r="DW92" i="45"/>
  <c r="DV92" i="45"/>
  <c r="DX91" i="45"/>
  <c r="DW91" i="45"/>
  <c r="DV91" i="45"/>
  <c r="DX90" i="45"/>
  <c r="DW90" i="45"/>
  <c r="DV90" i="45"/>
  <c r="DX89" i="45"/>
  <c r="DW89" i="45"/>
  <c r="DV89" i="45"/>
  <c r="DX88" i="45"/>
  <c r="DW88" i="45"/>
  <c r="DV88" i="45"/>
  <c r="DX87" i="45"/>
  <c r="DW87" i="45"/>
  <c r="DV87" i="45"/>
  <c r="DX86" i="45"/>
  <c r="DW86" i="45"/>
  <c r="DV86" i="45"/>
  <c r="DX85" i="45"/>
  <c r="DW85" i="45"/>
  <c r="DV85" i="45"/>
  <c r="DX84" i="45"/>
  <c r="DW84" i="45"/>
  <c r="DV84" i="45"/>
  <c r="DX83" i="45"/>
  <c r="DW83" i="45"/>
  <c r="DV83" i="45"/>
  <c r="DX82" i="45"/>
  <c r="DW82" i="45"/>
  <c r="DV82" i="45"/>
  <c r="DX81" i="45"/>
  <c r="DW81" i="45"/>
  <c r="DV81" i="45"/>
  <c r="DX80" i="45"/>
  <c r="DW80" i="45"/>
  <c r="DV80" i="45"/>
  <c r="DX79" i="45"/>
  <c r="DW79" i="45"/>
  <c r="DV79" i="45"/>
  <c r="DX78" i="45"/>
  <c r="DW78" i="45"/>
  <c r="DV78" i="45"/>
  <c r="DX77" i="45"/>
  <c r="DW77" i="45"/>
  <c r="DV77" i="45"/>
  <c r="DX76" i="45"/>
  <c r="DW76" i="45"/>
  <c r="DV76" i="45"/>
  <c r="DX75" i="45"/>
  <c r="DW75" i="45"/>
  <c r="DV75" i="45"/>
  <c r="DX74" i="45"/>
  <c r="DW74" i="45"/>
  <c r="DV74" i="45"/>
  <c r="DX73" i="45"/>
  <c r="DW73" i="45"/>
  <c r="DV73" i="45"/>
  <c r="DX72" i="45"/>
  <c r="DW72" i="45"/>
  <c r="DV72" i="45"/>
  <c r="DX71" i="45"/>
  <c r="DW71" i="45"/>
  <c r="DV71" i="45"/>
  <c r="DX70" i="45"/>
  <c r="DW70" i="45"/>
  <c r="DV70" i="45"/>
  <c r="DX69" i="45"/>
  <c r="DW69" i="45"/>
  <c r="DV69" i="45"/>
  <c r="DX68" i="45"/>
  <c r="DW68" i="45"/>
  <c r="DV68" i="45"/>
  <c r="DX67" i="45"/>
  <c r="DW67" i="45"/>
  <c r="DV67" i="45"/>
  <c r="DX66" i="45"/>
  <c r="DW66" i="45"/>
  <c r="DV66" i="45"/>
  <c r="DX65" i="45"/>
  <c r="DW65" i="45"/>
  <c r="DV65" i="45"/>
  <c r="DX64" i="45"/>
  <c r="DW64" i="45"/>
  <c r="DV64" i="45"/>
  <c r="DX63" i="45"/>
  <c r="DW63" i="45"/>
  <c r="DV63" i="45"/>
  <c r="DX62" i="45"/>
  <c r="DW62" i="45"/>
  <c r="DV62" i="45"/>
  <c r="DX61" i="45"/>
  <c r="DW61" i="45"/>
  <c r="DV61" i="45"/>
  <c r="DX60" i="45"/>
  <c r="DW60" i="45"/>
  <c r="DV60" i="45"/>
  <c r="DX59" i="45"/>
  <c r="DW59" i="45"/>
  <c r="DV59" i="45"/>
  <c r="DX58" i="45"/>
  <c r="DW58" i="45"/>
  <c r="DV58" i="45"/>
  <c r="DX57" i="45"/>
  <c r="DW57" i="45"/>
  <c r="DV57" i="45"/>
  <c r="DX56" i="45"/>
  <c r="DW56" i="45"/>
  <c r="DV56" i="45"/>
  <c r="DX55" i="45"/>
  <c r="DW55" i="45"/>
  <c r="DV55" i="45"/>
  <c r="DX54" i="45"/>
  <c r="DW54" i="45"/>
  <c r="DV54" i="45"/>
  <c r="DX53" i="45"/>
  <c r="DW53" i="45"/>
  <c r="DV53" i="45"/>
  <c r="DX52" i="45"/>
  <c r="DW52" i="45"/>
  <c r="DV52" i="45"/>
  <c r="DX51" i="45"/>
  <c r="DW51" i="45"/>
  <c r="DV51" i="45"/>
  <c r="DX50" i="45"/>
  <c r="DW50" i="45"/>
  <c r="DV50" i="45"/>
  <c r="DX49" i="45"/>
  <c r="DW49" i="45"/>
  <c r="DV49" i="45"/>
  <c r="DX48" i="45"/>
  <c r="DW48" i="45"/>
  <c r="DV48" i="45"/>
  <c r="DX47" i="45"/>
  <c r="DW47" i="45"/>
  <c r="DV47" i="45"/>
  <c r="DX46" i="45"/>
  <c r="DW46" i="45"/>
  <c r="DV46" i="45"/>
  <c r="DX45" i="45"/>
  <c r="DW45" i="45"/>
  <c r="DV45" i="45"/>
  <c r="DX44" i="45"/>
  <c r="DW44" i="45"/>
  <c r="DV44" i="45"/>
  <c r="DX43" i="45"/>
  <c r="DW43" i="45"/>
  <c r="DV43" i="45"/>
  <c r="DX42" i="45"/>
  <c r="DW42" i="45"/>
  <c r="DV42" i="45"/>
  <c r="DX41" i="45"/>
  <c r="DW41" i="45"/>
  <c r="DV41" i="45"/>
  <c r="DX40" i="45"/>
  <c r="DW40" i="45"/>
  <c r="DV40" i="45"/>
  <c r="DX39" i="45"/>
  <c r="DW39" i="45"/>
  <c r="DV39" i="45"/>
  <c r="DX38" i="45"/>
  <c r="DW38" i="45"/>
  <c r="DV38" i="45"/>
  <c r="DX37" i="45"/>
  <c r="DW37" i="45"/>
  <c r="DV37" i="45"/>
  <c r="DX36" i="45"/>
  <c r="DW36" i="45"/>
  <c r="DV36" i="45"/>
  <c r="DX35" i="45"/>
  <c r="DW35" i="45"/>
  <c r="DV35" i="45"/>
  <c r="DX34" i="45"/>
  <c r="DW34" i="45"/>
  <c r="DV34" i="45"/>
  <c r="DX33" i="45"/>
  <c r="DW33" i="45"/>
  <c r="DV33" i="45"/>
  <c r="DX32" i="45"/>
  <c r="DW32" i="45"/>
  <c r="DV32" i="45"/>
  <c r="DX31" i="45"/>
  <c r="DW31" i="45"/>
  <c r="DV31" i="45"/>
  <c r="DX30" i="45"/>
  <c r="DW30" i="45"/>
  <c r="DV30" i="45"/>
  <c r="DX29" i="45"/>
  <c r="DW29" i="45"/>
  <c r="DV29" i="45"/>
  <c r="DX28" i="45"/>
  <c r="DW28" i="45"/>
  <c r="DV28" i="45"/>
  <c r="DX27" i="45"/>
  <c r="DW27" i="45"/>
  <c r="DV27" i="45"/>
  <c r="DX26" i="45"/>
  <c r="DW26" i="45"/>
  <c r="DV26" i="45"/>
  <c r="DX25" i="45"/>
  <c r="DW25" i="45"/>
  <c r="DV25" i="45"/>
  <c r="DX24" i="45"/>
  <c r="DW24" i="45"/>
  <c r="DV24" i="45"/>
  <c r="DX23" i="45"/>
  <c r="DW23" i="45"/>
  <c r="DV23" i="45"/>
  <c r="DX22" i="45"/>
  <c r="DW22" i="45"/>
  <c r="DV22" i="45"/>
  <c r="DX21" i="45"/>
  <c r="DW21" i="45"/>
  <c r="DV21" i="45"/>
  <c r="DX20" i="45"/>
  <c r="DW20" i="45"/>
  <c r="DV20" i="45"/>
  <c r="DX19" i="45"/>
  <c r="DW19" i="45"/>
  <c r="DV19" i="45"/>
  <c r="DX18" i="45"/>
  <c r="DW18" i="45"/>
  <c r="DV18" i="45"/>
  <c r="DX17" i="45"/>
  <c r="DW17" i="45"/>
  <c r="DV17" i="45"/>
  <c r="DV129" i="44"/>
  <c r="DU129" i="44"/>
  <c r="DT128" i="44"/>
  <c r="DS128" i="44"/>
  <c r="DR128" i="44"/>
  <c r="DQ128" i="44"/>
  <c r="DP128" i="44"/>
  <c r="DO128" i="44"/>
  <c r="DN128" i="44"/>
  <c r="DM128" i="44"/>
  <c r="DL128" i="44"/>
  <c r="DK128" i="44"/>
  <c r="DJ128" i="44"/>
  <c r="DI128" i="44"/>
  <c r="DH128" i="44"/>
  <c r="DG128" i="44"/>
  <c r="DF128" i="44"/>
  <c r="DE128" i="44"/>
  <c r="DD128" i="44"/>
  <c r="DC128" i="44"/>
  <c r="DB128" i="44"/>
  <c r="DA128" i="44"/>
  <c r="CZ128" i="44"/>
  <c r="CY128" i="44"/>
  <c r="CX128" i="44"/>
  <c r="CW128" i="44"/>
  <c r="CT128" i="44"/>
  <c r="CS128" i="44"/>
  <c r="CR128" i="44"/>
  <c r="CQ128" i="44"/>
  <c r="CP128" i="44"/>
  <c r="CO128" i="44"/>
  <c r="CN128" i="44"/>
  <c r="CM128" i="44"/>
  <c r="CL128" i="44"/>
  <c r="CK128" i="44"/>
  <c r="CJ128" i="44"/>
  <c r="CI128" i="44"/>
  <c r="CH128" i="44"/>
  <c r="CG128" i="44"/>
  <c r="CF128" i="44"/>
  <c r="CE128" i="44"/>
  <c r="CD128" i="44"/>
  <c r="CC128" i="44"/>
  <c r="CB128" i="44"/>
  <c r="CA128" i="44"/>
  <c r="BZ128" i="44"/>
  <c r="BY128" i="44"/>
  <c r="BX128" i="44"/>
  <c r="BW128" i="44"/>
  <c r="BV128" i="44"/>
  <c r="BU128" i="44"/>
  <c r="BT128" i="44"/>
  <c r="BS128" i="44"/>
  <c r="BR128" i="44"/>
  <c r="BQ128" i="44"/>
  <c r="BP128" i="44"/>
  <c r="BO128" i="44"/>
  <c r="BN128" i="44"/>
  <c r="BM128" i="44"/>
  <c r="BL128" i="44"/>
  <c r="BK128" i="44"/>
  <c r="BJ128" i="44"/>
  <c r="BI128" i="44"/>
  <c r="BH128" i="44"/>
  <c r="BG128" i="44"/>
  <c r="BF128" i="44"/>
  <c r="BE128" i="44"/>
  <c r="BD128" i="44"/>
  <c r="BC128" i="44"/>
  <c r="BB128" i="44"/>
  <c r="BA128" i="44"/>
  <c r="AZ128" i="44"/>
  <c r="AY128" i="44"/>
  <c r="AX128" i="44"/>
  <c r="AW128" i="44"/>
  <c r="AV128" i="44"/>
  <c r="AU128" i="44"/>
  <c r="AT128" i="44"/>
  <c r="AS128" i="44"/>
  <c r="AR128" i="44"/>
  <c r="AQ128" i="44"/>
  <c r="AP128" i="44"/>
  <c r="AO128" i="44"/>
  <c r="AN128" i="44"/>
  <c r="AM128" i="44"/>
  <c r="AL128" i="44"/>
  <c r="AK128" i="44"/>
  <c r="AJ128" i="44"/>
  <c r="AI128" i="44"/>
  <c r="AH128" i="44"/>
  <c r="AG128" i="44"/>
  <c r="AF128" i="44"/>
  <c r="AE128" i="44"/>
  <c r="AD128" i="44"/>
  <c r="AC128" i="44"/>
  <c r="AB128" i="44"/>
  <c r="AA128" i="44"/>
  <c r="Z128" i="44"/>
  <c r="Y128" i="44"/>
  <c r="X128" i="44"/>
  <c r="W128" i="44"/>
  <c r="V128" i="44"/>
  <c r="U128" i="44"/>
  <c r="T128" i="44"/>
  <c r="S128" i="44"/>
  <c r="R128" i="44"/>
  <c r="Q128" i="44"/>
  <c r="P128" i="44"/>
  <c r="O128" i="44"/>
  <c r="N128" i="44"/>
  <c r="M128" i="44"/>
  <c r="L128" i="44"/>
  <c r="K128" i="44"/>
  <c r="J128" i="44"/>
  <c r="I128" i="44"/>
  <c r="H128" i="44"/>
  <c r="G128" i="44"/>
  <c r="F128" i="44"/>
  <c r="DU124" i="44"/>
  <c r="DU112" i="44"/>
  <c r="DU111" i="44"/>
  <c r="DU110" i="44"/>
  <c r="DU109" i="44"/>
  <c r="DU108" i="44"/>
  <c r="DU107" i="44"/>
  <c r="DV106" i="44"/>
  <c r="DU106" i="44"/>
  <c r="DV105" i="44"/>
  <c r="DU105" i="44"/>
  <c r="DU104" i="44"/>
  <c r="DV103" i="44"/>
  <c r="DU103" i="44"/>
  <c r="DV102" i="44"/>
  <c r="DU102" i="44"/>
  <c r="DV101" i="44"/>
  <c r="DU101" i="44"/>
  <c r="DV100" i="44"/>
  <c r="DU100" i="44"/>
  <c r="DV99" i="44"/>
  <c r="DU99" i="44"/>
  <c r="DV98" i="44"/>
  <c r="DU98" i="44"/>
  <c r="DV97" i="44"/>
  <c r="DU97" i="44"/>
  <c r="DV96" i="44"/>
  <c r="DU96" i="44"/>
  <c r="DV95" i="44"/>
  <c r="DU95" i="44"/>
  <c r="DV94" i="44"/>
  <c r="DU94" i="44"/>
  <c r="DV93" i="44"/>
  <c r="DU93" i="44"/>
  <c r="DV92" i="44"/>
  <c r="DU92" i="44"/>
  <c r="DV91" i="44"/>
  <c r="DU91" i="44"/>
  <c r="DV90" i="44"/>
  <c r="DU90" i="44"/>
  <c r="DV89" i="44"/>
  <c r="DU89" i="44"/>
  <c r="DV88" i="44"/>
  <c r="DU88" i="44"/>
  <c r="DV87" i="44"/>
  <c r="DU87" i="44"/>
  <c r="DV86" i="44"/>
  <c r="DU86" i="44"/>
  <c r="DV85" i="44"/>
  <c r="DU85" i="44"/>
  <c r="DV84" i="44"/>
  <c r="DU84" i="44"/>
  <c r="DV83" i="44"/>
  <c r="DU83" i="44"/>
  <c r="DV82" i="44"/>
  <c r="DU82" i="44"/>
  <c r="DV81" i="44"/>
  <c r="DU81" i="44"/>
  <c r="DV80" i="44"/>
  <c r="DU80" i="44"/>
  <c r="DV79" i="44"/>
  <c r="DU79" i="44"/>
  <c r="DV78" i="44"/>
  <c r="DU78" i="44"/>
  <c r="DV77" i="44"/>
  <c r="DU77" i="44"/>
  <c r="DV76" i="44"/>
  <c r="DU76" i="44"/>
  <c r="DV75" i="44"/>
  <c r="DU75" i="44"/>
  <c r="DV74" i="44"/>
  <c r="DU74" i="44"/>
  <c r="DV73" i="44"/>
  <c r="DU73" i="44"/>
  <c r="DV72" i="44"/>
  <c r="DU72" i="44"/>
  <c r="DV71" i="44"/>
  <c r="DU71" i="44"/>
  <c r="DV70" i="44"/>
  <c r="DU70" i="44"/>
  <c r="DV69" i="44"/>
  <c r="DU69" i="44"/>
  <c r="DV68" i="44"/>
  <c r="DU68" i="44"/>
  <c r="DV67" i="44"/>
  <c r="DU67" i="44"/>
  <c r="DV66" i="44"/>
  <c r="DU66" i="44"/>
  <c r="DV65" i="44"/>
  <c r="DU65" i="44"/>
  <c r="DV64" i="44"/>
  <c r="DU64" i="44"/>
  <c r="DV63" i="44"/>
  <c r="DU63" i="44"/>
  <c r="DV62" i="44"/>
  <c r="DU62" i="44"/>
  <c r="DV61" i="44"/>
  <c r="DU61" i="44"/>
  <c r="DV60" i="44"/>
  <c r="DU60" i="44"/>
  <c r="DV59" i="44"/>
  <c r="DU59" i="44"/>
  <c r="DV58" i="44"/>
  <c r="DU58" i="44"/>
  <c r="DV57" i="44"/>
  <c r="DU57" i="44"/>
  <c r="DV56" i="44"/>
  <c r="DU56" i="44"/>
  <c r="DV55" i="44"/>
  <c r="DU55" i="44"/>
  <c r="DV54" i="44"/>
  <c r="DU54" i="44"/>
  <c r="DV53" i="44"/>
  <c r="DU53" i="44"/>
  <c r="DV52" i="44"/>
  <c r="DU52" i="44"/>
  <c r="DV51" i="44"/>
  <c r="DU51" i="44"/>
  <c r="DV50" i="44"/>
  <c r="DU50" i="44"/>
  <c r="DV49" i="44"/>
  <c r="DU49" i="44"/>
  <c r="DV48" i="44"/>
  <c r="DU48" i="44"/>
  <c r="DV47" i="44"/>
  <c r="DU47" i="44"/>
  <c r="DV46" i="44"/>
  <c r="DV45" i="44"/>
  <c r="DU45" i="44"/>
  <c r="DV44" i="44"/>
  <c r="DU44" i="44"/>
  <c r="DV43" i="44"/>
  <c r="DU43" i="44"/>
  <c r="DV42" i="44"/>
  <c r="DU42" i="44"/>
  <c r="DV41" i="44"/>
  <c r="DU41" i="44"/>
  <c r="DV40" i="44"/>
  <c r="DU40" i="44"/>
  <c r="DV39" i="44"/>
  <c r="DU39" i="44"/>
  <c r="DV38" i="44"/>
  <c r="DU38" i="44"/>
  <c r="DV37" i="44"/>
  <c r="DU37" i="44"/>
  <c r="DV36" i="44"/>
  <c r="DU36" i="44"/>
  <c r="DV35" i="44"/>
  <c r="DU35" i="44"/>
  <c r="DV34" i="44"/>
  <c r="DU34" i="44"/>
  <c r="DV33" i="44"/>
  <c r="DU33" i="44"/>
  <c r="DV32" i="44"/>
  <c r="DU32" i="44"/>
  <c r="DV31" i="44"/>
  <c r="DU31" i="44"/>
  <c r="DV30" i="44"/>
  <c r="DU30" i="44"/>
  <c r="DV29" i="44"/>
  <c r="DU29" i="44"/>
  <c r="DV28" i="44"/>
  <c r="DU28" i="44"/>
  <c r="DV27" i="44"/>
  <c r="DU27" i="44"/>
  <c r="DV26" i="44"/>
  <c r="DU26" i="44"/>
  <c r="DV25" i="44"/>
  <c r="DU25" i="44"/>
  <c r="DV24" i="44"/>
  <c r="DU24" i="44"/>
  <c r="DV23" i="44"/>
  <c r="DU23" i="44"/>
  <c r="DV22" i="44"/>
  <c r="DU22" i="44"/>
  <c r="DV21" i="44"/>
  <c r="DU21" i="44"/>
  <c r="DV20" i="44"/>
  <c r="DU20" i="44"/>
  <c r="DV19" i="44"/>
  <c r="DU19" i="44"/>
  <c r="DV17" i="44"/>
  <c r="DU17" i="44"/>
  <c r="DW3" i="45" l="1"/>
  <c r="DV3" i="44"/>
  <c r="DU3" i="44"/>
  <c r="DV3" i="45"/>
  <c r="DV145" i="45"/>
  <c r="DW145" i="45"/>
  <c r="DV128" i="44"/>
  <c r="DU128" i="44"/>
  <c r="L12" i="40"/>
  <c r="K12" i="40"/>
  <c r="W37" i="34" l="1"/>
  <c r="X36" i="34"/>
  <c r="W36" i="34"/>
  <c r="X35" i="34"/>
  <c r="W35" i="34"/>
  <c r="W19" i="32" l="1"/>
  <c r="W20" i="32"/>
  <c r="W21" i="32"/>
  <c r="W22" i="32"/>
  <c r="W23" i="32"/>
  <c r="W24" i="32"/>
  <c r="W25" i="32"/>
  <c r="W26" i="32"/>
  <c r="W27" i="32"/>
  <c r="W28" i="32"/>
  <c r="W29" i="32"/>
  <c r="W30" i="32"/>
  <c r="W31" i="32"/>
  <c r="W32" i="32"/>
  <c r="W33" i="32"/>
  <c r="W34" i="32"/>
  <c r="W35" i="32"/>
  <c r="X19" i="32"/>
  <c r="X20" i="32"/>
  <c r="X21" i="32"/>
  <c r="X22" i="32"/>
  <c r="X23" i="32"/>
  <c r="X24" i="32"/>
  <c r="X25" i="32"/>
  <c r="X26" i="32"/>
  <c r="X27" i="32"/>
  <c r="X28" i="32"/>
  <c r="X29" i="32"/>
  <c r="X30" i="32"/>
  <c r="X31" i="32"/>
  <c r="X32" i="32"/>
  <c r="X33" i="32"/>
  <c r="X34" i="32"/>
  <c r="X35" i="32"/>
  <c r="W34" i="34"/>
  <c r="X34" i="34"/>
  <c r="W38" i="34"/>
  <c r="X38" i="34"/>
  <c r="X26" i="23" l="1"/>
  <c r="Y26" i="23"/>
  <c r="X33" i="23"/>
  <c r="Y33" i="23"/>
  <c r="X34" i="23"/>
  <c r="Y34" i="23"/>
  <c r="W19" i="34" l="1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18" i="34"/>
  <c r="W3" i="34" l="1"/>
  <c r="Y19" i="23" l="1"/>
  <c r="Y25" i="23"/>
  <c r="Y20" i="23"/>
  <c r="Y21" i="23"/>
  <c r="Y22" i="23"/>
  <c r="Y23" i="23"/>
  <c r="Y24" i="23"/>
  <c r="Y27" i="23"/>
  <c r="Y28" i="23"/>
  <c r="Y29" i="23"/>
  <c r="Y30" i="23"/>
  <c r="Y31" i="23"/>
  <c r="Y32" i="23"/>
  <c r="Y35" i="23"/>
  <c r="X18" i="34"/>
  <c r="X18" i="32"/>
  <c r="X19" i="34"/>
  <c r="X35" i="23"/>
  <c r="X20" i="23"/>
  <c r="X21" i="23"/>
  <c r="X22" i="23"/>
  <c r="X23" i="23"/>
  <c r="X24" i="23"/>
  <c r="X25" i="23"/>
  <c r="X27" i="23"/>
  <c r="X28" i="23"/>
  <c r="X29" i="23"/>
  <c r="X30" i="23"/>
  <c r="X31" i="23"/>
  <c r="X32" i="23"/>
  <c r="X19" i="23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W18" i="32"/>
  <c r="W3" i="32" l="1"/>
  <c r="X3" i="32"/>
  <c r="X3" i="34"/>
  <c r="X6" i="23"/>
  <c r="Y6" i="23"/>
  <c r="V41" i="34" l="1"/>
  <c r="U41" i="34"/>
  <c r="T41" i="34"/>
  <c r="R41" i="34"/>
  <c r="Q41" i="34"/>
  <c r="P41" i="34"/>
  <c r="O41" i="34"/>
  <c r="N41" i="34"/>
  <c r="K41" i="34"/>
  <c r="DV99" i="36"/>
  <c r="DW99" i="36"/>
  <c r="DV100" i="36"/>
  <c r="DW100" i="36"/>
  <c r="DV101" i="36"/>
  <c r="DW101" i="36"/>
  <c r="DV102" i="36"/>
  <c r="DW102" i="36"/>
  <c r="DV103" i="36"/>
  <c r="DW103" i="36"/>
  <c r="DV104" i="36"/>
  <c r="DW104" i="36"/>
  <c r="DV105" i="36"/>
  <c r="DW105" i="36"/>
  <c r="DV106" i="36"/>
  <c r="DW106" i="36"/>
  <c r="DV107" i="36"/>
  <c r="DW107" i="36"/>
  <c r="DV108" i="36"/>
  <c r="DW108" i="36"/>
  <c r="DV109" i="36"/>
  <c r="DW109" i="36"/>
  <c r="DV110" i="36"/>
  <c r="DW110" i="36"/>
  <c r="DV111" i="36"/>
  <c r="DW111" i="36"/>
  <c r="DV112" i="36"/>
  <c r="DW112" i="36"/>
  <c r="DU113" i="36"/>
  <c r="DT113" i="36"/>
  <c r="DS113" i="36"/>
  <c r="DR113" i="36"/>
  <c r="DQ113" i="36"/>
  <c r="DP113" i="36"/>
  <c r="DO113" i="36"/>
  <c r="DN113" i="36"/>
  <c r="DM113" i="36"/>
  <c r="DL113" i="36"/>
  <c r="DK113" i="36"/>
  <c r="DJ113" i="36"/>
  <c r="DI113" i="36"/>
  <c r="DH113" i="36"/>
  <c r="DG113" i="36"/>
  <c r="DF113" i="36"/>
  <c r="DE113" i="36"/>
  <c r="DD113" i="36"/>
  <c r="DC113" i="36"/>
  <c r="DB113" i="36"/>
  <c r="DA113" i="36"/>
  <c r="CZ113" i="36"/>
  <c r="CY113" i="36"/>
  <c r="CX113" i="36"/>
  <c r="CW113" i="36"/>
  <c r="CV113" i="36"/>
  <c r="CU113" i="36"/>
  <c r="CT113" i="36"/>
  <c r="CS113" i="36"/>
  <c r="CR113" i="36"/>
  <c r="CQ113" i="36"/>
  <c r="CP113" i="36"/>
  <c r="CO113" i="36"/>
  <c r="CN113" i="36"/>
  <c r="CM113" i="36"/>
  <c r="CL113" i="36"/>
  <c r="CK113" i="36"/>
  <c r="CJ113" i="36"/>
  <c r="CI113" i="36"/>
  <c r="CH113" i="36"/>
  <c r="CG113" i="36"/>
  <c r="CF113" i="36"/>
  <c r="CE113" i="36"/>
  <c r="CD113" i="36"/>
  <c r="CC113" i="36"/>
  <c r="CB113" i="36"/>
  <c r="CA113" i="36"/>
  <c r="BZ113" i="36"/>
  <c r="BY113" i="36"/>
  <c r="BX113" i="36"/>
  <c r="BW113" i="36"/>
  <c r="BV113" i="36"/>
  <c r="BU113" i="36"/>
  <c r="BT113" i="36"/>
  <c r="BS113" i="36"/>
  <c r="BR113" i="36"/>
  <c r="BQ113" i="36"/>
  <c r="BP113" i="36"/>
  <c r="BO113" i="36"/>
  <c r="BN113" i="36"/>
  <c r="BM113" i="36"/>
  <c r="BL113" i="36"/>
  <c r="BK113" i="36"/>
  <c r="BJ113" i="36"/>
  <c r="BI113" i="36"/>
  <c r="BH113" i="36"/>
  <c r="BG113" i="36"/>
  <c r="BF113" i="36"/>
  <c r="BE113" i="36"/>
  <c r="BD113" i="36"/>
  <c r="BC113" i="36"/>
  <c r="BB113" i="36"/>
  <c r="BA113" i="36"/>
  <c r="AZ113" i="36"/>
  <c r="AY113" i="36"/>
  <c r="AX113" i="36"/>
  <c r="AW113" i="36"/>
  <c r="AV113" i="36"/>
  <c r="AU113" i="36"/>
  <c r="AT113" i="36"/>
  <c r="AS113" i="36"/>
  <c r="AR113" i="36"/>
  <c r="AQ113" i="36"/>
  <c r="AP113" i="36"/>
  <c r="AO113" i="36"/>
  <c r="AN113" i="36"/>
  <c r="AM113" i="36"/>
  <c r="AL113" i="36"/>
  <c r="AK113" i="36"/>
  <c r="AJ113" i="36"/>
  <c r="AI113" i="36"/>
  <c r="AH113" i="36"/>
  <c r="AG113" i="36"/>
  <c r="AF113" i="36"/>
  <c r="AE113" i="36"/>
  <c r="AD113" i="36"/>
  <c r="AC113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DW98" i="36"/>
  <c r="DV98" i="36"/>
  <c r="DW97" i="36"/>
  <c r="DV97" i="36"/>
  <c r="DW96" i="36"/>
  <c r="DV96" i="36"/>
  <c r="DW95" i="36"/>
  <c r="DV95" i="36"/>
  <c r="DW94" i="36"/>
  <c r="DV94" i="36"/>
  <c r="DW93" i="36"/>
  <c r="DV93" i="36"/>
  <c r="DW92" i="36"/>
  <c r="DV92" i="36"/>
  <c r="DW91" i="36"/>
  <c r="DV91" i="36"/>
  <c r="DW90" i="36"/>
  <c r="DV90" i="36"/>
  <c r="DW89" i="36"/>
  <c r="DV89" i="36"/>
  <c r="DW88" i="36"/>
  <c r="DV88" i="36"/>
  <c r="DW87" i="36"/>
  <c r="DV87" i="36"/>
  <c r="DW86" i="36"/>
  <c r="DV86" i="36"/>
  <c r="DW85" i="36"/>
  <c r="DV85" i="36"/>
  <c r="DW84" i="36"/>
  <c r="DV84" i="36"/>
  <c r="DW83" i="36"/>
  <c r="DV83" i="36"/>
  <c r="DW82" i="36"/>
  <c r="DV82" i="36"/>
  <c r="DW81" i="36"/>
  <c r="DV81" i="36"/>
  <c r="DW80" i="36"/>
  <c r="DV80" i="36"/>
  <c r="DW79" i="36"/>
  <c r="DV79" i="36"/>
  <c r="DW78" i="36"/>
  <c r="DV78" i="36"/>
  <c r="DW77" i="36"/>
  <c r="DV77" i="36"/>
  <c r="DW76" i="36"/>
  <c r="DV76" i="36"/>
  <c r="DW75" i="36"/>
  <c r="DV75" i="36"/>
  <c r="DW74" i="36"/>
  <c r="DV74" i="36"/>
  <c r="DW73" i="36"/>
  <c r="DV73" i="36"/>
  <c r="DW72" i="36"/>
  <c r="DV72" i="36"/>
  <c r="DW71" i="36"/>
  <c r="DV71" i="36"/>
  <c r="DW70" i="36"/>
  <c r="DV70" i="36"/>
  <c r="DW69" i="36"/>
  <c r="DV69" i="36"/>
  <c r="DW68" i="36"/>
  <c r="DV68" i="36"/>
  <c r="DW67" i="36"/>
  <c r="DV67" i="36"/>
  <c r="DW66" i="36"/>
  <c r="DV66" i="36"/>
  <c r="DW65" i="36"/>
  <c r="DV65" i="36"/>
  <c r="DW64" i="36"/>
  <c r="DV64" i="36"/>
  <c r="DW63" i="36"/>
  <c r="DV63" i="36"/>
  <c r="DW62" i="36"/>
  <c r="DV62" i="36"/>
  <c r="DW61" i="36"/>
  <c r="DV61" i="36"/>
  <c r="DW60" i="36"/>
  <c r="DV60" i="36"/>
  <c r="DW59" i="36"/>
  <c r="DV59" i="36"/>
  <c r="DW58" i="36"/>
  <c r="DV58" i="36"/>
  <c r="DW57" i="36"/>
  <c r="DV57" i="36"/>
  <c r="DW56" i="36"/>
  <c r="DV56" i="36"/>
  <c r="DW55" i="36"/>
  <c r="DV55" i="36"/>
  <c r="DW54" i="36"/>
  <c r="DV54" i="36"/>
  <c r="DW53" i="36"/>
  <c r="DV53" i="36"/>
  <c r="DW52" i="36"/>
  <c r="DV52" i="36"/>
  <c r="DW51" i="36"/>
  <c r="DV51" i="36"/>
  <c r="DW50" i="36"/>
  <c r="DV50" i="36"/>
  <c r="DW49" i="36"/>
  <c r="DV49" i="36"/>
  <c r="DW48" i="36"/>
  <c r="DV48" i="36"/>
  <c r="DW47" i="36"/>
  <c r="DV47" i="36"/>
  <c r="DW46" i="36"/>
  <c r="DV46" i="36"/>
  <c r="DW45" i="36"/>
  <c r="DV45" i="36"/>
  <c r="DW44" i="36"/>
  <c r="DV44" i="36"/>
  <c r="DW43" i="36"/>
  <c r="DV43" i="36"/>
  <c r="DW42" i="36"/>
  <c r="DV42" i="36"/>
  <c r="DW41" i="36"/>
  <c r="DV41" i="36"/>
  <c r="DW40" i="36"/>
  <c r="DV40" i="36"/>
  <c r="DW39" i="36"/>
  <c r="DV39" i="36"/>
  <c r="DW38" i="36"/>
  <c r="DV38" i="36"/>
  <c r="DW37" i="36"/>
  <c r="DV37" i="36"/>
  <c r="DW36" i="36"/>
  <c r="DV36" i="36"/>
  <c r="DW35" i="36"/>
  <c r="DV35" i="36"/>
  <c r="DW34" i="36"/>
  <c r="DV34" i="36"/>
  <c r="DW33" i="36"/>
  <c r="DV33" i="36"/>
  <c r="DW32" i="36"/>
  <c r="DV32" i="36"/>
  <c r="DW31" i="36"/>
  <c r="DV31" i="36"/>
  <c r="DW30" i="36"/>
  <c r="DV30" i="36"/>
  <c r="DW29" i="36"/>
  <c r="DV29" i="36"/>
  <c r="DW28" i="36"/>
  <c r="DV28" i="36"/>
  <c r="DW27" i="36"/>
  <c r="DV27" i="36"/>
  <c r="DW26" i="36"/>
  <c r="DV26" i="36"/>
  <c r="DW25" i="36"/>
  <c r="DV25" i="36"/>
  <c r="DW24" i="36"/>
  <c r="DV24" i="36"/>
  <c r="DW23" i="36"/>
  <c r="DV23" i="36"/>
  <c r="DW22" i="36"/>
  <c r="DV22" i="36"/>
  <c r="DW21" i="36"/>
  <c r="DV21" i="36"/>
  <c r="DW20" i="36"/>
  <c r="DV20" i="36"/>
  <c r="DW19" i="36"/>
  <c r="DV19" i="36"/>
  <c r="DW18" i="36"/>
  <c r="DV18" i="36"/>
  <c r="DW17" i="36"/>
  <c r="DV17" i="36"/>
  <c r="DW16" i="36"/>
  <c r="DV16" i="36"/>
  <c r="DV3" i="36" l="1"/>
  <c r="DW3" i="36"/>
  <c r="V38" i="32" l="1"/>
  <c r="U38" i="32"/>
  <c r="T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DU17" i="29"/>
  <c r="DV17" i="29"/>
  <c r="DU18" i="29"/>
  <c r="DV18" i="29"/>
  <c r="DV97" i="29"/>
  <c r="DU97" i="29"/>
  <c r="DT98" i="29"/>
  <c r="DS98" i="29"/>
  <c r="DR98" i="29"/>
  <c r="DQ98" i="29"/>
  <c r="DO98" i="29"/>
  <c r="DM98" i="29"/>
  <c r="DL98" i="29"/>
  <c r="DK98" i="29"/>
  <c r="DJ98" i="29"/>
  <c r="DI98" i="29"/>
  <c r="DH98" i="29"/>
  <c r="DG98" i="29"/>
  <c r="DF98" i="29"/>
  <c r="DE98" i="29"/>
  <c r="DD98" i="29"/>
  <c r="DC98" i="29"/>
  <c r="DB98" i="29"/>
  <c r="DA98" i="29"/>
  <c r="CZ98" i="29"/>
  <c r="CY98" i="29"/>
  <c r="CX98" i="29"/>
  <c r="CW98" i="29"/>
  <c r="CV98" i="29"/>
  <c r="CU98" i="29"/>
  <c r="CT98" i="29"/>
  <c r="CS98" i="29"/>
  <c r="CR98" i="29"/>
  <c r="CQ98" i="29"/>
  <c r="CP98" i="29"/>
  <c r="CO98" i="29"/>
  <c r="CN98" i="29"/>
  <c r="CM98" i="29"/>
  <c r="CL98" i="29"/>
  <c r="CK98" i="29"/>
  <c r="CJ98" i="29"/>
  <c r="CI98" i="29"/>
  <c r="CH98" i="29"/>
  <c r="CG98" i="29"/>
  <c r="CF98" i="29"/>
  <c r="CE98" i="29"/>
  <c r="CD98" i="29"/>
  <c r="CC98" i="29"/>
  <c r="CB98" i="29"/>
  <c r="CA98" i="29"/>
  <c r="BZ98" i="29"/>
  <c r="BY98" i="29"/>
  <c r="BX98" i="29"/>
  <c r="BW98" i="29"/>
  <c r="BV98" i="29"/>
  <c r="BU98" i="29"/>
  <c r="BT98" i="29"/>
  <c r="BS98" i="29"/>
  <c r="BR98" i="29"/>
  <c r="BQ98" i="29"/>
  <c r="BP98" i="29"/>
  <c r="BO98" i="29"/>
  <c r="BN98" i="29"/>
  <c r="BM98" i="29"/>
  <c r="BL98" i="29"/>
  <c r="BK98" i="29"/>
  <c r="BJ98" i="29"/>
  <c r="BI98" i="29"/>
  <c r="BH98" i="29"/>
  <c r="BG98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DV96" i="29"/>
  <c r="DU96" i="29"/>
  <c r="DV95" i="29"/>
  <c r="DU95" i="29"/>
  <c r="DV94" i="29"/>
  <c r="DU94" i="29"/>
  <c r="DV93" i="29"/>
  <c r="DU93" i="29"/>
  <c r="DV92" i="29"/>
  <c r="DU92" i="29"/>
  <c r="DV91" i="29"/>
  <c r="DU91" i="29"/>
  <c r="DV90" i="29"/>
  <c r="DU90" i="29"/>
  <c r="DV89" i="29"/>
  <c r="DU89" i="29"/>
  <c r="DV88" i="29"/>
  <c r="DU88" i="29"/>
  <c r="DV87" i="29"/>
  <c r="DU87" i="29"/>
  <c r="DV86" i="29"/>
  <c r="DU86" i="29"/>
  <c r="DV85" i="29"/>
  <c r="DU85" i="29"/>
  <c r="DV84" i="29"/>
  <c r="DU84" i="29"/>
  <c r="DV83" i="29"/>
  <c r="DU83" i="29"/>
  <c r="DV82" i="29"/>
  <c r="DU82" i="29"/>
  <c r="DV81" i="29"/>
  <c r="DU81" i="29"/>
  <c r="DV80" i="29"/>
  <c r="DU80" i="29"/>
  <c r="DV79" i="29"/>
  <c r="DU79" i="29"/>
  <c r="DV78" i="29"/>
  <c r="DU78" i="29"/>
  <c r="DV77" i="29"/>
  <c r="DU77" i="29"/>
  <c r="DV76" i="29"/>
  <c r="DU76" i="29"/>
  <c r="DV75" i="29"/>
  <c r="DU75" i="29"/>
  <c r="DV74" i="29"/>
  <c r="DU74" i="29"/>
  <c r="DV73" i="29"/>
  <c r="DU73" i="29"/>
  <c r="DV72" i="29"/>
  <c r="DU72" i="29"/>
  <c r="DV71" i="29"/>
  <c r="DU71" i="29"/>
  <c r="DV70" i="29"/>
  <c r="DU70" i="29"/>
  <c r="DV69" i="29"/>
  <c r="DU69" i="29"/>
  <c r="DV68" i="29"/>
  <c r="DU68" i="29"/>
  <c r="DV67" i="29"/>
  <c r="DU67" i="29"/>
  <c r="DV66" i="29"/>
  <c r="DU66" i="29"/>
  <c r="DV65" i="29"/>
  <c r="DU65" i="29"/>
  <c r="DV64" i="29"/>
  <c r="DU64" i="29"/>
  <c r="DV63" i="29"/>
  <c r="DU63" i="29"/>
  <c r="DV62" i="29"/>
  <c r="DU62" i="29"/>
  <c r="DV61" i="29"/>
  <c r="DU61" i="29"/>
  <c r="DV60" i="29"/>
  <c r="DU60" i="29"/>
  <c r="DV59" i="29"/>
  <c r="DU59" i="29"/>
  <c r="DV58" i="29"/>
  <c r="DU58" i="29"/>
  <c r="DV57" i="29"/>
  <c r="DU57" i="29"/>
  <c r="DV56" i="29"/>
  <c r="DU56" i="29"/>
  <c r="DV55" i="29"/>
  <c r="DU55" i="29"/>
  <c r="DV54" i="29"/>
  <c r="DU54" i="29"/>
  <c r="DV53" i="29"/>
  <c r="DU53" i="29"/>
  <c r="DV52" i="29"/>
  <c r="DU52" i="29"/>
  <c r="DV51" i="29"/>
  <c r="DU51" i="29"/>
  <c r="DV50" i="29"/>
  <c r="DU50" i="29"/>
  <c r="DV49" i="29"/>
  <c r="DU49" i="29"/>
  <c r="DV48" i="29"/>
  <c r="DU48" i="29"/>
  <c r="DV47" i="29"/>
  <c r="DU47" i="29"/>
  <c r="DV46" i="29"/>
  <c r="DU46" i="29"/>
  <c r="DV45" i="29"/>
  <c r="DU45" i="29"/>
  <c r="DV44" i="29"/>
  <c r="DU44" i="29"/>
  <c r="DV43" i="29"/>
  <c r="DU43" i="29"/>
  <c r="DV42" i="29"/>
  <c r="DU42" i="29"/>
  <c r="DV41" i="29"/>
  <c r="DU41" i="29"/>
  <c r="DV40" i="29"/>
  <c r="DU40" i="29"/>
  <c r="DV39" i="29"/>
  <c r="DU39" i="29"/>
  <c r="DV38" i="29"/>
  <c r="DU38" i="29"/>
  <c r="DV37" i="29"/>
  <c r="DU37" i="29"/>
  <c r="DV36" i="29"/>
  <c r="DU36" i="29"/>
  <c r="DV35" i="29"/>
  <c r="DU35" i="29"/>
  <c r="DV34" i="29"/>
  <c r="DU34" i="29"/>
  <c r="DV33" i="29"/>
  <c r="DU33" i="29"/>
  <c r="DV32" i="29"/>
  <c r="DU32" i="29"/>
  <c r="DV31" i="29"/>
  <c r="DU31" i="29"/>
  <c r="DV30" i="29"/>
  <c r="DU30" i="29"/>
  <c r="DV29" i="29"/>
  <c r="DU29" i="29"/>
  <c r="DV28" i="29"/>
  <c r="DU28" i="29"/>
  <c r="DV27" i="29"/>
  <c r="DU27" i="29"/>
  <c r="DV26" i="29"/>
  <c r="DU26" i="29"/>
  <c r="DV25" i="29"/>
  <c r="DU25" i="29"/>
  <c r="DV24" i="29"/>
  <c r="DU24" i="29"/>
  <c r="DV23" i="29"/>
  <c r="DU23" i="29"/>
  <c r="DV22" i="29"/>
  <c r="DU22" i="29"/>
  <c r="DV21" i="29"/>
  <c r="DU21" i="29"/>
  <c r="DV20" i="29"/>
  <c r="DU20" i="29"/>
  <c r="DV19" i="29"/>
  <c r="DU19" i="29"/>
  <c r="DV16" i="29"/>
  <c r="DU16" i="29"/>
  <c r="DU3" i="29"/>
  <c r="DV3" i="29"/>
  <c r="W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U37" i="23"/>
  <c r="V37" i="23"/>
  <c r="F37" i="23"/>
  <c r="W19" i="3"/>
  <c r="W3" i="3"/>
  <c r="V3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BW16" i="7"/>
  <c r="BV3" i="7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19" i="3"/>
  <c r="BW3" i="7"/>
  <c r="BW17" i="7"/>
  <c r="BW18" i="7"/>
  <c r="BW19" i="7"/>
  <c r="BW20" i="7"/>
  <c r="BW21" i="7"/>
  <c r="BW22" i="7"/>
  <c r="BW23" i="7"/>
  <c r="BW24" i="7"/>
  <c r="BW25" i="7"/>
  <c r="BW26" i="7"/>
  <c r="BW27" i="7"/>
  <c r="BW28" i="7"/>
  <c r="BW29" i="7"/>
  <c r="BW30" i="7"/>
  <c r="BW31" i="7"/>
  <c r="BW32" i="7"/>
  <c r="BW33" i="7"/>
  <c r="BW34" i="7"/>
  <c r="BW35" i="7"/>
  <c r="BW36" i="7"/>
  <c r="BW37" i="7"/>
  <c r="BW38" i="7"/>
  <c r="BW39" i="7"/>
  <c r="BW40" i="7"/>
  <c r="BW41" i="7"/>
  <c r="BW42" i="7"/>
  <c r="BW43" i="7"/>
  <c r="BW44" i="7"/>
  <c r="BW45" i="7"/>
  <c r="BW46" i="7"/>
  <c r="BW47" i="7"/>
  <c r="BW48" i="7"/>
  <c r="BW49" i="7"/>
  <c r="BW50" i="7"/>
  <c r="BW51" i="7"/>
  <c r="BW52" i="7"/>
  <c r="BW53" i="7"/>
  <c r="BW54" i="7"/>
  <c r="BW55" i="7"/>
  <c r="BW56" i="7"/>
  <c r="BW57" i="7"/>
  <c r="BW58" i="7"/>
  <c r="BW59" i="7"/>
  <c r="BW60" i="7"/>
  <c r="BW61" i="7"/>
  <c r="BW62" i="7"/>
  <c r="BW63" i="7"/>
  <c r="BW64" i="7"/>
  <c r="BW65" i="7"/>
  <c r="BW66" i="7"/>
  <c r="BW67" i="7"/>
  <c r="BW68" i="7"/>
  <c r="BW69" i="7"/>
  <c r="BW70" i="7"/>
  <c r="BW71" i="7"/>
  <c r="BW72" i="7"/>
  <c r="BW73" i="7"/>
  <c r="BW74" i="7"/>
  <c r="BW75" i="7"/>
  <c r="BW76" i="7"/>
  <c r="BW77" i="7"/>
  <c r="BW78" i="7"/>
  <c r="BW79" i="7"/>
  <c r="BW80" i="7"/>
  <c r="BW81" i="7"/>
  <c r="BW82" i="7"/>
  <c r="BW83" i="7"/>
  <c r="BW84" i="7"/>
  <c r="BW85" i="7"/>
  <c r="BW86" i="7"/>
  <c r="BW87" i="7"/>
  <c r="BW88" i="7"/>
  <c r="BW89" i="7"/>
  <c r="BW90" i="7"/>
  <c r="BW91" i="7"/>
  <c r="BW92" i="7"/>
  <c r="BW93" i="7"/>
  <c r="BW94" i="7"/>
  <c r="BW95" i="7"/>
  <c r="BW96" i="7"/>
  <c r="BW97" i="7"/>
  <c r="BW98" i="7"/>
  <c r="BW99" i="7"/>
  <c r="BW100" i="7"/>
  <c r="BW101" i="7"/>
  <c r="BW102" i="7"/>
  <c r="BW103" i="7"/>
  <c r="BW104" i="7"/>
  <c r="BW105" i="7"/>
  <c r="BW106" i="7"/>
  <c r="BW107" i="7"/>
  <c r="BW108" i="7"/>
  <c r="BW109" i="7"/>
  <c r="R36" i="3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V36" i="7"/>
  <c r="BV37" i="7"/>
  <c r="BV38" i="7"/>
  <c r="BV39" i="7"/>
  <c r="BV40" i="7"/>
  <c r="BV41" i="7"/>
  <c r="BV42" i="7"/>
  <c r="BV43" i="7"/>
  <c r="BV44" i="7"/>
  <c r="BV45" i="7"/>
  <c r="BV46" i="7"/>
  <c r="BV47" i="7"/>
  <c r="BV48" i="7"/>
  <c r="BV49" i="7"/>
  <c r="BV50" i="7"/>
  <c r="BV51" i="7"/>
  <c r="BV52" i="7"/>
  <c r="BV53" i="7"/>
  <c r="BV54" i="7"/>
  <c r="BV55" i="7"/>
  <c r="BV56" i="7"/>
  <c r="BV57" i="7"/>
  <c r="BV58" i="7"/>
  <c r="BV59" i="7"/>
  <c r="BV60" i="7"/>
  <c r="BV61" i="7"/>
  <c r="BV62" i="7"/>
  <c r="BV63" i="7"/>
  <c r="BV64" i="7"/>
  <c r="BV65" i="7"/>
  <c r="BV66" i="7"/>
  <c r="BV67" i="7"/>
  <c r="BV68" i="7"/>
  <c r="BV69" i="7"/>
  <c r="BV70" i="7"/>
  <c r="BV71" i="7"/>
  <c r="BV72" i="7"/>
  <c r="BV73" i="7"/>
  <c r="BV74" i="7"/>
  <c r="BV75" i="7"/>
  <c r="BV76" i="7"/>
  <c r="BV77" i="7"/>
  <c r="BV78" i="7"/>
  <c r="BV79" i="7"/>
  <c r="BV80" i="7"/>
  <c r="BV81" i="7"/>
  <c r="BV82" i="7"/>
  <c r="BV83" i="7"/>
  <c r="BV84" i="7"/>
  <c r="BV85" i="7"/>
  <c r="BV86" i="7"/>
  <c r="BV87" i="7"/>
  <c r="BV88" i="7"/>
  <c r="BV89" i="7"/>
  <c r="BV90" i="7"/>
  <c r="BV91" i="7"/>
  <c r="BV92" i="7"/>
  <c r="BV93" i="7"/>
  <c r="BV94" i="7"/>
  <c r="BV95" i="7"/>
  <c r="BV96" i="7"/>
  <c r="BV97" i="7"/>
  <c r="BV98" i="7"/>
  <c r="BV99" i="7"/>
  <c r="BV100" i="7"/>
  <c r="BV101" i="7"/>
  <c r="BV102" i="7"/>
  <c r="BV103" i="7"/>
  <c r="BV104" i="7"/>
  <c r="BV105" i="7"/>
  <c r="BV106" i="7"/>
  <c r="BV107" i="7"/>
  <c r="BV108" i="7"/>
  <c r="BV109" i="7"/>
  <c r="BV16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E110" i="7"/>
  <c r="E36" i="3"/>
  <c r="U36" i="3"/>
  <c r="T36" i="3"/>
  <c r="S36" i="3"/>
  <c r="Q36" i="3"/>
  <c r="P36" i="3"/>
  <c r="O36" i="3"/>
  <c r="N36" i="3"/>
  <c r="M36" i="3"/>
  <c r="L36" i="3"/>
  <c r="K36" i="3"/>
  <c r="J36" i="3"/>
  <c r="I36" i="3"/>
  <c r="H36" i="3"/>
  <c r="G36" i="3"/>
  <c r="F36" i="3"/>
  <c r="A100" i="40"/>
  <c r="A100" i="40" a="1"/>
  <c r="DN98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<sst xmlns="http://schemas.openxmlformats.org/spreadsheetml/2006/main" count="67142" uniqueCount="1299">
  <si>
    <t>Rev</t>
  </si>
  <si>
    <t>Date</t>
  </si>
  <si>
    <t>ID</t>
  </si>
  <si>
    <t xml:space="preserve">Nom &amp; prénom </t>
  </si>
  <si>
    <t xml:space="preserve">Légende </t>
  </si>
  <si>
    <t>Collaborateur en besoin de suivi</t>
  </si>
  <si>
    <t>Collaborateur autonome</t>
  </si>
  <si>
    <t>Collaborateur en maitrise</t>
  </si>
  <si>
    <t>Area</t>
  </si>
  <si>
    <t>N+1</t>
  </si>
  <si>
    <t>Collaborateur capable de former</t>
  </si>
  <si>
    <t>Taux de Polyvalence</t>
  </si>
  <si>
    <t xml:space="preserve">Target </t>
  </si>
  <si>
    <t>Visa Zone leader</t>
  </si>
  <si>
    <t>Visa Team leader</t>
  </si>
  <si>
    <t>Visa  Line inspector</t>
  </si>
  <si>
    <t>Signature :
Date :</t>
  </si>
  <si>
    <t xml:space="preserve">                     NB opérateur  cértifie et former</t>
  </si>
  <si>
    <t>NB: la matrice de polyvalence est adaptable selon le besoin de chaque équipe</t>
  </si>
  <si>
    <t>chaque département peut ajouter des légendes si besoin</t>
  </si>
  <si>
    <t>A</t>
  </si>
  <si>
    <t>Revision history</t>
  </si>
  <si>
    <t>Revision</t>
  </si>
  <si>
    <t>Update</t>
  </si>
  <si>
    <t>Responsible</t>
  </si>
  <si>
    <t>Approved by</t>
  </si>
  <si>
    <t xml:space="preserve">Chaimae Kerti </t>
  </si>
  <si>
    <t>Bouchra Ahmaddouch</t>
  </si>
  <si>
    <t xml:space="preserve">Creation </t>
  </si>
  <si>
    <t>ICTMF020-HR</t>
  </si>
  <si>
    <t>Matrice de polyvalence_Directs</t>
  </si>
  <si>
    <t>TE443684</t>
  </si>
  <si>
    <t>Automatique</t>
  </si>
  <si>
    <t>TE456728</t>
  </si>
  <si>
    <t>TE456859</t>
  </si>
  <si>
    <t>EL AMRI SAMIRA</t>
  </si>
  <si>
    <t>TE534978</t>
  </si>
  <si>
    <t>MOHAMED-YASSINE el krimy</t>
  </si>
  <si>
    <t>TE417938</t>
  </si>
  <si>
    <t>Fouad Taouri</t>
  </si>
  <si>
    <t>TE565909</t>
  </si>
  <si>
    <t>ilyas el allaoui</t>
  </si>
  <si>
    <t>TE445869</t>
  </si>
  <si>
    <t>SOUKAINA akhdim</t>
  </si>
  <si>
    <t>TE563296</t>
  </si>
  <si>
    <t>YASSIN BELMEFTAH</t>
  </si>
  <si>
    <t>UNSEALED</t>
  </si>
  <si>
    <t>DIN</t>
  </si>
  <si>
    <t xml:space="preserve">Leavyseal </t>
  </si>
  <si>
    <t>HDSCSS</t>
  </si>
  <si>
    <t xml:space="preserve"> A1880799</t>
  </si>
  <si>
    <t>A-717</t>
  </si>
  <si>
    <t>A-1880887</t>
  </si>
  <si>
    <t>A-1070487</t>
  </si>
  <si>
    <t>A-721-X</t>
  </si>
  <si>
    <t>A1070244</t>
  </si>
  <si>
    <t>A-028</t>
  </si>
  <si>
    <t>A-890</t>
  </si>
  <si>
    <t>A-893</t>
  </si>
  <si>
    <t>A-235</t>
  </si>
  <si>
    <t>Setup man</t>
  </si>
  <si>
    <t>STATION-A</t>
  </si>
  <si>
    <t>STATION-B</t>
  </si>
  <si>
    <t>STATION-C</t>
  </si>
  <si>
    <t>EOL &amp; Packaging</t>
  </si>
  <si>
    <t xml:space="preserve">Setup Man </t>
  </si>
  <si>
    <t>Manipulation Hydra</t>
  </si>
  <si>
    <t>Alimentation Des composant</t>
  </si>
  <si>
    <t>Sorting</t>
  </si>
  <si>
    <t>N/A</t>
  </si>
  <si>
    <t>TE523750</t>
  </si>
  <si>
    <t>YOUNESS AJAANAN</t>
  </si>
  <si>
    <t>TE417937</t>
  </si>
  <si>
    <t xml:space="preserve">JALAL BOKKOUR </t>
  </si>
  <si>
    <t>TE408075</t>
  </si>
  <si>
    <t>EL MADI YASSIN</t>
  </si>
  <si>
    <t>TE543814</t>
  </si>
  <si>
    <t>MOURAD AIT ALI</t>
  </si>
  <si>
    <t>TE520193</t>
  </si>
  <si>
    <t>HAJAR BELBEKKARI</t>
  </si>
  <si>
    <t>TE543800</t>
  </si>
  <si>
    <t>OUTMANE LOTFELLAH</t>
  </si>
  <si>
    <t>TE555535</t>
  </si>
  <si>
    <t xml:space="preserve">OUTBARAKHT  MOHAMED </t>
  </si>
  <si>
    <t>TE555616</t>
  </si>
  <si>
    <t>abderrahman errahmouni</t>
  </si>
  <si>
    <t>MUSTAPHA EL HARRAS</t>
  </si>
  <si>
    <t>TE563713</t>
  </si>
  <si>
    <t>Issam, El Amri</t>
  </si>
  <si>
    <t>TE416497</t>
  </si>
  <si>
    <t>Lanjri, Aziza</t>
  </si>
  <si>
    <t>NA</t>
  </si>
  <si>
    <t>TE475954</t>
  </si>
  <si>
    <t>HAMMACH  AYOUB</t>
  </si>
  <si>
    <t>TE406825</t>
  </si>
  <si>
    <t>EL ACHIRI EL KHALIL</t>
  </si>
  <si>
    <t>TE523765</t>
  </si>
  <si>
    <t>MAZOUZI ABDE NOUR</t>
  </si>
  <si>
    <t>DIDAH KHADIJA</t>
  </si>
  <si>
    <t>TE552366</t>
  </si>
  <si>
    <t>ABDELATI MOURAK</t>
  </si>
  <si>
    <t>TE555547</t>
  </si>
  <si>
    <t>ABDELKADER BEN ABBOU</t>
  </si>
  <si>
    <t>TE543788</t>
  </si>
  <si>
    <t>BELAFKIH OUSSAMA</t>
  </si>
  <si>
    <t>TE555626</t>
  </si>
  <si>
    <t>EL MEHDI  MOUHAT</t>
  </si>
  <si>
    <t>TE555545</t>
  </si>
  <si>
    <t>IMANE HARDOUL</t>
  </si>
  <si>
    <t>TE475957</t>
  </si>
  <si>
    <t>EL AMRANI SOULAIMANE</t>
  </si>
  <si>
    <t>TE543396</t>
  </si>
  <si>
    <t>ZINEB EL BADIR</t>
  </si>
  <si>
    <t>TE555548</t>
  </si>
  <si>
    <t xml:space="preserve">ABDELILAH EL FADIL </t>
  </si>
  <si>
    <t>TE543796</t>
  </si>
  <si>
    <t>BEN ZAHRA  YOUSSEF</t>
  </si>
  <si>
    <t>TE543383</t>
  </si>
  <si>
    <t>ADIL EL GHAZOUANI</t>
  </si>
  <si>
    <t>TE563709</t>
  </si>
  <si>
    <t>El youbi Abd eladim</t>
  </si>
  <si>
    <t>TE555621</t>
  </si>
  <si>
    <t>MOUHCINE RAIS</t>
  </si>
  <si>
    <t>Garara Zakarai</t>
  </si>
  <si>
    <t>TE390661</t>
  </si>
  <si>
    <t>TE456855</t>
  </si>
  <si>
    <t xml:space="preserve">OUSSAADI AZIZA </t>
  </si>
  <si>
    <t>TE371404</t>
  </si>
  <si>
    <t>Latrach, Mourad</t>
  </si>
  <si>
    <t>TE409266</t>
  </si>
  <si>
    <t>TE397872</t>
  </si>
  <si>
    <t>Fouad, Ghazouani</t>
  </si>
  <si>
    <t>TE407317</t>
  </si>
  <si>
    <t>FASKA KHADIJA</t>
  </si>
  <si>
    <t>TE335632</t>
  </si>
  <si>
    <t>Ezzahidy soukaina</t>
  </si>
  <si>
    <t>TE452364</t>
  </si>
  <si>
    <t>ES-SAIDI  MALIKA</t>
  </si>
  <si>
    <t>TE443713</t>
  </si>
  <si>
    <t>EL MALOULI  KAOUTER</t>
  </si>
  <si>
    <t>TE443714</t>
  </si>
  <si>
    <t>TE351614</t>
  </si>
  <si>
    <t>TE459921</t>
  </si>
  <si>
    <t xml:space="preserve">CHADLHDRISSI CHADIA </t>
  </si>
  <si>
    <t>BOUGHDAD  SALIMA</t>
  </si>
  <si>
    <t>TE446221</t>
  </si>
  <si>
    <t>Boufettal, Abdelhakime</t>
  </si>
  <si>
    <t>TE402773</t>
  </si>
  <si>
    <t>YOUSSEF ZAYD</t>
  </si>
  <si>
    <t>TE401965</t>
  </si>
  <si>
    <t>Farid, Bouchra</t>
  </si>
  <si>
    <t>TE543392</t>
  </si>
  <si>
    <t>BOUCHTA  AALALOUCH</t>
  </si>
  <si>
    <t>TE459939</t>
  </si>
  <si>
    <t>KACMI fatima</t>
  </si>
  <si>
    <t>TE404743</t>
  </si>
  <si>
    <t>Mariam El-Ghafiri</t>
  </si>
  <si>
    <t>TE543802</t>
  </si>
  <si>
    <t>ABDELHAKIM MISKIN</t>
  </si>
  <si>
    <t>TE312087</t>
  </si>
  <si>
    <t>Lahouaoui ayoub</t>
  </si>
  <si>
    <t>TE552374</t>
  </si>
  <si>
    <t>OUMAIMA ECHCHAHID</t>
  </si>
  <si>
    <t>TE552362</t>
  </si>
  <si>
    <t>SAID FAHSSI</t>
  </si>
  <si>
    <t>EL MADANI MOUNSIF</t>
  </si>
  <si>
    <t>TE563712</t>
  </si>
  <si>
    <t>TE565906</t>
  </si>
  <si>
    <t>MOHAMED KARIM</t>
  </si>
  <si>
    <t>TE565929</t>
  </si>
  <si>
    <t>MOHSSINE ELJARYB</t>
  </si>
  <si>
    <t>TE443689</t>
  </si>
  <si>
    <t>TAMAZDAOUT CHADIA</t>
  </si>
  <si>
    <t>TE389905</t>
  </si>
  <si>
    <t>Bernicha, Najoua</t>
  </si>
  <si>
    <t>Assemblage</t>
  </si>
  <si>
    <t>A1014280
A1880620
A1023537
A1014085
A1014377
A1070020</t>
  </si>
  <si>
    <t>Preparation des Pins</t>
  </si>
  <si>
    <t>A1070349
A1070365
A1070376
A1070018</t>
  </si>
  <si>
    <t>Guardcam</t>
  </si>
  <si>
    <t>EOL &amp; Packaing</t>
  </si>
  <si>
    <t>A1070019
A1014535
A1070940</t>
  </si>
  <si>
    <t>APINHSG
A1718230</t>
  </si>
  <si>
    <t>A1944636
A1070388</t>
  </si>
  <si>
    <t>A1394522
AMICRTMAR
N966168</t>
  </si>
  <si>
    <t>Assemblage/Packaging</t>
  </si>
  <si>
    <t>A1880425</t>
  </si>
  <si>
    <t>Mat handler</t>
  </si>
  <si>
    <t>Packaging</t>
  </si>
  <si>
    <t>A1957630
A1957631</t>
  </si>
  <si>
    <t>A0239905</t>
  </si>
  <si>
    <t>Glueing Process</t>
  </si>
  <si>
    <t>A-HAS99X</t>
  </si>
  <si>
    <t>A-HAS93X
A1951222</t>
  </si>
  <si>
    <t>A1880027</t>
  </si>
  <si>
    <t>soudage</t>
  </si>
  <si>
    <t>A1014614
A1880514
A1958201
A1959827
A1880823</t>
  </si>
  <si>
    <t>Cavity Block Assembly &amp; packaging</t>
  </si>
  <si>
    <t>EOL &amp; Seal assembly with house</t>
  </si>
  <si>
    <t>Ribs Coding (Cavity Cutting)</t>
  </si>
  <si>
    <t>Seal &amp; Cavity Assembly</t>
  </si>
  <si>
    <t>Cavity &amp; Family Seal Assembly</t>
  </si>
  <si>
    <t xml:space="preserve">Cavity &amp; Secondary lock Assembly + In Line tester </t>
  </si>
  <si>
    <t>Retainer &amp; Cavity Assembly</t>
  </si>
  <si>
    <t>Housing &amp; Slide Assembly</t>
  </si>
  <si>
    <t>Preassemblage des composants</t>
  </si>
  <si>
    <t xml:space="preserve">EOL&amp; Packaging </t>
  </si>
  <si>
    <t xml:space="preserve">Assemblage &amp; EOL&amp; Packaging </t>
  </si>
  <si>
    <t>Insertion du Seal</t>
  </si>
  <si>
    <t>A-1880515</t>
  </si>
  <si>
    <t>A1070016
A1070300
A1014997
A1014854
A0239796
A1829742</t>
  </si>
  <si>
    <t xml:space="preserve">A0240833
A1070364
A1014469
A1014510
A1880917
A1014946
A946-DP
</t>
  </si>
  <si>
    <t xml:space="preserve"> N/A</t>
  </si>
  <si>
    <t xml:space="preserve"> </t>
  </si>
  <si>
    <t>Area1</t>
  </si>
  <si>
    <t>Area2</t>
  </si>
  <si>
    <t>Area3</t>
  </si>
  <si>
    <t>Extention</t>
  </si>
  <si>
    <t>TE568896</t>
  </si>
  <si>
    <t>te565914</t>
  </si>
  <si>
    <t>TE390654</t>
  </si>
  <si>
    <t>MARIA ZOUHAR</t>
  </si>
  <si>
    <t>TE399385</t>
  </si>
  <si>
    <t>NAJOUA EL BAGHDADI</t>
  </si>
  <si>
    <t>TE389952</t>
  </si>
  <si>
    <t xml:space="preserve">KABIBI Sakina </t>
  </si>
  <si>
    <t>TE407508</t>
  </si>
  <si>
    <t>ayyoub kaarout</t>
  </si>
  <si>
    <t>TE415870</t>
  </si>
  <si>
    <t>ZAMZAM MERYAM</t>
  </si>
  <si>
    <t>TE416496</t>
  </si>
  <si>
    <t>GUERRAB LAMYAA</t>
  </si>
  <si>
    <t>TE307569</t>
  </si>
  <si>
    <t>TE443685</t>
  </si>
  <si>
    <t>EL KHMYRY  MOHAMED</t>
  </si>
  <si>
    <t>guihita YOUNESS</t>
  </si>
  <si>
    <t>TE456869</t>
  </si>
  <si>
    <t>elghallali LATIFA</t>
  </si>
  <si>
    <t>TE459941</t>
  </si>
  <si>
    <t>EL KHOU noufissa</t>
  </si>
  <si>
    <t>TE459935</t>
  </si>
  <si>
    <t>MARIMI houda</t>
  </si>
  <si>
    <t>TE475951</t>
  </si>
  <si>
    <t>EL GHARRAFI  SANAE</t>
  </si>
  <si>
    <t>TE456736</t>
  </si>
  <si>
    <t>TE489309</t>
  </si>
  <si>
    <t>TE398591</t>
  </si>
  <si>
    <t>Sammoud, Laila</t>
  </si>
  <si>
    <t>TE443548</t>
  </si>
  <si>
    <t>OTMANE elazioiz</t>
  </si>
  <si>
    <t>TE534971</t>
  </si>
  <si>
    <t>TE523755</t>
  </si>
  <si>
    <t xml:space="preserve">FATIMA OUJIL </t>
  </si>
  <si>
    <t>te448248</t>
  </si>
  <si>
    <t>TE543772</t>
  </si>
  <si>
    <t>AMINA EL HAKOUNI</t>
  </si>
  <si>
    <t>TE543768</t>
  </si>
  <si>
    <t>ANASS OURAHOU</t>
  </si>
  <si>
    <t>TE543775</t>
  </si>
  <si>
    <t>OUSSAMA AMIMI</t>
  </si>
  <si>
    <t>te543387</t>
  </si>
  <si>
    <t>TE443680</t>
  </si>
  <si>
    <t>te555530</t>
  </si>
  <si>
    <t>te400582</t>
  </si>
  <si>
    <t>Abdelhafed Kachbal</t>
  </si>
  <si>
    <t>TE558211</t>
  </si>
  <si>
    <t>HAFIDA LAADAM</t>
  </si>
  <si>
    <t>TE555525</t>
  </si>
  <si>
    <t>HAMZA TOUIR</t>
  </si>
  <si>
    <t>TE552351</t>
  </si>
  <si>
    <t>ILYASS EL OUAFI</t>
  </si>
  <si>
    <t>TE406492</t>
  </si>
  <si>
    <t>Area5</t>
  </si>
  <si>
    <t xml:space="preserve">
A1954361
A0240904</t>
  </si>
  <si>
    <t>A-1880626</t>
  </si>
  <si>
    <t>Preassemblage des composants/Insertion du Seal</t>
  </si>
  <si>
    <t>A-717-X</t>
  </si>
  <si>
    <t>A-515-X</t>
  </si>
  <si>
    <t>A-890-X</t>
  </si>
  <si>
    <t>A-235-X</t>
  </si>
  <si>
    <t>A-893-X</t>
  </si>
  <si>
    <t>TE389950</t>
  </si>
  <si>
    <t>HAMMAOUCHA IMANE</t>
  </si>
  <si>
    <t>TE418098</t>
  </si>
  <si>
    <t>RAOUIA RAHHALI</t>
  </si>
  <si>
    <t>TE417942</t>
  </si>
  <si>
    <t>HAJAR TAHERI</t>
  </si>
  <si>
    <t>TE406428</t>
  </si>
  <si>
    <t>elmansouri Youssef</t>
  </si>
  <si>
    <t>TE443710</t>
  </si>
  <si>
    <t xml:space="preserve">El Abboudy najwa </t>
  </si>
  <si>
    <t>TE449794</t>
  </si>
  <si>
    <t xml:space="preserve">hassna elhamdouni </t>
  </si>
  <si>
    <t>TE452351</t>
  </si>
  <si>
    <t>KHADIJA LAADEM</t>
  </si>
  <si>
    <t>TE452349</t>
  </si>
  <si>
    <t>FATIMA SALEK</t>
  </si>
  <si>
    <t>EL OTMANI OUMAIMA</t>
  </si>
  <si>
    <t>TE456854</t>
  </si>
  <si>
    <t>IHSSAN BOUZID</t>
  </si>
  <si>
    <t>TE459937</t>
  </si>
  <si>
    <t>AYATA FATIMA ZAHRA</t>
  </si>
  <si>
    <t>TE469042</t>
  </si>
  <si>
    <t>HICHAM SAOUDI</t>
  </si>
  <si>
    <t>TE469051</t>
  </si>
  <si>
    <t>MERIEM SAADI</t>
  </si>
  <si>
    <t>TE475959</t>
  </si>
  <si>
    <t>EL MESRADHI  NADIA</t>
  </si>
  <si>
    <t>EL AMRANI   SOULAIMANE</t>
  </si>
  <si>
    <t>TE475956</t>
  </si>
  <si>
    <t>AOUDAIR  ISSAM</t>
  </si>
  <si>
    <t>TE475953</t>
  </si>
  <si>
    <t>EL-KHOU  WAFAE</t>
  </si>
  <si>
    <t>TE475936</t>
  </si>
  <si>
    <t>SAIDI  ZOUHAIR</t>
  </si>
  <si>
    <t>TE439693</t>
  </si>
  <si>
    <t xml:space="preserve">Chakir, Noura </t>
  </si>
  <si>
    <t>TE395915</t>
  </si>
  <si>
    <t>Badaoui, Hafida</t>
  </si>
  <si>
    <t>TE489305</t>
  </si>
  <si>
    <t>MERIEM  SETTI</t>
  </si>
  <si>
    <t>TE443763</t>
  </si>
  <si>
    <t>BOUCHRA bouzaize</t>
  </si>
  <si>
    <t>TE534986</t>
  </si>
  <si>
    <t>YOUNES AIT SSI</t>
  </si>
  <si>
    <t>TE534983</t>
  </si>
  <si>
    <t>EL MALHA ASMAE</t>
  </si>
  <si>
    <t>TE534981</t>
  </si>
  <si>
    <t xml:space="preserve">MUSTAPHA ELMKADEM </t>
  </si>
  <si>
    <t>TE534972</t>
  </si>
  <si>
    <t>KHALISSA AOULAD HADI</t>
  </si>
  <si>
    <t>TE404796</t>
  </si>
  <si>
    <t>Ftouhi, Mohamed</t>
  </si>
  <si>
    <t>TE443543</t>
  </si>
  <si>
    <t>Labiad ghita</t>
  </si>
  <si>
    <t>TE327464</t>
  </si>
  <si>
    <t>Lahibi, Fatima</t>
  </si>
  <si>
    <t>te443562</t>
  </si>
  <si>
    <t>El Amrani, Mohammed</t>
  </si>
  <si>
    <t>TE408066</t>
  </si>
  <si>
    <t>mechchach yassine</t>
  </si>
  <si>
    <t>TE365030</t>
  </si>
  <si>
    <t>Ibrahim, Fatima</t>
  </si>
  <si>
    <t>TE313544</t>
  </si>
  <si>
    <t>Chtita, Asmae</t>
  </si>
  <si>
    <t>TE449451</t>
  </si>
  <si>
    <t>CHAIMAE RAKLAOUI</t>
  </si>
  <si>
    <t>TE543385</t>
  </si>
  <si>
    <t>MOUHSSINE KAZZOUT</t>
  </si>
  <si>
    <t>TE543389</t>
  </si>
  <si>
    <t>RACHID EL KHAMLYCHY</t>
  </si>
  <si>
    <t>TE543795</t>
  </si>
  <si>
    <t>BEN-ALLA  M'BAREK</t>
  </si>
  <si>
    <t>TE543792</t>
  </si>
  <si>
    <t>CHERQAOUI  ABDERRAHMAN</t>
  </si>
  <si>
    <t>TE543790</t>
  </si>
  <si>
    <t>BENHABI  YOUSRA</t>
  </si>
  <si>
    <t>TE543781</t>
  </si>
  <si>
    <t>MOUFARRAJ  HAFID</t>
  </si>
  <si>
    <t>TE552369</t>
  </si>
  <si>
    <t>AMINE CHARFI</t>
  </si>
  <si>
    <t>TE552360</t>
  </si>
  <si>
    <t>CHARAPHE ED-DINE  LAKHDAR</t>
  </si>
  <si>
    <t>TE555552</t>
  </si>
  <si>
    <t>MOHAMED EL-MRABET</t>
  </si>
  <si>
    <t>TE555551</t>
  </si>
  <si>
    <t>YASSINE EL AIDI</t>
  </si>
  <si>
    <t xml:space="preserve">AYMANE EL YOUNOUSSI </t>
  </si>
  <si>
    <t>TE555546</t>
  </si>
  <si>
    <t xml:space="preserve">SOUKAINA  HAMMOUCHI </t>
  </si>
  <si>
    <t>IMANE  HARDOUL</t>
  </si>
  <si>
    <t>TE555622</t>
  </si>
  <si>
    <t>MOHAMED ES-SAFSAFY</t>
  </si>
  <si>
    <t>TE555624</t>
  </si>
  <si>
    <t>YOUSSEF ANDALOUSSI</t>
  </si>
  <si>
    <t>TE555625</t>
  </si>
  <si>
    <t>CHeULI MOHAMMED</t>
  </si>
  <si>
    <t>TE565904</t>
  </si>
  <si>
    <t>NAJIM KHAYROUM</t>
  </si>
  <si>
    <t>TE565913</t>
  </si>
  <si>
    <t>BOUAZZA SENHAJI</t>
  </si>
  <si>
    <t>TE565937</t>
  </si>
  <si>
    <t xml:space="preserve">BADIAA EZZIANI </t>
  </si>
  <si>
    <t>TE565903</t>
  </si>
  <si>
    <t xml:space="preserve">MOHAMED AYAD </t>
  </si>
  <si>
    <t>jamal boukhzar</t>
  </si>
  <si>
    <t>El youbi Abdeladim</t>
  </si>
  <si>
    <t>TE563302</t>
  </si>
  <si>
    <t>youness aghbalou</t>
  </si>
  <si>
    <t>TE570095</t>
  </si>
  <si>
    <t>Mounya Ouchamat</t>
  </si>
  <si>
    <t>TE573306</t>
  </si>
  <si>
    <t>CHAIK MOHAMED
 AMINE</t>
  </si>
  <si>
    <t>TE573308</t>
  </si>
  <si>
    <t>AYOUB CHOUCHA</t>
  </si>
  <si>
    <t>TE570089</t>
  </si>
  <si>
    <t>CHAYMAE HAMZA</t>
  </si>
  <si>
    <t>TE568900</t>
  </si>
  <si>
    <t>BOUTAINA LAKHDAR</t>
  </si>
  <si>
    <t>TE570092</t>
  </si>
  <si>
    <t>KAOUTAR BENTAIBI</t>
  </si>
  <si>
    <t>TE570088</t>
  </si>
  <si>
    <t>OUMAYMA NAITBAHSOU</t>
  </si>
  <si>
    <t>TE570075</t>
  </si>
  <si>
    <t>HAMMOUT BOUCHEOUAR</t>
  </si>
  <si>
    <t>TE570085</t>
  </si>
  <si>
    <t>FATIMA ZAHRA ELAMRANI</t>
  </si>
  <si>
    <t>TE568901</t>
  </si>
  <si>
    <t>INSSAF HAIDOUR</t>
  </si>
  <si>
    <t xml:space="preserve"> TE570090</t>
  </si>
  <si>
    <t>FATIMA HADOUNI</t>
  </si>
  <si>
    <t>TE570086</t>
  </si>
  <si>
    <t>FADWA ENNEMILI</t>
  </si>
  <si>
    <t>TE570084</t>
  </si>
  <si>
    <t>SOUMAYA NAJIB</t>
  </si>
  <si>
    <t>TE570091</t>
  </si>
  <si>
    <t>NAJOUA ESSABOUI</t>
  </si>
  <si>
    <t>TE563303</t>
  </si>
  <si>
    <t>SARA EL ALUI</t>
  </si>
  <si>
    <t>TE563300</t>
  </si>
  <si>
    <t>AMINE ERRAHI</t>
  </si>
  <si>
    <t>TE568894</t>
  </si>
  <si>
    <t>TAOUFIK EL FOUAL</t>
  </si>
  <si>
    <t>TE568899</t>
  </si>
  <si>
    <t>CHAYMA EDAHMAN</t>
  </si>
  <si>
    <t>TE568885</t>
  </si>
  <si>
    <t>ISMAIL El-Hassouni</t>
  </si>
  <si>
    <t>TE570094</t>
  </si>
  <si>
    <t>SAFAA SAIDI</t>
  </si>
  <si>
    <t>TE570076</t>
  </si>
  <si>
    <t>ABDERRAHIM BHIH</t>
  </si>
  <si>
    <t>ABDELA TIMOURAK</t>
  </si>
  <si>
    <t>TE555538</t>
  </si>
  <si>
    <t>OUMAIMA ABDELLAOUI</t>
  </si>
  <si>
    <t>El Yamani Noura</t>
  </si>
  <si>
    <t xml:space="preserve">Signature :
Date : </t>
  </si>
  <si>
    <t>Signature :
Date :3</t>
  </si>
  <si>
    <t xml:space="preserve">Signature :
Date :  </t>
  </si>
  <si>
    <t xml:space="preserve">Signature :
Date :   </t>
  </si>
  <si>
    <t xml:space="preserve">A-1014865  
A-1014841       </t>
  </si>
  <si>
    <t>Leavyseal</t>
  </si>
  <si>
    <t>Production Family             HDSCS</t>
  </si>
  <si>
    <t>Production Family 
 Leavy Seal</t>
  </si>
  <si>
    <t>Production Family 
Timers</t>
  </si>
  <si>
    <t>Production Family 
SRC</t>
  </si>
  <si>
    <t>Production Family 
Unsealed Connectors</t>
  </si>
  <si>
    <t>Production Family 
 DIN</t>
  </si>
  <si>
    <t>Production Family 
HDSCS</t>
  </si>
  <si>
    <t xml:space="preserve">
A1957633
A1954592</t>
  </si>
  <si>
    <t xml:space="preserve"> A1014615</t>
  </si>
  <si>
    <t>A-1880727</t>
  </si>
  <si>
    <t>A-170-NT
A-156-NT</t>
  </si>
  <si>
    <t>A-1957295 
A-1966449
A-1966413
A-1966412</t>
  </si>
  <si>
    <t>A-1070332</t>
  </si>
  <si>
    <t>A-1070292 
A-1880663</t>
  </si>
  <si>
    <t>A-1023395</t>
  </si>
  <si>
    <t>A-0239880</t>
  </si>
  <si>
    <t>Production Family 
LOW-MCP-CON</t>
  </si>
  <si>
    <t>AssemblagePackaging</t>
  </si>
  <si>
    <t xml:space="preserve">o	31-1958635 </t>
  </si>
  <si>
    <t xml:space="preserve">31-1958629 </t>
  </si>
  <si>
    <t>A-1959242</t>
  </si>
  <si>
    <t>Assemblage seal</t>
  </si>
  <si>
    <t>A1070292
A1880663</t>
  </si>
  <si>
    <t>A-1829917
A-1880435
A-1880917
A-1070348
A-1961992
A-1948705
A-1014471
A-1945396</t>
  </si>
  <si>
    <t>A-1960706
A-1014865</t>
  </si>
  <si>
    <t xml:space="preserve">31-1958635 </t>
  </si>
  <si>
    <t>TE534984</t>
  </si>
  <si>
    <t>TE456848</t>
  </si>
  <si>
    <t>TE555549</t>
  </si>
  <si>
    <t>TE565920</t>
  </si>
  <si>
    <t>Assemblage Packaging</t>
  </si>
  <si>
    <t>A-1880445
A-1880446</t>
  </si>
  <si>
    <t>TE570060</t>
  </si>
  <si>
    <t>TE570064</t>
  </si>
  <si>
    <t>Production Family 
  HDSCS</t>
  </si>
  <si>
    <t>Production Family Through Wall</t>
  </si>
  <si>
    <t xml:space="preserve">Production Family 
 DT                        </t>
  </si>
  <si>
    <t>Production Family  
  Through Wall</t>
  </si>
  <si>
    <t>Production Family  
    Through Wall</t>
  </si>
  <si>
    <t xml:space="preserve">       Production Family  
    Leavy Seal </t>
  </si>
  <si>
    <t>Production Family   
   Through Wall</t>
  </si>
  <si>
    <t>Production  Family         HDSCS</t>
  </si>
  <si>
    <t xml:space="preserve">Production Family
 DT                          </t>
  </si>
  <si>
    <t xml:space="preserve">Cavity &amp; Secondary lock Assembly  In Line tester </t>
  </si>
  <si>
    <t>Assemblage 
Packaging</t>
  </si>
  <si>
    <t xml:space="preserve">           Production Family
  HDSCS</t>
  </si>
  <si>
    <t xml:space="preserve">       Production Family
 Leavy Seal </t>
  </si>
  <si>
    <t>Production Family 
 Battery Connectors</t>
  </si>
  <si>
    <t>Production Family     Through Wall</t>
  </si>
  <si>
    <t>Production Family
  DT</t>
  </si>
  <si>
    <t>Production Family 
 DT</t>
  </si>
  <si>
    <t>Production Family 
  Through Wall</t>
  </si>
  <si>
    <t>Production Family 
 Through Wall</t>
  </si>
  <si>
    <t>Assemblage
Packaging</t>
  </si>
  <si>
    <t>Production Family Miscellaneous</t>
  </si>
  <si>
    <t xml:space="preserve">
A-1880626</t>
  </si>
  <si>
    <t xml:space="preserve">A-864-A
A-864-B A-1960706 
</t>
  </si>
  <si>
    <t xml:space="preserve"> 51-1880727
</t>
  </si>
  <si>
    <t>A-1014865</t>
  </si>
  <si>
    <t>TE446220</t>
  </si>
  <si>
    <t>GATD</t>
  </si>
  <si>
    <t>A1966530</t>
  </si>
  <si>
    <t>Setup machine</t>
  </si>
  <si>
    <t xml:space="preserve"> A-244-X</t>
  </si>
  <si>
    <t>TE585536</t>
  </si>
  <si>
    <t>ikram ahamuroud</t>
  </si>
  <si>
    <t>TE586521</t>
  </si>
  <si>
    <t>OTHMANE EL KASRI</t>
  </si>
  <si>
    <t>%¨£4444444U</t>
  </si>
  <si>
    <t xml:space="preserve">A-864-A
A-864-B 
</t>
  </si>
  <si>
    <t>ait ouahmane ayoub</t>
  </si>
  <si>
    <t xml:space="preserve">
TE595520</t>
  </si>
  <si>
    <t>MOUAD CHOUIGUER</t>
  </si>
  <si>
    <t xml:space="preserve">saad elaah zitan </t>
  </si>
  <si>
    <t>TE599059</t>
  </si>
  <si>
    <t>STITOU OTBHMANE</t>
  </si>
  <si>
    <t>TAUX DE MAITRISE</t>
  </si>
  <si>
    <t>SHIFT RATE</t>
  </si>
  <si>
    <t>TE595501</t>
  </si>
  <si>
    <t>TE595499</t>
  </si>
  <si>
    <t>TE595500</t>
  </si>
  <si>
    <t>TE485915</t>
  </si>
  <si>
    <t>A-1961992</t>
  </si>
  <si>
    <t>A-1948705</t>
  </si>
  <si>
    <t>A-1014471</t>
  </si>
  <si>
    <t>A-1945396</t>
  </si>
  <si>
    <t>A1070020</t>
  </si>
  <si>
    <t>A1880620</t>
  </si>
  <si>
    <t>A1014280</t>
  </si>
  <si>
    <t xml:space="preserve">
A1023537
A1014085
A1014377
</t>
  </si>
  <si>
    <t>A1014854
A1070300</t>
  </si>
  <si>
    <t>A1070016
A1829742</t>
  </si>
  <si>
    <t>A1014997</t>
  </si>
  <si>
    <t xml:space="preserve">
A0239796
</t>
  </si>
  <si>
    <t>TE585538</t>
  </si>
  <si>
    <t>TE585542</t>
  </si>
  <si>
    <t>TE586523</t>
  </si>
  <si>
    <t>mohammed ezzouichi</t>
  </si>
  <si>
    <t>TE586536</t>
  </si>
  <si>
    <t>TE595517</t>
  </si>
  <si>
    <t>TE595514</t>
  </si>
  <si>
    <t>TE595513</t>
  </si>
  <si>
    <t>ACHERKI SAID</t>
  </si>
  <si>
    <t xml:space="preserve">
TE595512</t>
  </si>
  <si>
    <t xml:space="preserve">ALABBASSI YOUSSEF </t>
  </si>
  <si>
    <t>TE595509</t>
  </si>
  <si>
    <t>CHEROUI IBRAHIM</t>
  </si>
  <si>
    <t>TE599094</t>
  </si>
  <si>
    <t>JBILOU MAROUA</t>
  </si>
  <si>
    <t>TE599044</t>
  </si>
  <si>
    <t>IBRAHIM ESSALTANI</t>
  </si>
  <si>
    <t>TE599096</t>
  </si>
  <si>
    <t>FATIMA ZAHRA M'BARKIOU</t>
  </si>
  <si>
    <t>TE599047</t>
  </si>
  <si>
    <t>ANASS ZERHOUNI</t>
  </si>
  <si>
    <t>TE599043</t>
  </si>
  <si>
    <t>AHMED AHARCHI</t>
  </si>
  <si>
    <t>TE599097</t>
  </si>
  <si>
    <t>TE599092</t>
  </si>
  <si>
    <t>TE599093</t>
  </si>
  <si>
    <t>El Kasri, Oumayma</t>
  </si>
  <si>
    <t>TE599050</t>
  </si>
  <si>
    <t>OURKIA HASSAN</t>
  </si>
  <si>
    <t>TE599058</t>
  </si>
  <si>
    <t>TE599098</t>
  </si>
  <si>
    <t>SOUMAYA LABACHIRIE</t>
  </si>
  <si>
    <t>TE595498</t>
  </si>
  <si>
    <t xml:space="preserve">A1014614
A1880514
A1958201
</t>
  </si>
  <si>
    <t>A1070349</t>
  </si>
  <si>
    <t>A1070018</t>
  </si>
  <si>
    <t>A1014510</t>
  </si>
  <si>
    <t>A1014469</t>
  </si>
  <si>
    <t>A1070364
A-1070348</t>
  </si>
  <si>
    <t>A0240833</t>
  </si>
  <si>
    <t xml:space="preserve">
A1014946
A946-DP
</t>
  </si>
  <si>
    <t>A1070940</t>
  </si>
  <si>
    <t>A1014535</t>
  </si>
  <si>
    <t>A-1070019</t>
  </si>
  <si>
    <t>N966168</t>
  </si>
  <si>
    <t>A1394522</t>
  </si>
  <si>
    <t xml:space="preserve">
AMICRTMAR
</t>
  </si>
  <si>
    <t>A0240904</t>
  </si>
  <si>
    <t xml:space="preserve">
A1954361
</t>
  </si>
  <si>
    <t>A1070365
A1070376</t>
  </si>
  <si>
    <t>A1959827
A1880823</t>
  </si>
  <si>
    <t>A-170-NT
A-156-NT
A-156-DP-NT</t>
  </si>
  <si>
    <t>A-1880446
A-1880445</t>
  </si>
  <si>
    <t xml:space="preserve">
A1957633
A1954592
</t>
  </si>
  <si>
    <t xml:space="preserve">A1014614
A1880514
A1958201
</t>
  </si>
  <si>
    <t xml:space="preserve">A1960706
A-1014865  </t>
  </si>
  <si>
    <t xml:space="preserve">
A-1014841       </t>
  </si>
  <si>
    <t xml:space="preserve">A-0239880
</t>
  </si>
  <si>
    <t xml:space="preserve">A-1880515
</t>
  </si>
  <si>
    <t xml:space="preserve">
A1880514
A1958201
A1014614
</t>
  </si>
  <si>
    <t xml:space="preserve">A-1014841   </t>
  </si>
  <si>
    <t xml:space="preserve">A-1014865  
A-1960706 
   </t>
  </si>
  <si>
    <t>B</t>
  </si>
  <si>
    <t xml:space="preserve">Signature :          
Date :                   </t>
  </si>
  <si>
    <t>SOUFYANE KHALFAOUY</t>
  </si>
  <si>
    <t>TE563715</t>
  </si>
  <si>
    <t>ABDELILAH AZIAR</t>
  </si>
  <si>
    <t>TE555530</t>
  </si>
  <si>
    <t>ossama el khomci</t>
  </si>
  <si>
    <t>TE563716</t>
  </si>
  <si>
    <t xml:space="preserve">Asaad Adib </t>
  </si>
  <si>
    <t>TE543387</t>
  </si>
  <si>
    <t>26/10/2023</t>
  </si>
  <si>
    <t>TE570062</t>
  </si>
  <si>
    <t>13/10/2020</t>
  </si>
  <si>
    <t>15/5/2023</t>
  </si>
  <si>
    <t>date d'ambauche</t>
  </si>
  <si>
    <t>20/10/20217</t>
  </si>
  <si>
    <t>19/9/2019</t>
  </si>
  <si>
    <t>15/12/2022</t>
  </si>
  <si>
    <t>15/8/2023</t>
  </si>
  <si>
    <t>15/5/2024</t>
  </si>
  <si>
    <t>21/11/2019</t>
  </si>
  <si>
    <t>A-1880917</t>
  </si>
  <si>
    <t xml:space="preserve">A-1829917
A-1880435
A-1880524
</t>
  </si>
  <si>
    <t>HAJAR FRIYEKH</t>
  </si>
  <si>
    <t>14/04/2021</t>
  </si>
  <si>
    <t>13/10/2021</t>
  </si>
  <si>
    <t>20/07/2018</t>
  </si>
  <si>
    <t>15/05/2023</t>
  </si>
  <si>
    <t>17/08/2023</t>
  </si>
  <si>
    <t>15/05/2024</t>
  </si>
  <si>
    <t>15/10/2024</t>
  </si>
  <si>
    <t>TE595512</t>
  </si>
  <si>
    <t>AUTOMATIQUE</t>
  </si>
  <si>
    <t>Ahmed Akharraz</t>
  </si>
  <si>
    <t>MARYAM EL OUARTI</t>
  </si>
  <si>
    <t>TE523758</t>
  </si>
  <si>
    <t>Hamza el hajlaoui</t>
  </si>
  <si>
    <t xml:space="preserve">A-1829917 
A1880524
A-1880435
</t>
  </si>
  <si>
    <t>Hamza mossadak</t>
  </si>
  <si>
    <t xml:space="preserve">A-1829917
A-1880435
A-1880524
</t>
  </si>
  <si>
    <t>§          .</t>
  </si>
  <si>
    <t>.</t>
  </si>
  <si>
    <t>TE443715</t>
  </si>
  <si>
    <t>TE602444</t>
  </si>
  <si>
    <t>TE602413</t>
  </si>
  <si>
    <t xml:space="preserve">AYA SAOUD </t>
  </si>
  <si>
    <t>ACHRAF ERRADI</t>
  </si>
  <si>
    <t>MOHAMED HABOUSSI</t>
  </si>
  <si>
    <t>TE602400</t>
  </si>
  <si>
    <t>TE602397</t>
  </si>
  <si>
    <t>TE602395</t>
  </si>
  <si>
    <t>Adam benabd</t>
  </si>
  <si>
    <t>Fathi Abderrachid</t>
  </si>
  <si>
    <t>Montacer el Aouissi</t>
  </si>
  <si>
    <t>TE602406</t>
  </si>
  <si>
    <t>KHALID EL GHANAJ</t>
  </si>
  <si>
    <t>TE602408</t>
  </si>
  <si>
    <t>TE603467</t>
  </si>
  <si>
    <t>TE603471</t>
  </si>
  <si>
    <t>TE603463</t>
  </si>
  <si>
    <t>TE603464</t>
  </si>
  <si>
    <t>Mohsen ech chaykhi</t>
  </si>
  <si>
    <t>Nour eddine el ouazzani</t>
  </si>
  <si>
    <t>Anas ben hamidou</t>
  </si>
  <si>
    <t>Hnida Soufiane</t>
  </si>
  <si>
    <t>16/12/2024</t>
  </si>
  <si>
    <t>date
 d'ambauche</t>
  </si>
  <si>
    <t xml:space="preserve">Nom &amp; 
prénom </t>
  </si>
  <si>
    <t>AYOUB EL MOUSSAOUI</t>
  </si>
  <si>
    <t>TE602407</t>
  </si>
  <si>
    <t>TE603472</t>
  </si>
  <si>
    <t>Mohamed el Ouahabi</t>
  </si>
  <si>
    <t>TE603470</t>
  </si>
  <si>
    <t xml:space="preserve">Ahid Ahlam </t>
  </si>
  <si>
    <t>TE603468</t>
  </si>
  <si>
    <t>Hamza Bouzitouna</t>
  </si>
  <si>
    <t>El Moussaoui, Ayoub</t>
  </si>
  <si>
    <t>TE565910</t>
  </si>
  <si>
    <t>A1957633
A1954592</t>
  </si>
  <si>
    <t>Laamim, Dounia</t>
  </si>
  <si>
    <t xml:space="preserve">Cavity &amp; Secondary lock Assembly  </t>
  </si>
  <si>
    <t>A-1966449
A-1966413
A-1966412</t>
  </si>
  <si>
    <t xml:space="preserve">A-1957295 
</t>
  </si>
  <si>
    <t>Ribs Coding (Cavity Cutting) + Seal &amp; Cavity Assembly</t>
  </si>
  <si>
    <t xml:space="preserve">Cavity &amp; Family Seal Assembly + Cavity &amp; Secondary lock Assembly  In Line tester </t>
  </si>
  <si>
    <t>Retainer &amp; Cavity Assembly + Housing &amp; Slide Assembly</t>
  </si>
  <si>
    <t xml:space="preserve">
A-1966449
A-1966413
A-1966412</t>
  </si>
  <si>
    <t>TE607131</t>
  </si>
  <si>
    <t>Fajji, Mohamed-Said</t>
  </si>
  <si>
    <t>TE607125</t>
  </si>
  <si>
    <t>Sadki, Ayoub</t>
  </si>
  <si>
    <t>TE607119</t>
  </si>
  <si>
    <t>El-Ghaoual, Hassane</t>
  </si>
  <si>
    <t>TE607128</t>
  </si>
  <si>
    <t>El Maimouni, Zakarya</t>
  </si>
  <si>
    <t>TE607124</t>
  </si>
  <si>
    <t>Kharchich, Adil</t>
  </si>
  <si>
    <t>TE607123</t>
  </si>
  <si>
    <t>El-Kattar, Soulaiman</t>
  </si>
  <si>
    <t>TE607120</t>
  </si>
  <si>
    <t>TE607126</t>
  </si>
  <si>
    <t>Sinko, Chakib</t>
  </si>
  <si>
    <t>TE607129</t>
  </si>
  <si>
    <t>Echchaikhi, Bilal</t>
  </si>
  <si>
    <t>TE607109</t>
  </si>
  <si>
    <t>MARIYAM OUBENAISSA</t>
  </si>
  <si>
    <t>TE607137</t>
  </si>
  <si>
    <t>HIND LOUMADEN</t>
  </si>
  <si>
    <t>TE607110</t>
  </si>
  <si>
    <t>YOUSSEF REGUI</t>
  </si>
  <si>
    <t>TE607112</t>
  </si>
  <si>
    <t>IKRAM ESSINTATI</t>
  </si>
  <si>
    <t>TE607111</t>
  </si>
  <si>
    <t>ABDELGHANI NAGROUCH</t>
  </si>
  <si>
    <t>TE607115</t>
  </si>
  <si>
    <t>OMAR EL GHOULAM</t>
  </si>
  <si>
    <t>TE607116</t>
  </si>
  <si>
    <t>DARRAZ CHAIMA</t>
  </si>
  <si>
    <t>TE543399</t>
  </si>
  <si>
    <t>EZZAYANI CHAIMAE</t>
  </si>
  <si>
    <t xml:space="preserve">  </t>
  </si>
  <si>
    <t>AKOURAJJAYE AISSAM</t>
  </si>
  <si>
    <t>TE610589</t>
  </si>
  <si>
    <t xml:space="preserve">HANANE NASRI </t>
  </si>
  <si>
    <t>TE610590</t>
  </si>
  <si>
    <t>AYOUB AIT-ZI</t>
  </si>
  <si>
    <t>TE610580</t>
  </si>
  <si>
    <t>DOUAE DAGHBACH</t>
  </si>
  <si>
    <t>TE600371</t>
  </si>
  <si>
    <t>Belmir, Sanae</t>
  </si>
  <si>
    <t>TE577148</t>
  </si>
  <si>
    <t>El Gharrafi, Samya</t>
  </si>
  <si>
    <t>TE576480</t>
  </si>
  <si>
    <t>Akrikaz, Anas</t>
  </si>
  <si>
    <t>Salhi, Acheraf</t>
  </si>
  <si>
    <t>TE610591</t>
  </si>
  <si>
    <t>TE580908</t>
  </si>
  <si>
    <t>TE563743</t>
  </si>
  <si>
    <t xml:space="preserve">Hajar el zazouly </t>
  </si>
  <si>
    <t>TE596411</t>
  </si>
  <si>
    <t>Nisserine el khayrouny</t>
  </si>
  <si>
    <t>TE597639</t>
  </si>
  <si>
    <t>Samia el fillahi</t>
  </si>
  <si>
    <t>TE583402</t>
  </si>
  <si>
    <t>Zahira el mchabti</t>
  </si>
  <si>
    <t>15/08/2023</t>
  </si>
  <si>
    <t>TE585643</t>
  </si>
  <si>
    <t>Nadia el omari</t>
  </si>
  <si>
    <t>TE595258</t>
  </si>
  <si>
    <t>El Khatib, Noura</t>
  </si>
  <si>
    <t xml:space="preserve">
TE614070</t>
  </si>
  <si>
    <t>TE614069</t>
  </si>
  <si>
    <t xml:space="preserve">
Elaymouch, M'Hamed</t>
  </si>
  <si>
    <t>Elyaagoubi, Fatimazahra</t>
  </si>
  <si>
    <t>te576475</t>
  </si>
  <si>
    <t>TE614059</t>
  </si>
  <si>
    <t>Siham Aoualiouan</t>
  </si>
  <si>
    <t>Production Family  
    Through Wall
Production Family Miscellaneous</t>
  </si>
  <si>
    <t xml:space="preserve">    Through Wall
Production Family Miscellaneous</t>
  </si>
  <si>
    <t>TE614063</t>
  </si>
  <si>
    <t>MAJDA  BAJOU</t>
  </si>
  <si>
    <t>TE614066</t>
  </si>
  <si>
    <t>Ouassila Ourighle</t>
  </si>
  <si>
    <t>TE614074</t>
  </si>
  <si>
    <t>Taoufik Amazou</t>
  </si>
  <si>
    <t>TE614073</t>
  </si>
  <si>
    <t>Samia ElMamoun</t>
  </si>
  <si>
    <t>TE617066</t>
  </si>
  <si>
    <t>TE617064</t>
  </si>
  <si>
    <t>TE617076</t>
  </si>
  <si>
    <t>TE617065</t>
  </si>
  <si>
    <t>TE617067</t>
  </si>
  <si>
    <t>TE617068</t>
  </si>
  <si>
    <t>TE617080</t>
  </si>
  <si>
    <t>Challak Mohamed</t>
  </si>
  <si>
    <t>Baouaih  Youssef</t>
  </si>
  <si>
    <t>Meskine Yamna</t>
  </si>
  <si>
    <t>El Hajjy Noemane</t>
  </si>
  <si>
    <t>Zerhouni Ismail</t>
  </si>
  <si>
    <t>El Badoui, Redouan</t>
  </si>
  <si>
    <t>Bouzarzar Fatima Zahra</t>
  </si>
  <si>
    <t xml:space="preserve">te576492   </t>
  </si>
  <si>
    <t>TE573314</t>
  </si>
  <si>
    <t>Boudour Mohammed</t>
  </si>
  <si>
    <t>h</t>
  </si>
  <si>
    <t>TE617070</t>
  </si>
  <si>
    <t>El Morabet, Faiza</t>
  </si>
  <si>
    <t xml:space="preserve">levaseal </t>
  </si>
  <si>
    <t>TE610592</t>
  </si>
  <si>
    <t>TE632193</t>
  </si>
  <si>
    <t>CHARAF ELJABBOURI</t>
  </si>
  <si>
    <t>TE632190</t>
  </si>
  <si>
    <t>SOUFIANE ABBOU</t>
  </si>
  <si>
    <t>TE632187</t>
  </si>
  <si>
    <t>WAIL AMARNIS</t>
  </si>
  <si>
    <t>ejaa yassine</t>
  </si>
  <si>
    <t>TE395109</t>
  </si>
  <si>
    <t xml:space="preserve">Skhiri, Charaf </t>
  </si>
  <si>
    <t>MCP- cutting</t>
  </si>
  <si>
    <t>APIN HSG
A1718230</t>
  </si>
  <si>
    <t>A1986316</t>
  </si>
  <si>
    <t xml:space="preserve">EOL&amp; Packaging  </t>
  </si>
  <si>
    <t xml:space="preserve">Preparation des Pins &amp; Packaging  </t>
  </si>
  <si>
    <t>TE632228</t>
  </si>
  <si>
    <t xml:space="preserve">EL AMRANI BILAL </t>
  </si>
  <si>
    <t>TE632225</t>
  </si>
  <si>
    <t>BEKKARI AYMAN</t>
  </si>
  <si>
    <t>TE632224</t>
  </si>
  <si>
    <t xml:space="preserve">EL FETOUHY MOHAMMED </t>
  </si>
  <si>
    <t>TE632223</t>
  </si>
  <si>
    <t>BOUALI MOUSTAFA</t>
  </si>
  <si>
    <t>TE632221</t>
  </si>
  <si>
    <t xml:space="preserve">NARED  MOHAMED AMIN </t>
  </si>
  <si>
    <t>TE632219</t>
  </si>
  <si>
    <t>NAMSI AMINA</t>
  </si>
  <si>
    <t>TE632218</t>
  </si>
  <si>
    <t>EL HAIEK  MOHAMED SAID</t>
  </si>
  <si>
    <t>TE632215</t>
  </si>
  <si>
    <t xml:space="preserve">GHARBI BILAL </t>
  </si>
  <si>
    <t>TE632214</t>
  </si>
  <si>
    <t>AJAHA ZOHAIR</t>
  </si>
  <si>
    <t>TE632213</t>
  </si>
  <si>
    <t>OKBA OUASSIM</t>
  </si>
  <si>
    <t>TE632212</t>
  </si>
  <si>
    <t xml:space="preserve">EL KHALAT MOHAMED REDA </t>
  </si>
  <si>
    <t>CHeuli MOHAMMED</t>
  </si>
  <si>
    <t xml:space="preserve"> TE602403</t>
  </si>
  <si>
    <t>Mohamed said fajji</t>
  </si>
  <si>
    <t>TE632196</t>
  </si>
  <si>
    <t>DOUAE DEBBOUN</t>
  </si>
  <si>
    <t>TE632201</t>
  </si>
  <si>
    <t>MOHAMED ED-DARRAZ</t>
  </si>
  <si>
    <t>TE632208</t>
  </si>
  <si>
    <t>TE632209</t>
  </si>
  <si>
    <t>KAOUTAR EL MSIAH</t>
  </si>
  <si>
    <t>TE632211</t>
  </si>
  <si>
    <t>MOHAMED ECH-CHTYOUY</t>
  </si>
  <si>
    <t>TE632204</t>
  </si>
  <si>
    <t>FAHD GAZRA</t>
  </si>
  <si>
    <t>TE632197</t>
  </si>
  <si>
    <t>OTHMAN AZIMMAT</t>
  </si>
  <si>
    <t>TE632198</t>
  </si>
  <si>
    <t>NADIA LAMSSAYEH</t>
  </si>
  <si>
    <t>MOHAMED FEROUALE</t>
  </si>
  <si>
    <t>HAMZA TAZOULE</t>
  </si>
  <si>
    <t>HAKIM STITOU</t>
  </si>
  <si>
    <t>KHALID TALBI</t>
  </si>
  <si>
    <t>FATIMA CHETOUANE</t>
  </si>
  <si>
    <t>Chahdi, Mohammed</t>
  </si>
  <si>
    <t>OUMAIMA KALALE</t>
  </si>
  <si>
    <t>OSSAMA ATIFI</t>
  </si>
  <si>
    <t>ILYAS ZIANI</t>
  </si>
  <si>
    <t>AZEDDINE EL MENNOUNY</t>
  </si>
  <si>
    <t>ZAKARIAE ELKHMISSI</t>
  </si>
  <si>
    <t>TE633969</t>
  </si>
  <si>
    <t>TE633960</t>
  </si>
  <si>
    <t>TE633958</t>
  </si>
  <si>
    <t>TE633957</t>
  </si>
  <si>
    <t>TE633955</t>
  </si>
  <si>
    <t>TE633952</t>
  </si>
  <si>
    <t>TE633949</t>
  </si>
  <si>
    <t>TE633951</t>
  </si>
  <si>
    <t>TE633945</t>
  </si>
  <si>
    <t>TE633944</t>
  </si>
  <si>
    <t>TE633943</t>
  </si>
  <si>
    <t>TE633942</t>
  </si>
  <si>
    <t>TE633965</t>
  </si>
  <si>
    <t>El Mtioui, Mohamed</t>
  </si>
  <si>
    <t>TE633953</t>
  </si>
  <si>
    <t>TE633981</t>
  </si>
  <si>
    <t>EL HASBA YASSINE</t>
  </si>
  <si>
    <t>TE633979</t>
  </si>
  <si>
    <t>MAAI ZOUHIR</t>
  </si>
  <si>
    <t>TE633978</t>
  </si>
  <si>
    <t>ENNAJI IKRAME</t>
  </si>
  <si>
    <t>TE633977</t>
  </si>
  <si>
    <t>EL OUAFI KHADIJA</t>
  </si>
  <si>
    <t>TE633976</t>
  </si>
  <si>
    <t>EL OUAFI FATIMA EZAHRA</t>
  </si>
  <si>
    <t>TE633975</t>
  </si>
  <si>
    <t>LEMFADLI KARIMA</t>
  </si>
  <si>
    <t>TE633971</t>
  </si>
  <si>
    <t>EL ASKARY NAJWA</t>
  </si>
  <si>
    <t>TE633968</t>
  </si>
  <si>
    <t>STITOU JIHANE</t>
  </si>
  <si>
    <t>TE633967</t>
  </si>
  <si>
    <t>AKHRYF MOURAD</t>
  </si>
  <si>
    <t>TE633966</t>
  </si>
  <si>
    <t>ZKIRI SOUFIAN</t>
  </si>
  <si>
    <t>TE633964</t>
  </si>
  <si>
    <t>EL MALKI ABDELMOUMENE</t>
  </si>
  <si>
    <t>TE633961</t>
  </si>
  <si>
    <t>EL KOULALI MOHAMED</t>
  </si>
  <si>
    <t>TE633954</t>
  </si>
  <si>
    <t>AMEZIANE OUAFAE</t>
  </si>
  <si>
    <t>KHOUAJA MOUAD</t>
  </si>
  <si>
    <t>TE633941</t>
  </si>
  <si>
    <t>ELBOUHALI FATIMA-EZZAHRA</t>
  </si>
  <si>
    <t>te633962</t>
  </si>
  <si>
    <t>oussama ghailani</t>
  </si>
  <si>
    <t>area 1</t>
  </si>
  <si>
    <t>area 3</t>
  </si>
  <si>
    <t>area2</t>
  </si>
  <si>
    <t>area4</t>
  </si>
  <si>
    <t>area</t>
  </si>
  <si>
    <t>MAROUAN MESMOUDI</t>
  </si>
  <si>
    <t>TE635191</t>
  </si>
  <si>
    <t>MAHAMED FARIS</t>
  </si>
  <si>
    <t>TE635195</t>
  </si>
  <si>
    <t>ZAKAIAE SRAIDI</t>
  </si>
  <si>
    <t>TE635196</t>
  </si>
  <si>
    <t>TE635189</t>
  </si>
  <si>
    <t>AMAL EL-LYAZGUI</t>
  </si>
  <si>
    <t>TE635192</t>
  </si>
  <si>
    <t>SOUMAYA AKHACHIOU</t>
  </si>
  <si>
    <t>Assemblage+EOL &amp; Packaging</t>
  </si>
  <si>
    <t>Cutting</t>
  </si>
  <si>
    <t xml:space="preserve">     N+1                                                 </t>
  </si>
  <si>
    <t>TE632210</t>
  </si>
  <si>
    <t>MOHAMED EL HBABI</t>
  </si>
  <si>
    <t>te635813</t>
  </si>
  <si>
    <t>te635889</t>
  </si>
  <si>
    <t>TE635884</t>
  </si>
  <si>
    <t>TE635820</t>
  </si>
  <si>
    <t>TE635817</t>
  </si>
  <si>
    <t>TE635816</t>
  </si>
  <si>
    <t>TE635815</t>
  </si>
  <si>
    <t>TE635799</t>
  </si>
  <si>
    <t>TE635897</t>
  </si>
  <si>
    <t>TE635804</t>
  </si>
  <si>
    <t>TE635800</t>
  </si>
  <si>
    <t>TE635806</t>
  </si>
  <si>
    <t>TE635818</t>
  </si>
  <si>
    <t>TE635896</t>
  </si>
  <si>
    <t xml:space="preserve">IBTISSAM BOUHSSIS </t>
  </si>
  <si>
    <t xml:space="preserve">HILAL EL MCHABTI </t>
  </si>
  <si>
    <t xml:space="preserve">NOUREDDIN  EL MALLOUKI </t>
  </si>
  <si>
    <t xml:space="preserve">AYMANE IDRISSI </t>
  </si>
  <si>
    <t>RADIA ET.TODGHY</t>
  </si>
  <si>
    <t xml:space="preserve">OUTMAN MEZZIANE </t>
  </si>
  <si>
    <t>OSSAMA BEN TOUDDA</t>
  </si>
  <si>
    <t xml:space="preserve">ALI TEJJAR </t>
  </si>
  <si>
    <t xml:space="preserve">ISMAIL AJAEZ </t>
  </si>
  <si>
    <t>HAJAR EL KHLOUFI</t>
  </si>
  <si>
    <t>HAMZA  EL KHOMCI</t>
  </si>
  <si>
    <t>LEHCEN CHAHMOUT</t>
  </si>
  <si>
    <t>TE635187</t>
  </si>
  <si>
    <t>FADWA AKHACHIOU</t>
  </si>
  <si>
    <t>TE635893</t>
  </si>
  <si>
    <t xml:space="preserve">AYOUB  EL HAOUCHY </t>
  </si>
  <si>
    <t>TE635890</t>
  </si>
  <si>
    <t xml:space="preserve">MOHAMED EL GHAZI </t>
  </si>
  <si>
    <t>TE635803</t>
  </si>
  <si>
    <t xml:space="preserve">BRAHIM AIT HAMOU </t>
  </si>
  <si>
    <t>TE635801</t>
  </si>
  <si>
    <t xml:space="preserve">NASSER AHAYAN </t>
  </si>
  <si>
    <t>TE635886</t>
  </si>
  <si>
    <t xml:space="preserve">NIHAD ZEKKARI </t>
  </si>
  <si>
    <t>TE635822</t>
  </si>
  <si>
    <t>MOHAMED DBINOU</t>
  </si>
  <si>
    <t>TE636860</t>
  </si>
  <si>
    <t>ABDELHALIM HAYDOUR</t>
  </si>
  <si>
    <t>TE636838</t>
  </si>
  <si>
    <t>BOUCHRA  CHOUITAT</t>
  </si>
  <si>
    <t>IMANE  BANANI</t>
  </si>
  <si>
    <t>TE636861</t>
  </si>
  <si>
    <t>MERYEM  ELBOUZAGGAOUI</t>
  </si>
  <si>
    <t>TE636853</t>
  </si>
  <si>
    <t>MOHAMED  EL AONI</t>
  </si>
  <si>
    <t>TE636846</t>
  </si>
  <si>
    <t xml:space="preserve">MOHAMED ABD ELALI  SAMADY </t>
  </si>
  <si>
    <t>area1</t>
  </si>
  <si>
    <t>TE635812</t>
  </si>
  <si>
    <t>JAOUAD HAMDI</t>
  </si>
  <si>
    <t>TE636856</t>
  </si>
  <si>
    <t>TE636930</t>
  </si>
  <si>
    <t>SAMYA EL HMAMI</t>
  </si>
  <si>
    <t>TE636852</t>
  </si>
  <si>
    <t>TE636863</t>
  </si>
  <si>
    <t>TE636843</t>
  </si>
  <si>
    <t>TE636932</t>
  </si>
  <si>
    <t>TE636844</t>
  </si>
  <si>
    <t>TE636832</t>
  </si>
  <si>
    <t>ANASS ZBAIR</t>
  </si>
  <si>
    <t>CHAIMAE   EL JADDAR</t>
  </si>
  <si>
    <t>FATNA   AKIR</t>
  </si>
  <si>
    <t>MIMOUN BELGHAZI</t>
  </si>
  <si>
    <t>RAJAE   EL FECHTALI</t>
  </si>
  <si>
    <t>SAFAA   SAIDI</t>
  </si>
  <si>
    <t>TE636836</t>
  </si>
  <si>
    <t>TE636849</t>
  </si>
  <si>
    <t>OUAMAIMA EL BOUKRI</t>
  </si>
  <si>
    <t>TE635814</t>
  </si>
  <si>
    <t>SOUFIANE LAHSSINI</t>
  </si>
  <si>
    <t>TE635898</t>
  </si>
  <si>
    <t>KAOUTAR EL HAMRI</t>
  </si>
  <si>
    <t>TE635809</t>
  </si>
  <si>
    <t>ABDELMOUNAIM BELMZIOUKIA</t>
  </si>
  <si>
    <t>TE636850</t>
  </si>
  <si>
    <t>DOUAAE AKDI</t>
  </si>
  <si>
    <t>TE636851</t>
  </si>
  <si>
    <t>HANANE TIGUA</t>
  </si>
  <si>
    <t>TE636862</t>
  </si>
  <si>
    <t>HOUDA IHROUTANE</t>
  </si>
  <si>
    <t>TE636841</t>
  </si>
  <si>
    <t>YOUNES OUBEN AYAD</t>
  </si>
  <si>
    <t>ZINEB LOTFI</t>
  </si>
  <si>
    <t>TE636842</t>
  </si>
  <si>
    <t>Elkarout, Bilal</t>
  </si>
  <si>
    <t>Area4</t>
  </si>
  <si>
    <t>FATIMA-ZAHRAE ATTOU</t>
  </si>
  <si>
    <t xml:space="preserve">KAWTAR RABOUN </t>
  </si>
  <si>
    <t xml:space="preserve">AMINA EL HANAFI </t>
  </si>
  <si>
    <t xml:space="preserve">YOUSSRA EL FOUAS </t>
  </si>
  <si>
    <t>TE639080</t>
  </si>
  <si>
    <t>TE639090</t>
  </si>
  <si>
    <t>TE639089</t>
  </si>
  <si>
    <t>TE639087</t>
  </si>
  <si>
    <t>MOHAMED ER-RAHMOUNI</t>
  </si>
  <si>
    <t>TE639099</t>
  </si>
  <si>
    <t xml:space="preserve">ZAINEB EL ALLALI </t>
  </si>
  <si>
    <t>TE639084</t>
  </si>
  <si>
    <t>RANIA ZERYOULY</t>
  </si>
  <si>
    <t>TE639083</t>
  </si>
  <si>
    <t xml:space="preserve">MOHSSIN DAHMAN </t>
  </si>
  <si>
    <t>TE639081</t>
  </si>
  <si>
    <t xml:space="preserve">AMINA GHANMI </t>
  </si>
  <si>
    <t>TE639093</t>
  </si>
  <si>
    <t xml:space="preserve">KARIMA LEKTAIBI </t>
  </si>
  <si>
    <t>TE635887</t>
  </si>
  <si>
    <t>TE543766</t>
  </si>
  <si>
    <t>MOUHSINE AZOUGGAGHWALLEN</t>
  </si>
  <si>
    <t>MONSEF EL FAHSI</t>
  </si>
  <si>
    <t xml:space="preserve">LAMZOURI KHALISSA </t>
  </si>
  <si>
    <t>ABDERRAHIM OMRAN</t>
  </si>
  <si>
    <t>SAID LAKRATCHA</t>
  </si>
  <si>
    <t>ILYASS EL ALLAOUI</t>
  </si>
  <si>
    <t>ABDELMOUMNY AMINE</t>
  </si>
  <si>
    <t>Zeroual, HaliMA</t>
  </si>
  <si>
    <t>es_safy SALAH-EDDINE</t>
  </si>
  <si>
    <t>MANAL  EL HACHADI</t>
  </si>
  <si>
    <t>EL AMRI   SAMIRA</t>
  </si>
  <si>
    <t>Bouali Najoua</t>
  </si>
  <si>
    <t>OUMAIMAEL MSIAH</t>
  </si>
  <si>
    <t>Asaad Adib</t>
  </si>
  <si>
    <t xml:space="preserve">ZABour khadija </t>
  </si>
  <si>
    <t>Mohammed bennajia</t>
  </si>
  <si>
    <t>Laid, Mounia</t>
  </si>
  <si>
    <t>Lahibi, FatiMA</t>
  </si>
  <si>
    <t>HAKIMA EL IDRISSI</t>
  </si>
  <si>
    <t xml:space="preserve">AYOUB AIT OUAHMANE </t>
  </si>
  <si>
    <t>ABDESSAMAD BAROUAL</t>
  </si>
  <si>
    <t xml:space="preserve">MOUHAMED ESSOUSSI </t>
  </si>
  <si>
    <t>Jaklal, Abdelaziz</t>
  </si>
  <si>
    <t>Asoud, Nabila</t>
  </si>
  <si>
    <t>Lakhouil, Omar</t>
  </si>
  <si>
    <t>AMINA DADEN</t>
  </si>
  <si>
    <t xml:space="preserve">MOHAMED SAID BEN AYYAD </t>
  </si>
  <si>
    <t>MOHAMED EL OUMRI </t>
  </si>
  <si>
    <t>OMAYMA SEIDI</t>
  </si>
  <si>
    <t>HAJAR EN'HILI</t>
  </si>
  <si>
    <t>*</t>
  </si>
  <si>
    <t>TE639097</t>
  </si>
  <si>
    <t>MOHAMED  EL HAIMRI</t>
  </si>
  <si>
    <t>TE639098</t>
  </si>
  <si>
    <t>MOHAMED  BOUCHLOUCH</t>
  </si>
  <si>
    <t>moh</t>
  </si>
  <si>
    <t>MOUHCINE AZNAGUE</t>
  </si>
  <si>
    <t>TE601256</t>
  </si>
  <si>
    <t>Visa team leader</t>
  </si>
  <si>
    <t>Bouzhar, Yassine</t>
  </si>
  <si>
    <t>TE516780</t>
  </si>
  <si>
    <t>TE640925</t>
  </si>
  <si>
    <t>AYMANE JELOUN</t>
  </si>
  <si>
    <t>TE640924</t>
  </si>
  <si>
    <t>OUSSAMA BEN TMIM</t>
  </si>
  <si>
    <t>TE640922</t>
  </si>
  <si>
    <t>SOUAD HAMMOUDANE</t>
  </si>
  <si>
    <t>TE640930</t>
  </si>
  <si>
    <t>ABDELALI EL FATTOUHI</t>
  </si>
  <si>
    <t>TE640936</t>
  </si>
  <si>
    <t>ILYASS EL KHAMLICHI</t>
  </si>
  <si>
    <t>TE641898</t>
  </si>
  <si>
    <t>Loudyi, Mahdi</t>
  </si>
  <si>
    <t>TE641896</t>
  </si>
  <si>
    <t>Hamouda, Achraf</t>
  </si>
  <si>
    <t>TE641894</t>
  </si>
  <si>
    <t>Merbouh, Imane</t>
  </si>
  <si>
    <t>TE640933</t>
  </si>
  <si>
    <t>NOUHAILA RAMOU</t>
  </si>
  <si>
    <t>TE640935</t>
  </si>
  <si>
    <t>WIJDANE BAR-HMI</t>
  </si>
  <si>
    <t>TE640934</t>
  </si>
  <si>
    <t>NIHAD MCHICHO</t>
  </si>
  <si>
    <t>TE640932</t>
  </si>
  <si>
    <t>HAMZA ET-TAOUYL</t>
  </si>
  <si>
    <t>TE640929</t>
  </si>
  <si>
    <t>ADIL EL BOUTALBI</t>
  </si>
  <si>
    <t>TE640916</t>
  </si>
  <si>
    <t>Elamrani, Hajar</t>
  </si>
  <si>
    <t>FATIMA ESSOUINI</t>
  </si>
  <si>
    <t>TE641897</t>
  </si>
  <si>
    <t>ILIYASS BOUZROUD</t>
  </si>
  <si>
    <t>TE641895</t>
  </si>
  <si>
    <t>Tijani, Souad</t>
  </si>
  <si>
    <t>TE595520</t>
  </si>
  <si>
    <t>TE642821</t>
  </si>
  <si>
    <t>MAROUAN EL BARDI</t>
  </si>
  <si>
    <t>HAJAR EL KHAMLICHI</t>
  </si>
  <si>
    <t>SAMIA N'GUIRI</t>
  </si>
  <si>
    <t>SOKAINA LAMHOUFER</t>
  </si>
  <si>
    <t>FIRDAOUS AMTOT</t>
  </si>
  <si>
    <t>KARIM EL KASSAB</t>
  </si>
  <si>
    <t>tool 701</t>
  </si>
  <si>
    <t>TE643606</t>
  </si>
  <si>
    <t>EL OTMANI HAMZA</t>
  </si>
  <si>
    <t>TE643604</t>
  </si>
  <si>
    <t>ZAROUAL JAMILA</t>
  </si>
  <si>
    <t>TE643601</t>
  </si>
  <si>
    <t>EL-HARRAK HAMZA</t>
  </si>
  <si>
    <t>TE643598</t>
  </si>
  <si>
    <t>TALBI KARIMA</t>
  </si>
  <si>
    <t>TE643592</t>
  </si>
  <si>
    <t>BOUJAMDA IBTISSAM</t>
  </si>
  <si>
    <t>TE643600</t>
  </si>
  <si>
    <t>oumaima boulmani</t>
  </si>
  <si>
    <t>A0239796</t>
  </si>
  <si>
    <t xml:space="preserve">AMICRTMAR
</t>
  </si>
  <si>
    <t>A1954361</t>
  </si>
  <si>
    <t>A-170-NT
A-156-NT A-1999701
A-156-DP-NT</t>
  </si>
  <si>
    <t xml:space="preserve">A-1014841       </t>
  </si>
  <si>
    <t xml:space="preserve">A-864B/A-864-A
</t>
  </si>
  <si>
    <t>NB: la matrice de polyvalence est adaptable selon
 le besoin de chaque équipe</t>
  </si>
  <si>
    <t>Production Family DIN</t>
  </si>
  <si>
    <t>Production Family HDSCS</t>
  </si>
  <si>
    <t>Production Family Battery Connectors</t>
  </si>
  <si>
    <t>Production Family LOW-MCP-CON</t>
  </si>
  <si>
    <t>Hamza
 el hajlaoui</t>
  </si>
  <si>
    <t xml:space="preserve">MOHAMED
 SAID BEN AYYAD </t>
  </si>
  <si>
    <t>MOHAMED 
ECH-CHTYOUY</t>
  </si>
  <si>
    <t>AZEDDINE 
EL MENNOUNY</t>
  </si>
  <si>
    <t xml:space="preserve">OUAMAIMA 
EL BOUKRI
</t>
  </si>
  <si>
    <t>KAOUTAR 
EL MSIAH</t>
  </si>
  <si>
    <t>El Maimouni, 
Zakarya</t>
  </si>
  <si>
    <t>El-Ghaoual, 
Hassane</t>
  </si>
  <si>
    <t>Fajji, 
Mohamed-Said</t>
  </si>
  <si>
    <t>El Moussaoui,
 Ayoub</t>
  </si>
  <si>
    <t xml:space="preserve">MOUHAMED
 ESSOUSSI </t>
  </si>
  <si>
    <t>KHALID
 EL GHANAJ</t>
  </si>
  <si>
    <t>ABDESSAMAD 
BAROUAL</t>
  </si>
  <si>
    <t>MOUAD 
CHOUIGUER</t>
  </si>
  <si>
    <t>MOUHSINE 
AZOUGGAGHWALLEN</t>
  </si>
  <si>
    <t xml:space="preserve">AYOUB AIT 
OUAHMANE </t>
  </si>
  <si>
    <t>es_safy 
SALAH-EDDINE</t>
  </si>
  <si>
    <t>ABDELMOUMNY 
AMINE</t>
  </si>
  <si>
    <t>ABDERRAHIM 
OMRAN</t>
  </si>
  <si>
    <t>ILYASS
 EL ALLAOUI</t>
  </si>
  <si>
    <t>EL OTMANI 
OUMAIMA</t>
  </si>
  <si>
    <t>Hamza 
mossadak</t>
  </si>
  <si>
    <t xml:space="preserve">
A0239796
</t>
  </si>
  <si>
    <t>A1959827/A1880823</t>
  </si>
  <si>
    <t>Production Family   DIN</t>
  </si>
  <si>
    <t>Production Family Timers</t>
  </si>
  <si>
    <t>Production Family  SRC</t>
  </si>
  <si>
    <t>Production Family  Leavy Seal</t>
  </si>
  <si>
    <t>Production Family  DIN</t>
  </si>
  <si>
    <t xml:space="preserve">JANNAT HASSANI 
SOUFIANE </t>
  </si>
  <si>
    <t>EL HAROUNY 
 ZAINAB</t>
  </si>
  <si>
    <t>boudour 
mohammed</t>
  </si>
  <si>
    <t>NB: la matrice de polyvalence est adaptable
 selon le besoin de chaque équipe</t>
  </si>
  <si>
    <t xml:space="preserve">Signature :
Date : </t>
  </si>
  <si>
    <r>
      <rPr>
        <sz val="30"/>
        <rFont val="Bookman Old Style"/>
        <family val="1"/>
      </rPr>
      <t>Signature</t>
    </r>
    <r>
      <rPr>
        <sz val="28"/>
        <rFont val="Bookman Old Style"/>
        <family val="1"/>
      </rPr>
      <t xml:space="preserve"> :
Date : </t>
    </r>
  </si>
  <si>
    <t xml:space="preserve">          NB opérateur  cértifie et former</t>
  </si>
  <si>
    <t xml:space="preserve">Signature :
Date : </t>
  </si>
  <si>
    <t xml:space="preserve">Signature :
Date : </t>
  </si>
  <si>
    <t xml:space="preserve">Signature :
Date : </t>
  </si>
  <si>
    <t xml:space="preserve">A-1829917 /A-1880435
A-1880524
</t>
  </si>
  <si>
    <t>A1959827 / A1880823</t>
  </si>
  <si>
    <t xml:space="preserve">A188051 /A195820 /A1014614
</t>
  </si>
  <si>
    <t xml:space="preserve">A1954361
</t>
  </si>
  <si>
    <t xml:space="preserve">AMICRTMAR
</t>
  </si>
  <si>
    <t xml:space="preserve">A0239796
</t>
  </si>
  <si>
    <t xml:space="preserve">
A1023537 /A1014085
A1014377
</t>
  </si>
  <si>
    <t>A-HAS93X /A1951222</t>
  </si>
  <si>
    <t xml:space="preserve">A-1957295 </t>
  </si>
  <si>
    <t>A-170-NT /A-156-NT
A-156-DP-NT</t>
  </si>
  <si>
    <t>El Yamani 
Noura</t>
  </si>
  <si>
    <t>Production Family   HDSCS</t>
  </si>
  <si>
    <t>Production Family  Battery Connectors</t>
  </si>
  <si>
    <t>Signature :
Date :</t>
  </si>
  <si>
    <t>Signature :
Date :</t>
  </si>
  <si>
    <t>NB opérateur  cértifie et former</t>
  </si>
  <si>
    <t>mourad
 saitali</t>
  </si>
  <si>
    <t>TE643607</t>
  </si>
  <si>
    <t>TE643602</t>
  </si>
  <si>
    <t>TE643599</t>
  </si>
  <si>
    <t>TE643597</t>
  </si>
  <si>
    <t>TE643596</t>
  </si>
  <si>
    <t>TE643593</t>
  </si>
  <si>
    <t>TE647805</t>
  </si>
  <si>
    <t>Tabta, Ikram</t>
  </si>
  <si>
    <t>TE647802</t>
  </si>
  <si>
    <t>Lachkham, Hind</t>
  </si>
  <si>
    <t>TE647800</t>
  </si>
  <si>
    <t>Elmettai, Mohamed</t>
  </si>
  <si>
    <t>TE647799</t>
  </si>
  <si>
    <t>Dourouayne, Ibtissam</t>
  </si>
  <si>
    <t>TE647793</t>
  </si>
  <si>
    <t>El Hamdioui, Othmane</t>
  </si>
  <si>
    <t>TE647789</t>
  </si>
  <si>
    <t>El Flihi, Douae</t>
  </si>
  <si>
    <t>TE647785</t>
  </si>
  <si>
    <t>El Bakkali, Mohamed Redha</t>
  </si>
  <si>
    <t xml:space="preserve">
TE647784</t>
  </si>
  <si>
    <t>Hammadi, Abdelhak</t>
  </si>
  <si>
    <t xml:space="preserve">
TE647783</t>
  </si>
  <si>
    <t>El Handira, Oussama</t>
  </si>
  <si>
    <t>TE647782</t>
  </si>
  <si>
    <t>El Azouzi, Mohamed</t>
  </si>
  <si>
    <t>TE647781</t>
  </si>
  <si>
    <t>Bouras, Mohammed Ali</t>
  </si>
  <si>
    <t>A1961992</t>
  </si>
  <si>
    <t xml:space="preserve">Bahloul, Anas </t>
  </si>
  <si>
    <t>TE636821</t>
  </si>
  <si>
    <t>TE647798</t>
  </si>
  <si>
    <t>TAOUFIQ SADIK</t>
  </si>
  <si>
    <t>TE647796</t>
  </si>
  <si>
    <t>IMAN AGHMIR</t>
  </si>
  <si>
    <t>TE647792</t>
  </si>
  <si>
    <t>El-Ayadi Mohamed</t>
  </si>
  <si>
    <t>TE647790</t>
  </si>
  <si>
    <t>RIDA SAGHIR</t>
  </si>
  <si>
    <t>TE647787</t>
  </si>
  <si>
    <t>MERYEM DRIHEM</t>
  </si>
  <si>
    <t>TE648825</t>
  </si>
  <si>
    <t>ABDELGHANI EL BOUHATI</t>
  </si>
  <si>
    <t>TE648824</t>
  </si>
  <si>
    <t>NADA EL HADDOUCHI</t>
  </si>
  <si>
    <t>TE648822</t>
  </si>
  <si>
    <t>MOHAMED EL-ABBADI</t>
  </si>
  <si>
    <t>TE648821</t>
  </si>
  <si>
    <t>SOUFIANE BOUBADDARA</t>
  </si>
  <si>
    <t>TE648818</t>
  </si>
  <si>
    <t>SOUKAINA BEN AYAD</t>
  </si>
  <si>
    <t>TE648817</t>
  </si>
  <si>
    <t>FATIMA BOUIDAN</t>
  </si>
  <si>
    <t>TE648813</t>
  </si>
  <si>
    <t>IMANE CHAIHAB</t>
  </si>
  <si>
    <t>ASSIA ESSBAI</t>
  </si>
  <si>
    <t>TE648812</t>
  </si>
  <si>
    <t>MOHAMED HACHEM</t>
  </si>
  <si>
    <t>TE648811</t>
  </si>
  <si>
    <t>NOURA EL QARTIT</t>
  </si>
  <si>
    <t>TE648814</t>
  </si>
  <si>
    <t>MOHAMED EL-JANATI</t>
  </si>
  <si>
    <t>TE648815</t>
  </si>
  <si>
    <t>NISRINE EL BAHRY</t>
  </si>
  <si>
    <t>TE648816</t>
  </si>
  <si>
    <t>MOHAMMED DRISSI</t>
  </si>
  <si>
    <t>TE648819</t>
  </si>
  <si>
    <t>SOHAIB EL GHALBI</t>
  </si>
  <si>
    <t>TE648823</t>
  </si>
  <si>
    <t>NOHAILA BOULAAYNINE</t>
  </si>
  <si>
    <t>TE648828</t>
  </si>
  <si>
    <t>MOHAMED SAID ATTARI</t>
  </si>
  <si>
    <t>TE648829</t>
  </si>
  <si>
    <t>YOUNESS EL HAIMER</t>
  </si>
  <si>
    <t>TE648831</t>
  </si>
  <si>
    <t>AYOUB MALITE</t>
  </si>
  <si>
    <t>TE647780</t>
  </si>
  <si>
    <t>HAMZA EL MAJDOUBY</t>
  </si>
  <si>
    <t>TE647788</t>
  </si>
  <si>
    <t>ABIR ELMOKRAZE</t>
  </si>
  <si>
    <t>TE647794</t>
  </si>
  <si>
    <t>KHADIJA ZTAYA</t>
  </si>
  <si>
    <t>TE647795</t>
  </si>
  <si>
    <t>AYMANE HAJBI</t>
  </si>
  <si>
    <t>TE647801</t>
  </si>
  <si>
    <t>M'HAMED EL MOSSAOUI</t>
  </si>
  <si>
    <t>TE647803</t>
  </si>
  <si>
    <t>AHMED ETRIHA</t>
  </si>
  <si>
    <t>TE647804</t>
  </si>
  <si>
    <t>As-Selmani, Omar</t>
  </si>
  <si>
    <t>TE647806</t>
  </si>
  <si>
    <t>El-Kalei, Mohcine</t>
  </si>
  <si>
    <t>TE647807</t>
  </si>
  <si>
    <t>Achkari-Begdouri, Mohammed</t>
  </si>
  <si>
    <t>TE647808</t>
  </si>
  <si>
    <t>MOURAD TAOUFIKI</t>
  </si>
  <si>
    <t>TE647811</t>
  </si>
  <si>
    <t>TE651423</t>
  </si>
  <si>
    <t>ISMAIL RIAHI DRIF</t>
  </si>
  <si>
    <t>TE651422</t>
  </si>
  <si>
    <t>JILLALI BENZDOUDOU</t>
  </si>
  <si>
    <t>TE651421</t>
  </si>
  <si>
    <t>khadija akkar</t>
  </si>
  <si>
    <t>areea 4</t>
  </si>
  <si>
    <t>area 4</t>
  </si>
  <si>
    <t xml:space="preserve">A-864-A/B
A-864-B 
</t>
  </si>
  <si>
    <t>TE654282</t>
  </si>
  <si>
    <t>FEKRIA EL GNAOUI</t>
  </si>
  <si>
    <t>18/052026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</si>
</sst>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1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E"/>
    </font>
    <font>
      <sz val="9"/>
      <name val="Arial CE"/>
    </font>
    <font>
      <b/>
      <sz val="16"/>
      <name val="Arial CE"/>
    </font>
    <font>
      <b/>
      <sz val="10"/>
      <name val="Arial CE"/>
    </font>
    <font>
      <sz val="10"/>
      <name val="Arial"/>
      <family val="2"/>
      <charset val="178"/>
    </font>
    <font>
      <b/>
      <u/>
      <sz val="12"/>
      <name val="Bookman Old Style"/>
      <family val="1"/>
    </font>
    <font>
      <sz val="10"/>
      <name val="Comic Sans MS"/>
      <family val="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Bookman Old Style"/>
      <family val="1"/>
    </font>
    <font>
      <b/>
      <sz val="12"/>
      <color theme="1"/>
      <name val="Calibri"/>
      <family val="2"/>
      <scheme val="minor"/>
    </font>
    <font>
      <b/>
      <sz val="12"/>
      <name val="Bookman Old Style"/>
      <family val="1"/>
    </font>
    <font>
      <sz val="12"/>
      <name val="Bookman Old Style"/>
      <family val="1"/>
    </font>
    <font>
      <b/>
      <sz val="14"/>
      <name val="Bookman Old Style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Bookman Old Style"/>
      <family val="1"/>
    </font>
    <font>
      <b/>
      <sz val="12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20"/>
      <name val="Bookman Old Style"/>
      <family val="1"/>
    </font>
    <font>
      <b/>
      <sz val="20"/>
      <color theme="1"/>
      <name val="Calibri"/>
      <family val="2"/>
      <scheme val="minor"/>
    </font>
    <font>
      <b/>
      <sz val="20"/>
      <name val="Comic Sans MS"/>
      <family val="4"/>
    </font>
    <font>
      <b/>
      <sz val="20"/>
      <color rgb="FF00000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1"/>
      <name val="Calibri"/>
      <family val="2"/>
    </font>
    <font>
      <sz val="20"/>
      <name val="Bookman Old Style"/>
      <family val="1"/>
    </font>
    <font>
      <b/>
      <sz val="16"/>
      <name val="Calibri"/>
      <family val="2"/>
      <scheme val="minor"/>
    </font>
    <font>
      <b/>
      <sz val="16"/>
      <color theme="1"/>
      <name val="Calibri"/>
      <family val="2"/>
    </font>
    <font>
      <sz val="16"/>
      <name val="Bookman Old Style"/>
      <family val="1"/>
    </font>
    <font>
      <b/>
      <sz val="18"/>
      <color theme="1"/>
      <name val="Calibri"/>
      <family val="2"/>
      <scheme val="minor"/>
    </font>
    <font>
      <b/>
      <sz val="12"/>
      <name val="Arial CE"/>
    </font>
    <font>
      <b/>
      <sz val="22"/>
      <color theme="1"/>
      <name val="Calibri"/>
      <family val="2"/>
      <scheme val="minor"/>
    </font>
    <font>
      <b/>
      <sz val="22"/>
      <name val="Bookman Old Style"/>
      <family val="1"/>
    </font>
    <font>
      <sz val="12"/>
      <color theme="1"/>
      <name val="Calibri"/>
      <family val="2"/>
      <scheme val="minor"/>
    </font>
    <font>
      <b/>
      <u/>
      <sz val="14"/>
      <name val="Bookman Old Style"/>
      <family val="1"/>
    </font>
    <font>
      <sz val="14"/>
      <name val="Bookman Old Style"/>
      <family val="1"/>
    </font>
    <font>
      <sz val="22"/>
      <color theme="1"/>
      <name val="Calibri"/>
      <family val="2"/>
      <scheme val="minor"/>
    </font>
    <font>
      <b/>
      <sz val="22"/>
      <name val="Comic Sans MS"/>
      <family val="4"/>
    </font>
    <font>
      <b/>
      <sz val="22"/>
      <name val="Calibri"/>
      <family val="2"/>
      <scheme val="minor"/>
    </font>
    <font>
      <b/>
      <sz val="22"/>
      <color rgb="FF000000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2"/>
      <name val="Arial CE"/>
    </font>
    <font>
      <b/>
      <u/>
      <sz val="20"/>
      <name val="Bookman Old Style"/>
      <family val="1"/>
    </font>
    <font>
      <sz val="20"/>
      <name val="Comic Sans MS"/>
      <family val="4"/>
    </font>
    <font>
      <b/>
      <sz val="16"/>
      <color indexed="8"/>
      <name val="Calibri Light"/>
      <family val="2"/>
      <scheme val="major"/>
    </font>
    <font>
      <b/>
      <sz val="16"/>
      <name val="Calibri Light"/>
      <family val="2"/>
      <scheme val="major"/>
    </font>
    <font>
      <sz val="26"/>
      <name val="Bookman Old Style"/>
      <family val="1"/>
    </font>
    <font>
      <b/>
      <u/>
      <sz val="10"/>
      <name val="Bookman Old Style"/>
      <family val="1"/>
    </font>
    <font>
      <b/>
      <u/>
      <sz val="11"/>
      <name val="Bookman Old Style"/>
      <family val="1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name val="Calibri Light"/>
      <family val="2"/>
      <scheme val="major"/>
    </font>
    <font>
      <b/>
      <sz val="16"/>
      <color theme="1"/>
      <name val="Abadi"/>
      <family val="2"/>
    </font>
    <font>
      <b/>
      <sz val="18"/>
      <name val="Calibri"/>
      <family val="2"/>
      <scheme val="minor"/>
    </font>
    <font>
      <b/>
      <sz val="18"/>
      <name val="Calibri Light"/>
      <family val="2"/>
      <scheme val="maj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Comic Sans MS"/>
      <family val="4"/>
    </font>
    <font>
      <b/>
      <sz val="18"/>
      <name val="Bookman Old Style"/>
      <family val="1"/>
    </font>
    <font>
      <sz val="18"/>
      <name val="Bookman Old Style"/>
      <family val="1"/>
    </font>
    <font>
      <sz val="28"/>
      <name val="Bookman Old Style"/>
      <family val="1"/>
    </font>
    <font>
      <b/>
      <sz val="36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name val="Comic Sans MS"/>
      <family val="4"/>
    </font>
    <font>
      <sz val="20"/>
      <name val="Arial CE"/>
    </font>
    <font>
      <i/>
      <sz val="28"/>
      <color theme="1"/>
      <name val="Calibri"/>
      <family val="2"/>
      <scheme val="minor"/>
    </font>
    <font>
      <sz val="20"/>
      <color theme="1"/>
      <name val="72 Black"/>
      <family val="2"/>
    </font>
    <font>
      <sz val="14"/>
      <name val="72"/>
      <family val="2"/>
    </font>
    <font>
      <sz val="14"/>
      <color theme="1"/>
      <name val="72"/>
      <family val="2"/>
    </font>
    <font>
      <b/>
      <sz val="14"/>
      <color theme="1"/>
      <name val="72"/>
      <family val="2"/>
    </font>
    <font>
      <b/>
      <sz val="16"/>
      <color theme="1"/>
      <name val="Calibri Light"/>
      <family val="2"/>
      <scheme val="major"/>
    </font>
    <font>
      <sz val="24"/>
      <color theme="1"/>
      <name val="Calibri"/>
      <family val="2"/>
      <scheme val="minor"/>
    </font>
    <font>
      <b/>
      <sz val="24"/>
      <name val="Arial CE"/>
    </font>
    <font>
      <b/>
      <sz val="24"/>
      <name val="Bookman Old Style"/>
      <family val="1"/>
    </font>
    <font>
      <sz val="24"/>
      <name val="Bookman Old Style"/>
      <family val="1"/>
    </font>
    <font>
      <b/>
      <sz val="28"/>
      <name val="Bookman Old Style"/>
      <family val="1"/>
    </font>
    <font>
      <b/>
      <sz val="36"/>
      <name val="Bookman Old Style"/>
      <family val="1"/>
    </font>
    <font>
      <b/>
      <sz val="20"/>
      <name val="Calibri Light"/>
      <family val="2"/>
      <scheme val="major"/>
    </font>
    <font>
      <b/>
      <sz val="20"/>
      <name val="72"/>
      <family val="2"/>
    </font>
    <font>
      <b/>
      <sz val="18"/>
      <color indexed="8"/>
      <name val="Calibri Light"/>
      <family val="2"/>
      <scheme val="major"/>
    </font>
    <font>
      <b/>
      <sz val="18"/>
      <name val="Arial CE"/>
    </font>
    <font>
      <i/>
      <sz val="26"/>
      <color theme="1"/>
      <name val="Calibri"/>
      <family val="2"/>
      <scheme val="minor"/>
    </font>
    <font>
      <b/>
      <sz val="16"/>
      <color theme="1"/>
      <name val="72"/>
      <family val="2"/>
    </font>
    <font>
      <b/>
      <sz val="48"/>
      <name val="72"/>
      <family val="2"/>
    </font>
    <font>
      <b/>
      <sz val="18"/>
      <color theme="1"/>
      <name val="Calibri"/>
      <family val="2"/>
    </font>
    <font>
      <b/>
      <sz val="16"/>
      <color indexed="8"/>
      <name val="Arial"/>
      <family val="2"/>
    </font>
    <font>
      <b/>
      <sz val="18"/>
      <color theme="1"/>
      <name val="72"/>
      <family val="2"/>
    </font>
    <font>
      <b/>
      <u/>
      <sz val="14"/>
      <name val="72"/>
      <family val="2"/>
    </font>
    <font>
      <b/>
      <sz val="18"/>
      <color theme="1"/>
      <name val="Calibri Light"/>
      <family val="2"/>
      <scheme val="major"/>
    </font>
    <font>
      <b/>
      <sz val="26"/>
      <color theme="1"/>
      <name val="72"/>
      <family val="2"/>
    </font>
    <font>
      <b/>
      <sz val="22"/>
      <color rgb="FF167A87"/>
      <name val="Arial"/>
      <family val="2"/>
    </font>
    <font>
      <sz val="22"/>
      <color theme="1"/>
      <name val="Calibri"/>
      <family val="2"/>
    </font>
    <font>
      <b/>
      <sz val="26"/>
      <color theme="1"/>
      <name val="Arial"/>
      <family val="2"/>
    </font>
    <font>
      <b/>
      <sz val="26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ptos"/>
      <family val="2"/>
    </font>
    <font>
      <b/>
      <sz val="7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1"/>
      <name val="Abadi"/>
      <family val="2"/>
    </font>
    <font>
      <b/>
      <sz val="72"/>
      <name val="Bookman Old Style"/>
      <family val="1"/>
    </font>
    <font>
      <b/>
      <sz val="40"/>
      <color theme="1"/>
      <name val="Abadi"/>
      <family val="2"/>
    </font>
    <font>
      <b/>
      <sz val="60"/>
      <color theme="1"/>
      <name val="Abadi"/>
      <family val="2"/>
    </font>
    <font>
      <b/>
      <sz val="60"/>
      <color theme="1"/>
      <name val="Calibri"/>
      <family val="2"/>
    </font>
    <font>
      <b/>
      <sz val="50"/>
      <color theme="1"/>
      <name val="Abadi"/>
      <family val="2"/>
    </font>
    <font>
      <b/>
      <sz val="26"/>
      <color indexed="8"/>
      <name val="Arial"/>
      <family val="2"/>
    </font>
    <font>
      <b/>
      <sz val="26"/>
      <color rgb="FF000000"/>
      <name val="Calibri"/>
      <family val="2"/>
    </font>
    <font>
      <b/>
      <sz val="30"/>
      <color theme="1"/>
      <name val="Calibri"/>
      <family val="2"/>
      <scheme val="minor"/>
    </font>
    <font>
      <b/>
      <sz val="30"/>
      <color indexed="8"/>
      <name val="Arial"/>
      <family val="2"/>
    </font>
    <font>
      <b/>
      <sz val="30"/>
      <name val="Calibri"/>
      <family val="2"/>
      <scheme val="minor"/>
    </font>
    <font>
      <b/>
      <sz val="30"/>
      <name val="Arial Black"/>
      <family val="2"/>
    </font>
    <font>
      <b/>
      <sz val="30"/>
      <name val="Bookman Old Style"/>
      <family val="1"/>
    </font>
    <font>
      <b/>
      <sz val="30"/>
      <name val="Calibri Light"/>
      <family val="2"/>
      <scheme val="major"/>
    </font>
    <font>
      <b/>
      <sz val="30"/>
      <color indexed="8"/>
      <name val="Calibri Light"/>
      <family val="2"/>
      <scheme val="major"/>
    </font>
    <font>
      <b/>
      <sz val="30"/>
      <color theme="1"/>
      <name val="72"/>
      <family val="2"/>
    </font>
    <font>
      <b/>
      <sz val="30"/>
      <color theme="1"/>
      <name val="Calibri"/>
      <family val="2"/>
    </font>
    <font>
      <b/>
      <sz val="30"/>
      <color rgb="FF000000"/>
      <name val="Calibri"/>
      <family val="2"/>
    </font>
    <font>
      <sz val="28"/>
      <name val="Comic Sans MS"/>
      <family val="4"/>
    </font>
    <font>
      <b/>
      <sz val="48"/>
      <name val="Arial CE"/>
    </font>
    <font>
      <b/>
      <u/>
      <sz val="36"/>
      <name val="Bookman Old Style"/>
      <family val="1"/>
    </font>
    <font>
      <b/>
      <sz val="72"/>
      <color theme="1"/>
      <name val="Abadi"/>
      <family val="2"/>
    </font>
    <font>
      <b/>
      <sz val="40"/>
      <color theme="1"/>
      <name val="Calibri"/>
      <family val="2"/>
      <scheme val="minor"/>
    </font>
    <font>
      <b/>
      <sz val="72"/>
      <name val="Arial CE"/>
    </font>
    <font>
      <b/>
      <sz val="75"/>
      <name val="Arial CE"/>
    </font>
    <font>
      <b/>
      <sz val="66"/>
      <color theme="1"/>
      <name val="Calibri"/>
      <family val="2"/>
      <scheme val="minor"/>
    </font>
    <font>
      <b/>
      <sz val="45"/>
      <color theme="1"/>
      <name val="Abadi"/>
      <family val="2"/>
    </font>
    <font>
      <b/>
      <sz val="24"/>
      <color theme="1"/>
      <name val="Calibri"/>
      <family val="2"/>
    </font>
    <font>
      <b/>
      <sz val="45"/>
      <color theme="1"/>
      <name val="Calibri"/>
      <family val="2"/>
      <scheme val="minor"/>
    </font>
    <font>
      <b/>
      <sz val="48"/>
      <name val="Bookman Old Style"/>
      <family val="1"/>
    </font>
    <font>
      <b/>
      <sz val="26"/>
      <name val="Calibri Light"/>
      <family val="2"/>
      <scheme val="major"/>
    </font>
    <font>
      <b/>
      <sz val="40"/>
      <name val="Arial CE"/>
    </font>
    <font>
      <sz val="30"/>
      <name val="Bookman Old Style"/>
      <family val="1"/>
    </font>
    <font>
      <sz val="35"/>
      <name val="Bookman Old Style"/>
      <family val="1"/>
    </font>
    <font>
      <b/>
      <sz val="35"/>
      <color theme="1"/>
      <name val="Bookman Old Style"/>
      <family val="1"/>
    </font>
    <font>
      <b/>
      <sz val="35"/>
      <color theme="1"/>
      <name val="Calibri"/>
      <family val="2"/>
      <scheme val="minor"/>
    </font>
    <font>
      <b/>
      <sz val="40"/>
      <name val="Bookman Old Style"/>
      <family val="1"/>
    </font>
    <font>
      <b/>
      <sz val="35"/>
      <color theme="1"/>
      <name val="Calibri"/>
      <family val="2"/>
    </font>
    <font>
      <b/>
      <sz val="35"/>
      <color theme="1"/>
      <name val="Calibri Light"/>
      <family val="2"/>
      <scheme val="major"/>
    </font>
    <font>
      <b/>
      <sz val="35"/>
      <color indexed="8"/>
      <name val="Calibri Light"/>
      <family val="2"/>
      <scheme val="major"/>
    </font>
    <font>
      <b/>
      <sz val="32"/>
      <name val="Calibri Light"/>
      <family val="2"/>
      <scheme val="major"/>
    </font>
    <font>
      <b/>
      <sz val="72"/>
      <name val="72"/>
      <family val="2"/>
    </font>
    <font>
      <sz val="72"/>
      <name val="Arial CE"/>
    </font>
    <font>
      <b/>
      <sz val="63"/>
      <name val="Arial CE"/>
    </font>
    <font>
      <b/>
      <sz val="27"/>
      <name val="Calibri Light"/>
      <family val="2"/>
      <scheme val="major"/>
    </font>
    <font>
      <sz val="27"/>
      <color theme="1"/>
      <name val="Calibri"/>
      <family val="2"/>
      <scheme val="minor"/>
    </font>
    <font>
      <b/>
      <sz val="36"/>
      <name val="72"/>
      <family val="2"/>
    </font>
    <font>
      <b/>
      <sz val="36"/>
      <name val="Calibri Light"/>
      <family val="2"/>
      <scheme val="major"/>
    </font>
    <font>
      <b/>
      <sz val="26"/>
      <name val="Bookman Old Style"/>
      <family val="1"/>
    </font>
    <font>
      <b/>
      <sz val="28"/>
      <name val="Arial CE"/>
    </font>
    <font>
      <b/>
      <sz val="36"/>
      <name val="Arial CE"/>
    </font>
    <font>
      <b/>
      <sz val="36"/>
      <color rgb="FF000000"/>
      <name val="Calibri"/>
      <family val="2"/>
      <scheme val="minor"/>
    </font>
    <font>
      <b/>
      <sz val="36"/>
      <color indexed="8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rgb="FF000000"/>
      <name val="Calibri"/>
      <family val="2"/>
    </font>
    <font>
      <sz val="22"/>
      <name val="Bookman Old Style"/>
      <family val="1"/>
    </font>
    <font>
      <b/>
      <sz val="33"/>
      <color theme="1"/>
      <name val="Calibri"/>
      <family val="2"/>
      <scheme val="minor"/>
    </font>
    <font>
      <b/>
      <sz val="33"/>
      <color rgb="FF000000"/>
      <name val="Calibri"/>
      <family val="2"/>
      <scheme val="minor"/>
    </font>
    <font>
      <b/>
      <sz val="33"/>
      <color indexed="8"/>
      <name val="Calibri"/>
      <family val="2"/>
      <scheme val="minor"/>
    </font>
    <font>
      <b/>
      <sz val="33"/>
      <name val="Calibri"/>
      <family val="2"/>
      <scheme val="minor"/>
    </font>
    <font>
      <b/>
      <sz val="33"/>
      <color rgb="FF000000"/>
      <name val="Calibri"/>
      <family val="2"/>
    </font>
    <font>
      <b/>
      <sz val="65"/>
      <name val="Bookman Old Style"/>
      <family val="1"/>
    </font>
    <font>
      <b/>
      <sz val="33"/>
      <name val="Comic Sans MS"/>
      <family val="4"/>
    </font>
    <font>
      <b/>
      <sz val="33"/>
      <name val="Bookman Old Style"/>
      <family val="1"/>
    </font>
    <font>
      <sz val="30"/>
      <color theme="1"/>
      <name val="Calibri"/>
      <family val="2"/>
      <scheme val="minor"/>
    </font>
    <font>
      <b/>
      <u/>
      <sz val="24"/>
      <name val="Bookman Old Style"/>
      <family val="1"/>
    </font>
    <font>
      <b/>
      <sz val="34"/>
      <color rgb="FF000000"/>
      <name val="Calibri"/>
      <family val="2"/>
    </font>
    <font>
      <b/>
      <sz val="28"/>
      <color theme="1"/>
      <name val="Calibri"/>
      <family val="2"/>
    </font>
    <font>
      <b/>
      <sz val="36"/>
      <color theme="1"/>
      <name val="Abadi"/>
      <family val="2"/>
    </font>
    <font>
      <b/>
      <sz val="36"/>
      <color theme="1"/>
      <name val="Calibri"/>
      <family val="2"/>
    </font>
    <font>
      <b/>
      <sz val="48"/>
      <color theme="1"/>
      <name val="Calibri"/>
      <family val="2"/>
    </font>
    <font>
      <sz val="72"/>
      <color theme="1"/>
      <name val="72 Black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rgb="FF000000"/>
      </patternFill>
    </fill>
  </fills>
  <borders count="1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rgb="FF000000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thin">
        <color auto="1"/>
      </right>
      <top style="medium">
        <color indexed="64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/>
      </left>
      <right/>
      <top style="medium">
        <color indexed="64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indexed="64"/>
      </right>
      <top/>
      <bottom style="hair">
        <color auto="1"/>
      </bottom>
      <diagonal/>
    </border>
    <border>
      <left style="thick">
        <color auto="1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hair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hair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theme="1"/>
      </bottom>
      <diagonal/>
    </border>
  </borders>
  <cellStyleXfs count="61">
    <xf numFmtId="0" fontId="0" fillId="0" borderId="0"/>
    <xf numFmtId="0" fontId="2" fillId="0" borderId="0"/>
    <xf numFmtId="0" fontId="6" fillId="0" borderId="0"/>
    <xf numFmtId="9" fontId="1" fillId="0" borderId="0" applyFont="0" applyFill="0" applyBorder="0" applyAlignment="0" applyProtection="0"/>
    <xf numFmtId="0" fontId="17" fillId="0" borderId="0"/>
    <xf numFmtId="0" fontId="70" fillId="0" borderId="0" applyNumberFormat="0" applyFont="0" applyBorder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70" fillId="0" borderId="0" applyBorder="0"/>
    <xf numFmtId="0" fontId="70" fillId="0" borderId="0"/>
    <xf numFmtId="0" fontId="1" fillId="0" borderId="0"/>
    <xf numFmtId="0" fontId="71" fillId="0" borderId="0"/>
    <xf numFmtId="0" fontId="71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71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" fillId="0" borderId="0"/>
    <xf numFmtId="165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70" fillId="0" borderId="0" applyNumberFormat="0" applyFont="0" applyBorder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0" fillId="0" borderId="0" applyNumberFormat="0" applyFont="0" applyBorder="0" applyProtection="0"/>
  </cellStyleXfs>
  <cellXfs count="1208">
    <xf numFmtId="0" fontId="0" fillId="0" borderId="0" xfId="0"/>
    <xf numFmtId="0" fontId="2" fillId="0" borderId="0" xfId="1"/>
    <xf numFmtId="0" fontId="0" fillId="2" borderId="0" xfId="0" applyFill="1"/>
    <xf numFmtId="0" fontId="7" fillId="2" borderId="0" xfId="2" applyFont="1" applyFill="1" applyAlignment="1">
      <alignment horizontal="left"/>
    </xf>
    <xf numFmtId="14" fontId="8" fillId="2" borderId="0" xfId="2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14" fontId="9" fillId="2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 applyAlignment="1">
      <alignment horizontal="center" vertical="center"/>
    </xf>
    <xf numFmtId="0" fontId="0" fillId="2" borderId="21" xfId="0" applyFill="1" applyBorder="1"/>
    <xf numFmtId="14" fontId="0" fillId="2" borderId="21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2" borderId="21" xfId="0" applyFont="1" applyFill="1" applyBorder="1"/>
    <xf numFmtId="0" fontId="16" fillId="2" borderId="0" xfId="0" applyFont="1" applyFill="1"/>
    <xf numFmtId="0" fontId="15" fillId="0" borderId="24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4" fontId="1" fillId="2" borderId="0" xfId="0" applyNumberFormat="1" applyFont="1" applyFill="1" applyAlignment="1">
      <alignment horizontal="left"/>
    </xf>
    <xf numFmtId="0" fontId="16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" fillId="0" borderId="0" xfId="0" applyFont="1"/>
    <xf numFmtId="0" fontId="22" fillId="7" borderId="24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6" fillId="0" borderId="25" xfId="4" applyFont="1" applyBorder="1" applyAlignment="1">
      <alignment horizontal="center" vertical="center"/>
    </xf>
    <xf numFmtId="0" fontId="26" fillId="0" borderId="44" xfId="4" applyFont="1" applyBorder="1" applyAlignment="1">
      <alignment horizontal="center" vertical="center"/>
    </xf>
    <xf numFmtId="0" fontId="28" fillId="16" borderId="56" xfId="0" applyFont="1" applyFill="1" applyBorder="1" applyAlignment="1">
      <alignment vertical="center"/>
    </xf>
    <xf numFmtId="0" fontId="28" fillId="16" borderId="53" xfId="0" applyFont="1" applyFill="1" applyBorder="1" applyAlignment="1">
      <alignment vertical="center"/>
    </xf>
    <xf numFmtId="0" fontId="28" fillId="16" borderId="55" xfId="0" applyFont="1" applyFill="1" applyBorder="1" applyAlignment="1">
      <alignment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 wrapText="1"/>
    </xf>
    <xf numFmtId="0" fontId="31" fillId="7" borderId="48" xfId="4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14" fontId="25" fillId="2" borderId="0" xfId="0" applyNumberFormat="1" applyFont="1" applyFill="1" applyAlignment="1">
      <alignment horizontal="center"/>
    </xf>
    <xf numFmtId="0" fontId="28" fillId="16" borderId="57" xfId="0" applyFont="1" applyFill="1" applyBorder="1" applyAlignment="1">
      <alignment vertical="center"/>
    </xf>
    <xf numFmtId="0" fontId="28" fillId="7" borderId="2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8" fillId="7" borderId="24" xfId="0" applyFont="1" applyFill="1" applyBorder="1" applyAlignment="1">
      <alignment horizontal="center" vertical="center" wrapText="1"/>
    </xf>
    <xf numFmtId="0" fontId="31" fillId="2" borderId="25" xfId="4" applyFont="1" applyFill="1" applyBorder="1" applyAlignment="1">
      <alignment horizontal="center"/>
    </xf>
    <xf numFmtId="0" fontId="35" fillId="7" borderId="24" xfId="0" applyFont="1" applyFill="1" applyBorder="1" applyAlignment="1">
      <alignment horizontal="center" vertical="center" wrapText="1"/>
    </xf>
    <xf numFmtId="0" fontId="28" fillId="9" borderId="10" xfId="0" applyFont="1" applyFill="1" applyBorder="1" applyAlignment="1">
      <alignment vertical="center"/>
    </xf>
    <xf numFmtId="0" fontId="28" fillId="9" borderId="31" xfId="0" applyFont="1" applyFill="1" applyBorder="1" applyAlignment="1">
      <alignment vertical="center"/>
    </xf>
    <xf numFmtId="14" fontId="9" fillId="2" borderId="0" xfId="0" applyNumberFormat="1" applyFont="1" applyFill="1" applyAlignment="1">
      <alignment vertical="center"/>
    </xf>
    <xf numFmtId="0" fontId="28" fillId="7" borderId="24" xfId="4" applyFont="1" applyFill="1" applyBorder="1" applyAlignment="1">
      <alignment vertical="center" wrapText="1"/>
    </xf>
    <xf numFmtId="0" fontId="32" fillId="7" borderId="24" xfId="0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26" fillId="0" borderId="73" xfId="4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2" borderId="77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1" fillId="2" borderId="29" xfId="2" applyFont="1" applyFill="1" applyBorder="1" applyAlignment="1">
      <alignment horizontal="center" vertical="center"/>
    </xf>
    <xf numFmtId="0" fontId="24" fillId="11" borderId="27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24" fillId="11" borderId="76" xfId="0" applyFont="1" applyFill="1" applyBorder="1" applyAlignment="1">
      <alignment horizontal="center" vertical="center" wrapText="1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77" xfId="0" applyFont="1" applyFill="1" applyBorder="1" applyAlignment="1">
      <alignment horizontal="center" vertical="center" wrapText="1"/>
    </xf>
    <xf numFmtId="0" fontId="24" fillId="11" borderId="29" xfId="0" applyFont="1" applyFill="1" applyBorder="1" applyAlignment="1">
      <alignment horizontal="center" vertical="center" wrapText="1"/>
    </xf>
    <xf numFmtId="0" fontId="24" fillId="2" borderId="29" xfId="0" applyFont="1" applyFill="1" applyBorder="1" applyAlignment="1">
      <alignment horizontal="center" vertical="center" wrapText="1"/>
    </xf>
    <xf numFmtId="0" fontId="24" fillId="11" borderId="78" xfId="0" applyFont="1" applyFill="1" applyBorder="1" applyAlignment="1">
      <alignment horizontal="center" vertical="center" wrapText="1"/>
    </xf>
    <xf numFmtId="14" fontId="24" fillId="2" borderId="73" xfId="0" applyNumberFormat="1" applyFont="1" applyFill="1" applyBorder="1" applyAlignment="1" applyProtection="1">
      <alignment horizontal="center" vertical="center"/>
      <protection locked="0"/>
    </xf>
    <xf numFmtId="9" fontId="24" fillId="2" borderId="24" xfId="3" applyFont="1" applyFill="1" applyBorder="1" applyAlignment="1" applyProtection="1">
      <alignment horizontal="center" vertical="center"/>
      <protection locked="0"/>
    </xf>
    <xf numFmtId="0" fontId="25" fillId="2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14" fontId="24" fillId="2" borderId="25" xfId="0" applyNumberFormat="1" applyFont="1" applyFill="1" applyBorder="1" applyAlignment="1" applyProtection="1">
      <alignment horizontal="center" vertical="center"/>
      <protection locked="0"/>
    </xf>
    <xf numFmtId="14" fontId="24" fillId="2" borderId="44" xfId="0" applyNumberFormat="1" applyFont="1" applyFill="1" applyBorder="1" applyAlignment="1" applyProtection="1">
      <alignment horizontal="center" vertical="center"/>
      <protection locked="0"/>
    </xf>
    <xf numFmtId="0" fontId="24" fillId="2" borderId="78" xfId="0" applyFont="1" applyFill="1" applyBorder="1" applyAlignment="1">
      <alignment horizontal="center" vertical="center" wrapText="1"/>
    </xf>
    <xf numFmtId="0" fontId="28" fillId="7" borderId="18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2" fillId="2" borderId="0" xfId="2" applyFont="1" applyFill="1" applyAlignment="1">
      <alignment horizontal="left"/>
    </xf>
    <xf numFmtId="0" fontId="31" fillId="2" borderId="25" xfId="4" applyFont="1" applyFill="1" applyBorder="1" applyAlignment="1">
      <alignment horizontal="center" vertical="center"/>
    </xf>
    <xf numFmtId="0" fontId="26" fillId="2" borderId="73" xfId="4" applyFont="1" applyFill="1" applyBorder="1" applyAlignment="1">
      <alignment horizontal="center" vertical="center"/>
    </xf>
    <xf numFmtId="0" fontId="26" fillId="2" borderId="25" xfId="4" applyFont="1" applyFill="1" applyBorder="1" applyAlignment="1">
      <alignment horizontal="center" vertical="center"/>
    </xf>
    <xf numFmtId="0" fontId="26" fillId="2" borderId="44" xfId="4" applyFont="1" applyFill="1" applyBorder="1" applyAlignment="1">
      <alignment horizontal="center" vertical="center"/>
    </xf>
    <xf numFmtId="0" fontId="39" fillId="16" borderId="4" xfId="0" applyFont="1" applyFill="1" applyBorder="1" applyAlignment="1">
      <alignment vertical="center"/>
    </xf>
    <xf numFmtId="0" fontId="18" fillId="0" borderId="85" xfId="0" applyFont="1" applyBorder="1" applyAlignment="1">
      <alignment horizontal="center" vertical="center" wrapText="1"/>
    </xf>
    <xf numFmtId="0" fontId="18" fillId="0" borderId="86" xfId="0" applyFont="1" applyBorder="1" applyAlignment="1">
      <alignment horizontal="center" vertical="center" wrapText="1"/>
    </xf>
    <xf numFmtId="9" fontId="18" fillId="2" borderId="21" xfId="3" applyFont="1" applyFill="1" applyBorder="1" applyAlignment="1" applyProtection="1">
      <alignment horizontal="center"/>
      <protection locked="0"/>
    </xf>
    <xf numFmtId="9" fontId="55" fillId="2" borderId="24" xfId="3" applyFont="1" applyFill="1" applyBorder="1" applyAlignment="1">
      <alignment horizontal="center" vertical="center"/>
    </xf>
    <xf numFmtId="9" fontId="25" fillId="2" borderId="24" xfId="3" applyFont="1" applyFill="1" applyBorder="1" applyAlignment="1">
      <alignment horizontal="center" vertical="center"/>
    </xf>
    <xf numFmtId="0" fontId="57" fillId="2" borderId="0" xfId="2" applyFont="1" applyFill="1" applyAlignment="1">
      <alignment horizontal="left"/>
    </xf>
    <xf numFmtId="14" fontId="58" fillId="2" borderId="0" xfId="2" applyNumberFormat="1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14" fontId="1" fillId="0" borderId="0" xfId="0" applyNumberFormat="1" applyFont="1"/>
    <xf numFmtId="0" fontId="65" fillId="0" borderId="0" xfId="0" applyFont="1"/>
    <xf numFmtId="0" fontId="1" fillId="0" borderId="21" xfId="0" applyFont="1" applyBorder="1"/>
    <xf numFmtId="9" fontId="44" fillId="2" borderId="24" xfId="3" applyFont="1" applyFill="1" applyBorder="1" applyAlignment="1">
      <alignment horizontal="center"/>
    </xf>
    <xf numFmtId="0" fontId="25" fillId="0" borderId="0" xfId="0" applyFont="1"/>
    <xf numFmtId="0" fontId="48" fillId="0" borderId="21" xfId="0" applyFont="1" applyBorder="1" applyAlignment="1">
      <alignment horizontal="center" vertical="center" wrapText="1"/>
    </xf>
    <xf numFmtId="0" fontId="28" fillId="16" borderId="4" xfId="0" applyFont="1" applyFill="1" applyBorder="1" applyAlignment="1">
      <alignment vertical="center"/>
    </xf>
    <xf numFmtId="0" fontId="28" fillId="7" borderId="5" xfId="4" applyFont="1" applyFill="1" applyBorder="1" applyAlignment="1">
      <alignment horizontal="center" vertical="center" wrapText="1"/>
    </xf>
    <xf numFmtId="0" fontId="43" fillId="0" borderId="0" xfId="2" applyFont="1" applyAlignment="1">
      <alignment horizontal="center" vertical="center"/>
    </xf>
    <xf numFmtId="9" fontId="66" fillId="2" borderId="102" xfId="3" applyFont="1" applyFill="1" applyBorder="1" applyAlignment="1" applyProtection="1">
      <alignment horizontal="center"/>
      <protection locked="0"/>
    </xf>
    <xf numFmtId="0" fontId="64" fillId="2" borderId="0" xfId="0" applyFont="1" applyFill="1" applyAlignment="1">
      <alignment horizontal="center"/>
    </xf>
    <xf numFmtId="14" fontId="64" fillId="2" borderId="0" xfId="0" applyNumberFormat="1" applyFont="1" applyFill="1" applyAlignment="1">
      <alignment horizontal="center"/>
    </xf>
    <xf numFmtId="0" fontId="39" fillId="9" borderId="3" xfId="0" applyFont="1" applyFill="1" applyBorder="1" applyAlignment="1">
      <alignment vertical="center"/>
    </xf>
    <xf numFmtId="0" fontId="39" fillId="9" borderId="4" xfId="0" applyFont="1" applyFill="1" applyBorder="1" applyAlignment="1">
      <alignment vertical="center"/>
    </xf>
    <xf numFmtId="14" fontId="72" fillId="2" borderId="0" xfId="2" applyNumberFormat="1" applyFont="1" applyFill="1" applyAlignment="1">
      <alignment horizontal="center" vertical="center"/>
    </xf>
    <xf numFmtId="0" fontId="10" fillId="2" borderId="0" xfId="0" applyFont="1" applyFill="1"/>
    <xf numFmtId="0" fontId="12" fillId="2" borderId="0" xfId="0" applyFont="1" applyFill="1"/>
    <xf numFmtId="14" fontId="10" fillId="2" borderId="0" xfId="0" applyNumberFormat="1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14" fontId="39" fillId="2" borderId="0" xfId="0" applyNumberFormat="1" applyFont="1" applyFill="1" applyAlignment="1">
      <alignment horizontal="center"/>
    </xf>
    <xf numFmtId="0" fontId="13" fillId="0" borderId="0" xfId="2" applyFont="1" applyAlignment="1">
      <alignment horizontal="center" vertical="center"/>
    </xf>
    <xf numFmtId="0" fontId="16" fillId="0" borderId="0" xfId="0" applyFont="1"/>
    <xf numFmtId="0" fontId="48" fillId="11" borderId="21" xfId="0" applyFont="1" applyFill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64" fillId="0" borderId="0" xfId="0" applyFont="1"/>
    <xf numFmtId="0" fontId="36" fillId="0" borderId="14" xfId="2" applyFont="1" applyBorder="1" applyAlignment="1">
      <alignment vertical="center" wrapText="1"/>
    </xf>
    <xf numFmtId="0" fontId="36" fillId="0" borderId="22" xfId="2" applyFont="1" applyBorder="1" applyAlignment="1">
      <alignment vertical="center" wrapText="1"/>
    </xf>
    <xf numFmtId="0" fontId="36" fillId="0" borderId="7" xfId="2" applyFont="1" applyBorder="1" applyAlignment="1">
      <alignment vertical="center" wrapText="1"/>
    </xf>
    <xf numFmtId="0" fontId="56" fillId="0" borderId="60" xfId="1" applyFont="1" applyBorder="1" applyAlignment="1">
      <alignment horizontal="center" vertical="center"/>
    </xf>
    <xf numFmtId="0" fontId="36" fillId="0" borderId="0" xfId="2" applyFont="1" applyAlignment="1">
      <alignment vertical="center" wrapText="1"/>
    </xf>
    <xf numFmtId="9" fontId="77" fillId="2" borderId="40" xfId="3" applyFont="1" applyFill="1" applyBorder="1" applyAlignment="1" applyProtection="1">
      <alignment horizontal="center"/>
      <protection locked="0"/>
    </xf>
    <xf numFmtId="0" fontId="80" fillId="0" borderId="0" xfId="1" applyFont="1"/>
    <xf numFmtId="0" fontId="25" fillId="2" borderId="0" xfId="0" applyFont="1" applyFill="1" applyAlignment="1">
      <alignment horizontal="center" vertical="center"/>
    </xf>
    <xf numFmtId="14" fontId="25" fillId="2" borderId="0" xfId="0" applyNumberFormat="1" applyFont="1" applyFill="1" applyAlignment="1">
      <alignment horizontal="left"/>
    </xf>
    <xf numFmtId="14" fontId="25" fillId="2" borderId="0" xfId="0" applyNumberFormat="1" applyFont="1" applyFill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14" fontId="64" fillId="2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vertical="center"/>
    </xf>
    <xf numFmtId="0" fontId="48" fillId="0" borderId="0" xfId="0" applyFont="1" applyAlignment="1">
      <alignment horizontal="center" vertical="center" wrapText="1"/>
    </xf>
    <xf numFmtId="14" fontId="83" fillId="2" borderId="0" xfId="2" applyNumberFormat="1" applyFont="1" applyFill="1" applyAlignment="1">
      <alignment horizontal="center" vertical="center"/>
    </xf>
    <xf numFmtId="0" fontId="84" fillId="2" borderId="0" xfId="0" applyFont="1" applyFill="1"/>
    <xf numFmtId="0" fontId="85" fillId="2" borderId="0" xfId="0" applyFont="1" applyFill="1" applyAlignment="1">
      <alignment vertical="center"/>
    </xf>
    <xf numFmtId="14" fontId="84" fillId="2" borderId="0" xfId="0" applyNumberFormat="1" applyFont="1" applyFill="1" applyAlignment="1">
      <alignment horizontal="center"/>
    </xf>
    <xf numFmtId="0" fontId="84" fillId="2" borderId="0" xfId="0" applyFont="1" applyFill="1" applyAlignment="1">
      <alignment horizontal="center"/>
    </xf>
    <xf numFmtId="0" fontId="83" fillId="0" borderId="0" xfId="2" applyFont="1" applyAlignment="1">
      <alignment horizontal="center" vertical="center"/>
    </xf>
    <xf numFmtId="0" fontId="84" fillId="0" borderId="0" xfId="0" applyFont="1"/>
    <xf numFmtId="0" fontId="59" fillId="0" borderId="0" xfId="4" applyFont="1" applyAlignment="1">
      <alignment horizontal="center"/>
    </xf>
    <xf numFmtId="0" fontId="68" fillId="2" borderId="21" xfId="0" applyFont="1" applyFill="1" applyBorder="1" applyAlignment="1">
      <alignment horizontal="center" vertical="center" wrapText="1"/>
    </xf>
    <xf numFmtId="0" fontId="68" fillId="2" borderId="20" xfId="2" applyFont="1" applyFill="1" applyBorder="1" applyAlignment="1">
      <alignment horizontal="center" vertical="center" wrapText="1"/>
    </xf>
    <xf numFmtId="0" fontId="69" fillId="0" borderId="21" xfId="0" applyFont="1" applyBorder="1" applyAlignment="1">
      <alignment horizontal="center" vertical="center" wrapText="1"/>
    </xf>
    <xf numFmtId="0" fontId="68" fillId="2" borderId="79" xfId="0" applyFont="1" applyFill="1" applyBorder="1" applyAlignment="1">
      <alignment horizontal="center" vertical="center" wrapText="1"/>
    </xf>
    <xf numFmtId="0" fontId="68" fillId="11" borderId="87" xfId="0" applyFont="1" applyFill="1" applyBorder="1" applyAlignment="1">
      <alignment horizontal="center" vertical="center" wrapText="1"/>
    </xf>
    <xf numFmtId="0" fontId="60" fillId="0" borderId="21" xfId="0" applyFont="1" applyBorder="1" applyAlignment="1">
      <alignment horizontal="center" vertical="center" wrapText="1"/>
    </xf>
    <xf numFmtId="0" fontId="90" fillId="0" borderId="0" xfId="2" applyFont="1" applyAlignment="1">
      <alignment horizontal="center" vertical="center"/>
    </xf>
    <xf numFmtId="0" fontId="87" fillId="0" borderId="0" xfId="0" applyFont="1"/>
    <xf numFmtId="0" fontId="9" fillId="2" borderId="13" xfId="0" applyFont="1" applyFill="1" applyBorder="1"/>
    <xf numFmtId="14" fontId="79" fillId="2" borderId="0" xfId="2" applyNumberFormat="1" applyFont="1" applyFill="1" applyAlignment="1">
      <alignment horizontal="center" vertical="center"/>
    </xf>
    <xf numFmtId="0" fontId="62" fillId="2" borderId="0" xfId="2" applyFont="1" applyFill="1" applyAlignment="1">
      <alignment horizontal="left"/>
    </xf>
    <xf numFmtId="0" fontId="63" fillId="2" borderId="0" xfId="2" applyFont="1" applyFill="1" applyAlignment="1">
      <alignment horizontal="left"/>
    </xf>
    <xf numFmtId="14" fontId="1" fillId="2" borderId="0" xfId="0" applyNumberFormat="1" applyFont="1" applyFill="1" applyAlignment="1">
      <alignment horizontal="center"/>
    </xf>
    <xf numFmtId="0" fontId="67" fillId="7" borderId="11" xfId="0" applyFont="1" applyFill="1" applyBorder="1" applyAlignment="1">
      <alignment horizontal="center" vertical="center" textRotation="90" wrapText="1"/>
    </xf>
    <xf numFmtId="0" fontId="53" fillId="0" borderId="0" xfId="0" applyFont="1"/>
    <xf numFmtId="0" fontId="60" fillId="0" borderId="40" xfId="0" applyFont="1" applyBorder="1" applyAlignment="1">
      <alignment horizontal="center" vertical="center" wrapText="1"/>
    </xf>
    <xf numFmtId="0" fontId="60" fillId="0" borderId="34" xfId="0" applyFont="1" applyBorder="1" applyAlignment="1">
      <alignment horizontal="center" vertical="center" wrapText="1"/>
    </xf>
    <xf numFmtId="0" fontId="60" fillId="0" borderId="35" xfId="0" applyFont="1" applyBorder="1" applyAlignment="1">
      <alignment horizontal="center" vertical="center" wrapText="1"/>
    </xf>
    <xf numFmtId="0" fontId="60" fillId="0" borderId="81" xfId="0" applyFont="1" applyBorder="1" applyAlignment="1">
      <alignment horizontal="center" vertical="center" wrapText="1"/>
    </xf>
    <xf numFmtId="0" fontId="60" fillId="0" borderId="36" xfId="0" applyFont="1" applyBorder="1" applyAlignment="1">
      <alignment horizontal="center" vertical="center" wrapText="1"/>
    </xf>
    <xf numFmtId="0" fontId="86" fillId="0" borderId="21" xfId="0" applyFont="1" applyBorder="1" applyAlignment="1">
      <alignment horizontal="center" vertical="center" wrapText="1"/>
    </xf>
    <xf numFmtId="0" fontId="60" fillId="0" borderId="62" xfId="0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60" fillId="17" borderId="37" xfId="0" applyFont="1" applyFill="1" applyBorder="1" applyAlignment="1">
      <alignment horizontal="center" vertical="center" wrapText="1"/>
    </xf>
    <xf numFmtId="0" fontId="60" fillId="0" borderId="38" xfId="0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9" fontId="77" fillId="2" borderId="103" xfId="3" applyFont="1" applyFill="1" applyBorder="1" applyAlignment="1" applyProtection="1">
      <alignment horizontal="center" vertical="center"/>
      <protection locked="0"/>
    </xf>
    <xf numFmtId="9" fontId="77" fillId="2" borderId="24" xfId="3" applyFont="1" applyFill="1" applyBorder="1" applyAlignment="1" applyProtection="1">
      <alignment horizontal="center"/>
      <protection locked="0"/>
    </xf>
    <xf numFmtId="9" fontId="78" fillId="0" borderId="24" xfId="3" applyFont="1" applyBorder="1" applyAlignment="1">
      <alignment horizontal="center"/>
    </xf>
    <xf numFmtId="0" fontId="39" fillId="2" borderId="94" xfId="4" applyFont="1" applyFill="1" applyBorder="1" applyAlignment="1">
      <alignment horizontal="center" vertical="center"/>
    </xf>
    <xf numFmtId="14" fontId="46" fillId="2" borderId="16" xfId="0" applyNumberFormat="1" applyFont="1" applyFill="1" applyBorder="1" applyAlignment="1" applyProtection="1">
      <alignment horizontal="center" vertical="center"/>
      <protection locked="0"/>
    </xf>
    <xf numFmtId="0" fontId="23" fillId="2" borderId="17" xfId="2" applyFont="1" applyFill="1" applyBorder="1" applyAlignment="1" applyProtection="1">
      <alignment horizontal="center" vertical="center"/>
      <protection locked="0"/>
    </xf>
    <xf numFmtId="14" fontId="23" fillId="2" borderId="100" xfId="2" applyNumberFormat="1" applyFont="1" applyFill="1" applyBorder="1" applyAlignment="1" applyProtection="1">
      <alignment horizontal="center" vertical="center"/>
      <protection locked="0"/>
    </xf>
    <xf numFmtId="0" fontId="89" fillId="0" borderId="84" xfId="2" applyFont="1" applyBorder="1" applyAlignment="1">
      <alignment horizontal="center" vertical="center"/>
    </xf>
    <xf numFmtId="0" fontId="89" fillId="0" borderId="21" xfId="2" applyFont="1" applyBorder="1" applyAlignment="1">
      <alignment horizontal="center" vertical="center"/>
    </xf>
    <xf numFmtId="0" fontId="89" fillId="0" borderId="88" xfId="2" applyFont="1" applyBorder="1" applyAlignment="1">
      <alignment horizontal="center" vertical="center"/>
    </xf>
    <xf numFmtId="0" fontId="0" fillId="2" borderId="13" xfId="0" applyFill="1" applyBorder="1"/>
    <xf numFmtId="0" fontId="41" fillId="2" borderId="0" xfId="0" applyFont="1" applyFill="1"/>
    <xf numFmtId="0" fontId="25" fillId="2" borderId="13" xfId="0" applyFont="1" applyFill="1" applyBorder="1" applyAlignment="1">
      <alignment horizontal="center"/>
    </xf>
    <xf numFmtId="0" fontId="23" fillId="2" borderId="16" xfId="2" applyFont="1" applyFill="1" applyBorder="1" applyAlignment="1" applyProtection="1">
      <alignment horizontal="center" vertical="center"/>
      <protection locked="0"/>
    </xf>
    <xf numFmtId="0" fontId="89" fillId="0" borderId="105" xfId="2" applyFont="1" applyBorder="1" applyAlignment="1">
      <alignment horizontal="center" vertical="center"/>
    </xf>
    <xf numFmtId="0" fontId="89" fillId="0" borderId="37" xfId="2" applyFont="1" applyBorder="1" applyAlignment="1">
      <alignment horizontal="center" vertical="center"/>
    </xf>
    <xf numFmtId="0" fontId="89" fillId="0" borderId="95" xfId="2" applyFont="1" applyBorder="1" applyAlignment="1">
      <alignment horizontal="center" vertical="center"/>
    </xf>
    <xf numFmtId="0" fontId="3" fillId="0" borderId="23" xfId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60" fillId="0" borderId="79" xfId="0" applyFont="1" applyBorder="1" applyAlignment="1">
      <alignment horizontal="center" vertical="center" wrapText="1"/>
    </xf>
    <xf numFmtId="0" fontId="93" fillId="2" borderId="108" xfId="0" applyFont="1" applyFill="1" applyBorder="1" applyAlignment="1">
      <alignment horizontal="center" vertical="center" wrapText="1"/>
    </xf>
    <xf numFmtId="0" fontId="93" fillId="2" borderId="11" xfId="0" applyFont="1" applyFill="1" applyBorder="1" applyAlignment="1">
      <alignment horizontal="center" vertical="center" wrapText="1"/>
    </xf>
    <xf numFmtId="0" fontId="93" fillId="2" borderId="109" xfId="0" applyFont="1" applyFill="1" applyBorder="1" applyAlignment="1">
      <alignment horizontal="center" vertical="center" wrapText="1"/>
    </xf>
    <xf numFmtId="0" fontId="93" fillId="2" borderId="110" xfId="0" applyFont="1" applyFill="1" applyBorder="1" applyAlignment="1">
      <alignment horizontal="center" vertical="center" wrapText="1"/>
    </xf>
    <xf numFmtId="0" fontId="93" fillId="2" borderId="111" xfId="0" applyFont="1" applyFill="1" applyBorder="1" applyAlignment="1">
      <alignment horizontal="center" vertical="center" wrapText="1"/>
    </xf>
    <xf numFmtId="0" fontId="94" fillId="0" borderId="4" xfId="2" applyFont="1" applyBorder="1" applyAlignment="1">
      <alignment horizontal="center" vertical="center"/>
    </xf>
    <xf numFmtId="0" fontId="93" fillId="2" borderId="24" xfId="0" applyFont="1" applyFill="1" applyBorder="1" applyAlignment="1">
      <alignment horizontal="center" vertical="center" wrapText="1"/>
    </xf>
    <xf numFmtId="0" fontId="93" fillId="2" borderId="113" xfId="0" applyFont="1" applyFill="1" applyBorder="1" applyAlignment="1">
      <alignment horizontal="center" vertical="center" wrapText="1"/>
    </xf>
    <xf numFmtId="0" fontId="93" fillId="2" borderId="6" xfId="0" applyFont="1" applyFill="1" applyBorder="1" applyAlignment="1">
      <alignment horizontal="center" vertical="center" wrapText="1"/>
    </xf>
    <xf numFmtId="0" fontId="93" fillId="2" borderId="114" xfId="0" applyFont="1" applyFill="1" applyBorder="1" applyAlignment="1">
      <alignment horizontal="center" vertical="center" wrapText="1"/>
    </xf>
    <xf numFmtId="0" fontId="95" fillId="2" borderId="21" xfId="4" applyFont="1" applyFill="1" applyBorder="1" applyAlignment="1">
      <alignment horizontal="center" vertical="center"/>
    </xf>
    <xf numFmtId="0" fontId="101" fillId="2" borderId="21" xfId="4" applyFont="1" applyFill="1" applyBorder="1" applyAlignment="1">
      <alignment horizontal="center" vertical="center"/>
    </xf>
    <xf numFmtId="14" fontId="101" fillId="2" borderId="21" xfId="4" applyNumberFormat="1" applyFont="1" applyFill="1" applyBorder="1" applyAlignment="1">
      <alignment horizontal="center" vertical="center"/>
    </xf>
    <xf numFmtId="9" fontId="46" fillId="2" borderId="21" xfId="3" applyFont="1" applyFill="1" applyBorder="1" applyAlignment="1" applyProtection="1">
      <alignment horizontal="center"/>
      <protection locked="0"/>
    </xf>
    <xf numFmtId="9" fontId="44" fillId="2" borderId="21" xfId="3" applyFont="1" applyFill="1" applyBorder="1" applyAlignment="1">
      <alignment horizontal="center"/>
    </xf>
    <xf numFmtId="14" fontId="34" fillId="2" borderId="21" xfId="0" applyNumberFormat="1" applyFont="1" applyFill="1" applyBorder="1" applyAlignment="1" applyProtection="1">
      <alignment horizontal="center"/>
      <protection locked="0"/>
    </xf>
    <xf numFmtId="9" fontId="44" fillId="0" borderId="24" xfId="3" applyFont="1" applyFill="1" applyBorder="1" applyAlignment="1">
      <alignment horizontal="center"/>
    </xf>
    <xf numFmtId="9" fontId="77" fillId="2" borderId="24" xfId="3" applyFont="1" applyFill="1" applyBorder="1" applyAlignment="1" applyProtection="1">
      <alignment horizontal="center" vertical="center"/>
      <protection locked="0"/>
    </xf>
    <xf numFmtId="0" fontId="39" fillId="2" borderId="25" xfId="4" applyFont="1" applyFill="1" applyBorder="1" applyAlignment="1">
      <alignment horizontal="center" vertical="center"/>
    </xf>
    <xf numFmtId="0" fontId="103" fillId="2" borderId="0" xfId="2" applyFont="1" applyFill="1" applyAlignment="1">
      <alignment horizontal="left"/>
    </xf>
    <xf numFmtId="0" fontId="35" fillId="7" borderId="18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59" fillId="0" borderId="94" xfId="4" applyFont="1" applyBorder="1" applyAlignment="1">
      <alignment horizontal="center"/>
    </xf>
    <xf numFmtId="14" fontId="98" fillId="0" borderId="59" xfId="4" applyNumberFormat="1" applyFont="1" applyBorder="1" applyAlignment="1">
      <alignment horizontal="center"/>
    </xf>
    <xf numFmtId="0" fontId="47" fillId="2" borderId="21" xfId="0" applyFont="1" applyFill="1" applyBorder="1" applyAlignment="1">
      <alignment horizontal="center" vertical="center"/>
    </xf>
    <xf numFmtId="0" fontId="59" fillId="17" borderId="94" xfId="4" applyFont="1" applyFill="1" applyBorder="1" applyAlignment="1">
      <alignment horizontal="center"/>
    </xf>
    <xf numFmtId="0" fontId="60" fillId="17" borderId="94" xfId="4" applyFont="1" applyFill="1" applyBorder="1" applyAlignment="1">
      <alignment horizontal="center"/>
    </xf>
    <xf numFmtId="0" fontId="59" fillId="2" borderId="94" xfId="4" applyFont="1" applyFill="1" applyBorder="1" applyAlignment="1">
      <alignment horizontal="center"/>
    </xf>
    <xf numFmtId="0" fontId="59" fillId="2" borderId="13" xfId="4" applyFont="1" applyFill="1" applyBorder="1" applyAlignment="1">
      <alignment horizontal="center"/>
    </xf>
    <xf numFmtId="0" fontId="47" fillId="21" borderId="21" xfId="0" applyFont="1" applyFill="1" applyBorder="1" applyAlignment="1">
      <alignment horizontal="center" vertical="center"/>
    </xf>
    <xf numFmtId="14" fontId="85" fillId="0" borderId="59" xfId="4" applyNumberFormat="1" applyFont="1" applyBorder="1" applyAlignment="1">
      <alignment horizontal="center"/>
    </xf>
    <xf numFmtId="0" fontId="94" fillId="0" borderId="6" xfId="2" applyFont="1" applyBorder="1" applyAlignment="1">
      <alignment horizontal="center" vertical="center"/>
    </xf>
    <xf numFmtId="0" fontId="39" fillId="2" borderId="0" xfId="0" applyFont="1" applyFill="1" applyAlignment="1">
      <alignment textRotation="90"/>
    </xf>
    <xf numFmtId="14" fontId="69" fillId="2" borderId="21" xfId="0" applyNumberFormat="1" applyFont="1" applyFill="1" applyBorder="1" applyAlignment="1" applyProtection="1">
      <alignment horizontal="center" vertical="center"/>
      <protection locked="0"/>
    </xf>
    <xf numFmtId="0" fontId="50" fillId="2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54" fillId="2" borderId="0" xfId="0" applyFont="1" applyFill="1"/>
    <xf numFmtId="0" fontId="28" fillId="2" borderId="0" xfId="0" applyFont="1" applyFill="1"/>
    <xf numFmtId="0" fontId="52" fillId="2" borderId="0" xfId="0" applyFont="1" applyFill="1"/>
    <xf numFmtId="0" fontId="52" fillId="7" borderId="0" xfId="0" applyFont="1" applyFill="1"/>
    <xf numFmtId="0" fontId="98" fillId="2" borderId="21" xfId="4" applyFont="1" applyFill="1" applyBorder="1" applyAlignment="1">
      <alignment horizontal="center"/>
    </xf>
    <xf numFmtId="0" fontId="102" fillId="2" borderId="21" xfId="4" applyFont="1" applyFill="1" applyBorder="1" applyAlignment="1">
      <alignment horizontal="center"/>
    </xf>
    <xf numFmtId="0" fontId="100" fillId="2" borderId="21" xfId="60" applyFont="1" applyFill="1" applyBorder="1" applyAlignment="1">
      <alignment horizontal="center" vertical="center"/>
    </xf>
    <xf numFmtId="0" fontId="105" fillId="2" borderId="21" xfId="4" applyFont="1" applyFill="1" applyBorder="1" applyAlignment="1">
      <alignment horizontal="left"/>
    </xf>
    <xf numFmtId="0" fontId="60" fillId="0" borderId="117" xfId="0" applyFont="1" applyBorder="1" applyAlignment="1">
      <alignment horizontal="center" vertical="center" wrapText="1"/>
    </xf>
    <xf numFmtId="0" fontId="35" fillId="7" borderId="15" xfId="0" applyFont="1" applyFill="1" applyBorder="1" applyAlignment="1">
      <alignment horizontal="center" vertical="center" textRotation="90" wrapText="1"/>
    </xf>
    <xf numFmtId="0" fontId="105" fillId="0" borderId="21" xfId="4" applyFont="1" applyBorder="1" applyAlignment="1">
      <alignment horizontal="left"/>
    </xf>
    <xf numFmtId="0" fontId="35" fillId="0" borderId="21" xfId="60" applyFont="1" applyBorder="1" applyAlignment="1">
      <alignment horizontal="center" vertical="center"/>
    </xf>
    <xf numFmtId="0" fontId="99" fillId="6" borderId="15" xfId="2" applyFont="1" applyFill="1" applyBorder="1" applyAlignment="1">
      <alignment horizontal="center" vertical="center"/>
    </xf>
    <xf numFmtId="0" fontId="75" fillId="4" borderId="23" xfId="2" applyFont="1" applyFill="1" applyBorder="1" applyAlignment="1">
      <alignment horizontal="center" vertical="center" wrapText="1"/>
    </xf>
    <xf numFmtId="0" fontId="75" fillId="4" borderId="68" xfId="2" applyFont="1" applyFill="1" applyBorder="1" applyAlignment="1">
      <alignment horizontal="center" vertical="center" wrapText="1"/>
    </xf>
    <xf numFmtId="0" fontId="75" fillId="0" borderId="43" xfId="2" applyFont="1" applyBorder="1" applyAlignment="1">
      <alignment horizontal="left" vertical="top" wrapText="1"/>
    </xf>
    <xf numFmtId="0" fontId="75" fillId="0" borderId="0" xfId="2" applyFont="1" applyAlignment="1">
      <alignment horizontal="left" vertical="top" wrapText="1"/>
    </xf>
    <xf numFmtId="0" fontId="75" fillId="0" borderId="22" xfId="2" applyFont="1" applyBorder="1" applyAlignment="1">
      <alignment horizontal="left" vertical="top" wrapText="1"/>
    </xf>
    <xf numFmtId="0" fontId="100" fillId="0" borderId="21" xfId="60" applyFont="1" applyBorder="1" applyAlignment="1">
      <alignment horizontal="center" vertical="center"/>
    </xf>
    <xf numFmtId="0" fontId="100" fillId="29" borderId="21" xfId="60" applyFont="1" applyFill="1" applyBorder="1" applyAlignment="1">
      <alignment horizontal="center" vertical="center"/>
    </xf>
    <xf numFmtId="0" fontId="105" fillId="29" borderId="21" xfId="4" applyFont="1" applyFill="1" applyBorder="1" applyAlignment="1">
      <alignment horizontal="left"/>
    </xf>
    <xf numFmtId="0" fontId="106" fillId="0" borderId="0" xfId="0" applyFont="1"/>
    <xf numFmtId="0" fontId="107" fillId="2" borderId="21" xfId="60" applyFont="1" applyFill="1" applyBorder="1" applyAlignment="1">
      <alignment vertical="center"/>
    </xf>
    <xf numFmtId="0" fontId="94" fillId="0" borderId="22" xfId="2" applyFont="1" applyBorder="1" applyAlignment="1">
      <alignment horizontal="center" vertical="center"/>
    </xf>
    <xf numFmtId="0" fontId="47" fillId="2" borderId="84" xfId="0" applyFont="1" applyFill="1" applyBorder="1" applyAlignment="1">
      <alignment horizontal="center" vertical="center"/>
    </xf>
    <xf numFmtId="0" fontId="47" fillId="2" borderId="79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 textRotation="90" wrapText="1"/>
    </xf>
    <xf numFmtId="0" fontId="100" fillId="0" borderId="20" xfId="60" applyFont="1" applyBorder="1" applyAlignment="1">
      <alignment horizontal="center" vertical="center"/>
    </xf>
    <xf numFmtId="0" fontId="105" fillId="0" borderId="20" xfId="4" applyFont="1" applyBorder="1" applyAlignment="1">
      <alignment horizontal="left"/>
    </xf>
    <xf numFmtId="14" fontId="101" fillId="2" borderId="20" xfId="4" applyNumberFormat="1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47" fillId="2" borderId="30" xfId="0" applyFont="1" applyFill="1" applyBorder="1" applyAlignment="1">
      <alignment horizontal="center" vertical="center"/>
    </xf>
    <xf numFmtId="0" fontId="99" fillId="6" borderId="18" xfId="2" applyFont="1" applyFill="1" applyBorder="1" applyAlignment="1">
      <alignment horizontal="center" vertical="center"/>
    </xf>
    <xf numFmtId="0" fontId="99" fillId="6" borderId="11" xfId="2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 wrapText="1"/>
    </xf>
    <xf numFmtId="0" fontId="28" fillId="7" borderId="7" xfId="4" applyFont="1" applyFill="1" applyBorder="1" applyAlignment="1">
      <alignment horizontal="center" vertical="center" wrapText="1"/>
    </xf>
    <xf numFmtId="0" fontId="28" fillId="7" borderId="14" xfId="0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vertical="center"/>
    </xf>
    <xf numFmtId="0" fontId="28" fillId="9" borderId="4" xfId="0" applyFont="1" applyFill="1" applyBorder="1" applyAlignment="1">
      <alignment vertical="center"/>
    </xf>
    <xf numFmtId="0" fontId="108" fillId="0" borderId="0" xfId="0" applyFont="1"/>
    <xf numFmtId="0" fontId="109" fillId="2" borderId="21" xfId="60" applyFont="1" applyFill="1" applyBorder="1" applyAlignment="1">
      <alignment vertical="center"/>
    </xf>
    <xf numFmtId="0" fontId="101" fillId="12" borderId="21" xfId="4" applyFont="1" applyFill="1" applyBorder="1" applyAlignment="1">
      <alignment horizontal="center" vertical="center"/>
    </xf>
    <xf numFmtId="0" fontId="104" fillId="2" borderId="88" xfId="0" applyFont="1" applyFill="1" applyBorder="1" applyAlignment="1">
      <alignment vertical="center"/>
    </xf>
    <xf numFmtId="0" fontId="73" fillId="0" borderId="0" xfId="2" applyFont="1" applyAlignment="1">
      <alignment horizontal="center" vertical="center"/>
    </xf>
    <xf numFmtId="9" fontId="0" fillId="2" borderId="0" xfId="3" applyFont="1" applyFill="1" applyBorder="1" applyAlignment="1">
      <alignment horizontal="center"/>
    </xf>
    <xf numFmtId="0" fontId="35" fillId="2" borderId="21" xfId="60" applyFont="1" applyFill="1" applyBorder="1" applyAlignment="1">
      <alignment horizontal="center" vertical="center"/>
    </xf>
    <xf numFmtId="14" fontId="25" fillId="2" borderId="0" xfId="0" applyNumberFormat="1" applyFont="1" applyFill="1"/>
    <xf numFmtId="0" fontId="101" fillId="2" borderId="21" xfId="4" applyFont="1" applyFill="1" applyBorder="1" applyAlignment="1">
      <alignment horizontal="center" vertical="center" wrapText="1"/>
    </xf>
    <xf numFmtId="0" fontId="101" fillId="2" borderId="20" xfId="4" applyFont="1" applyFill="1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0" fillId="0" borderId="6" xfId="0" applyBorder="1"/>
    <xf numFmtId="0" fontId="101" fillId="2" borderId="84" xfId="4" applyFont="1" applyFill="1" applyBorder="1" applyAlignment="1">
      <alignment horizontal="center" vertical="center"/>
    </xf>
    <xf numFmtId="0" fontId="101" fillId="2" borderId="81" xfId="4" applyFont="1" applyFill="1" applyBorder="1" applyAlignment="1">
      <alignment horizontal="center" vertical="center"/>
    </xf>
    <xf numFmtId="0" fontId="101" fillId="2" borderId="36" xfId="4" applyFont="1" applyFill="1" applyBorder="1" applyAlignment="1">
      <alignment horizontal="center" vertical="center"/>
    </xf>
    <xf numFmtId="14" fontId="69" fillId="2" borderId="36" xfId="0" applyNumberFormat="1" applyFont="1" applyFill="1" applyBorder="1" applyAlignment="1" applyProtection="1">
      <alignment horizontal="center" vertical="center"/>
      <protection locked="0"/>
    </xf>
    <xf numFmtId="0" fontId="101" fillId="2" borderId="62" xfId="4" applyFont="1" applyFill="1" applyBorder="1" applyAlignment="1">
      <alignment horizontal="center" vertical="center"/>
    </xf>
    <xf numFmtId="0" fontId="35" fillId="0" borderId="37" xfId="60" applyFont="1" applyBorder="1" applyAlignment="1">
      <alignment horizontal="center" vertical="center"/>
    </xf>
    <xf numFmtId="14" fontId="101" fillId="2" borderId="37" xfId="4" applyNumberFormat="1" applyFont="1" applyFill="1" applyBorder="1" applyAlignment="1">
      <alignment horizontal="center" vertical="center"/>
    </xf>
    <xf numFmtId="0" fontId="101" fillId="2" borderId="38" xfId="4" applyFont="1" applyFill="1" applyBorder="1" applyAlignment="1">
      <alignment horizontal="center" vertical="center"/>
    </xf>
    <xf numFmtId="0" fontId="101" fillId="2" borderId="137" xfId="4" applyFont="1" applyFill="1" applyBorder="1" applyAlignment="1">
      <alignment horizontal="center" vertical="center"/>
    </xf>
    <xf numFmtId="0" fontId="101" fillId="2" borderId="117" xfId="4" applyFont="1" applyFill="1" applyBorder="1" applyAlignment="1">
      <alignment horizontal="center" vertical="center"/>
    </xf>
    <xf numFmtId="14" fontId="34" fillId="2" borderId="20" xfId="0" applyNumberFormat="1" applyFont="1" applyFill="1" applyBorder="1" applyAlignment="1" applyProtection="1">
      <alignment horizontal="center"/>
      <protection locked="0"/>
    </xf>
    <xf numFmtId="0" fontId="101" fillId="2" borderId="37" xfId="4" applyFont="1" applyFill="1" applyBorder="1" applyAlignment="1">
      <alignment horizontal="center" vertical="center"/>
    </xf>
    <xf numFmtId="14" fontId="34" fillId="2" borderId="37" xfId="0" applyNumberFormat="1" applyFont="1" applyFill="1" applyBorder="1" applyAlignment="1" applyProtection="1">
      <alignment horizontal="center"/>
      <protection locked="0"/>
    </xf>
    <xf numFmtId="14" fontId="44" fillId="2" borderId="0" xfId="0" applyNumberFormat="1" applyFont="1" applyFill="1" applyAlignment="1">
      <alignment horizontal="left"/>
    </xf>
    <xf numFmtId="0" fontId="111" fillId="0" borderId="0" xfId="0" applyFont="1"/>
    <xf numFmtId="0" fontId="73" fillId="8" borderId="48" xfId="2" applyFont="1" applyFill="1" applyBorder="1" applyAlignment="1">
      <alignment horizontal="center" vertical="center" textRotation="90" wrapText="1"/>
    </xf>
    <xf numFmtId="0" fontId="87" fillId="2" borderId="0" xfId="0" applyFont="1" applyFill="1"/>
    <xf numFmtId="0" fontId="87" fillId="0" borderId="21" xfId="0" applyFont="1" applyBorder="1"/>
    <xf numFmtId="0" fontId="87" fillId="2" borderId="21" xfId="0" applyFont="1" applyFill="1" applyBorder="1"/>
    <xf numFmtId="0" fontId="73" fillId="8" borderId="39" xfId="2" applyFont="1" applyFill="1" applyBorder="1" applyAlignment="1">
      <alignment horizontal="center" vertical="center" textRotation="90" wrapText="1"/>
    </xf>
    <xf numFmtId="14" fontId="8" fillId="2" borderId="0" xfId="2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7" fillId="0" borderId="0" xfId="2" applyFont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126" fillId="0" borderId="21" xfId="0" applyFont="1" applyBorder="1" applyAlignment="1">
      <alignment horizontal="center" vertical="center"/>
    </xf>
    <xf numFmtId="0" fontId="127" fillId="2" borderId="30" xfId="4" applyFont="1" applyFill="1" applyBorder="1" applyAlignment="1">
      <alignment horizontal="left" vertical="center"/>
    </xf>
    <xf numFmtId="0" fontId="127" fillId="2" borderId="20" xfId="4" applyFont="1" applyFill="1" applyBorder="1" applyAlignment="1">
      <alignment horizontal="left" vertical="center"/>
    </xf>
    <xf numFmtId="0" fontId="128" fillId="11" borderId="20" xfId="0" applyFont="1" applyFill="1" applyBorder="1" applyAlignment="1">
      <alignment horizontal="center" vertical="center" wrapText="1"/>
    </xf>
    <xf numFmtId="0" fontId="128" fillId="25" borderId="20" xfId="0" applyFont="1" applyFill="1" applyBorder="1" applyAlignment="1">
      <alignment horizontal="center" vertical="center" wrapText="1"/>
    </xf>
    <xf numFmtId="9" fontId="128" fillId="2" borderId="21" xfId="3" applyFont="1" applyFill="1" applyBorder="1" applyAlignment="1" applyProtection="1">
      <alignment horizontal="center"/>
      <protection locked="0"/>
    </xf>
    <xf numFmtId="0" fontId="127" fillId="2" borderId="84" xfId="4" applyFont="1" applyFill="1" applyBorder="1" applyAlignment="1">
      <alignment horizontal="left" vertical="center"/>
    </xf>
    <xf numFmtId="0" fontId="127" fillId="2" borderId="21" xfId="4" applyFont="1" applyFill="1" applyBorder="1" applyAlignment="1">
      <alignment horizontal="center" vertical="center"/>
    </xf>
    <xf numFmtId="0" fontId="127" fillId="2" borderId="21" xfId="4" applyFont="1" applyFill="1" applyBorder="1" applyAlignment="1">
      <alignment horizontal="left" vertical="center"/>
    </xf>
    <xf numFmtId="0" fontId="128" fillId="11" borderId="21" xfId="0" applyFont="1" applyFill="1" applyBorder="1" applyAlignment="1">
      <alignment horizontal="center" vertical="center" wrapText="1"/>
    </xf>
    <xf numFmtId="0" fontId="129" fillId="7" borderId="21" xfId="2" applyFont="1" applyFill="1" applyBorder="1" applyAlignment="1">
      <alignment horizontal="center" vertical="center" wrapText="1"/>
    </xf>
    <xf numFmtId="0" fontId="128" fillId="0" borderId="21" xfId="0" applyFont="1" applyBorder="1" applyAlignment="1">
      <alignment horizontal="center" vertical="center" wrapText="1"/>
    </xf>
    <xf numFmtId="0" fontId="128" fillId="31" borderId="21" xfId="0" applyFont="1" applyFill="1" applyBorder="1" applyAlignment="1">
      <alignment horizontal="center" vertical="center" wrapText="1"/>
    </xf>
    <xf numFmtId="0" fontId="130" fillId="13" borderId="21" xfId="2" applyFont="1" applyFill="1" applyBorder="1" applyAlignment="1">
      <alignment horizontal="center" vertical="center" wrapText="1"/>
    </xf>
    <xf numFmtId="0" fontId="128" fillId="27" borderId="21" xfId="0" applyFont="1" applyFill="1" applyBorder="1" applyAlignment="1">
      <alignment horizontal="center" vertical="center" wrapText="1"/>
    </xf>
    <xf numFmtId="0" fontId="129" fillId="12" borderId="21" xfId="2" applyFont="1" applyFill="1" applyBorder="1" applyAlignment="1">
      <alignment horizontal="center" vertical="center" wrapText="1"/>
    </xf>
    <xf numFmtId="0" fontId="128" fillId="15" borderId="21" xfId="0" applyFont="1" applyFill="1" applyBorder="1" applyAlignment="1">
      <alignment horizontal="center" vertical="center" wrapText="1"/>
    </xf>
    <xf numFmtId="0" fontId="126" fillId="11" borderId="21" xfId="0" applyFont="1" applyFill="1" applyBorder="1" applyAlignment="1">
      <alignment horizontal="center" vertical="center" wrapText="1"/>
    </xf>
    <xf numFmtId="0" fontId="128" fillId="28" borderId="21" xfId="0" applyFont="1" applyFill="1" applyBorder="1" applyAlignment="1">
      <alignment horizontal="center" vertical="center" wrapText="1"/>
    </xf>
    <xf numFmtId="0" fontId="126" fillId="10" borderId="21" xfId="0" applyFont="1" applyFill="1" applyBorder="1" applyAlignment="1">
      <alignment horizontal="center" vertical="center" wrapText="1"/>
    </xf>
    <xf numFmtId="0" fontId="128" fillId="10" borderId="21" xfId="0" applyFont="1" applyFill="1" applyBorder="1" applyAlignment="1">
      <alignment horizontal="center" vertical="center" wrapText="1"/>
    </xf>
    <xf numFmtId="0" fontId="126" fillId="0" borderId="21" xfId="0" applyFont="1" applyBorder="1" applyAlignment="1">
      <alignment horizontal="center" vertical="center" wrapText="1"/>
    </xf>
    <xf numFmtId="0" fontId="128" fillId="5" borderId="2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26" fillId="5" borderId="21" xfId="0" applyFont="1" applyFill="1" applyBorder="1" applyAlignment="1">
      <alignment horizontal="center" vertical="center" wrapText="1"/>
    </xf>
    <xf numFmtId="0" fontId="126" fillId="2" borderId="21" xfId="2" applyFont="1" applyFill="1" applyBorder="1" applyAlignment="1">
      <alignment horizontal="center" vertical="center" wrapText="1"/>
    </xf>
    <xf numFmtId="0" fontId="126" fillId="0" borderId="21" xfId="0" applyFont="1" applyBorder="1"/>
    <xf numFmtId="0" fontId="132" fillId="2" borderId="84" xfId="4" applyFont="1" applyFill="1" applyBorder="1" applyAlignment="1">
      <alignment horizontal="left" vertical="center"/>
    </xf>
    <xf numFmtId="14" fontId="131" fillId="2" borderId="21" xfId="0" applyNumberFormat="1" applyFont="1" applyFill="1" applyBorder="1" applyAlignment="1" applyProtection="1">
      <alignment horizontal="left" vertical="center"/>
      <protection locked="0"/>
    </xf>
    <xf numFmtId="0" fontId="128" fillId="2" borderId="21" xfId="2" applyFont="1" applyFill="1" applyBorder="1" applyAlignment="1">
      <alignment horizontal="center" vertical="center" wrapText="1"/>
    </xf>
    <xf numFmtId="0" fontId="128" fillId="2" borderId="21" xfId="0" applyFont="1" applyFill="1" applyBorder="1" applyAlignment="1">
      <alignment horizontal="center" vertical="center" wrapText="1"/>
    </xf>
    <xf numFmtId="0" fontId="128" fillId="2" borderId="20" xfId="2" applyFont="1" applyFill="1" applyBorder="1" applyAlignment="1">
      <alignment horizontal="center" vertical="center" wrapText="1"/>
    </xf>
    <xf numFmtId="0" fontId="131" fillId="0" borderId="21" xfId="0" applyFont="1" applyBorder="1" applyAlignment="1">
      <alignment horizontal="center" vertical="center" wrapText="1"/>
    </xf>
    <xf numFmtId="0" fontId="128" fillId="2" borderId="79" xfId="0" applyFont="1" applyFill="1" applyBorder="1" applyAlignment="1">
      <alignment horizontal="center" vertical="center" wrapText="1"/>
    </xf>
    <xf numFmtId="0" fontId="128" fillId="11" borderId="87" xfId="0" applyFont="1" applyFill="1" applyBorder="1" applyAlignment="1">
      <alignment horizontal="center" vertical="center" wrapText="1"/>
    </xf>
    <xf numFmtId="0" fontId="128" fillId="14" borderId="21" xfId="2" applyFont="1" applyFill="1" applyBorder="1" applyAlignment="1">
      <alignment horizontal="center" vertical="center" wrapText="1"/>
    </xf>
    <xf numFmtId="0" fontId="133" fillId="2" borderId="84" xfId="4" applyFont="1" applyFill="1" applyBorder="1" applyAlignment="1">
      <alignment horizontal="left" vertical="center"/>
    </xf>
    <xf numFmtId="0" fontId="131" fillId="0" borderId="34" xfId="0" applyFont="1" applyBorder="1" applyAlignment="1">
      <alignment horizontal="center" vertical="center" wrapText="1"/>
    </xf>
    <xf numFmtId="0" fontId="131" fillId="0" borderId="36" xfId="0" applyFont="1" applyBorder="1" applyAlignment="1">
      <alignment horizontal="center" vertical="center" wrapText="1"/>
    </xf>
    <xf numFmtId="0" fontId="128" fillId="26" borderId="21" xfId="0" applyFont="1" applyFill="1" applyBorder="1" applyAlignment="1">
      <alignment horizontal="center" vertical="center" wrapText="1"/>
    </xf>
    <xf numFmtId="0" fontId="131" fillId="2" borderId="21" xfId="0" applyFont="1" applyFill="1" applyBorder="1" applyAlignment="1">
      <alignment horizontal="center" vertical="center" wrapText="1"/>
    </xf>
    <xf numFmtId="0" fontId="134" fillId="0" borderId="21" xfId="60" applyFont="1" applyBorder="1" applyAlignment="1">
      <alignment horizontal="center" vertical="center"/>
    </xf>
    <xf numFmtId="0" fontId="134" fillId="2" borderId="21" xfId="60" applyFont="1" applyFill="1" applyBorder="1" applyAlignment="1">
      <alignment horizontal="center" vertical="center"/>
    </xf>
    <xf numFmtId="0" fontId="135" fillId="2" borderId="17" xfId="2" applyFont="1" applyFill="1" applyBorder="1" applyAlignment="1" applyProtection="1">
      <alignment horizontal="center" vertical="center"/>
      <protection locked="0"/>
    </xf>
    <xf numFmtId="9" fontId="126" fillId="2" borderId="21" xfId="3" applyFont="1" applyFill="1" applyBorder="1" applyAlignment="1">
      <alignment horizontal="center"/>
    </xf>
    <xf numFmtId="0" fontId="134" fillId="0" borderId="21" xfId="60" applyFont="1" applyBorder="1" applyAlignment="1">
      <alignment horizontal="left" vertical="center"/>
    </xf>
    <xf numFmtId="0" fontId="110" fillId="0" borderId="79" xfId="60" applyFont="1" applyBorder="1" applyAlignment="1">
      <alignment horizontal="left" vertical="center"/>
    </xf>
    <xf numFmtId="9" fontId="46" fillId="2" borderId="79" xfId="3" applyFont="1" applyFill="1" applyBorder="1" applyAlignment="1" applyProtection="1">
      <alignment horizontal="center"/>
      <protection locked="0"/>
    </xf>
    <xf numFmtId="9" fontId="44" fillId="2" borderId="79" xfId="3" applyFont="1" applyFill="1" applyBorder="1" applyAlignment="1">
      <alignment horizontal="center"/>
    </xf>
    <xf numFmtId="0" fontId="130" fillId="0" borderId="24" xfId="2" applyFont="1" applyBorder="1" applyAlignment="1">
      <alignment horizontal="center" vertical="center"/>
    </xf>
    <xf numFmtId="9" fontId="128" fillId="2" borderId="24" xfId="3" applyFont="1" applyFill="1" applyBorder="1" applyAlignment="1" applyProtection="1">
      <alignment horizontal="center" vertical="center"/>
      <protection locked="0"/>
    </xf>
    <xf numFmtId="9" fontId="126" fillId="2" borderId="24" xfId="3" applyFont="1" applyFill="1" applyBorder="1" applyAlignment="1">
      <alignment horizontal="center" vertical="center"/>
    </xf>
    <xf numFmtId="14" fontId="136" fillId="2" borderId="0" xfId="2" applyNumberFormat="1" applyFont="1" applyFill="1" applyAlignment="1">
      <alignment horizontal="left" vertical="center"/>
    </xf>
    <xf numFmtId="0" fontId="65" fillId="2" borderId="0" xfId="0" applyFont="1" applyFill="1" applyAlignment="1">
      <alignment horizontal="left" vertical="center"/>
    </xf>
    <xf numFmtId="14" fontId="65" fillId="2" borderId="0" xfId="0" applyNumberFormat="1" applyFont="1" applyFill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91" fillId="0" borderId="0" xfId="2" applyFont="1" applyAlignment="1">
      <alignment horizontal="left" vertical="center"/>
    </xf>
    <xf numFmtId="0" fontId="116" fillId="0" borderId="0" xfId="0" applyFont="1"/>
    <xf numFmtId="0" fontId="76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1" fillId="2" borderId="0" xfId="0" applyFont="1" applyFill="1" applyAlignment="1">
      <alignment vertical="center"/>
    </xf>
    <xf numFmtId="0" fontId="138" fillId="2" borderId="0" xfId="2" applyFont="1" applyFill="1" applyAlignment="1">
      <alignment horizontal="left" vertical="center"/>
    </xf>
    <xf numFmtId="0" fontId="49" fillId="9" borderId="31" xfId="0" applyFont="1" applyFill="1" applyBorder="1" applyAlignment="1">
      <alignment vertical="center"/>
    </xf>
    <xf numFmtId="14" fontId="124" fillId="2" borderId="20" xfId="4" applyNumberFormat="1" applyFont="1" applyFill="1" applyBorder="1" applyAlignment="1">
      <alignment horizontal="left" vertical="center"/>
    </xf>
    <xf numFmtId="14" fontId="124" fillId="2" borderId="21" xfId="4" applyNumberFormat="1" applyFont="1" applyFill="1" applyBorder="1" applyAlignment="1">
      <alignment horizontal="left" vertical="center"/>
    </xf>
    <xf numFmtId="14" fontId="77" fillId="2" borderId="21" xfId="0" applyNumberFormat="1" applyFont="1" applyFill="1" applyBorder="1" applyAlignment="1" applyProtection="1">
      <alignment horizontal="left" vertical="center"/>
      <protection locked="0"/>
    </xf>
    <xf numFmtId="14" fontId="105" fillId="0" borderId="59" xfId="4" applyNumberFormat="1" applyFont="1" applyBorder="1" applyAlignment="1">
      <alignment horizontal="left" vertical="center"/>
    </xf>
    <xf numFmtId="14" fontId="125" fillId="2" borderId="100" xfId="2" applyNumberFormat="1" applyFont="1" applyFill="1" applyBorder="1" applyAlignment="1" applyProtection="1">
      <alignment horizontal="left" vertical="center"/>
      <protection locked="0"/>
    </xf>
    <xf numFmtId="14" fontId="124" fillId="2" borderId="0" xfId="4" applyNumberFormat="1" applyFont="1" applyFill="1" applyAlignment="1">
      <alignment horizontal="left" vertical="center"/>
    </xf>
    <xf numFmtId="0" fontId="127" fillId="2" borderId="20" xfId="4" applyFont="1" applyFill="1" applyBorder="1" applyAlignment="1">
      <alignment horizontal="center" vertical="center" wrapText="1"/>
    </xf>
    <xf numFmtId="0" fontId="127" fillId="2" borderId="20" xfId="4" applyFont="1" applyFill="1" applyBorder="1" applyAlignment="1">
      <alignment horizontal="left" vertical="center" wrapText="1"/>
    </xf>
    <xf numFmtId="0" fontId="127" fillId="2" borderId="21" xfId="4" applyFont="1" applyFill="1" applyBorder="1" applyAlignment="1">
      <alignment horizontal="center" vertical="center" wrapText="1"/>
    </xf>
    <xf numFmtId="0" fontId="134" fillId="0" borderId="21" xfId="60" applyFont="1" applyBorder="1" applyAlignment="1">
      <alignment horizontal="center" vertical="center" wrapText="1"/>
    </xf>
    <xf numFmtId="0" fontId="134" fillId="2" borderId="21" xfId="60" applyFont="1" applyFill="1" applyBorder="1" applyAlignment="1">
      <alignment horizontal="center" vertical="center" wrapText="1"/>
    </xf>
    <xf numFmtId="0" fontId="127" fillId="2" borderId="21" xfId="4" applyFont="1" applyFill="1" applyBorder="1" applyAlignment="1">
      <alignment horizontal="left" vertical="center" wrapText="1"/>
    </xf>
    <xf numFmtId="9" fontId="128" fillId="2" borderId="21" xfId="3" applyFont="1" applyFill="1" applyBorder="1" applyAlignment="1" applyProtection="1">
      <alignment horizontal="center" vertical="center"/>
      <protection locked="0"/>
    </xf>
    <xf numFmtId="9" fontId="126" fillId="2" borderId="21" xfId="3" applyFont="1" applyFill="1" applyBorder="1" applyAlignment="1">
      <alignment horizontal="center" vertical="center"/>
    </xf>
    <xf numFmtId="9" fontId="51" fillId="2" borderId="21" xfId="3" applyFont="1" applyFill="1" applyBorder="1" applyAlignment="1">
      <alignment horizontal="center" vertical="center"/>
    </xf>
    <xf numFmtId="0" fontId="77" fillId="2" borderId="21" xfId="2" applyFont="1" applyFill="1" applyBorder="1" applyAlignment="1">
      <alignment horizontal="center" vertical="center" wrapText="1"/>
    </xf>
    <xf numFmtId="0" fontId="77" fillId="2" borderId="21" xfId="0" applyFont="1" applyFill="1" applyBorder="1" applyAlignment="1">
      <alignment horizontal="center" vertical="center" wrapText="1"/>
    </xf>
    <xf numFmtId="0" fontId="148" fillId="0" borderId="21" xfId="0" applyFont="1" applyBorder="1" applyAlignment="1">
      <alignment horizontal="center" vertical="center" wrapText="1"/>
    </xf>
    <xf numFmtId="0" fontId="77" fillId="11" borderId="21" xfId="0" applyFont="1" applyFill="1" applyBorder="1" applyAlignment="1">
      <alignment horizontal="center" vertical="center" wrapText="1"/>
    </xf>
    <xf numFmtId="0" fontId="51" fillId="2" borderId="21" xfId="0" applyFont="1" applyFill="1" applyBorder="1" applyAlignment="1">
      <alignment horizontal="center" vertical="center" wrapText="1"/>
    </xf>
    <xf numFmtId="0" fontId="148" fillId="2" borderId="21" xfId="0" applyFont="1" applyFill="1" applyBorder="1" applyAlignment="1">
      <alignment horizontal="center" vertical="center" wrapText="1"/>
    </xf>
    <xf numFmtId="0" fontId="77" fillId="3" borderId="21" xfId="0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center"/>
    </xf>
    <xf numFmtId="9" fontId="51" fillId="2" borderId="21" xfId="3" applyFont="1" applyFill="1" applyBorder="1" applyAlignment="1" applyProtection="1">
      <alignment horizontal="center"/>
      <protection locked="0"/>
    </xf>
    <xf numFmtId="9" fontId="51" fillId="2" borderId="21" xfId="3" applyFont="1" applyFill="1" applyBorder="1" applyAlignment="1">
      <alignment horizontal="center"/>
    </xf>
    <xf numFmtId="0" fontId="152" fillId="0" borderId="24" xfId="2" applyFont="1" applyBorder="1" applyAlignment="1">
      <alignment horizontal="center" vertical="center"/>
    </xf>
    <xf numFmtId="9" fontId="153" fillId="2" borderId="3" xfId="3" applyFont="1" applyFill="1" applyBorder="1" applyAlignment="1" applyProtection="1">
      <alignment horizontal="center" vertical="center"/>
      <protection locked="0"/>
    </xf>
    <xf numFmtId="9" fontId="153" fillId="2" borderId="21" xfId="3" applyFont="1" applyFill="1" applyBorder="1" applyAlignment="1">
      <alignment horizontal="center" vertical="center"/>
    </xf>
    <xf numFmtId="0" fontId="151" fillId="0" borderId="0" xfId="2" applyFont="1" applyAlignment="1">
      <alignment horizontal="center" vertical="center"/>
    </xf>
    <xf numFmtId="9" fontId="153" fillId="2" borderId="24" xfId="3" applyFont="1" applyFill="1" applyBorder="1" applyAlignment="1" applyProtection="1">
      <alignment horizontal="center" vertical="center"/>
      <protection locked="0"/>
    </xf>
    <xf numFmtId="9" fontId="153" fillId="2" borderId="11" xfId="3" applyFont="1" applyFill="1" applyBorder="1" applyAlignment="1">
      <alignment horizontal="center" vertical="center"/>
    </xf>
    <xf numFmtId="0" fontId="155" fillId="2" borderId="21" xfId="60" applyFont="1" applyFill="1" applyBorder="1" applyAlignment="1">
      <alignment horizontal="center" vertical="center"/>
    </xf>
    <xf numFmtId="0" fontId="156" fillId="2" borderId="21" xfId="0" applyFont="1" applyFill="1" applyBorder="1" applyAlignment="1">
      <alignment horizontal="center" vertical="center" wrapText="1"/>
    </xf>
    <xf numFmtId="0" fontId="157" fillId="2" borderId="21" xfId="4" applyFont="1" applyFill="1" applyBorder="1" applyAlignment="1">
      <alignment horizontal="center" vertical="center" wrapText="1"/>
    </xf>
    <xf numFmtId="14" fontId="158" fillId="2" borderId="21" xfId="0" applyNumberFormat="1" applyFont="1" applyFill="1" applyBorder="1" applyAlignment="1" applyProtection="1">
      <alignment horizontal="center" vertical="center"/>
      <protection locked="0"/>
    </xf>
    <xf numFmtId="0" fontId="49" fillId="9" borderId="0" xfId="0" applyFont="1" applyFill="1" applyAlignment="1">
      <alignment vertical="center"/>
    </xf>
    <xf numFmtId="0" fontId="131" fillId="2" borderId="20" xfId="0" applyFont="1" applyFill="1" applyBorder="1" applyAlignment="1">
      <alignment horizontal="center" vertical="center" wrapText="1"/>
    </xf>
    <xf numFmtId="9" fontId="128" fillId="2" borderId="20" xfId="3" applyFont="1" applyFill="1" applyBorder="1" applyAlignment="1" applyProtection="1">
      <alignment horizontal="center" vertical="center"/>
      <protection locked="0"/>
    </xf>
    <xf numFmtId="9" fontId="126" fillId="2" borderId="20" xfId="3" applyFont="1" applyFill="1" applyBorder="1" applyAlignment="1">
      <alignment horizontal="center" vertical="center"/>
    </xf>
    <xf numFmtId="0" fontId="105" fillId="2" borderId="20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66" fillId="2" borderId="0" xfId="3" applyFont="1" applyFill="1" applyBorder="1" applyAlignment="1" applyProtection="1">
      <alignment horizontal="center" vertical="center"/>
      <protection locked="0"/>
    </xf>
    <xf numFmtId="9" fontId="44" fillId="2" borderId="0" xfId="3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 wrapText="1"/>
    </xf>
    <xf numFmtId="14" fontId="26" fillId="2" borderId="20" xfId="4" applyNumberFormat="1" applyFont="1" applyFill="1" applyBorder="1" applyAlignment="1">
      <alignment horizontal="center" vertical="center"/>
    </xf>
    <xf numFmtId="0" fontId="145" fillId="2" borderId="20" xfId="60" applyFont="1" applyFill="1" applyBorder="1" applyAlignment="1">
      <alignment horizontal="center" vertical="center"/>
    </xf>
    <xf numFmtId="0" fontId="160" fillId="0" borderId="0" xfId="1" applyFont="1"/>
    <xf numFmtId="0" fontId="162" fillId="2" borderId="137" xfId="0" applyFont="1" applyFill="1" applyBorder="1" applyAlignment="1">
      <alignment horizontal="center" vertical="center" wrapText="1"/>
    </xf>
    <xf numFmtId="9" fontId="162" fillId="2" borderId="140" xfId="3" applyFont="1" applyFill="1" applyBorder="1" applyAlignment="1" applyProtection="1">
      <alignment horizontal="center" vertical="center"/>
      <protection locked="0"/>
    </xf>
    <xf numFmtId="9" fontId="163" fillId="2" borderId="11" xfId="3" applyFont="1" applyFill="1" applyBorder="1" applyAlignment="1">
      <alignment horizontal="center" vertical="center"/>
    </xf>
    <xf numFmtId="0" fontId="162" fillId="2" borderId="81" xfId="0" applyFont="1" applyFill="1" applyBorder="1" applyAlignment="1">
      <alignment horizontal="center" vertical="center" wrapText="1"/>
    </xf>
    <xf numFmtId="0" fontId="165" fillId="2" borderId="24" xfId="0" applyFont="1" applyFill="1" applyBorder="1" applyAlignment="1">
      <alignment horizontal="center" vertical="center" wrapText="1"/>
    </xf>
    <xf numFmtId="0" fontId="92" fillId="0" borderId="0" xfId="2" applyFont="1" applyAlignment="1">
      <alignment horizontal="center" vertical="center"/>
    </xf>
    <xf numFmtId="0" fontId="89" fillId="0" borderId="24" xfId="2" applyFont="1" applyBorder="1" applyAlignment="1">
      <alignment horizontal="center" vertical="center"/>
    </xf>
    <xf numFmtId="0" fontId="47" fillId="2" borderId="30" xfId="0" applyFont="1" applyFill="1" applyBorder="1" applyAlignment="1">
      <alignment horizontal="center" vertical="center" textRotation="90"/>
    </xf>
    <xf numFmtId="0" fontId="168" fillId="0" borderId="24" xfId="1" applyFont="1" applyBorder="1" applyAlignment="1">
      <alignment horizontal="center" vertical="center"/>
    </xf>
    <xf numFmtId="14" fontId="168" fillId="0" borderId="24" xfId="1" applyNumberFormat="1" applyFont="1" applyBorder="1" applyAlignment="1">
      <alignment horizontal="center" vertical="center"/>
    </xf>
    <xf numFmtId="0" fontId="137" fillId="0" borderId="60" xfId="1" applyFont="1" applyBorder="1" applyAlignment="1">
      <alignment horizontal="center" vertical="center"/>
    </xf>
    <xf numFmtId="0" fontId="137" fillId="0" borderId="24" xfId="1" applyFont="1" applyBorder="1" applyAlignment="1">
      <alignment horizontal="center" vertical="center"/>
    </xf>
    <xf numFmtId="0" fontId="39" fillId="2" borderId="0" xfId="0" applyFont="1" applyFill="1" applyAlignment="1">
      <alignment vertical="center"/>
    </xf>
    <xf numFmtId="0" fontId="52" fillId="2" borderId="0" xfId="0" applyFont="1" applyFill="1" applyAlignment="1">
      <alignment vertical="center"/>
    </xf>
    <xf numFmtId="0" fontId="76" fillId="7" borderId="3" xfId="0" applyFont="1" applyFill="1" applyBorder="1" applyAlignment="1">
      <alignment horizontal="center" vertical="center"/>
    </xf>
    <xf numFmtId="0" fontId="169" fillId="7" borderId="3" xfId="0" applyFont="1" applyFill="1" applyBorder="1" applyAlignment="1">
      <alignment horizontal="center" vertical="center" wrapText="1"/>
    </xf>
    <xf numFmtId="0" fontId="170" fillId="7" borderId="3" xfId="4" applyFont="1" applyFill="1" applyBorder="1" applyAlignment="1">
      <alignment horizontal="center" vertical="center" wrapText="1"/>
    </xf>
    <xf numFmtId="0" fontId="76" fillId="7" borderId="24" xfId="0" applyFont="1" applyFill="1" applyBorder="1" applyAlignment="1">
      <alignment horizontal="center" vertical="center"/>
    </xf>
    <xf numFmtId="0" fontId="172" fillId="7" borderId="3" xfId="0" applyFont="1" applyFill="1" applyBorder="1" applyAlignment="1">
      <alignment horizontal="center" vertical="center" wrapText="1"/>
    </xf>
    <xf numFmtId="0" fontId="172" fillId="7" borderId="5" xfId="0" applyFont="1" applyFill="1" applyBorder="1" applyAlignment="1">
      <alignment horizontal="center" vertical="center" wrapText="1"/>
    </xf>
    <xf numFmtId="0" fontId="76" fillId="7" borderId="11" xfId="0" applyFont="1" applyFill="1" applyBorder="1" applyAlignment="1">
      <alignment horizontal="center" vertical="center" textRotation="90"/>
    </xf>
    <xf numFmtId="1" fontId="77" fillId="5" borderId="84" xfId="0" applyNumberFormat="1" applyFont="1" applyFill="1" applyBorder="1" applyAlignment="1">
      <alignment horizontal="center" vertical="center" wrapText="1"/>
    </xf>
    <xf numFmtId="1" fontId="77" fillId="5" borderId="21" xfId="0" applyNumberFormat="1" applyFont="1" applyFill="1" applyBorder="1" applyAlignment="1">
      <alignment horizontal="center" vertical="center" wrapText="1"/>
    </xf>
    <xf numFmtId="1" fontId="77" fillId="5" borderId="36" xfId="0" applyNumberFormat="1" applyFont="1" applyFill="1" applyBorder="1" applyAlignment="1">
      <alignment horizontal="center" vertical="center" wrapText="1"/>
    </xf>
    <xf numFmtId="0" fontId="51" fillId="2" borderId="94" xfId="4" applyFont="1" applyFill="1" applyBorder="1" applyAlignment="1">
      <alignment horizontal="center" vertical="center"/>
    </xf>
    <xf numFmtId="0" fontId="51" fillId="2" borderId="25" xfId="4" applyFont="1" applyFill="1" applyBorder="1" applyAlignment="1">
      <alignment horizontal="center" vertical="center"/>
    </xf>
    <xf numFmtId="14" fontId="77" fillId="2" borderId="16" xfId="0" applyNumberFormat="1" applyFont="1" applyFill="1" applyBorder="1" applyAlignment="1" applyProtection="1">
      <alignment horizontal="center" vertical="center"/>
      <protection locked="0"/>
    </xf>
    <xf numFmtId="0" fontId="174" fillId="7" borderId="6" xfId="0" applyFont="1" applyFill="1" applyBorder="1" applyAlignment="1">
      <alignment horizontal="center" vertical="center"/>
    </xf>
    <xf numFmtId="0" fontId="175" fillId="7" borderId="6" xfId="0" applyFont="1" applyFill="1" applyBorder="1" applyAlignment="1">
      <alignment horizontal="center" vertical="center" wrapText="1"/>
    </xf>
    <xf numFmtId="0" fontId="176" fillId="7" borderId="6" xfId="4" applyFont="1" applyFill="1" applyBorder="1" applyAlignment="1">
      <alignment horizontal="center" vertical="center" wrapText="1"/>
    </xf>
    <xf numFmtId="0" fontId="174" fillId="7" borderId="24" xfId="0" applyFont="1" applyFill="1" applyBorder="1" applyAlignment="1">
      <alignment horizontal="center" vertical="center"/>
    </xf>
    <xf numFmtId="0" fontId="174" fillId="7" borderId="18" xfId="0" applyFont="1" applyFill="1" applyBorder="1" applyAlignment="1">
      <alignment horizontal="center" vertical="center"/>
    </xf>
    <xf numFmtId="0" fontId="174" fillId="7" borderId="15" xfId="0" applyFont="1" applyFill="1" applyBorder="1" applyAlignment="1">
      <alignment horizontal="center" vertical="center" textRotation="90"/>
    </xf>
    <xf numFmtId="0" fontId="174" fillId="7" borderId="11" xfId="0" applyFont="1" applyFill="1" applyBorder="1" applyAlignment="1">
      <alignment horizontal="center" vertical="center"/>
    </xf>
    <xf numFmtId="0" fontId="178" fillId="7" borderId="3" xfId="0" applyFont="1" applyFill="1" applyBorder="1" applyAlignment="1">
      <alignment horizontal="center" vertical="center" wrapText="1"/>
    </xf>
    <xf numFmtId="0" fontId="178" fillId="7" borderId="2" xfId="0" applyFont="1" applyFill="1" applyBorder="1" applyAlignment="1">
      <alignment horizontal="center" vertical="center" wrapText="1"/>
    </xf>
    <xf numFmtId="0" fontId="77" fillId="5" borderId="21" xfId="0" applyFont="1" applyFill="1" applyBorder="1" applyAlignment="1">
      <alignment horizontal="center" vertical="center" wrapText="1"/>
    </xf>
    <xf numFmtId="0" fontId="77" fillId="5" borderId="88" xfId="0" applyFont="1" applyFill="1" applyBorder="1" applyAlignment="1">
      <alignment horizontal="center" vertical="center" wrapText="1"/>
    </xf>
    <xf numFmtId="0" fontId="77" fillId="0" borderId="21" xfId="0" applyFont="1" applyBorder="1" applyAlignment="1">
      <alignment horizontal="center" vertical="center" wrapText="1"/>
    </xf>
    <xf numFmtId="0" fontId="125" fillId="0" borderId="16" xfId="2" applyFont="1" applyBorder="1" applyAlignment="1" applyProtection="1">
      <alignment horizontal="center" vertical="center"/>
      <protection locked="0"/>
    </xf>
    <xf numFmtId="0" fontId="125" fillId="2" borderId="17" xfId="2" applyFont="1" applyFill="1" applyBorder="1" applyAlignment="1" applyProtection="1">
      <alignment horizontal="center" vertical="center"/>
      <protection locked="0"/>
    </xf>
    <xf numFmtId="14" fontId="77" fillId="2" borderId="58" xfId="0" applyNumberFormat="1" applyFont="1" applyFill="1" applyBorder="1" applyAlignment="1" applyProtection="1">
      <alignment horizontal="center" vertical="center"/>
      <protection locked="0"/>
    </xf>
    <xf numFmtId="0" fontId="125" fillId="2" borderId="16" xfId="2" applyFont="1" applyFill="1" applyBorder="1" applyAlignment="1" applyProtection="1">
      <alignment horizontal="center" vertical="center"/>
      <protection locked="0"/>
    </xf>
    <xf numFmtId="14" fontId="125" fillId="2" borderId="100" xfId="2" applyNumberFormat="1" applyFont="1" applyFill="1" applyBorder="1" applyAlignment="1" applyProtection="1">
      <alignment horizontal="center" vertical="center"/>
      <protection locked="0"/>
    </xf>
    <xf numFmtId="0" fontId="51" fillId="2" borderId="94" xfId="4" applyFont="1" applyFill="1" applyBorder="1" applyAlignment="1">
      <alignment horizontal="center" vertical="center" wrapText="1"/>
    </xf>
    <xf numFmtId="14" fontId="167" fillId="0" borderId="24" xfId="1" applyNumberFormat="1" applyFont="1" applyBorder="1" applyAlignment="1">
      <alignment vertical="center"/>
    </xf>
    <xf numFmtId="0" fontId="168" fillId="0" borderId="24" xfId="1" applyFont="1" applyBorder="1" applyAlignment="1">
      <alignment vertical="center"/>
    </xf>
    <xf numFmtId="0" fontId="174" fillId="16" borderId="4" xfId="0" applyFont="1" applyFill="1" applyBorder="1" applyAlignment="1">
      <alignment vertical="center"/>
    </xf>
    <xf numFmtId="0" fontId="166" fillId="0" borderId="24" xfId="2" applyFont="1" applyBorder="1" applyAlignment="1">
      <alignment horizontal="center" vertical="center"/>
    </xf>
    <xf numFmtId="0" fontId="127" fillId="2" borderId="118" xfId="4" applyFont="1" applyFill="1" applyBorder="1" applyAlignment="1">
      <alignment horizontal="center" vertical="center"/>
    </xf>
    <xf numFmtId="0" fontId="127" fillId="2" borderId="119" xfId="4" applyFont="1" applyFill="1" applyBorder="1" applyAlignment="1">
      <alignment horizontal="center" vertical="center"/>
    </xf>
    <xf numFmtId="14" fontId="127" fillId="2" borderId="119" xfId="4" applyNumberFormat="1" applyFont="1" applyFill="1" applyBorder="1" applyAlignment="1">
      <alignment horizontal="center" vertical="center"/>
    </xf>
    <xf numFmtId="14" fontId="128" fillId="2" borderId="119" xfId="0" applyNumberFormat="1" applyFont="1" applyFill="1" applyBorder="1" applyAlignment="1" applyProtection="1">
      <alignment horizontal="center" vertical="center"/>
      <protection locked="0"/>
    </xf>
    <xf numFmtId="0" fontId="127" fillId="0" borderId="120" xfId="4" applyFont="1" applyBorder="1" applyAlignment="1">
      <alignment horizontal="center" vertical="center"/>
    </xf>
    <xf numFmtId="0" fontId="128" fillId="12" borderId="74" xfId="0" applyFont="1" applyFill="1" applyBorder="1" applyAlignment="1">
      <alignment horizontal="center" vertical="center" wrapText="1"/>
    </xf>
    <xf numFmtId="0" fontId="128" fillId="2" borderId="27" xfId="0" applyFont="1" applyFill="1" applyBorder="1" applyAlignment="1">
      <alignment horizontal="center" vertical="center" wrapText="1"/>
    </xf>
    <xf numFmtId="0" fontId="128" fillId="12" borderId="27" xfId="0" applyFont="1" applyFill="1" applyBorder="1" applyAlignment="1">
      <alignment horizontal="center" vertical="center" wrapText="1"/>
    </xf>
    <xf numFmtId="0" fontId="128" fillId="2" borderId="75" xfId="0" applyFont="1" applyFill="1" applyBorder="1" applyAlignment="1">
      <alignment horizontal="center" vertical="center" wrapText="1"/>
    </xf>
    <xf numFmtId="9" fontId="128" fillId="2" borderId="103" xfId="3" applyFont="1" applyFill="1" applyBorder="1" applyAlignment="1" applyProtection="1">
      <alignment horizontal="center" vertical="center"/>
      <protection locked="0"/>
    </xf>
    <xf numFmtId="0" fontId="182" fillId="0" borderId="0" xfId="0" applyFont="1" applyAlignment="1">
      <alignment vertical="center"/>
    </xf>
    <xf numFmtId="0" fontId="132" fillId="2" borderId="121" xfId="4" applyFont="1" applyFill="1" applyBorder="1" applyAlignment="1">
      <alignment horizontal="center" vertical="center"/>
    </xf>
    <xf numFmtId="0" fontId="132" fillId="2" borderId="122" xfId="4" applyFont="1" applyFill="1" applyBorder="1" applyAlignment="1">
      <alignment horizontal="center" vertical="center"/>
    </xf>
    <xf numFmtId="14" fontId="132" fillId="2" borderId="122" xfId="4" applyNumberFormat="1" applyFont="1" applyFill="1" applyBorder="1" applyAlignment="1">
      <alignment horizontal="center" vertical="center"/>
    </xf>
    <xf numFmtId="14" fontId="128" fillId="2" borderId="122" xfId="0" applyNumberFormat="1" applyFont="1" applyFill="1" applyBorder="1" applyAlignment="1" applyProtection="1">
      <alignment horizontal="center" vertical="center"/>
      <protection locked="0"/>
    </xf>
    <xf numFmtId="0" fontId="127" fillId="30" borderId="123" xfId="4" applyFont="1" applyFill="1" applyBorder="1" applyAlignment="1">
      <alignment horizontal="center" vertical="center"/>
    </xf>
    <xf numFmtId="0" fontId="128" fillId="2" borderId="26" xfId="0" applyFont="1" applyFill="1" applyBorder="1" applyAlignment="1">
      <alignment horizontal="center" vertical="center" wrapText="1"/>
    </xf>
    <xf numFmtId="0" fontId="128" fillId="2" borderId="28" xfId="0" applyFont="1" applyFill="1" applyBorder="1" applyAlignment="1">
      <alignment horizontal="center" vertical="center" wrapText="1"/>
    </xf>
    <xf numFmtId="0" fontId="128" fillId="12" borderId="28" xfId="0" applyFont="1" applyFill="1" applyBorder="1" applyAlignment="1">
      <alignment horizontal="center" vertical="center" wrapText="1"/>
    </xf>
    <xf numFmtId="0" fontId="128" fillId="2" borderId="76" xfId="0" applyFont="1" applyFill="1" applyBorder="1" applyAlignment="1">
      <alignment horizontal="center" vertical="center" wrapText="1"/>
    </xf>
    <xf numFmtId="0" fontId="127" fillId="0" borderId="123" xfId="4" applyFont="1" applyBorder="1" applyAlignment="1">
      <alignment horizontal="center" vertical="center"/>
    </xf>
    <xf numFmtId="0" fontId="128" fillId="11" borderId="28" xfId="0" applyFont="1" applyFill="1" applyBorder="1" applyAlignment="1">
      <alignment horizontal="center" vertical="center" wrapText="1"/>
    </xf>
    <xf numFmtId="0" fontId="127" fillId="2" borderId="121" xfId="4" applyFont="1" applyFill="1" applyBorder="1" applyAlignment="1">
      <alignment horizontal="center" vertical="center"/>
    </xf>
    <xf numFmtId="0" fontId="127" fillId="2" borderId="122" xfId="4" applyFont="1" applyFill="1" applyBorder="1" applyAlignment="1">
      <alignment horizontal="center" vertical="center"/>
    </xf>
    <xf numFmtId="14" fontId="127" fillId="2" borderId="122" xfId="4" applyNumberFormat="1" applyFont="1" applyFill="1" applyBorder="1" applyAlignment="1">
      <alignment horizontal="center" vertical="center"/>
    </xf>
    <xf numFmtId="0" fontId="128" fillId="12" borderId="26" xfId="0" applyFont="1" applyFill="1" applyBorder="1" applyAlignment="1">
      <alignment horizontal="center" vertical="center" wrapText="1"/>
    </xf>
    <xf numFmtId="0" fontId="127" fillId="2" borderId="138" xfId="4" applyFont="1" applyFill="1" applyBorder="1" applyAlignment="1">
      <alignment horizontal="center" vertical="center"/>
    </xf>
    <xf numFmtId="0" fontId="127" fillId="2" borderId="139" xfId="4" applyFont="1" applyFill="1" applyBorder="1" applyAlignment="1">
      <alignment horizontal="center" vertical="center"/>
    </xf>
    <xf numFmtId="14" fontId="127" fillId="2" borderId="139" xfId="4" applyNumberFormat="1" applyFont="1" applyFill="1" applyBorder="1" applyAlignment="1">
      <alignment horizontal="center" vertical="center"/>
    </xf>
    <xf numFmtId="0" fontId="127" fillId="2" borderId="124" xfId="4" applyFont="1" applyFill="1" applyBorder="1" applyAlignment="1">
      <alignment horizontal="center" vertical="center"/>
    </xf>
    <xf numFmtId="0" fontId="127" fillId="2" borderId="125" xfId="4" applyFont="1" applyFill="1" applyBorder="1" applyAlignment="1">
      <alignment horizontal="center" vertical="center"/>
    </xf>
    <xf numFmtId="14" fontId="128" fillId="2" borderId="125" xfId="0" applyNumberFormat="1" applyFont="1" applyFill="1" applyBorder="1" applyAlignment="1" applyProtection="1">
      <alignment horizontal="center" vertical="center"/>
      <protection locked="0"/>
    </xf>
    <xf numFmtId="0" fontId="127" fillId="0" borderId="126" xfId="4" applyFont="1" applyBorder="1" applyAlignment="1">
      <alignment horizontal="center" vertical="center"/>
    </xf>
    <xf numFmtId="0" fontId="128" fillId="2" borderId="77" xfId="0" applyFont="1" applyFill="1" applyBorder="1" applyAlignment="1">
      <alignment horizontal="center" vertical="center" wrapText="1"/>
    </xf>
    <xf numFmtId="0" fontId="128" fillId="2" borderId="29" xfId="0" applyFont="1" applyFill="1" applyBorder="1" applyAlignment="1">
      <alignment horizontal="center" vertical="center" wrapText="1"/>
    </xf>
    <xf numFmtId="0" fontId="128" fillId="2" borderId="115" xfId="0" applyFont="1" applyFill="1" applyBorder="1" applyAlignment="1">
      <alignment horizontal="center" vertical="center" wrapText="1"/>
    </xf>
    <xf numFmtId="0" fontId="183" fillId="2" borderId="0" xfId="2" applyFont="1" applyFill="1" applyAlignment="1">
      <alignment horizontal="left"/>
    </xf>
    <xf numFmtId="0" fontId="185" fillId="0" borderId="21" xfId="60" applyFont="1" applyBorder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53" fillId="2" borderId="0" xfId="0" applyFont="1" applyFill="1" applyAlignment="1">
      <alignment horizontal="center"/>
    </xf>
    <xf numFmtId="14" fontId="76" fillId="2" borderId="0" xfId="0" applyNumberFormat="1" applyFont="1" applyFill="1" applyAlignment="1">
      <alignment horizontal="center"/>
    </xf>
    <xf numFmtId="0" fontId="0" fillId="0" borderId="23" xfId="0" applyBorder="1"/>
    <xf numFmtId="0" fontId="0" fillId="0" borderId="2" xfId="0" applyBorder="1"/>
    <xf numFmtId="0" fontId="0" fillId="0" borderId="22" xfId="0" applyBorder="1"/>
    <xf numFmtId="0" fontId="0" fillId="0" borderId="7" xfId="0" applyBorder="1"/>
    <xf numFmtId="0" fontId="126" fillId="2" borderId="21" xfId="0" applyFont="1" applyFill="1" applyBorder="1" applyAlignment="1">
      <alignment horizontal="center" vertical="center"/>
    </xf>
    <xf numFmtId="0" fontId="185" fillId="2" borderId="21" xfId="60" applyFont="1" applyFill="1" applyBorder="1" applyAlignment="1">
      <alignment vertical="center"/>
    </xf>
    <xf numFmtId="0" fontId="76" fillId="7" borderId="24" xfId="0" applyFont="1" applyFill="1" applyBorder="1" applyAlignment="1">
      <alignment horizontal="center" vertical="center" textRotation="90" wrapText="1"/>
    </xf>
    <xf numFmtId="0" fontId="50" fillId="2" borderId="0" xfId="0" applyFont="1" applyFill="1" applyAlignment="1">
      <alignment horizontal="center" vertical="center"/>
    </xf>
    <xf numFmtId="0" fontId="145" fillId="21" borderId="20" xfId="60" applyFont="1" applyFill="1" applyBorder="1" applyAlignment="1">
      <alignment horizontal="center" vertical="center"/>
    </xf>
    <xf numFmtId="0" fontId="105" fillId="21" borderId="20" xfId="4" applyFont="1" applyFill="1" applyBorder="1" applyAlignment="1">
      <alignment horizontal="center" vertical="center" wrapText="1"/>
    </xf>
    <xf numFmtId="14" fontId="26" fillId="21" borderId="20" xfId="4" applyNumberFormat="1" applyFont="1" applyFill="1" applyBorder="1" applyAlignment="1">
      <alignment horizontal="center" vertical="center"/>
    </xf>
    <xf numFmtId="0" fontId="47" fillId="21" borderId="20" xfId="0" applyFont="1" applyFill="1" applyBorder="1" applyAlignment="1">
      <alignment horizontal="center" vertical="center" wrapText="1"/>
    </xf>
    <xf numFmtId="0" fontId="160" fillId="0" borderId="1" xfId="1" applyFont="1" applyBorder="1" applyAlignment="1">
      <alignment horizontal="center"/>
    </xf>
    <xf numFmtId="0" fontId="160" fillId="0" borderId="23" xfId="1" applyFont="1" applyBorder="1" applyAlignment="1">
      <alignment horizontal="center"/>
    </xf>
    <xf numFmtId="0" fontId="160" fillId="0" borderId="2" xfId="1" applyFont="1" applyBorder="1" applyAlignment="1">
      <alignment horizontal="center"/>
    </xf>
    <xf numFmtId="0" fontId="160" fillId="0" borderId="6" xfId="1" applyFont="1" applyBorder="1" applyAlignment="1">
      <alignment horizontal="center"/>
    </xf>
    <xf numFmtId="0" fontId="160" fillId="0" borderId="22" xfId="1" applyFont="1" applyBorder="1" applyAlignment="1">
      <alignment horizontal="center"/>
    </xf>
    <xf numFmtId="0" fontId="160" fillId="0" borderId="7" xfId="1" applyFont="1" applyBorder="1" applyAlignment="1">
      <alignment horizontal="center"/>
    </xf>
    <xf numFmtId="0" fontId="141" fillId="0" borderId="5" xfId="1" applyFont="1" applyBorder="1" applyAlignment="1">
      <alignment horizontal="center" vertical="center"/>
    </xf>
    <xf numFmtId="0" fontId="141" fillId="0" borderId="24" xfId="1" applyFont="1" applyBorder="1" applyAlignment="1">
      <alignment horizontal="center" vertical="center"/>
    </xf>
    <xf numFmtId="14" fontId="161" fillId="0" borderId="24" xfId="1" applyNumberFormat="1" applyFont="1" applyBorder="1" applyAlignment="1">
      <alignment horizontal="center" vertical="center"/>
    </xf>
    <xf numFmtId="0" fontId="140" fillId="20" borderId="19" xfId="0" applyFont="1" applyFill="1" applyBorder="1" applyAlignment="1">
      <alignment horizontal="center" vertical="center"/>
    </xf>
    <xf numFmtId="9" fontId="76" fillId="19" borderId="19" xfId="0" applyNumberFormat="1" applyFont="1" applyFill="1" applyBorder="1" applyAlignment="1">
      <alignment horizontal="center" vertical="center"/>
    </xf>
    <xf numFmtId="0" fontId="76" fillId="19" borderId="19" xfId="0" applyFont="1" applyFill="1" applyBorder="1" applyAlignment="1">
      <alignment horizontal="center" vertical="center"/>
    </xf>
    <xf numFmtId="0" fontId="76" fillId="19" borderId="20" xfId="0" applyFont="1" applyFill="1" applyBorder="1" applyAlignment="1">
      <alignment horizontal="center" vertical="center"/>
    </xf>
    <xf numFmtId="0" fontId="28" fillId="9" borderId="13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9" borderId="14" xfId="0" applyFont="1" applyFill="1" applyBorder="1" applyAlignment="1">
      <alignment horizontal="center" vertical="center"/>
    </xf>
    <xf numFmtId="0" fontId="139" fillId="7" borderId="24" xfId="4" applyFont="1" applyFill="1" applyBorder="1" applyAlignment="1">
      <alignment horizontal="center" vertical="center" wrapText="1"/>
    </xf>
    <xf numFmtId="0" fontId="139" fillId="7" borderId="24" xfId="0" applyFont="1" applyFill="1" applyBorder="1" applyAlignment="1">
      <alignment horizontal="center" vertical="center" wrapText="1"/>
    </xf>
    <xf numFmtId="0" fontId="139" fillId="7" borderId="24" xfId="0" applyFont="1" applyFill="1" applyBorder="1" applyAlignment="1">
      <alignment horizontal="center" vertical="center" textRotation="90" wrapText="1"/>
    </xf>
    <xf numFmtId="0" fontId="112" fillId="7" borderId="24" xfId="0" applyFont="1" applyFill="1" applyBorder="1" applyAlignment="1">
      <alignment horizontal="center" textRotation="90" wrapText="1"/>
    </xf>
    <xf numFmtId="0" fontId="112" fillId="7" borderId="24" xfId="0" applyFont="1" applyFill="1" applyBorder="1" applyAlignment="1">
      <alignment horizontal="center" vertical="center" textRotation="90" wrapText="1"/>
    </xf>
    <xf numFmtId="0" fontId="112" fillId="7" borderId="24" xfId="4" applyFont="1" applyFill="1" applyBorder="1" applyAlignment="1">
      <alignment horizontal="center" vertical="center" textRotation="90" wrapText="1"/>
    </xf>
    <xf numFmtId="0" fontId="76" fillId="7" borderId="24" xfId="0" applyFont="1" applyFill="1" applyBorder="1" applyAlignment="1">
      <alignment horizontal="center" vertical="center" textRotation="90"/>
    </xf>
    <xf numFmtId="0" fontId="92" fillId="8" borderId="24" xfId="2" applyFont="1" applyFill="1" applyBorder="1" applyAlignment="1">
      <alignment horizontal="center" vertical="center" textRotation="90" wrapText="1"/>
    </xf>
    <xf numFmtId="0" fontId="76" fillId="7" borderId="24" xfId="0" applyFont="1" applyFill="1" applyBorder="1" applyAlignment="1">
      <alignment horizontal="center" vertical="center" textRotation="90" wrapText="1"/>
    </xf>
    <xf numFmtId="0" fontId="159" fillId="6" borderId="18" xfId="2" applyFont="1" applyFill="1" applyBorder="1" applyAlignment="1">
      <alignment horizontal="center" vertical="center" textRotation="90"/>
    </xf>
    <xf numFmtId="0" fontId="159" fillId="6" borderId="15" xfId="2" applyFont="1" applyFill="1" applyBorder="1" applyAlignment="1">
      <alignment horizontal="center" vertical="center" textRotation="90"/>
    </xf>
    <xf numFmtId="0" fontId="159" fillId="6" borderId="11" xfId="2" applyFont="1" applyFill="1" applyBorder="1" applyAlignment="1">
      <alignment horizontal="center" vertical="center" textRotation="90"/>
    </xf>
    <xf numFmtId="0" fontId="112" fillId="7" borderId="24" xfId="4" applyFont="1" applyFill="1" applyBorder="1" applyAlignment="1">
      <alignment horizontal="right" vertical="center" textRotation="90" wrapText="1"/>
    </xf>
    <xf numFmtId="0" fontId="112" fillId="7" borderId="24" xfId="4" applyFont="1" applyFill="1" applyBorder="1" applyAlignment="1">
      <alignment horizontal="left" vertical="center" textRotation="90" wrapText="1"/>
    </xf>
    <xf numFmtId="0" fontId="112" fillId="7" borderId="24" xfId="0" applyFont="1" applyFill="1" applyBorder="1" applyAlignment="1">
      <alignment horizontal="left" vertical="center" textRotation="90" wrapText="1"/>
    </xf>
    <xf numFmtId="0" fontId="112" fillId="7" borderId="24" xfId="0" applyFont="1" applyFill="1" applyBorder="1" applyAlignment="1">
      <alignment horizontal="left" textRotation="90" wrapText="1"/>
    </xf>
    <xf numFmtId="0" fontId="112" fillId="7" borderId="24" xfId="0" applyFont="1" applyFill="1" applyBorder="1" applyAlignment="1">
      <alignment horizontal="right" vertical="center" textRotation="90" wrapText="1"/>
    </xf>
    <xf numFmtId="0" fontId="189" fillId="7" borderId="24" xfId="0" applyFont="1" applyFill="1" applyBorder="1" applyAlignment="1">
      <alignment horizontal="center" vertical="center" textRotation="90" wrapText="1"/>
    </xf>
    <xf numFmtId="0" fontId="188" fillId="7" borderId="24" xfId="0" applyFont="1" applyFill="1" applyBorder="1" applyAlignment="1">
      <alignment horizontal="center" vertical="center" textRotation="90" wrapText="1"/>
    </xf>
    <xf numFmtId="0" fontId="165" fillId="2" borderId="13" xfId="2" applyFont="1" applyFill="1" applyBorder="1" applyAlignment="1">
      <alignment horizontal="center" vertical="center"/>
    </xf>
    <xf numFmtId="0" fontId="165" fillId="2" borderId="48" xfId="2" applyFont="1" applyFill="1" applyBorder="1" applyAlignment="1">
      <alignment horizontal="center" vertical="center"/>
    </xf>
    <xf numFmtId="0" fontId="165" fillId="2" borderId="112" xfId="2" applyFont="1" applyFill="1" applyBorder="1" applyAlignment="1">
      <alignment horizontal="center" vertical="center"/>
    </xf>
    <xf numFmtId="0" fontId="165" fillId="2" borderId="30" xfId="2" applyFont="1" applyFill="1" applyBorder="1" applyAlignment="1">
      <alignment horizontal="center" vertical="center"/>
    </xf>
    <xf numFmtId="0" fontId="164" fillId="0" borderId="24" xfId="2" applyFont="1" applyBorder="1" applyAlignment="1">
      <alignment horizontal="center" vertical="center"/>
    </xf>
    <xf numFmtId="0" fontId="119" fillId="4" borderId="21" xfId="2" applyFont="1" applyFill="1" applyBorder="1" applyAlignment="1">
      <alignment horizontal="center" vertical="center" wrapText="1"/>
    </xf>
    <xf numFmtId="0" fontId="147" fillId="0" borderId="21" xfId="2" applyFont="1" applyBorder="1" applyAlignment="1">
      <alignment horizontal="left" vertical="top" wrapText="1"/>
    </xf>
    <xf numFmtId="0" fontId="117" fillId="3" borderId="0" xfId="0" applyFont="1" applyFill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5" fillId="18" borderId="23" xfId="0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5" fillId="18" borderId="13" xfId="0" applyFont="1" applyFill="1" applyBorder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5" fillId="18" borderId="14" xfId="0" applyFont="1" applyFill="1" applyBorder="1" applyAlignment="1">
      <alignment horizontal="center" vertical="center"/>
    </xf>
    <xf numFmtId="0" fontId="25" fillId="18" borderId="6" xfId="0" applyFont="1" applyFill="1" applyBorder="1" applyAlignment="1">
      <alignment horizontal="center" vertical="center"/>
    </xf>
    <xf numFmtId="0" fontId="25" fillId="18" borderId="22" xfId="0" applyFont="1" applyFill="1" applyBorder="1" applyAlignment="1">
      <alignment horizontal="center" vertical="center"/>
    </xf>
    <xf numFmtId="0" fontId="25" fillId="18" borderId="7" xfId="0" applyFont="1" applyFill="1" applyBorder="1" applyAlignment="1">
      <alignment horizontal="center" vertical="center"/>
    </xf>
    <xf numFmtId="9" fontId="25" fillId="18" borderId="23" xfId="0" applyNumberFormat="1" applyFont="1" applyFill="1" applyBorder="1" applyAlignment="1">
      <alignment horizontal="center" vertical="center"/>
    </xf>
    <xf numFmtId="0" fontId="27" fillId="8" borderId="15" xfId="2" applyFont="1" applyFill="1" applyBorder="1" applyAlignment="1">
      <alignment horizontal="center" vertical="center" wrapText="1"/>
    </xf>
    <xf numFmtId="9" fontId="50" fillId="2" borderId="21" xfId="3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 wrapText="1"/>
    </xf>
    <xf numFmtId="0" fontId="28" fillId="7" borderId="24" xfId="4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 wrapText="1"/>
    </xf>
    <xf numFmtId="0" fontId="37" fillId="7" borderId="24" xfId="0" applyFont="1" applyFill="1" applyBorder="1" applyAlignment="1">
      <alignment horizontal="center" vertical="center" wrapText="1"/>
    </xf>
    <xf numFmtId="0" fontId="28" fillId="7" borderId="24" xfId="0" applyFont="1" applyFill="1" applyBorder="1" applyAlignment="1">
      <alignment horizontal="center" vertical="center" textRotation="90"/>
    </xf>
    <xf numFmtId="0" fontId="14" fillId="0" borderId="21" xfId="2" applyFont="1" applyBorder="1" applyAlignment="1">
      <alignment horizontal="left" vertical="center" wrapText="1"/>
    </xf>
    <xf numFmtId="0" fontId="21" fillId="0" borderId="21" xfId="2" applyFont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36" fillId="4" borderId="50" xfId="2" applyFont="1" applyFill="1" applyBorder="1" applyAlignment="1">
      <alignment horizontal="center" vertical="center" wrapText="1"/>
    </xf>
    <xf numFmtId="0" fontId="36" fillId="4" borderId="43" xfId="2" applyFont="1" applyFill="1" applyBorder="1" applyAlignment="1">
      <alignment horizontal="center" vertical="center" wrapText="1"/>
    </xf>
    <xf numFmtId="0" fontId="36" fillId="4" borderId="66" xfId="2" applyFont="1" applyFill="1" applyBorder="1" applyAlignment="1">
      <alignment horizontal="center" vertical="center" wrapText="1"/>
    </xf>
    <xf numFmtId="0" fontId="36" fillId="4" borderId="67" xfId="2" applyFont="1" applyFill="1" applyBorder="1" applyAlignment="1">
      <alignment horizontal="center" vertical="center" wrapText="1"/>
    </xf>
    <xf numFmtId="0" fontId="36" fillId="4" borderId="68" xfId="2" applyFont="1" applyFill="1" applyBorder="1" applyAlignment="1">
      <alignment horizontal="center" vertical="center" wrapText="1"/>
    </xf>
    <xf numFmtId="0" fontId="36" fillId="4" borderId="30" xfId="2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8" fillId="7" borderId="24" xfId="4" applyFont="1" applyFill="1" applyBorder="1" applyAlignment="1">
      <alignment vertical="center" wrapText="1"/>
    </xf>
    <xf numFmtId="0" fontId="33" fillId="0" borderId="18" xfId="2" applyFont="1" applyBorder="1" applyAlignment="1">
      <alignment horizontal="center" vertical="center"/>
    </xf>
    <xf numFmtId="0" fontId="33" fillId="0" borderId="11" xfId="2" applyFont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0" fontId="27" fillId="0" borderId="4" xfId="2" applyFont="1" applyBorder="1" applyAlignment="1">
      <alignment horizontal="center" vertical="center"/>
    </xf>
    <xf numFmtId="0" fontId="27" fillId="0" borderId="5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29" fillId="8" borderId="23" xfId="2" applyFont="1" applyFill="1" applyBorder="1" applyAlignment="1">
      <alignment horizontal="center" vertical="center" wrapText="1"/>
    </xf>
    <xf numFmtId="0" fontId="27" fillId="8" borderId="18" xfId="2" applyFont="1" applyFill="1" applyBorder="1" applyAlignment="1">
      <alignment horizontal="center" vertical="center" wrapText="1"/>
    </xf>
    <xf numFmtId="0" fontId="27" fillId="6" borderId="9" xfId="2" applyFont="1" applyFill="1" applyBorder="1" applyAlignment="1">
      <alignment horizontal="center" vertical="center"/>
    </xf>
    <xf numFmtId="0" fontId="27" fillId="6" borderId="12" xfId="2" applyFont="1" applyFill="1" applyBorder="1" applyAlignment="1">
      <alignment horizontal="center" vertical="center"/>
    </xf>
    <xf numFmtId="0" fontId="27" fillId="6" borderId="10" xfId="2" applyFont="1" applyFill="1" applyBorder="1" applyAlignment="1">
      <alignment horizontal="center" vertical="center"/>
    </xf>
    <xf numFmtId="0" fontId="27" fillId="6" borderId="13" xfId="2" applyFont="1" applyFill="1" applyBorder="1" applyAlignment="1">
      <alignment horizontal="center" vertical="center"/>
    </xf>
    <xf numFmtId="0" fontId="38" fillId="0" borderId="64" xfId="1" applyFont="1" applyBorder="1" applyAlignment="1">
      <alignment horizontal="center" vertical="center"/>
    </xf>
    <xf numFmtId="0" fontId="38" fillId="0" borderId="65" xfId="1" applyFont="1" applyBorder="1" applyAlignment="1">
      <alignment horizontal="center" vertical="center"/>
    </xf>
    <xf numFmtId="14" fontId="38" fillId="0" borderId="47" xfId="1" applyNumberFormat="1" applyFont="1" applyBorder="1" applyAlignment="1">
      <alignment horizontal="center" vertical="center"/>
    </xf>
    <xf numFmtId="14" fontId="38" fillId="0" borderId="41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38" fillId="0" borderId="3" xfId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27" fillId="6" borderId="18" xfId="2" applyFont="1" applyFill="1" applyBorder="1" applyAlignment="1">
      <alignment horizontal="center" vertical="center"/>
    </xf>
    <xf numFmtId="0" fontId="27" fillId="6" borderId="15" xfId="2" applyFont="1" applyFill="1" applyBorder="1" applyAlignment="1">
      <alignment horizontal="center" vertical="center"/>
    </xf>
    <xf numFmtId="0" fontId="27" fillId="6" borderId="11" xfId="2" applyFont="1" applyFill="1" applyBorder="1" applyAlignment="1">
      <alignment horizontal="center" vertical="center"/>
    </xf>
    <xf numFmtId="0" fontId="27" fillId="6" borderId="2" xfId="2" applyFont="1" applyFill="1" applyBorder="1" applyAlignment="1">
      <alignment horizontal="center" vertical="center"/>
    </xf>
    <xf numFmtId="0" fontId="27" fillId="6" borderId="14" xfId="2" applyFont="1" applyFill="1" applyBorder="1" applyAlignment="1">
      <alignment horizontal="center" vertical="center"/>
    </xf>
    <xf numFmtId="0" fontId="27" fillId="6" borderId="7" xfId="2" applyFont="1" applyFill="1" applyBorder="1" applyAlignment="1">
      <alignment horizontal="center" vertical="center"/>
    </xf>
    <xf numFmtId="0" fontId="27" fillId="6" borderId="80" xfId="2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29" fillId="8" borderId="57" xfId="2" applyFont="1" applyFill="1" applyBorder="1" applyAlignment="1">
      <alignment horizontal="center" vertical="center" wrapText="1"/>
    </xf>
    <xf numFmtId="0" fontId="29" fillId="8" borderId="51" xfId="2" applyFont="1" applyFill="1" applyBorder="1" applyAlignment="1">
      <alignment horizontal="center" vertical="center" wrapText="1"/>
    </xf>
    <xf numFmtId="0" fontId="28" fillId="7" borderId="13" xfId="0" applyFont="1" applyFill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 textRotation="90"/>
    </xf>
    <xf numFmtId="0" fontId="28" fillId="7" borderId="15" xfId="0" applyFont="1" applyFill="1" applyBorder="1" applyAlignment="1">
      <alignment horizontal="center" vertical="center" textRotation="90"/>
    </xf>
    <xf numFmtId="0" fontId="28" fillId="7" borderId="11" xfId="0" applyFont="1" applyFill="1" applyBorder="1" applyAlignment="1">
      <alignment horizontal="center" vertical="center" textRotation="90"/>
    </xf>
    <xf numFmtId="0" fontId="28" fillId="9" borderId="52" xfId="0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5" xfId="0" applyFont="1" applyFill="1" applyBorder="1" applyAlignment="1">
      <alignment horizontal="center" vertical="center"/>
    </xf>
    <xf numFmtId="0" fontId="23" fillId="7" borderId="40" xfId="0" applyFont="1" applyFill="1" applyBorder="1" applyAlignment="1">
      <alignment horizontal="center" vertical="center" wrapText="1"/>
    </xf>
    <xf numFmtId="0" fontId="23" fillId="7" borderId="62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/>
    </xf>
    <xf numFmtId="0" fontId="31" fillId="12" borderId="18" xfId="4" applyFont="1" applyFill="1" applyBorder="1" applyAlignment="1">
      <alignment horizontal="center" vertical="center" wrapText="1"/>
    </xf>
    <xf numFmtId="0" fontId="31" fillId="12" borderId="11" xfId="4" applyFont="1" applyFill="1" applyBorder="1" applyAlignment="1">
      <alignment horizontal="center" vertical="center" wrapText="1"/>
    </xf>
    <xf numFmtId="0" fontId="30" fillId="12" borderId="18" xfId="0" applyFont="1" applyFill="1" applyBorder="1" applyAlignment="1">
      <alignment horizontal="center" vertical="center" wrapText="1"/>
    </xf>
    <xf numFmtId="0" fontId="30" fillId="12" borderId="1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/>
    </xf>
    <xf numFmtId="0" fontId="30" fillId="7" borderId="46" xfId="0" applyFont="1" applyFill="1" applyBorder="1" applyAlignment="1">
      <alignment horizontal="center" vertical="center" wrapText="1"/>
    </xf>
    <xf numFmtId="0" fontId="30" fillId="7" borderId="47" xfId="0" applyFont="1" applyFill="1" applyBorder="1" applyAlignment="1">
      <alignment horizontal="center" vertical="center" wrapText="1"/>
    </xf>
    <xf numFmtId="0" fontId="14" fillId="4" borderId="21" xfId="2" applyFont="1" applyFill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1" xfId="0" applyFont="1" applyFill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27" fillId="8" borderId="2" xfId="2" applyFont="1" applyFill="1" applyBorder="1" applyAlignment="1">
      <alignment horizontal="center" vertical="center" wrapText="1"/>
    </xf>
    <xf numFmtId="0" fontId="27" fillId="8" borderId="14" xfId="2" applyFont="1" applyFill="1" applyBorder="1" applyAlignment="1">
      <alignment horizontal="center" vertical="center" wrapText="1"/>
    </xf>
    <xf numFmtId="0" fontId="27" fillId="8" borderId="7" xfId="2" applyFont="1" applyFill="1" applyBorder="1" applyAlignment="1">
      <alignment horizontal="center" vertical="center" wrapText="1"/>
    </xf>
    <xf numFmtId="0" fontId="39" fillId="21" borderId="1" xfId="0" applyFont="1" applyFill="1" applyBorder="1" applyAlignment="1">
      <alignment horizontal="center" vertical="center"/>
    </xf>
    <xf numFmtId="0" fontId="39" fillId="21" borderId="23" xfId="0" applyFont="1" applyFill="1" applyBorder="1" applyAlignment="1">
      <alignment horizontal="center" vertical="center"/>
    </xf>
    <xf numFmtId="0" fontId="39" fillId="21" borderId="2" xfId="0" applyFont="1" applyFill="1" applyBorder="1" applyAlignment="1">
      <alignment horizontal="center" vertical="center"/>
    </xf>
    <xf numFmtId="0" fontId="39" fillId="21" borderId="13" xfId="0" applyFont="1" applyFill="1" applyBorder="1" applyAlignment="1">
      <alignment horizontal="center" vertical="center"/>
    </xf>
    <xf numFmtId="0" fontId="39" fillId="21" borderId="0" xfId="0" applyFont="1" applyFill="1" applyAlignment="1">
      <alignment horizontal="center" vertical="center"/>
    </xf>
    <xf numFmtId="0" fontId="39" fillId="21" borderId="14" xfId="0" applyFont="1" applyFill="1" applyBorder="1" applyAlignment="1">
      <alignment horizontal="center" vertical="center"/>
    </xf>
    <xf numFmtId="0" fontId="39" fillId="21" borderId="90" xfId="0" applyFont="1" applyFill="1" applyBorder="1" applyAlignment="1">
      <alignment horizontal="center" vertical="center"/>
    </xf>
    <xf numFmtId="0" fontId="39" fillId="21" borderId="89" xfId="0" applyFont="1" applyFill="1" applyBorder="1" applyAlignment="1">
      <alignment horizontal="center" vertical="center"/>
    </xf>
    <xf numFmtId="0" fontId="39" fillId="21" borderId="91" xfId="0" applyFont="1" applyFill="1" applyBorder="1" applyAlignment="1">
      <alignment horizontal="center" vertical="center"/>
    </xf>
    <xf numFmtId="9" fontId="51" fillId="19" borderId="18" xfId="3" applyFont="1" applyFill="1" applyBorder="1" applyAlignment="1">
      <alignment horizontal="center" vertical="center"/>
    </xf>
    <xf numFmtId="9" fontId="51" fillId="19" borderId="15" xfId="3" applyFont="1" applyFill="1" applyBorder="1" applyAlignment="1">
      <alignment horizontal="center" vertical="center"/>
    </xf>
    <xf numFmtId="9" fontId="51" fillId="19" borderId="11" xfId="3" applyFont="1" applyFill="1" applyBorder="1" applyAlignment="1">
      <alignment horizontal="center" vertical="center"/>
    </xf>
    <xf numFmtId="9" fontId="53" fillId="19" borderId="18" xfId="3" applyFont="1" applyFill="1" applyBorder="1" applyAlignment="1">
      <alignment horizontal="center" vertical="center"/>
    </xf>
    <xf numFmtId="9" fontId="53" fillId="19" borderId="15" xfId="3" applyFont="1" applyFill="1" applyBorder="1" applyAlignment="1">
      <alignment horizontal="center" vertical="center"/>
    </xf>
    <xf numFmtId="9" fontId="53" fillId="19" borderId="11" xfId="3" applyFont="1" applyFill="1" applyBorder="1" applyAlignment="1">
      <alignment horizontal="center" vertical="center"/>
    </xf>
    <xf numFmtId="0" fontId="76" fillId="7" borderId="18" xfId="0" applyFont="1" applyFill="1" applyBorder="1" applyAlignment="1">
      <alignment horizontal="center" vertical="center"/>
    </xf>
    <xf numFmtId="0" fontId="76" fillId="7" borderId="11" xfId="0" applyFont="1" applyFill="1" applyBorder="1" applyAlignment="1">
      <alignment horizontal="center" vertical="center"/>
    </xf>
    <xf numFmtId="0" fontId="172" fillId="7" borderId="18" xfId="0" applyFont="1" applyFill="1" applyBorder="1" applyAlignment="1">
      <alignment horizontal="center" vertical="center" textRotation="90" wrapText="1"/>
    </xf>
    <xf numFmtId="0" fontId="172" fillId="7" borderId="15" xfId="0" applyFont="1" applyFill="1" applyBorder="1" applyAlignment="1">
      <alignment horizontal="center" vertical="center" textRotation="90" wrapText="1"/>
    </xf>
    <xf numFmtId="0" fontId="40" fillId="4" borderId="40" xfId="2" applyFont="1" applyFill="1" applyBorder="1" applyAlignment="1">
      <alignment horizontal="center" vertical="center" wrapText="1"/>
    </xf>
    <xf numFmtId="0" fontId="40" fillId="4" borderId="104" xfId="2" applyFont="1" applyFill="1" applyBorder="1" applyAlignment="1">
      <alignment horizontal="center" vertical="center" wrapText="1"/>
    </xf>
    <xf numFmtId="0" fontId="40" fillId="4" borderId="34" xfId="2" applyFont="1" applyFill="1" applyBorder="1" applyAlignment="1">
      <alignment horizontal="center" vertical="center" wrapText="1"/>
    </xf>
    <xf numFmtId="0" fontId="40" fillId="4" borderId="81" xfId="2" applyFont="1" applyFill="1" applyBorder="1" applyAlignment="1">
      <alignment horizontal="center" vertical="center" wrapText="1"/>
    </xf>
    <xf numFmtId="0" fontId="40" fillId="4" borderId="84" xfId="2" applyFont="1" applyFill="1" applyBorder="1" applyAlignment="1">
      <alignment horizontal="center" vertical="center" wrapText="1"/>
    </xf>
    <xf numFmtId="0" fontId="40" fillId="4" borderId="21" xfId="2" applyFont="1" applyFill="1" applyBorder="1" applyAlignment="1">
      <alignment horizontal="center" vertical="center" wrapText="1"/>
    </xf>
    <xf numFmtId="0" fontId="173" fillId="4" borderId="34" xfId="2" applyFont="1" applyFill="1" applyBorder="1" applyAlignment="1">
      <alignment horizontal="center" vertical="center" wrapText="1"/>
    </xf>
    <xf numFmtId="0" fontId="173" fillId="4" borderId="21" xfId="2" applyFont="1" applyFill="1" applyBorder="1" applyAlignment="1">
      <alignment horizontal="center" vertical="center" wrapText="1"/>
    </xf>
    <xf numFmtId="0" fontId="173" fillId="4" borderId="82" xfId="2" applyFont="1" applyFill="1" applyBorder="1" applyAlignment="1">
      <alignment horizontal="center" vertical="center" wrapText="1"/>
    </xf>
    <xf numFmtId="0" fontId="173" fillId="4" borderId="2" xfId="2" applyFont="1" applyFill="1" applyBorder="1" applyAlignment="1">
      <alignment horizontal="center" vertical="center" wrapText="1"/>
    </xf>
    <xf numFmtId="0" fontId="173" fillId="4" borderId="67" xfId="2" applyFont="1" applyFill="1" applyBorder="1" applyAlignment="1">
      <alignment horizontal="center" vertical="center" wrapText="1"/>
    </xf>
    <xf numFmtId="0" fontId="173" fillId="4" borderId="83" xfId="2" applyFont="1" applyFill="1" applyBorder="1" applyAlignment="1">
      <alignment horizontal="center" vertical="center" wrapText="1"/>
    </xf>
    <xf numFmtId="0" fontId="172" fillId="7" borderId="11" xfId="0" applyFont="1" applyFill="1" applyBorder="1" applyAlignment="1">
      <alignment horizontal="center" vertical="center" textRotation="90" wrapText="1"/>
    </xf>
    <xf numFmtId="0" fontId="76" fillId="7" borderId="1" xfId="0" applyFont="1" applyFill="1" applyBorder="1" applyAlignment="1">
      <alignment horizontal="center" vertical="center"/>
    </xf>
    <xf numFmtId="0" fontId="76" fillId="7" borderId="6" xfId="0" applyFont="1" applyFill="1" applyBorder="1" applyAlignment="1">
      <alignment horizontal="center" vertical="center"/>
    </xf>
    <xf numFmtId="0" fontId="170" fillId="7" borderId="1" xfId="4" applyFont="1" applyFill="1" applyBorder="1" applyAlignment="1">
      <alignment horizontal="center" vertical="center" wrapText="1"/>
    </xf>
    <xf numFmtId="0" fontId="170" fillId="7" borderId="6" xfId="4" applyFont="1" applyFill="1" applyBorder="1" applyAlignment="1">
      <alignment horizontal="center" vertical="center" wrapText="1"/>
    </xf>
    <xf numFmtId="0" fontId="76" fillId="7" borderId="2" xfId="0" applyFont="1" applyFill="1" applyBorder="1" applyAlignment="1">
      <alignment horizontal="center" vertical="center"/>
    </xf>
    <xf numFmtId="0" fontId="76" fillId="7" borderId="7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40" fillId="0" borderId="81" xfId="2" applyFont="1" applyBorder="1" applyAlignment="1">
      <alignment horizontal="left" vertical="center" wrapText="1"/>
    </xf>
    <xf numFmtId="0" fontId="40" fillId="0" borderId="84" xfId="2" applyFont="1" applyBorder="1" applyAlignment="1">
      <alignment horizontal="left" vertical="center" wrapText="1"/>
    </xf>
    <xf numFmtId="0" fontId="40" fillId="0" borderId="21" xfId="2" applyFont="1" applyBorder="1" applyAlignment="1">
      <alignment horizontal="left" vertical="center" wrapText="1"/>
    </xf>
    <xf numFmtId="0" fontId="40" fillId="0" borderId="62" xfId="2" applyFont="1" applyBorder="1" applyAlignment="1">
      <alignment horizontal="left" vertical="center" wrapText="1"/>
    </xf>
    <xf numFmtId="0" fontId="40" fillId="0" borderId="105" xfId="2" applyFont="1" applyBorder="1" applyAlignment="1">
      <alignment horizontal="left" vertical="center" wrapText="1"/>
    </xf>
    <xf numFmtId="0" fontId="40" fillId="0" borderId="37" xfId="2" applyFont="1" applyBorder="1" applyAlignment="1">
      <alignment horizontal="left" vertical="center" wrapText="1"/>
    </xf>
    <xf numFmtId="0" fontId="173" fillId="0" borderId="21" xfId="2" applyFont="1" applyBorder="1" applyAlignment="1">
      <alignment horizontal="left" vertical="center" wrapText="1"/>
    </xf>
    <xf numFmtId="0" fontId="173" fillId="0" borderId="37" xfId="2" applyFont="1" applyBorder="1" applyAlignment="1">
      <alignment horizontal="left" vertical="center" wrapText="1"/>
    </xf>
    <xf numFmtId="0" fontId="173" fillId="0" borderId="50" xfId="2" applyFont="1" applyBorder="1" applyAlignment="1">
      <alignment horizontal="left" vertical="center" wrapText="1"/>
    </xf>
    <xf numFmtId="0" fontId="173" fillId="0" borderId="32" xfId="2" applyFont="1" applyBorder="1" applyAlignment="1">
      <alignment horizontal="left" vertical="center" wrapText="1"/>
    </xf>
    <xf numFmtId="0" fontId="173" fillId="0" borderId="39" xfId="2" applyFont="1" applyBorder="1" applyAlignment="1">
      <alignment horizontal="left" vertical="center" wrapText="1"/>
    </xf>
    <xf numFmtId="0" fontId="173" fillId="0" borderId="14" xfId="2" applyFont="1" applyBorder="1" applyAlignment="1">
      <alignment horizontal="left" vertical="center" wrapText="1"/>
    </xf>
    <xf numFmtId="0" fontId="173" fillId="0" borderId="33" xfId="2" applyFont="1" applyBorder="1" applyAlignment="1">
      <alignment horizontal="left" vertical="center" wrapText="1"/>
    </xf>
    <xf numFmtId="0" fontId="173" fillId="0" borderId="7" xfId="2" applyFont="1" applyBorder="1" applyAlignment="1">
      <alignment horizontal="left" vertical="center" wrapText="1"/>
    </xf>
    <xf numFmtId="0" fontId="89" fillId="0" borderId="5" xfId="2" applyFont="1" applyBorder="1" applyAlignment="1">
      <alignment horizontal="center" vertical="center"/>
    </xf>
    <xf numFmtId="0" fontId="89" fillId="0" borderId="24" xfId="2" applyFont="1" applyBorder="1" applyAlignment="1">
      <alignment horizontal="center" vertical="center"/>
    </xf>
    <xf numFmtId="0" fontId="27" fillId="0" borderId="15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/>
    </xf>
    <xf numFmtId="0" fontId="89" fillId="0" borderId="1" xfId="2" applyFont="1" applyBorder="1" applyAlignment="1">
      <alignment horizontal="center" vertical="center"/>
    </xf>
    <xf numFmtId="0" fontId="89" fillId="0" borderId="2" xfId="2" applyFont="1" applyBorder="1" applyAlignment="1">
      <alignment horizontal="center" vertical="center"/>
    </xf>
    <xf numFmtId="0" fontId="89" fillId="0" borderId="6" xfId="2" applyFont="1" applyBorder="1" applyAlignment="1">
      <alignment horizontal="center" vertical="center"/>
    </xf>
    <xf numFmtId="0" fontId="89" fillId="0" borderId="7" xfId="2" applyFont="1" applyBorder="1" applyAlignment="1">
      <alignment horizontal="center" vertical="center"/>
    </xf>
    <xf numFmtId="0" fontId="89" fillId="0" borderId="4" xfId="2" applyFont="1" applyBorder="1" applyAlignment="1">
      <alignment horizontal="center" vertical="center"/>
    </xf>
    <xf numFmtId="0" fontId="76" fillId="7" borderId="3" xfId="0" applyFont="1" applyFill="1" applyBorder="1" applyAlignment="1">
      <alignment horizontal="center" vertical="center"/>
    </xf>
    <xf numFmtId="0" fontId="76" fillId="7" borderId="4" xfId="0" applyFont="1" applyFill="1" applyBorder="1" applyAlignment="1">
      <alignment horizontal="center" vertical="center"/>
    </xf>
    <xf numFmtId="0" fontId="76" fillId="7" borderId="5" xfId="0" applyFont="1" applyFill="1" applyBorder="1" applyAlignment="1">
      <alignment horizontal="center" vertical="center"/>
    </xf>
    <xf numFmtId="0" fontId="76" fillId="7" borderId="18" xfId="0" applyFont="1" applyFill="1" applyBorder="1" applyAlignment="1">
      <alignment horizontal="center" vertical="center" textRotation="90"/>
    </xf>
    <xf numFmtId="0" fontId="76" fillId="7" borderId="15" xfId="0" applyFont="1" applyFill="1" applyBorder="1" applyAlignment="1">
      <alignment horizontal="center" vertical="center" textRotation="90"/>
    </xf>
    <xf numFmtId="0" fontId="76" fillId="7" borderId="11" xfId="0" applyFont="1" applyFill="1" applyBorder="1" applyAlignment="1">
      <alignment horizontal="center" vertical="center" textRotation="90"/>
    </xf>
    <xf numFmtId="0" fontId="169" fillId="7" borderId="1" xfId="0" applyFont="1" applyFill="1" applyBorder="1" applyAlignment="1">
      <alignment horizontal="center" vertical="center" wrapText="1"/>
    </xf>
    <xf numFmtId="0" fontId="169" fillId="7" borderId="6" xfId="0" applyFont="1" applyFill="1" applyBorder="1" applyAlignment="1">
      <alignment horizontal="center" vertical="center" wrapText="1"/>
    </xf>
    <xf numFmtId="0" fontId="171" fillId="7" borderId="1" xfId="0" applyFont="1" applyFill="1" applyBorder="1" applyAlignment="1">
      <alignment horizontal="center" vertical="center"/>
    </xf>
    <xf numFmtId="9" fontId="76" fillId="19" borderId="18" xfId="3" applyFont="1" applyFill="1" applyBorder="1" applyAlignment="1">
      <alignment horizontal="center" vertical="center"/>
    </xf>
    <xf numFmtId="9" fontId="76" fillId="19" borderId="15" xfId="3" applyFont="1" applyFill="1" applyBorder="1" applyAlignment="1">
      <alignment horizontal="center" vertical="center"/>
    </xf>
    <xf numFmtId="9" fontId="76" fillId="19" borderId="11" xfId="3" applyFont="1" applyFill="1" applyBorder="1" applyAlignment="1">
      <alignment horizontal="center" vertical="center"/>
    </xf>
    <xf numFmtId="0" fontId="96" fillId="0" borderId="1" xfId="1" applyFont="1" applyBorder="1" applyAlignment="1">
      <alignment horizontal="center"/>
    </xf>
    <xf numFmtId="0" fontId="96" fillId="0" borderId="23" xfId="1" applyFont="1" applyBorder="1" applyAlignment="1">
      <alignment horizontal="center"/>
    </xf>
    <xf numFmtId="0" fontId="96" fillId="0" borderId="2" xfId="1" applyFont="1" applyBorder="1" applyAlignment="1">
      <alignment horizontal="center"/>
    </xf>
    <xf numFmtId="0" fontId="96" fillId="0" borderId="6" xfId="1" applyFont="1" applyBorder="1" applyAlignment="1">
      <alignment horizontal="center"/>
    </xf>
    <xf numFmtId="0" fontId="96" fillId="0" borderId="22" xfId="1" applyFont="1" applyBorder="1" applyAlignment="1">
      <alignment horizontal="center"/>
    </xf>
    <xf numFmtId="0" fontId="96" fillId="0" borderId="7" xfId="1" applyFont="1" applyBorder="1" applyAlignment="1">
      <alignment horizontal="center"/>
    </xf>
    <xf numFmtId="0" fontId="141" fillId="0" borderId="3" xfId="1" applyFont="1" applyBorder="1" applyAlignment="1">
      <alignment horizontal="center" vertical="center"/>
    </xf>
    <xf numFmtId="0" fontId="141" fillId="0" borderId="4" xfId="1" applyFont="1" applyBorder="1" applyAlignment="1">
      <alignment horizontal="center" vertical="center"/>
    </xf>
    <xf numFmtId="0" fontId="141" fillId="0" borderId="6" xfId="2" applyFont="1" applyBorder="1" applyAlignment="1">
      <alignment horizontal="center" vertical="center" wrapText="1"/>
    </xf>
    <xf numFmtId="0" fontId="141" fillId="0" borderId="22" xfId="2" applyFont="1" applyBorder="1" applyAlignment="1">
      <alignment horizontal="center" vertical="center" wrapText="1"/>
    </xf>
    <xf numFmtId="0" fontId="76" fillId="22" borderId="1" xfId="0" applyFont="1" applyFill="1" applyBorder="1" applyAlignment="1">
      <alignment horizontal="center" vertical="center"/>
    </xf>
    <xf numFmtId="0" fontId="76" fillId="22" borderId="23" xfId="0" applyFont="1" applyFill="1" applyBorder="1" applyAlignment="1">
      <alignment horizontal="center" vertical="center"/>
    </xf>
    <xf numFmtId="0" fontId="76" fillId="22" borderId="2" xfId="0" applyFont="1" applyFill="1" applyBorder="1" applyAlignment="1">
      <alignment horizontal="center" vertical="center"/>
    </xf>
    <xf numFmtId="0" fontId="76" fillId="22" borderId="13" xfId="0" applyFont="1" applyFill="1" applyBorder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14" xfId="0" applyFont="1" applyFill="1" applyBorder="1" applyAlignment="1">
      <alignment horizontal="center" vertical="center"/>
    </xf>
    <xf numFmtId="0" fontId="76" fillId="22" borderId="6" xfId="0" applyFont="1" applyFill="1" applyBorder="1" applyAlignment="1">
      <alignment horizontal="center" vertical="center"/>
    </xf>
    <xf numFmtId="0" fontId="76" fillId="22" borderId="22" xfId="0" applyFont="1" applyFill="1" applyBorder="1" applyAlignment="1">
      <alignment horizontal="center" vertical="center"/>
    </xf>
    <xf numFmtId="0" fontId="76" fillId="22" borderId="7" xfId="0" applyFont="1" applyFill="1" applyBorder="1" applyAlignment="1">
      <alignment horizontal="center" vertical="center"/>
    </xf>
    <xf numFmtId="9" fontId="76" fillId="19" borderId="18" xfId="0" applyNumberFormat="1" applyFont="1" applyFill="1" applyBorder="1" applyAlignment="1">
      <alignment horizontal="center" vertical="center"/>
    </xf>
    <xf numFmtId="0" fontId="76" fillId="19" borderId="15" xfId="0" applyFont="1" applyFill="1" applyBorder="1" applyAlignment="1">
      <alignment horizontal="center" vertical="center"/>
    </xf>
    <xf numFmtId="0" fontId="76" fillId="19" borderId="11" xfId="0" applyFont="1" applyFill="1" applyBorder="1" applyAlignment="1">
      <alignment horizontal="center" vertical="center"/>
    </xf>
    <xf numFmtId="0" fontId="45" fillId="8" borderId="4" xfId="2" applyFont="1" applyFill="1" applyBorder="1" applyAlignment="1">
      <alignment horizontal="center" vertical="center" wrapText="1"/>
    </xf>
    <xf numFmtId="0" fontId="40" fillId="8" borderId="18" xfId="2" applyFont="1" applyFill="1" applyBorder="1" applyAlignment="1">
      <alignment horizontal="center" vertical="center" textRotation="90" wrapText="1"/>
    </xf>
    <xf numFmtId="0" fontId="40" fillId="8" borderId="15" xfId="2" applyFont="1" applyFill="1" applyBorder="1" applyAlignment="1">
      <alignment horizontal="center" vertical="center" textRotation="90" wrapText="1"/>
    </xf>
    <xf numFmtId="0" fontId="40" fillId="8" borderId="11" xfId="2" applyFont="1" applyFill="1" applyBorder="1" applyAlignment="1">
      <alignment horizontal="center" vertical="center" textRotation="90" wrapText="1"/>
    </xf>
    <xf numFmtId="0" fontId="147" fillId="6" borderId="18" xfId="2" applyFont="1" applyFill="1" applyBorder="1" applyAlignment="1">
      <alignment horizontal="center" vertical="center" textRotation="90"/>
    </xf>
    <xf numFmtId="0" fontId="147" fillId="6" borderId="15" xfId="2" applyFont="1" applyFill="1" applyBorder="1" applyAlignment="1">
      <alignment horizontal="center" vertical="center" textRotation="90"/>
    </xf>
    <xf numFmtId="0" fontId="147" fillId="6" borderId="2" xfId="2" applyFont="1" applyFill="1" applyBorder="1" applyAlignment="1">
      <alignment horizontal="center" vertical="center" textRotation="90"/>
    </xf>
    <xf numFmtId="0" fontId="147" fillId="6" borderId="14" xfId="2" applyFont="1" applyFill="1" applyBorder="1" applyAlignment="1">
      <alignment horizontal="center" vertical="center" textRotation="90"/>
    </xf>
    <xf numFmtId="0" fontId="3" fillId="0" borderId="23" xfId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88" fillId="0" borderId="4" xfId="1" applyFont="1" applyBorder="1" applyAlignment="1">
      <alignment horizontal="center" vertical="center"/>
    </xf>
    <xf numFmtId="0" fontId="56" fillId="0" borderId="61" xfId="1" applyFont="1" applyBorder="1" applyAlignment="1">
      <alignment horizontal="center" vertical="center"/>
    </xf>
    <xf numFmtId="0" fontId="56" fillId="0" borderId="106" xfId="1" applyFont="1" applyBorder="1" applyAlignment="1">
      <alignment horizontal="center" vertical="center"/>
    </xf>
    <xf numFmtId="0" fontId="56" fillId="0" borderId="4" xfId="1" applyFont="1" applyBorder="1" applyAlignment="1">
      <alignment horizontal="center" vertical="center"/>
    </xf>
    <xf numFmtId="14" fontId="56" fillId="0" borderId="61" xfId="1" applyNumberFormat="1" applyFont="1" applyBorder="1" applyAlignment="1">
      <alignment horizontal="center" vertical="center"/>
    </xf>
    <xf numFmtId="14" fontId="56" fillId="0" borderId="106" xfId="1" applyNumberFormat="1" applyFont="1" applyBorder="1" applyAlignment="1">
      <alignment horizontal="center" vertical="center"/>
    </xf>
    <xf numFmtId="0" fontId="65" fillId="20" borderId="19" xfId="0" applyFont="1" applyFill="1" applyBorder="1" applyAlignment="1">
      <alignment horizontal="center" vertical="center"/>
    </xf>
    <xf numFmtId="9" fontId="39" fillId="19" borderId="19" xfId="0" applyNumberFormat="1" applyFont="1" applyFill="1" applyBorder="1" applyAlignment="1">
      <alignment horizontal="center" vertical="center"/>
    </xf>
    <xf numFmtId="0" fontId="39" fillId="19" borderId="19" xfId="0" applyFont="1" applyFill="1" applyBorder="1" applyAlignment="1">
      <alignment horizontal="center" vertical="center"/>
    </xf>
    <xf numFmtId="0" fontId="39" fillId="19" borderId="20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8" fillId="9" borderId="5" xfId="0" applyFont="1" applyFill="1" applyBorder="1" applyAlignment="1">
      <alignment horizontal="center" vertical="center"/>
    </xf>
    <xf numFmtId="0" fontId="29" fillId="8" borderId="4" xfId="2" applyFont="1" applyFill="1" applyBorder="1" applyAlignment="1">
      <alignment horizontal="center" vertical="center" wrapText="1"/>
    </xf>
    <xf numFmtId="0" fontId="29" fillId="8" borderId="5" xfId="2" applyFont="1" applyFill="1" applyBorder="1" applyAlignment="1">
      <alignment horizontal="center" vertical="center" wrapText="1"/>
    </xf>
    <xf numFmtId="0" fontId="27" fillId="8" borderId="15" xfId="2" applyFont="1" applyFill="1" applyBorder="1" applyAlignment="1">
      <alignment horizontal="center" vertical="center" textRotation="90" wrapText="1"/>
    </xf>
    <xf numFmtId="0" fontId="27" fillId="8" borderId="11" xfId="2" applyFont="1" applyFill="1" applyBorder="1" applyAlignment="1">
      <alignment horizontal="center" vertical="center" textRotation="90" wrapText="1"/>
    </xf>
    <xf numFmtId="0" fontId="99" fillId="6" borderId="18" xfId="2" applyFont="1" applyFill="1" applyBorder="1" applyAlignment="1">
      <alignment horizontal="center" vertical="center"/>
    </xf>
    <xf numFmtId="0" fontId="99" fillId="6" borderId="15" xfId="2" applyFont="1" applyFill="1" applyBorder="1" applyAlignment="1">
      <alignment horizontal="center" vertical="center"/>
    </xf>
    <xf numFmtId="0" fontId="99" fillId="6" borderId="11" xfId="2" applyFont="1" applyFill="1" applyBorder="1" applyAlignment="1">
      <alignment horizontal="center" vertical="center"/>
    </xf>
    <xf numFmtId="0" fontId="99" fillId="6" borderId="18" xfId="2" applyFont="1" applyFill="1" applyBorder="1" applyAlignment="1">
      <alignment horizontal="center" vertical="center" textRotation="90"/>
    </xf>
    <xf numFmtId="0" fontId="99" fillId="6" borderId="15" xfId="2" applyFont="1" applyFill="1" applyBorder="1" applyAlignment="1">
      <alignment horizontal="center" vertical="center" textRotation="90"/>
    </xf>
    <xf numFmtId="0" fontId="99" fillId="6" borderId="11" xfId="2" applyFont="1" applyFill="1" applyBorder="1" applyAlignment="1">
      <alignment horizontal="center" vertical="center" textRotation="90"/>
    </xf>
    <xf numFmtId="0" fontId="99" fillId="6" borderId="1" xfId="2" applyFont="1" applyFill="1" applyBorder="1" applyAlignment="1">
      <alignment horizontal="center" vertical="center"/>
    </xf>
    <xf numFmtId="0" fontId="99" fillId="6" borderId="13" xfId="2" applyFont="1" applyFill="1" applyBorder="1" applyAlignment="1">
      <alignment horizontal="center" vertical="center"/>
    </xf>
    <xf numFmtId="0" fontId="99" fillId="6" borderId="6" xfId="2" applyFont="1" applyFill="1" applyBorder="1" applyAlignment="1">
      <alignment horizontal="center" vertical="center"/>
    </xf>
    <xf numFmtId="0" fontId="67" fillId="7" borderId="22" xfId="4" applyFont="1" applyFill="1" applyBorder="1" applyAlignment="1">
      <alignment horizontal="center" vertical="center" wrapText="1"/>
    </xf>
    <xf numFmtId="0" fontId="67" fillId="7" borderId="7" xfId="4" applyFont="1" applyFill="1" applyBorder="1" applyAlignment="1">
      <alignment horizontal="center" vertical="center" wrapText="1"/>
    </xf>
    <xf numFmtId="0" fontId="39" fillId="7" borderId="15" xfId="0" applyFont="1" applyFill="1" applyBorder="1" applyAlignment="1">
      <alignment horizontal="center" vertical="center" textRotation="90"/>
    </xf>
    <xf numFmtId="0" fontId="39" fillId="7" borderId="14" xfId="0" applyFont="1" applyFill="1" applyBorder="1" applyAlignment="1">
      <alignment horizontal="center" vertical="center" textRotation="90"/>
    </xf>
    <xf numFmtId="0" fontId="39" fillId="7" borderId="11" xfId="0" applyFont="1" applyFill="1" applyBorder="1" applyAlignment="1">
      <alignment horizontal="center" vertical="center" textRotation="90"/>
    </xf>
    <xf numFmtId="0" fontId="54" fillId="7" borderId="18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center" vertical="center" wrapText="1"/>
    </xf>
    <xf numFmtId="0" fontId="54" fillId="7" borderId="23" xfId="0" applyFont="1" applyFill="1" applyBorder="1" applyAlignment="1">
      <alignment horizontal="center" vertical="center" wrapText="1"/>
    </xf>
    <xf numFmtId="0" fontId="54" fillId="7" borderId="2" xfId="0" applyFont="1" applyFill="1" applyBorder="1" applyAlignment="1">
      <alignment horizontal="center" vertical="center" wrapText="1"/>
    </xf>
    <xf numFmtId="0" fontId="54" fillId="7" borderId="6" xfId="0" applyFont="1" applyFill="1" applyBorder="1" applyAlignment="1">
      <alignment horizontal="center" vertical="center" wrapText="1"/>
    </xf>
    <xf numFmtId="0" fontId="54" fillId="7" borderId="22" xfId="0" applyFont="1" applyFill="1" applyBorder="1" applyAlignment="1">
      <alignment horizontal="center" vertical="center" wrapText="1"/>
    </xf>
    <xf numFmtId="0" fontId="54" fillId="7" borderId="7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8" fillId="7" borderId="7" xfId="0" applyFont="1" applyFill="1" applyBorder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54" fillId="7" borderId="23" xfId="4" applyFont="1" applyFill="1" applyBorder="1" applyAlignment="1">
      <alignment horizontal="center" vertical="center" wrapText="1"/>
    </xf>
    <xf numFmtId="0" fontId="54" fillId="7" borderId="2" xfId="4" applyFont="1" applyFill="1" applyBorder="1" applyAlignment="1">
      <alignment horizontal="center" vertical="center" wrapText="1"/>
    </xf>
    <xf numFmtId="0" fontId="54" fillId="7" borderId="22" xfId="4" applyFont="1" applyFill="1" applyBorder="1" applyAlignment="1">
      <alignment horizontal="center" vertical="center" wrapText="1"/>
    </xf>
    <xf numFmtId="0" fontId="54" fillId="7" borderId="7" xfId="4" applyFont="1" applyFill="1" applyBorder="1" applyAlignment="1">
      <alignment horizontal="center" vertical="center" wrapText="1"/>
    </xf>
    <xf numFmtId="0" fontId="54" fillId="7" borderId="1" xfId="4" applyFont="1" applyFill="1" applyBorder="1" applyAlignment="1">
      <alignment horizontal="center" vertical="center" wrapText="1"/>
    </xf>
    <xf numFmtId="0" fontId="54" fillId="7" borderId="6" xfId="4" applyFont="1" applyFill="1" applyBorder="1" applyAlignment="1">
      <alignment horizontal="center" vertical="center" wrapText="1"/>
    </xf>
    <xf numFmtId="0" fontId="28" fillId="7" borderId="6" xfId="4" applyFont="1" applyFill="1" applyBorder="1" applyAlignment="1">
      <alignment horizontal="center" vertical="center" wrapText="1"/>
    </xf>
    <xf numFmtId="0" fontId="28" fillId="7" borderId="22" xfId="4" applyFont="1" applyFill="1" applyBorder="1" applyAlignment="1">
      <alignment horizontal="center" vertical="center" wrapText="1"/>
    </xf>
    <xf numFmtId="0" fontId="28" fillId="7" borderId="7" xfId="4" applyFont="1" applyFill="1" applyBorder="1" applyAlignment="1">
      <alignment horizontal="center" vertical="center" wrapText="1"/>
    </xf>
    <xf numFmtId="0" fontId="67" fillId="7" borderId="6" xfId="4" applyFont="1" applyFill="1" applyBorder="1" applyAlignment="1">
      <alignment horizontal="center" vertical="center" wrapText="1"/>
    </xf>
    <xf numFmtId="0" fontId="67" fillId="7" borderId="6" xfId="0" applyFont="1" applyFill="1" applyBorder="1" applyAlignment="1">
      <alignment horizontal="center" vertical="center" wrapText="1"/>
    </xf>
    <xf numFmtId="0" fontId="67" fillId="7" borderId="22" xfId="0" applyFont="1" applyFill="1" applyBorder="1" applyAlignment="1">
      <alignment horizontal="center" vertical="center" wrapText="1"/>
    </xf>
    <xf numFmtId="0" fontId="67" fillId="7" borderId="7" xfId="0" applyFont="1" applyFill="1" applyBorder="1" applyAlignment="1">
      <alignment horizontal="center" vertical="center" wrapText="1"/>
    </xf>
    <xf numFmtId="0" fontId="65" fillId="7" borderId="18" xfId="0" applyFont="1" applyFill="1" applyBorder="1" applyAlignment="1">
      <alignment horizontal="center" vertical="center" wrapText="1"/>
    </xf>
    <xf numFmtId="0" fontId="65" fillId="7" borderId="11" xfId="0" applyFont="1" applyFill="1" applyBorder="1" applyAlignment="1">
      <alignment horizontal="center" vertical="center" wrapText="1"/>
    </xf>
    <xf numFmtId="0" fontId="97" fillId="7" borderId="18" xfId="0" applyFont="1" applyFill="1" applyBorder="1" applyAlignment="1">
      <alignment horizontal="center" vertical="center" wrapText="1"/>
    </xf>
    <xf numFmtId="0" fontId="97" fillId="7" borderId="11" xfId="0" applyFont="1" applyFill="1" applyBorder="1" applyAlignment="1">
      <alignment horizontal="center" vertical="center" wrapText="1"/>
    </xf>
    <xf numFmtId="0" fontId="54" fillId="7" borderId="18" xfId="4" applyFont="1" applyFill="1" applyBorder="1" applyAlignment="1">
      <alignment horizontal="center" vertical="center" wrapText="1"/>
    </xf>
    <xf numFmtId="0" fontId="54" fillId="7" borderId="11" xfId="4" applyFont="1" applyFill="1" applyBorder="1" applyAlignment="1">
      <alignment horizontal="center" vertical="center" wrapText="1"/>
    </xf>
    <xf numFmtId="0" fontId="75" fillId="0" borderId="50" xfId="2" applyFont="1" applyBorder="1" applyAlignment="1">
      <alignment horizontal="left" vertical="top" wrapText="1"/>
    </xf>
    <xf numFmtId="0" fontId="75" fillId="0" borderId="43" xfId="2" applyFont="1" applyBorder="1" applyAlignment="1">
      <alignment horizontal="left" vertical="top" wrapText="1"/>
    </xf>
    <xf numFmtId="0" fontId="75" fillId="0" borderId="39" xfId="2" applyFont="1" applyBorder="1" applyAlignment="1">
      <alignment horizontal="left" vertical="top" wrapText="1"/>
    </xf>
    <xf numFmtId="0" fontId="75" fillId="0" borderId="0" xfId="2" applyFont="1" applyAlignment="1">
      <alignment horizontal="left" vertical="top" wrapText="1"/>
    </xf>
    <xf numFmtId="0" fontId="75" fillId="0" borderId="33" xfId="2" applyFont="1" applyBorder="1" applyAlignment="1">
      <alignment horizontal="left" vertical="top" wrapText="1"/>
    </xf>
    <xf numFmtId="0" fontId="75" fillId="0" borderId="22" xfId="2" applyFont="1" applyBorder="1" applyAlignment="1">
      <alignment horizontal="left" vertical="top" wrapText="1"/>
    </xf>
    <xf numFmtId="0" fontId="75" fillId="0" borderId="66" xfId="2" applyFont="1" applyBorder="1" applyAlignment="1">
      <alignment horizontal="left" vertical="top" wrapText="1"/>
    </xf>
    <xf numFmtId="0" fontId="75" fillId="0" borderId="48" xfId="2" applyFont="1" applyBorder="1" applyAlignment="1">
      <alignment horizontal="left" vertical="top" wrapText="1"/>
    </xf>
    <xf numFmtId="0" fontId="75" fillId="0" borderId="47" xfId="2" applyFont="1" applyBorder="1" applyAlignment="1">
      <alignment horizontal="left" vertical="top" wrapText="1"/>
    </xf>
    <xf numFmtId="0" fontId="75" fillId="0" borderId="32" xfId="2" applyFont="1" applyBorder="1" applyAlignment="1">
      <alignment horizontal="left" vertical="top" wrapText="1"/>
    </xf>
    <xf numFmtId="0" fontId="75" fillId="0" borderId="14" xfId="2" applyFont="1" applyBorder="1" applyAlignment="1">
      <alignment horizontal="left" vertical="top" wrapText="1"/>
    </xf>
    <xf numFmtId="0" fontId="75" fillId="0" borderId="7" xfId="2" applyFont="1" applyBorder="1" applyAlignment="1">
      <alignment horizontal="left" vertical="top" wrapText="1"/>
    </xf>
    <xf numFmtId="0" fontId="19" fillId="3" borderId="0" xfId="0" applyFont="1" applyFill="1" applyAlignment="1">
      <alignment horizontal="center" vertical="center"/>
    </xf>
    <xf numFmtId="0" fontId="94" fillId="0" borderId="15" xfId="2" applyFont="1" applyBorder="1" applyAlignment="1">
      <alignment horizontal="center" vertical="center"/>
    </xf>
    <xf numFmtId="0" fontId="94" fillId="0" borderId="11" xfId="2" applyFont="1" applyBorder="1" applyAlignment="1">
      <alignment horizontal="center" vertical="center"/>
    </xf>
    <xf numFmtId="0" fontId="93" fillId="0" borderId="13" xfId="2" applyFont="1" applyBorder="1" applyAlignment="1">
      <alignment horizontal="center" vertical="center"/>
    </xf>
    <xf numFmtId="0" fontId="93" fillId="0" borderId="48" xfId="2" applyFont="1" applyBorder="1" applyAlignment="1">
      <alignment horizontal="center" vertical="center"/>
    </xf>
    <xf numFmtId="0" fontId="93" fillId="0" borderId="112" xfId="2" applyFont="1" applyBorder="1" applyAlignment="1">
      <alignment horizontal="center" vertical="center"/>
    </xf>
    <xf numFmtId="0" fontId="93" fillId="0" borderId="30" xfId="2" applyFont="1" applyBorder="1" applyAlignment="1">
      <alignment horizontal="center" vertical="center"/>
    </xf>
    <xf numFmtId="0" fontId="94" fillId="0" borderId="3" xfId="2" applyFont="1" applyBorder="1" applyAlignment="1">
      <alignment horizontal="center" vertical="center"/>
    </xf>
    <xf numFmtId="0" fontId="94" fillId="0" borderId="4" xfId="2" applyFont="1" applyBorder="1" applyAlignment="1">
      <alignment horizontal="center" vertical="center"/>
    </xf>
    <xf numFmtId="0" fontId="94" fillId="0" borderId="5" xfId="2" applyFont="1" applyBorder="1" applyAlignment="1">
      <alignment horizontal="center" vertical="center"/>
    </xf>
    <xf numFmtId="0" fontId="75" fillId="4" borderId="82" xfId="2" applyFont="1" applyFill="1" applyBorder="1" applyAlignment="1">
      <alignment horizontal="center" vertical="center" wrapText="1"/>
    </xf>
    <xf numFmtId="0" fontId="75" fillId="4" borderId="23" xfId="2" applyFont="1" applyFill="1" applyBorder="1" applyAlignment="1">
      <alignment horizontal="center" vertical="center" wrapText="1"/>
    </xf>
    <xf numFmtId="0" fontId="75" fillId="4" borderId="67" xfId="2" applyFont="1" applyFill="1" applyBorder="1" applyAlignment="1">
      <alignment horizontal="center" vertical="center" wrapText="1"/>
    </xf>
    <xf numFmtId="0" fontId="75" fillId="4" borderId="68" xfId="2" applyFont="1" applyFill="1" applyBorder="1" applyAlignment="1">
      <alignment horizontal="center" vertical="center" wrapText="1"/>
    </xf>
    <xf numFmtId="0" fontId="75" fillId="4" borderId="46" xfId="2" applyFont="1" applyFill="1" applyBorder="1" applyAlignment="1">
      <alignment horizontal="center" vertical="center" wrapText="1"/>
    </xf>
    <xf numFmtId="0" fontId="75" fillId="4" borderId="30" xfId="2" applyFont="1" applyFill="1" applyBorder="1" applyAlignment="1">
      <alignment horizontal="center" vertical="center" wrapText="1"/>
    </xf>
    <xf numFmtId="0" fontId="75" fillId="4" borderId="2" xfId="2" applyFont="1" applyFill="1" applyBorder="1" applyAlignment="1">
      <alignment horizontal="center" vertical="center" wrapText="1"/>
    </xf>
    <xf numFmtId="0" fontId="75" fillId="4" borderId="83" xfId="2" applyFont="1" applyFill="1" applyBorder="1" applyAlignment="1">
      <alignment horizontal="center" vertical="center" wrapText="1"/>
    </xf>
    <xf numFmtId="0" fontId="82" fillId="7" borderId="1" xfId="0" applyFont="1" applyFill="1" applyBorder="1" applyAlignment="1">
      <alignment horizontal="center" vertical="center" wrapText="1"/>
    </xf>
    <xf numFmtId="0" fontId="82" fillId="7" borderId="23" xfId="0" applyFont="1" applyFill="1" applyBorder="1" applyAlignment="1">
      <alignment horizontal="center" vertical="center" wrapText="1"/>
    </xf>
    <xf numFmtId="0" fontId="82" fillId="7" borderId="2" xfId="0" applyFont="1" applyFill="1" applyBorder="1" applyAlignment="1">
      <alignment horizontal="center" vertical="center" wrapText="1"/>
    </xf>
    <xf numFmtId="0" fontId="82" fillId="7" borderId="6" xfId="0" applyFont="1" applyFill="1" applyBorder="1" applyAlignment="1">
      <alignment horizontal="center" vertical="center" wrapText="1"/>
    </xf>
    <xf numFmtId="0" fontId="82" fillId="7" borderId="22" xfId="0" applyFont="1" applyFill="1" applyBorder="1" applyAlignment="1">
      <alignment horizontal="center" vertical="center" wrapText="1"/>
    </xf>
    <xf numFmtId="0" fontId="82" fillId="7" borderId="7" xfId="0" applyFont="1" applyFill="1" applyBorder="1" applyAlignment="1">
      <alignment horizontal="center" vertical="center" wrapText="1"/>
    </xf>
    <xf numFmtId="0" fontId="117" fillId="3" borderId="0" xfId="0" applyFont="1" applyFill="1" applyAlignment="1">
      <alignment horizontal="center" vertical="center" wrapText="1"/>
    </xf>
    <xf numFmtId="0" fontId="130" fillId="0" borderId="3" xfId="2" applyFont="1" applyBorder="1" applyAlignment="1">
      <alignment horizontal="center" vertical="center"/>
    </xf>
    <xf numFmtId="0" fontId="130" fillId="0" borderId="4" xfId="2" applyFont="1" applyBorder="1" applyAlignment="1">
      <alignment horizontal="center" vertical="center"/>
    </xf>
    <xf numFmtId="0" fontId="130" fillId="0" borderId="5" xfId="2" applyFont="1" applyBorder="1" applyAlignment="1">
      <alignment horizontal="center" vertical="center"/>
    </xf>
    <xf numFmtId="0" fontId="130" fillId="0" borderId="24" xfId="2" applyFont="1" applyBorder="1" applyAlignment="1">
      <alignment horizontal="center" vertical="center"/>
    </xf>
    <xf numFmtId="0" fontId="154" fillId="4" borderId="21" xfId="2" applyFont="1" applyFill="1" applyBorder="1" applyAlignment="1">
      <alignment horizontal="center" vertical="center" wrapText="1"/>
    </xf>
    <xf numFmtId="0" fontId="91" fillId="0" borderId="21" xfId="2" applyFont="1" applyBorder="1" applyAlignment="1">
      <alignment horizontal="left" vertical="center" wrapText="1"/>
    </xf>
    <xf numFmtId="0" fontId="130" fillId="0" borderId="21" xfId="2" applyFont="1" applyBorder="1" applyAlignment="1">
      <alignment horizontal="left" vertical="center" wrapText="1"/>
    </xf>
    <xf numFmtId="0" fontId="121" fillId="7" borderId="24" xfId="0" applyFont="1" applyFill="1" applyBorder="1" applyAlignment="1">
      <alignment horizontal="center" vertical="center" textRotation="90" wrapText="1"/>
    </xf>
    <xf numFmtId="0" fontId="122" fillId="7" borderId="24" xfId="0" applyFont="1" applyFill="1" applyBorder="1" applyAlignment="1">
      <alignment horizontal="center" vertical="center" textRotation="90" wrapText="1"/>
    </xf>
    <xf numFmtId="0" fontId="123" fillId="7" borderId="24" xfId="0" applyFont="1" applyFill="1" applyBorder="1" applyAlignment="1">
      <alignment horizontal="center" vertical="center" textRotation="90" wrapText="1"/>
    </xf>
    <xf numFmtId="0" fontId="118" fillId="7" borderId="24" xfId="0" applyFont="1" applyFill="1" applyBorder="1" applyAlignment="1">
      <alignment horizontal="center" vertical="center" textRotation="90" wrapText="1"/>
    </xf>
    <xf numFmtId="0" fontId="115" fillId="7" borderId="24" xfId="0" applyFont="1" applyFill="1" applyBorder="1" applyAlignment="1">
      <alignment horizontal="center" vertical="center" textRotation="90" wrapText="1"/>
    </xf>
    <xf numFmtId="0" fontId="115" fillId="7" borderId="24" xfId="0" applyFont="1" applyFill="1" applyBorder="1" applyAlignment="1">
      <alignment horizontal="left" vertical="center" textRotation="90" wrapText="1"/>
    </xf>
    <xf numFmtId="0" fontId="143" fillId="7" borderId="24" xfId="0" applyFont="1" applyFill="1" applyBorder="1" applyAlignment="1">
      <alignment horizontal="left" vertical="center" textRotation="90" wrapText="1"/>
    </xf>
    <xf numFmtId="0" fontId="113" fillId="7" borderId="24" xfId="0" applyFont="1" applyFill="1" applyBorder="1" applyAlignment="1">
      <alignment horizontal="left" vertical="center" textRotation="90" wrapText="1"/>
    </xf>
    <xf numFmtId="0" fontId="113" fillId="7" borderId="24" xfId="0" applyFont="1" applyFill="1" applyBorder="1" applyAlignment="1">
      <alignment horizontal="center" vertical="center" textRotation="90" wrapText="1"/>
    </xf>
    <xf numFmtId="0" fontId="114" fillId="7" borderId="24" xfId="0" applyFont="1" applyFill="1" applyBorder="1" applyAlignment="1">
      <alignment horizontal="center" vertical="center" textRotation="90" wrapText="1"/>
    </xf>
    <xf numFmtId="0" fontId="119" fillId="8" borderId="48" xfId="2" applyFont="1" applyFill="1" applyBorder="1" applyAlignment="1">
      <alignment horizontal="center" vertical="center" textRotation="90" wrapText="1"/>
    </xf>
    <xf numFmtId="0" fontId="119" fillId="8" borderId="63" xfId="2" applyFont="1" applyFill="1" applyBorder="1" applyAlignment="1">
      <alignment horizontal="center" vertical="center" textRotation="90" wrapText="1"/>
    </xf>
    <xf numFmtId="0" fontId="118" fillId="7" borderId="18" xfId="0" applyFont="1" applyFill="1" applyBorder="1" applyAlignment="1">
      <alignment horizontal="center" vertical="center" wrapText="1"/>
    </xf>
    <xf numFmtId="0" fontId="118" fillId="7" borderId="11" xfId="0" applyFont="1" applyFill="1" applyBorder="1" applyAlignment="1">
      <alignment horizontal="center" vertical="center" wrapText="1"/>
    </xf>
    <xf numFmtId="0" fontId="112" fillId="7" borderId="18" xfId="0" applyFont="1" applyFill="1" applyBorder="1" applyAlignment="1">
      <alignment horizontal="center" vertical="center" textRotation="90"/>
    </xf>
    <xf numFmtId="0" fontId="112" fillId="7" borderId="15" xfId="0" applyFont="1" applyFill="1" applyBorder="1" applyAlignment="1">
      <alignment horizontal="center" vertical="center" textRotation="90"/>
    </xf>
    <xf numFmtId="0" fontId="112" fillId="7" borderId="11" xfId="0" applyFont="1" applyFill="1" applyBorder="1" applyAlignment="1">
      <alignment horizontal="center" vertical="center" textRotation="90"/>
    </xf>
    <xf numFmtId="0" fontId="123" fillId="7" borderId="18" xfId="0" applyFont="1" applyFill="1" applyBorder="1" applyAlignment="1">
      <alignment horizontal="center" vertical="center" wrapText="1"/>
    </xf>
    <xf numFmtId="0" fontId="123" fillId="7" borderId="11" xfId="0" applyFont="1" applyFill="1" applyBorder="1" applyAlignment="1">
      <alignment horizontal="center" vertical="center" wrapText="1"/>
    </xf>
    <xf numFmtId="0" fontId="144" fillId="7" borderId="18" xfId="0" applyFont="1" applyFill="1" applyBorder="1" applyAlignment="1">
      <alignment horizontal="center" vertical="center" textRotation="90" wrapText="1"/>
    </xf>
    <xf numFmtId="0" fontId="144" fillId="7" borderId="11" xfId="0" applyFont="1" applyFill="1" applyBorder="1" applyAlignment="1">
      <alignment horizontal="center" vertical="center" textRotation="90" wrapText="1"/>
    </xf>
    <xf numFmtId="0" fontId="120" fillId="7" borderId="18" xfId="0" applyFont="1" applyFill="1" applyBorder="1" applyAlignment="1">
      <alignment horizontal="center" textRotation="90" wrapText="1"/>
    </xf>
    <xf numFmtId="0" fontId="120" fillId="7" borderId="11" xfId="0" applyFont="1" applyFill="1" applyBorder="1" applyAlignment="1">
      <alignment horizontal="center" textRotation="90" wrapText="1"/>
    </xf>
    <xf numFmtId="0" fontId="121" fillId="7" borderId="18" xfId="0" applyFont="1" applyFill="1" applyBorder="1" applyAlignment="1">
      <alignment horizontal="center" vertical="center" wrapText="1"/>
    </xf>
    <xf numFmtId="0" fontId="121" fillId="7" borderId="11" xfId="0" applyFont="1" applyFill="1" applyBorder="1" applyAlignment="1">
      <alignment horizontal="center" vertical="center" wrapText="1"/>
    </xf>
    <xf numFmtId="0" fontId="139" fillId="7" borderId="18" xfId="0" applyFont="1" applyFill="1" applyBorder="1" applyAlignment="1">
      <alignment horizontal="center" vertical="center" wrapText="1"/>
    </xf>
    <xf numFmtId="0" fontId="139" fillId="7" borderId="11" xfId="0" applyFont="1" applyFill="1" applyBorder="1" applyAlignment="1">
      <alignment horizontal="center" vertical="center" wrapText="1"/>
    </xf>
    <xf numFmtId="0" fontId="123" fillId="7" borderId="18" xfId="0" applyFont="1" applyFill="1" applyBorder="1" applyAlignment="1">
      <alignment textRotation="90" wrapText="1"/>
    </xf>
    <xf numFmtId="0" fontId="123" fillId="7" borderId="11" xfId="0" applyFont="1" applyFill="1" applyBorder="1" applyAlignment="1">
      <alignment textRotation="90" wrapText="1"/>
    </xf>
    <xf numFmtId="0" fontId="121" fillId="7" borderId="18" xfId="4" applyFont="1" applyFill="1" applyBorder="1" applyAlignment="1">
      <alignment horizontal="center" vertical="center" wrapText="1"/>
    </xf>
    <xf numFmtId="0" fontId="121" fillId="7" borderId="11" xfId="4" applyFont="1" applyFill="1" applyBorder="1" applyAlignment="1">
      <alignment horizontal="center" vertical="center" wrapText="1"/>
    </xf>
    <xf numFmtId="0" fontId="119" fillId="6" borderId="18" xfId="2" applyFont="1" applyFill="1" applyBorder="1" applyAlignment="1">
      <alignment horizontal="center" vertical="center" textRotation="90" wrapText="1"/>
    </xf>
    <xf numFmtId="0" fontId="119" fillId="6" borderId="15" xfId="2" applyFont="1" applyFill="1" applyBorder="1" applyAlignment="1">
      <alignment horizontal="center" vertical="center" textRotation="90" wrapText="1"/>
    </xf>
    <xf numFmtId="0" fontId="119" fillId="6" borderId="11" xfId="2" applyFont="1" applyFill="1" applyBorder="1" applyAlignment="1">
      <alignment horizontal="center" vertical="center" textRotation="90" wrapText="1"/>
    </xf>
    <xf numFmtId="0" fontId="119" fillId="6" borderId="18" xfId="2" applyFont="1" applyFill="1" applyBorder="1" applyAlignment="1">
      <alignment horizontal="center" vertical="center" textRotation="90"/>
    </xf>
    <xf numFmtId="0" fontId="119" fillId="6" borderId="15" xfId="2" applyFont="1" applyFill="1" applyBorder="1" applyAlignment="1">
      <alignment horizontal="center" vertical="center" textRotation="90"/>
    </xf>
    <xf numFmtId="0" fontId="119" fillId="6" borderId="11" xfId="2" applyFont="1" applyFill="1" applyBorder="1" applyAlignment="1">
      <alignment horizontal="center" vertical="center" textRotation="90"/>
    </xf>
    <xf numFmtId="0" fontId="142" fillId="0" borderId="3" xfId="1" applyFont="1" applyBorder="1" applyAlignment="1">
      <alignment horizontal="center" vertical="center"/>
    </xf>
    <xf numFmtId="0" fontId="142" fillId="0" borderId="4" xfId="1" applyFont="1" applyBorder="1" applyAlignment="1">
      <alignment horizontal="center" vertical="center"/>
    </xf>
    <xf numFmtId="0" fontId="142" fillId="0" borderId="5" xfId="1" applyFont="1" applyBorder="1" applyAlignment="1">
      <alignment horizontal="center" vertical="center"/>
    </xf>
    <xf numFmtId="0" fontId="142" fillId="0" borderId="3" xfId="2" applyFont="1" applyBorder="1" applyAlignment="1">
      <alignment horizontal="center" vertical="center" wrapText="1"/>
    </xf>
    <xf numFmtId="0" fontId="142" fillId="0" borderId="4" xfId="2" applyFont="1" applyBorder="1" applyAlignment="1">
      <alignment horizontal="center" vertical="center" wrapText="1"/>
    </xf>
    <xf numFmtId="0" fontId="142" fillId="0" borderId="5" xfId="2" applyFont="1" applyBorder="1" applyAlignment="1">
      <alignment horizontal="center" vertical="center" wrapText="1"/>
    </xf>
    <xf numFmtId="0" fontId="141" fillId="0" borderId="6" xfId="1" applyFont="1" applyBorder="1" applyAlignment="1">
      <alignment horizontal="center" vertical="center"/>
    </xf>
    <xf numFmtId="0" fontId="141" fillId="0" borderId="22" xfId="1" applyFont="1" applyBorder="1" applyAlignment="1">
      <alignment horizontal="center" vertical="center"/>
    </xf>
    <xf numFmtId="0" fontId="141" fillId="0" borderId="7" xfId="1" applyFont="1" applyBorder="1" applyAlignment="1">
      <alignment horizontal="center" vertical="center"/>
    </xf>
    <xf numFmtId="14" fontId="137" fillId="0" borderId="6" xfId="1" applyNumberFormat="1" applyFont="1" applyBorder="1" applyAlignment="1">
      <alignment horizontal="center" vertical="center"/>
    </xf>
    <xf numFmtId="14" fontId="137" fillId="0" borderId="22" xfId="1" applyNumberFormat="1" applyFont="1" applyBorder="1" applyAlignment="1">
      <alignment horizontal="center" vertical="center"/>
    </xf>
    <xf numFmtId="14" fontId="137" fillId="0" borderId="7" xfId="1" applyNumberFormat="1" applyFont="1" applyBorder="1" applyAlignment="1">
      <alignment horizontal="center" vertical="center"/>
    </xf>
    <xf numFmtId="0" fontId="139" fillId="7" borderId="18" xfId="4" applyFont="1" applyFill="1" applyBorder="1" applyAlignment="1">
      <alignment horizontal="center" vertical="center" wrapText="1"/>
    </xf>
    <xf numFmtId="0" fontId="139" fillId="7" borderId="11" xfId="4" applyFont="1" applyFill="1" applyBorder="1" applyAlignment="1">
      <alignment horizontal="center" vertical="center" wrapText="1"/>
    </xf>
    <xf numFmtId="0" fontId="140" fillId="20" borderId="1" xfId="0" applyFont="1" applyFill="1" applyBorder="1" applyAlignment="1">
      <alignment horizontal="center" vertical="center"/>
    </xf>
    <xf numFmtId="0" fontId="140" fillId="20" borderId="23" xfId="0" applyFont="1" applyFill="1" applyBorder="1" applyAlignment="1">
      <alignment horizontal="center" vertical="center"/>
    </xf>
    <xf numFmtId="0" fontId="140" fillId="20" borderId="46" xfId="0" applyFont="1" applyFill="1" applyBorder="1" applyAlignment="1">
      <alignment horizontal="center" vertical="center"/>
    </xf>
    <xf numFmtId="0" fontId="140" fillId="20" borderId="13" xfId="0" applyFont="1" applyFill="1" applyBorder="1" applyAlignment="1">
      <alignment horizontal="center" vertical="center"/>
    </xf>
    <xf numFmtId="0" fontId="140" fillId="20" borderId="0" xfId="0" applyFont="1" applyFill="1" applyAlignment="1">
      <alignment horizontal="center" vertical="center"/>
    </xf>
    <xf numFmtId="0" fontId="140" fillId="20" borderId="48" xfId="0" applyFont="1" applyFill="1" applyBorder="1" applyAlignment="1">
      <alignment horizontal="center" vertical="center"/>
    </xf>
    <xf numFmtId="0" fontId="140" fillId="20" borderId="6" xfId="0" applyFont="1" applyFill="1" applyBorder="1" applyAlignment="1">
      <alignment horizontal="center" vertical="center"/>
    </xf>
    <xf numFmtId="0" fontId="140" fillId="20" borderId="22" xfId="0" applyFont="1" applyFill="1" applyBorder="1" applyAlignment="1">
      <alignment horizontal="center" vertical="center"/>
    </xf>
    <xf numFmtId="0" fontId="140" fillId="20" borderId="47" xfId="0" applyFont="1" applyFill="1" applyBorder="1" applyAlignment="1">
      <alignment horizontal="center" vertical="center"/>
    </xf>
    <xf numFmtId="9" fontId="140" fillId="19" borderId="107" xfId="0" applyNumberFormat="1" applyFont="1" applyFill="1" applyBorder="1" applyAlignment="1">
      <alignment horizontal="center" vertical="center"/>
    </xf>
    <xf numFmtId="9" fontId="140" fillId="19" borderId="19" xfId="0" applyNumberFormat="1" applyFont="1" applyFill="1" applyBorder="1" applyAlignment="1">
      <alignment horizontal="center" vertical="center"/>
    </xf>
    <xf numFmtId="9" fontId="140" fillId="19" borderId="42" xfId="0" applyNumberFormat="1" applyFont="1" applyFill="1" applyBorder="1" applyAlignment="1">
      <alignment horizontal="center" vertical="center"/>
    </xf>
    <xf numFmtId="9" fontId="140" fillId="19" borderId="45" xfId="3" applyFont="1" applyFill="1" applyBorder="1" applyAlignment="1">
      <alignment horizontal="center" vertical="center"/>
    </xf>
    <xf numFmtId="9" fontId="140" fillId="19" borderId="63" xfId="3" applyFont="1" applyFill="1" applyBorder="1" applyAlignment="1">
      <alignment horizontal="center" vertical="center"/>
    </xf>
    <xf numFmtId="9" fontId="140" fillId="19" borderId="41" xfId="3" applyFont="1" applyFill="1" applyBorder="1" applyAlignment="1">
      <alignment horizontal="center" vertical="center"/>
    </xf>
    <xf numFmtId="0" fontId="49" fillId="9" borderId="22" xfId="0" applyFont="1" applyFill="1" applyBorder="1" applyAlignment="1">
      <alignment horizontal="center" vertical="center"/>
    </xf>
    <xf numFmtId="0" fontId="49" fillId="9" borderId="7" xfId="0" applyFont="1" applyFill="1" applyBorder="1" applyAlignment="1">
      <alignment horizontal="center" vertical="center"/>
    </xf>
    <xf numFmtId="0" fontId="117" fillId="7" borderId="18" xfId="0" applyFont="1" applyFill="1" applyBorder="1" applyAlignment="1">
      <alignment horizontal="center" vertical="center" textRotation="90"/>
    </xf>
    <xf numFmtId="0" fontId="117" fillId="7" borderId="15" xfId="0" applyFont="1" applyFill="1" applyBorder="1" applyAlignment="1">
      <alignment horizontal="center" vertical="center" textRotation="90"/>
    </xf>
    <xf numFmtId="0" fontId="117" fillId="7" borderId="101" xfId="0" applyFont="1" applyFill="1" applyBorder="1" applyAlignment="1">
      <alignment horizontal="center" vertical="center" textRotation="90"/>
    </xf>
    <xf numFmtId="0" fontId="76" fillId="3" borderId="0" xfId="0" applyFont="1" applyFill="1" applyAlignment="1">
      <alignment horizontal="center"/>
    </xf>
    <xf numFmtId="0" fontId="147" fillId="8" borderId="18" xfId="2" applyFont="1" applyFill="1" applyBorder="1" applyAlignment="1">
      <alignment horizontal="center" vertical="center" textRotation="90" wrapText="1"/>
    </xf>
    <xf numFmtId="0" fontId="147" fillId="8" borderId="15" xfId="2" applyFont="1" applyFill="1" applyBorder="1" applyAlignment="1">
      <alignment horizontal="center" vertical="center" textRotation="90" wrapText="1"/>
    </xf>
    <xf numFmtId="0" fontId="179" fillId="6" borderId="18" xfId="2" applyFont="1" applyFill="1" applyBorder="1" applyAlignment="1">
      <alignment horizontal="center" vertical="center" textRotation="90"/>
    </xf>
    <xf numFmtId="0" fontId="179" fillId="6" borderId="15" xfId="2" applyFont="1" applyFill="1" applyBorder="1" applyAlignment="1">
      <alignment horizontal="center" vertical="center" textRotation="90"/>
    </xf>
    <xf numFmtId="0" fontId="179" fillId="6" borderId="11" xfId="2" applyFont="1" applyFill="1" applyBorder="1" applyAlignment="1">
      <alignment horizontal="center" vertical="center" textRotation="90"/>
    </xf>
    <xf numFmtId="0" fontId="179" fillId="6" borderId="58" xfId="2" applyFont="1" applyFill="1" applyBorder="1" applyAlignment="1">
      <alignment horizontal="center" vertical="center" textRotation="90"/>
    </xf>
    <xf numFmtId="0" fontId="179" fillId="6" borderId="2" xfId="2" applyFont="1" applyFill="1" applyBorder="1" applyAlignment="1">
      <alignment horizontal="center" vertical="center" textRotation="90"/>
    </xf>
    <xf numFmtId="0" fontId="179" fillId="6" borderId="14" xfId="2" applyFont="1" applyFill="1" applyBorder="1" applyAlignment="1">
      <alignment horizontal="center" vertical="center" textRotation="90"/>
    </xf>
    <xf numFmtId="0" fontId="174" fillId="7" borderId="3" xfId="0" applyFont="1" applyFill="1" applyBorder="1" applyAlignment="1">
      <alignment horizontal="center" vertical="center"/>
    </xf>
    <xf numFmtId="0" fontId="174" fillId="7" borderId="5" xfId="0" applyFont="1" applyFill="1" applyBorder="1" applyAlignment="1">
      <alignment horizontal="center" vertical="center"/>
    </xf>
    <xf numFmtId="0" fontId="174" fillId="7" borderId="1" xfId="0" applyFont="1" applyFill="1" applyBorder="1" applyAlignment="1">
      <alignment horizontal="center" vertical="center"/>
    </xf>
    <xf numFmtId="0" fontId="174" fillId="7" borderId="6" xfId="0" applyFont="1" applyFill="1" applyBorder="1" applyAlignment="1">
      <alignment horizontal="center" vertical="center"/>
    </xf>
    <xf numFmtId="0" fontId="168" fillId="0" borderId="1" xfId="1" applyFont="1" applyBorder="1" applyAlignment="1">
      <alignment horizontal="center" vertical="center"/>
    </xf>
    <xf numFmtId="0" fontId="168" fillId="0" borderId="23" xfId="1" applyFont="1" applyBorder="1" applyAlignment="1">
      <alignment horizontal="center" vertical="center"/>
    </xf>
    <xf numFmtId="0" fontId="168" fillId="0" borderId="2" xfId="1" applyFont="1" applyBorder="1" applyAlignment="1">
      <alignment horizontal="center" vertical="center"/>
    </xf>
    <xf numFmtId="0" fontId="168" fillId="0" borderId="6" xfId="2" applyFont="1" applyBorder="1" applyAlignment="1">
      <alignment horizontal="center" vertical="center" wrapText="1"/>
    </xf>
    <xf numFmtId="0" fontId="168" fillId="0" borderId="22" xfId="2" applyFont="1" applyBorder="1" applyAlignment="1">
      <alignment horizontal="center" vertical="center" wrapText="1"/>
    </xf>
    <xf numFmtId="0" fontId="168" fillId="0" borderId="7" xfId="2" applyFont="1" applyBorder="1" applyAlignment="1">
      <alignment horizontal="center" vertical="center" wrapText="1"/>
    </xf>
    <xf numFmtId="0" fontId="76" fillId="20" borderId="1" xfId="0" applyFont="1" applyFill="1" applyBorder="1" applyAlignment="1">
      <alignment horizontal="center" vertical="center"/>
    </xf>
    <xf numFmtId="0" fontId="76" fillId="20" borderId="23" xfId="0" applyFont="1" applyFill="1" applyBorder="1" applyAlignment="1">
      <alignment horizontal="center" vertical="center"/>
    </xf>
    <xf numFmtId="0" fontId="76" fillId="20" borderId="2" xfId="0" applyFont="1" applyFill="1" applyBorder="1" applyAlignment="1">
      <alignment horizontal="center" vertical="center"/>
    </xf>
    <xf numFmtId="0" fontId="76" fillId="20" borderId="13" xfId="0" applyFont="1" applyFill="1" applyBorder="1" applyAlignment="1">
      <alignment horizontal="center" vertical="center"/>
    </xf>
    <xf numFmtId="0" fontId="76" fillId="20" borderId="0" xfId="0" applyFont="1" applyFill="1" applyAlignment="1">
      <alignment horizontal="center" vertical="center"/>
    </xf>
    <xf numFmtId="0" fontId="76" fillId="20" borderId="14" xfId="0" applyFont="1" applyFill="1" applyBorder="1" applyAlignment="1">
      <alignment horizontal="center" vertical="center"/>
    </xf>
    <xf numFmtId="0" fontId="76" fillId="20" borderId="6" xfId="0" applyFont="1" applyFill="1" applyBorder="1" applyAlignment="1">
      <alignment horizontal="center" vertical="center"/>
    </xf>
    <xf numFmtId="0" fontId="76" fillId="20" borderId="22" xfId="0" applyFont="1" applyFill="1" applyBorder="1" applyAlignment="1">
      <alignment horizontal="center" vertical="center"/>
    </xf>
    <xf numFmtId="0" fontId="76" fillId="20" borderId="7" xfId="0" applyFont="1" applyFill="1" applyBorder="1" applyAlignment="1">
      <alignment horizontal="center" vertical="center"/>
    </xf>
    <xf numFmtId="9" fontId="53" fillId="19" borderId="18" xfId="0" applyNumberFormat="1" applyFont="1" applyFill="1" applyBorder="1" applyAlignment="1">
      <alignment horizontal="center" vertical="center"/>
    </xf>
    <xf numFmtId="0" fontId="53" fillId="19" borderId="15" xfId="0" applyFont="1" applyFill="1" applyBorder="1" applyAlignment="1">
      <alignment horizontal="center" vertical="center"/>
    </xf>
    <xf numFmtId="0" fontId="53" fillId="19" borderId="11" xfId="0" applyFont="1" applyFill="1" applyBorder="1" applyAlignment="1">
      <alignment horizontal="center" vertical="center"/>
    </xf>
    <xf numFmtId="0" fontId="174" fillId="7" borderId="18" xfId="0" applyFont="1" applyFill="1" applyBorder="1" applyAlignment="1">
      <alignment horizontal="center" vertical="center" textRotation="90"/>
    </xf>
    <xf numFmtId="0" fontId="174" fillId="7" borderId="15" xfId="0" applyFont="1" applyFill="1" applyBorder="1" applyAlignment="1">
      <alignment horizontal="center" vertical="center" textRotation="90"/>
    </xf>
    <xf numFmtId="0" fontId="174" fillId="7" borderId="101" xfId="0" applyFont="1" applyFill="1" applyBorder="1" applyAlignment="1">
      <alignment horizontal="center" vertical="center" textRotation="90"/>
    </xf>
    <xf numFmtId="0" fontId="178" fillId="7" borderId="18" xfId="0" applyFont="1" applyFill="1" applyBorder="1" applyAlignment="1">
      <alignment horizontal="center" vertical="center" textRotation="90" wrapText="1"/>
    </xf>
    <xf numFmtId="0" fontId="178" fillId="7" borderId="15" xfId="0" applyFont="1" applyFill="1" applyBorder="1" applyAlignment="1">
      <alignment horizontal="center" vertical="center" textRotation="90" wrapText="1"/>
    </xf>
    <xf numFmtId="0" fontId="176" fillId="7" borderId="1" xfId="4" applyFont="1" applyFill="1" applyBorder="1" applyAlignment="1">
      <alignment horizontal="center" vertical="center" wrapText="1"/>
    </xf>
    <xf numFmtId="0" fontId="176" fillId="7" borderId="6" xfId="4" applyFont="1" applyFill="1" applyBorder="1" applyAlignment="1">
      <alignment horizontal="center" vertical="center" wrapText="1"/>
    </xf>
    <xf numFmtId="0" fontId="174" fillId="7" borderId="2" xfId="0" applyFont="1" applyFill="1" applyBorder="1" applyAlignment="1">
      <alignment horizontal="center" vertical="center"/>
    </xf>
    <xf numFmtId="0" fontId="174" fillId="7" borderId="7" xfId="0" applyFont="1" applyFill="1" applyBorder="1" applyAlignment="1">
      <alignment horizontal="center" vertical="center"/>
    </xf>
    <xf numFmtId="0" fontId="175" fillId="7" borderId="1" xfId="0" applyFont="1" applyFill="1" applyBorder="1" applyAlignment="1">
      <alignment horizontal="center" vertical="center" wrapText="1"/>
    </xf>
    <xf numFmtId="0" fontId="175" fillId="7" borderId="6" xfId="0" applyFont="1" applyFill="1" applyBorder="1" applyAlignment="1">
      <alignment horizontal="center" vertical="center" wrapText="1"/>
    </xf>
    <xf numFmtId="0" fontId="177" fillId="7" borderId="1" xfId="0" applyFont="1" applyFill="1" applyBorder="1" applyAlignment="1">
      <alignment horizontal="center" vertical="center"/>
    </xf>
    <xf numFmtId="0" fontId="61" fillId="0" borderId="13" xfId="2" applyFont="1" applyBorder="1" applyAlignment="1">
      <alignment horizontal="center" vertical="center"/>
    </xf>
    <xf numFmtId="0" fontId="61" fillId="0" borderId="14" xfId="2" applyFont="1" applyBorder="1" applyAlignment="1">
      <alignment horizontal="center" vertical="center"/>
    </xf>
    <xf numFmtId="0" fontId="61" fillId="0" borderId="6" xfId="2" applyFont="1" applyBorder="1" applyAlignment="1">
      <alignment horizontal="center" vertical="center"/>
    </xf>
    <xf numFmtId="0" fontId="61" fillId="0" borderId="7" xfId="2" applyFont="1" applyBorder="1" applyAlignment="1">
      <alignment horizontal="center" vertical="center"/>
    </xf>
    <xf numFmtId="0" fontId="89" fillId="0" borderId="3" xfId="2" applyFont="1" applyBorder="1" applyAlignment="1">
      <alignment horizontal="center" vertical="center"/>
    </xf>
    <xf numFmtId="0" fontId="27" fillId="4" borderId="40" xfId="2" applyFont="1" applyFill="1" applyBorder="1" applyAlignment="1">
      <alignment horizontal="center" vertical="center" wrapText="1"/>
    </xf>
    <xf numFmtId="0" fontId="27" fillId="4" borderId="104" xfId="2" applyFont="1" applyFill="1" applyBorder="1" applyAlignment="1">
      <alignment horizontal="center" vertical="center" wrapText="1"/>
    </xf>
    <xf numFmtId="0" fontId="27" fillId="4" borderId="34" xfId="2" applyFont="1" applyFill="1" applyBorder="1" applyAlignment="1">
      <alignment horizontal="center" vertical="center" wrapText="1"/>
    </xf>
    <xf numFmtId="0" fontId="27" fillId="4" borderId="81" xfId="2" applyFont="1" applyFill="1" applyBorder="1" applyAlignment="1">
      <alignment horizontal="center" vertical="center" wrapText="1"/>
    </xf>
    <xf numFmtId="0" fontId="27" fillId="4" borderId="84" xfId="2" applyFont="1" applyFill="1" applyBorder="1" applyAlignment="1">
      <alignment horizontal="center" vertical="center" wrapText="1"/>
    </xf>
    <xf numFmtId="0" fontId="27" fillId="4" borderId="21" xfId="2" applyFont="1" applyFill="1" applyBorder="1" applyAlignment="1">
      <alignment horizontal="center" vertical="center" wrapText="1"/>
    </xf>
    <xf numFmtId="0" fontId="27" fillId="4" borderId="82" xfId="2" applyFont="1" applyFill="1" applyBorder="1" applyAlignment="1">
      <alignment horizontal="center" vertical="center" wrapText="1"/>
    </xf>
    <xf numFmtId="0" fontId="27" fillId="4" borderId="23" xfId="2" applyFont="1" applyFill="1" applyBorder="1" applyAlignment="1">
      <alignment horizontal="center" vertical="center" wrapText="1"/>
    </xf>
    <xf numFmtId="0" fontId="27" fillId="4" borderId="2" xfId="2" applyFont="1" applyFill="1" applyBorder="1" applyAlignment="1">
      <alignment horizontal="center" vertical="center" wrapText="1"/>
    </xf>
    <xf numFmtId="0" fontId="27" fillId="4" borderId="67" xfId="2" applyFont="1" applyFill="1" applyBorder="1" applyAlignment="1">
      <alignment horizontal="center" vertical="center" wrapText="1"/>
    </xf>
    <xf numFmtId="0" fontId="27" fillId="4" borderId="68" xfId="2" applyFont="1" applyFill="1" applyBorder="1" applyAlignment="1">
      <alignment horizontal="center" vertical="center" wrapText="1"/>
    </xf>
    <xf numFmtId="0" fontId="27" fillId="4" borderId="83" xfId="2" applyFont="1" applyFill="1" applyBorder="1" applyAlignment="1">
      <alignment horizontal="center" vertical="center" wrapText="1"/>
    </xf>
    <xf numFmtId="0" fontId="27" fillId="0" borderId="81" xfId="2" applyFont="1" applyBorder="1" applyAlignment="1">
      <alignment horizontal="left" vertical="center" wrapText="1"/>
    </xf>
    <xf numFmtId="0" fontId="27" fillId="0" borderId="84" xfId="2" applyFont="1" applyBorder="1" applyAlignment="1">
      <alignment horizontal="left" vertical="center" wrapText="1"/>
    </xf>
    <xf numFmtId="0" fontId="27" fillId="0" borderId="2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105" xfId="2" applyFont="1" applyBorder="1" applyAlignment="1">
      <alignment horizontal="left" vertical="center" wrapText="1"/>
    </xf>
    <xf numFmtId="0" fontId="27" fillId="0" borderId="37" xfId="2" applyFont="1" applyBorder="1" applyAlignment="1">
      <alignment horizontal="left" vertical="center" wrapText="1"/>
    </xf>
    <xf numFmtId="0" fontId="27" fillId="0" borderId="50" xfId="2" applyFont="1" applyBorder="1" applyAlignment="1">
      <alignment horizontal="left" vertical="center" wrapText="1"/>
    </xf>
    <xf numFmtId="0" fontId="27" fillId="0" borderId="43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27" fillId="0" borderId="39" xfId="2" applyFont="1" applyBorder="1" applyAlignment="1">
      <alignment horizontal="left" vertical="center" wrapText="1"/>
    </xf>
    <xf numFmtId="0" fontId="27" fillId="0" borderId="0" xfId="2" applyFont="1" applyAlignment="1">
      <alignment horizontal="left" vertical="center" wrapText="1"/>
    </xf>
    <xf numFmtId="0" fontId="27" fillId="0" borderId="14" xfId="2" applyFont="1" applyBorder="1" applyAlignment="1">
      <alignment horizontal="left" vertical="center" wrapText="1"/>
    </xf>
    <xf numFmtId="0" fontId="27" fillId="0" borderId="33" xfId="2" applyFont="1" applyBorder="1" applyAlignment="1">
      <alignment horizontal="left" vertical="center" wrapText="1"/>
    </xf>
    <xf numFmtId="0" fontId="27" fillId="0" borderId="22" xfId="2" applyFont="1" applyBorder="1" applyAlignment="1">
      <alignment horizontal="left" vertical="center" wrapText="1"/>
    </xf>
    <xf numFmtId="0" fontId="27" fillId="0" borderId="7" xfId="2" applyFont="1" applyBorder="1" applyAlignment="1">
      <alignment horizontal="left" vertical="center" wrapText="1"/>
    </xf>
    <xf numFmtId="0" fontId="90" fillId="0" borderId="18" xfId="2" applyFont="1" applyBorder="1" applyAlignment="1">
      <alignment horizontal="center" vertical="center"/>
    </xf>
    <xf numFmtId="0" fontId="90" fillId="0" borderId="11" xfId="2" applyFont="1" applyBorder="1" applyAlignment="1">
      <alignment horizontal="center" vertical="center"/>
    </xf>
    <xf numFmtId="0" fontId="150" fillId="0" borderId="21" xfId="2" applyFont="1" applyBorder="1" applyAlignment="1">
      <alignment horizontal="left" vertical="center" wrapText="1"/>
    </xf>
    <xf numFmtId="0" fontId="75" fillId="0" borderId="21" xfId="2" applyFont="1" applyBorder="1" applyAlignment="1">
      <alignment horizontal="left" vertical="center" wrapText="1"/>
    </xf>
    <xf numFmtId="0" fontId="140" fillId="3" borderId="0" xfId="0" applyFont="1" applyFill="1" applyAlignment="1">
      <alignment horizontal="center" wrapText="1"/>
    </xf>
    <xf numFmtId="0" fontId="146" fillId="3" borderId="0" xfId="0" applyFont="1" applyFill="1" applyAlignment="1">
      <alignment horizontal="center"/>
    </xf>
    <xf numFmtId="0" fontId="154" fillId="0" borderId="1" xfId="2" applyFont="1" applyBorder="1" applyAlignment="1">
      <alignment horizontal="left" vertical="center"/>
    </xf>
    <xf numFmtId="0" fontId="154" fillId="0" borderId="23" xfId="2" applyFont="1" applyBorder="1" applyAlignment="1">
      <alignment horizontal="left" vertical="center"/>
    </xf>
    <xf numFmtId="0" fontId="154" fillId="0" borderId="2" xfId="2" applyFont="1" applyBorder="1" applyAlignment="1">
      <alignment horizontal="left" vertical="center"/>
    </xf>
    <xf numFmtId="0" fontId="154" fillId="0" borderId="3" xfId="2" applyFont="1" applyBorder="1" applyAlignment="1">
      <alignment horizontal="center" vertical="center"/>
    </xf>
    <xf numFmtId="0" fontId="154" fillId="0" borderId="4" xfId="2" applyFont="1" applyBorder="1" applyAlignment="1">
      <alignment horizontal="center" vertical="center"/>
    </xf>
    <xf numFmtId="0" fontId="154" fillId="0" borderId="5" xfId="2" applyFont="1" applyBorder="1" applyAlignment="1">
      <alignment horizontal="center" vertical="center"/>
    </xf>
    <xf numFmtId="0" fontId="187" fillId="7" borderId="21" xfId="0" applyFont="1" applyFill="1" applyBorder="1" applyAlignment="1">
      <alignment horizontal="center" vertical="center" textRotation="90" wrapText="1"/>
    </xf>
    <xf numFmtId="0" fontId="187" fillId="7" borderId="79" xfId="0" applyFont="1" applyFill="1" applyBorder="1" applyAlignment="1">
      <alignment horizontal="center" vertical="center" textRotation="90" wrapText="1"/>
    </xf>
    <xf numFmtId="0" fontId="187" fillId="7" borderId="88" xfId="0" applyFont="1" applyFill="1" applyBorder="1" applyAlignment="1">
      <alignment horizontal="center" vertical="center" textRotation="90" wrapText="1"/>
    </xf>
    <xf numFmtId="0" fontId="187" fillId="7" borderId="50" xfId="0" applyFont="1" applyFill="1" applyBorder="1" applyAlignment="1">
      <alignment horizontal="center" vertical="center" textRotation="90" wrapText="1"/>
    </xf>
    <xf numFmtId="0" fontId="76" fillId="7" borderId="15" xfId="0" applyFont="1" applyFill="1" applyBorder="1" applyAlignment="1">
      <alignment horizontal="center" vertical="center" textRotation="90" wrapText="1"/>
    </xf>
    <xf numFmtId="0" fontId="76" fillId="7" borderId="13" xfId="0" applyFont="1" applyFill="1" applyBorder="1" applyAlignment="1">
      <alignment horizontal="center" vertical="center" textRotation="90" wrapText="1"/>
    </xf>
    <xf numFmtId="0" fontId="76" fillId="7" borderId="0" xfId="0" applyFont="1" applyFill="1" applyAlignment="1">
      <alignment horizontal="center" vertical="center" textRotation="90" wrapText="1"/>
    </xf>
    <xf numFmtId="0" fontId="76" fillId="7" borderId="14" xfId="0" applyFont="1" applyFill="1" applyBorder="1" applyAlignment="1">
      <alignment horizontal="center" vertical="center" textRotation="90" wrapText="1"/>
    </xf>
    <xf numFmtId="0" fontId="76" fillId="17" borderId="13" xfId="0" applyFont="1" applyFill="1" applyBorder="1" applyAlignment="1">
      <alignment horizontal="center" vertical="center" textRotation="90" wrapText="1"/>
    </xf>
    <xf numFmtId="0" fontId="76" fillId="17" borderId="14" xfId="0" applyFont="1" applyFill="1" applyBorder="1" applyAlignment="1">
      <alignment horizontal="center" vertical="center" textRotation="90" wrapText="1"/>
    </xf>
    <xf numFmtId="0" fontId="76" fillId="7" borderId="15" xfId="4" applyFont="1" applyFill="1" applyBorder="1" applyAlignment="1">
      <alignment horizontal="center" vertical="center" textRotation="90" wrapText="1"/>
    </xf>
    <xf numFmtId="0" fontId="76" fillId="7" borderId="13" xfId="4" applyFont="1" applyFill="1" applyBorder="1" applyAlignment="1">
      <alignment horizontal="center" vertical="center" textRotation="90" wrapText="1"/>
    </xf>
    <xf numFmtId="0" fontId="76" fillId="7" borderId="14" xfId="4" applyFont="1" applyFill="1" applyBorder="1" applyAlignment="1">
      <alignment horizontal="center" vertical="center" textRotation="90" wrapText="1"/>
    </xf>
    <xf numFmtId="0" fontId="76" fillId="7" borderId="6" xfId="4" applyFont="1" applyFill="1" applyBorder="1" applyAlignment="1">
      <alignment horizontal="center" vertical="center" textRotation="90" wrapText="1"/>
    </xf>
    <xf numFmtId="0" fontId="76" fillId="7" borderId="7" xfId="4" applyFont="1" applyFill="1" applyBorder="1" applyAlignment="1">
      <alignment horizontal="center" vertical="center" textRotation="90" wrapText="1"/>
    </xf>
    <xf numFmtId="0" fontId="76" fillId="7" borderId="11" xfId="4" applyFont="1" applyFill="1" applyBorder="1" applyAlignment="1">
      <alignment horizontal="center" vertical="center" textRotation="90" wrapText="1"/>
    </xf>
    <xf numFmtId="0" fontId="76" fillId="7" borderId="11" xfId="0" applyFont="1" applyFill="1" applyBorder="1" applyAlignment="1">
      <alignment horizontal="center" vertical="center" textRotation="90" wrapText="1"/>
    </xf>
    <xf numFmtId="0" fontId="76" fillId="7" borderId="0" xfId="4" applyFont="1" applyFill="1" applyAlignment="1">
      <alignment horizontal="center" vertical="center" textRotation="90" wrapText="1"/>
    </xf>
    <xf numFmtId="0" fontId="76" fillId="7" borderId="22" xfId="4" applyFont="1" applyFill="1" applyBorder="1" applyAlignment="1">
      <alignment horizontal="center" vertical="center" textRotation="90" wrapText="1"/>
    </xf>
    <xf numFmtId="0" fontId="76" fillId="7" borderId="15" xfId="4" applyFont="1" applyFill="1" applyBorder="1" applyAlignment="1">
      <alignment horizontal="right" textRotation="90" wrapText="1"/>
    </xf>
    <xf numFmtId="0" fontId="76" fillId="7" borderId="11" xfId="4" applyFont="1" applyFill="1" applyBorder="1" applyAlignment="1">
      <alignment horizontal="right" textRotation="90" wrapText="1"/>
    </xf>
    <xf numFmtId="0" fontId="76" fillId="7" borderId="21" xfId="0" applyFont="1" applyFill="1" applyBorder="1" applyAlignment="1">
      <alignment horizontal="center" vertical="center" textRotation="90"/>
    </xf>
    <xf numFmtId="0" fontId="92" fillId="8" borderId="32" xfId="2" applyFont="1" applyFill="1" applyBorder="1" applyAlignment="1">
      <alignment horizontal="center" vertical="center" textRotation="90" wrapText="1"/>
    </xf>
    <xf numFmtId="0" fontId="92" fillId="8" borderId="14" xfId="2" applyFont="1" applyFill="1" applyBorder="1" applyAlignment="1">
      <alignment horizontal="center" vertical="center" textRotation="90" wrapText="1"/>
    </xf>
    <xf numFmtId="0" fontId="92" fillId="8" borderId="18" xfId="2" applyFont="1" applyFill="1" applyBorder="1" applyAlignment="1">
      <alignment horizontal="center" vertical="center" textRotation="90" wrapText="1"/>
    </xf>
    <xf numFmtId="0" fontId="92" fillId="8" borderId="15" xfId="2" applyFont="1" applyFill="1" applyBorder="1" applyAlignment="1">
      <alignment horizontal="center" vertical="center" textRotation="90" wrapText="1"/>
    </xf>
    <xf numFmtId="0" fontId="76" fillId="7" borderId="21" xfId="0" applyFont="1" applyFill="1" applyBorder="1" applyAlignment="1">
      <alignment horizontal="center" textRotation="90" wrapText="1"/>
    </xf>
    <xf numFmtId="0" fontId="76" fillId="7" borderId="88" xfId="0" applyFont="1" applyFill="1" applyBorder="1" applyAlignment="1">
      <alignment horizontal="center" textRotation="90" wrapText="1"/>
    </xf>
    <xf numFmtId="0" fontId="76" fillId="7" borderId="21" xfId="0" applyFont="1" applyFill="1" applyBorder="1" applyAlignment="1">
      <alignment horizontal="center" vertical="center" textRotation="90" wrapText="1"/>
    </xf>
    <xf numFmtId="0" fontId="76" fillId="7" borderId="21" xfId="0" applyFont="1" applyFill="1" applyBorder="1" applyAlignment="1">
      <alignment horizontal="center" vertical="center" wrapText="1"/>
    </xf>
    <xf numFmtId="0" fontId="76" fillId="7" borderId="21" xfId="4" applyFont="1" applyFill="1" applyBorder="1" applyAlignment="1">
      <alignment horizontal="center" textRotation="90" wrapText="1"/>
    </xf>
    <xf numFmtId="0" fontId="76" fillId="7" borderId="50" xfId="0" applyFont="1" applyFill="1" applyBorder="1" applyAlignment="1">
      <alignment horizontal="center" vertical="center" wrapText="1"/>
    </xf>
    <xf numFmtId="0" fontId="76" fillId="7" borderId="43" xfId="0" applyFont="1" applyFill="1" applyBorder="1" applyAlignment="1">
      <alignment horizontal="center" vertical="center" wrapText="1"/>
    </xf>
    <xf numFmtId="0" fontId="76" fillId="7" borderId="66" xfId="0" applyFont="1" applyFill="1" applyBorder="1" applyAlignment="1">
      <alignment horizontal="center" vertical="center" wrapText="1"/>
    </xf>
    <xf numFmtId="0" fontId="76" fillId="7" borderId="67" xfId="0" applyFont="1" applyFill="1" applyBorder="1" applyAlignment="1">
      <alignment horizontal="center" vertical="center" wrapText="1"/>
    </xf>
    <xf numFmtId="0" fontId="76" fillId="7" borderId="68" xfId="0" applyFont="1" applyFill="1" applyBorder="1" applyAlignment="1">
      <alignment horizontal="center" vertical="center" wrapText="1"/>
    </xf>
    <xf numFmtId="0" fontId="76" fillId="7" borderId="30" xfId="0" applyFont="1" applyFill="1" applyBorder="1" applyAlignment="1">
      <alignment horizontal="center" vertical="center" wrapText="1"/>
    </xf>
    <xf numFmtId="0" fontId="76" fillId="7" borderId="21" xfId="4" applyFont="1" applyFill="1" applyBorder="1" applyAlignment="1">
      <alignment horizontal="center" vertical="center" textRotation="90" wrapText="1"/>
    </xf>
    <xf numFmtId="0" fontId="80" fillId="0" borderId="23" xfId="1" applyFont="1" applyBorder="1" applyAlignment="1">
      <alignment horizontal="center"/>
    </xf>
    <xf numFmtId="0" fontId="80" fillId="0" borderId="46" xfId="1" applyFont="1" applyBorder="1" applyAlignment="1">
      <alignment horizontal="center"/>
    </xf>
    <xf numFmtId="0" fontId="80" fillId="0" borderId="22" xfId="1" applyFont="1" applyBorder="1" applyAlignment="1">
      <alignment horizontal="center"/>
    </xf>
    <xf numFmtId="0" fontId="80" fillId="0" borderId="47" xfId="1" applyFont="1" applyBorder="1" applyAlignment="1">
      <alignment horizontal="center"/>
    </xf>
    <xf numFmtId="0" fontId="141" fillId="0" borderId="88" xfId="1" applyFont="1" applyBorder="1" applyAlignment="1">
      <alignment horizontal="center" vertical="center"/>
    </xf>
    <xf numFmtId="0" fontId="141" fillId="0" borderId="93" xfId="1" applyFont="1" applyBorder="1" applyAlignment="1">
      <alignment horizontal="center" vertical="center"/>
    </xf>
    <xf numFmtId="0" fontId="141" fillId="0" borderId="84" xfId="1" applyFont="1" applyBorder="1" applyAlignment="1">
      <alignment horizontal="center" vertical="center"/>
    </xf>
    <xf numFmtId="0" fontId="137" fillId="0" borderId="21" xfId="1" applyFont="1" applyBorder="1" applyAlignment="1">
      <alignment horizontal="center" vertical="center"/>
    </xf>
    <xf numFmtId="14" fontId="149" fillId="0" borderId="21" xfId="1" applyNumberFormat="1" applyFont="1" applyBorder="1" applyAlignment="1">
      <alignment horizontal="center" vertical="center"/>
    </xf>
    <xf numFmtId="0" fontId="76" fillId="22" borderId="50" xfId="0" applyFont="1" applyFill="1" applyBorder="1" applyAlignment="1">
      <alignment horizontal="center" vertical="center"/>
    </xf>
    <xf numFmtId="0" fontId="76" fillId="22" borderId="48" xfId="0" applyFont="1" applyFill="1" applyBorder="1" applyAlignment="1">
      <alignment horizontal="center" vertical="center"/>
    </xf>
    <xf numFmtId="0" fontId="76" fillId="22" borderId="39" xfId="0" applyFont="1" applyFill="1" applyBorder="1" applyAlignment="1">
      <alignment horizontal="center" vertical="center"/>
    </xf>
    <xf numFmtId="9" fontId="76" fillId="19" borderId="63" xfId="0" applyNumberFormat="1" applyFont="1" applyFill="1" applyBorder="1" applyAlignment="1">
      <alignment horizontal="center" vertical="center"/>
    </xf>
    <xf numFmtId="14" fontId="25" fillId="2" borderId="0" xfId="0" applyNumberFormat="1" applyFont="1" applyFill="1" applyAlignment="1">
      <alignment horizontal="center" vertical="center"/>
    </xf>
    <xf numFmtId="14" fontId="25" fillId="29" borderId="0" xfId="0" applyNumberFormat="1" applyFont="1" applyFill="1" applyAlignment="1">
      <alignment horizontal="center"/>
    </xf>
    <xf numFmtId="14" fontId="25" fillId="29" borderId="14" xfId="0" applyNumberFormat="1" applyFont="1" applyFill="1" applyBorder="1" applyAlignment="1">
      <alignment horizontal="center"/>
    </xf>
    <xf numFmtId="0" fontId="186" fillId="7" borderId="21" xfId="4" applyFont="1" applyFill="1" applyBorder="1" applyAlignment="1">
      <alignment horizontal="center" vertical="center" wrapText="1"/>
    </xf>
    <xf numFmtId="0" fontId="76" fillId="7" borderId="21" xfId="4" applyFont="1" applyFill="1" applyBorder="1" applyAlignment="1">
      <alignment horizontal="center" vertical="center" wrapText="1"/>
    </xf>
    <xf numFmtId="0" fontId="92" fillId="7" borderId="18" xfId="2" applyFont="1" applyFill="1" applyBorder="1" applyAlignment="1">
      <alignment horizontal="center" vertical="center" textRotation="90"/>
    </xf>
    <xf numFmtId="0" fontId="92" fillId="7" borderId="15" xfId="2" applyFont="1" applyFill="1" applyBorder="1" applyAlignment="1">
      <alignment horizontal="center" vertical="center" textRotation="90"/>
    </xf>
    <xf numFmtId="0" fontId="92" fillId="7" borderId="101" xfId="2" applyFont="1" applyFill="1" applyBorder="1" applyAlignment="1">
      <alignment horizontal="center" vertical="center" textRotation="90"/>
    </xf>
    <xf numFmtId="0" fontId="92" fillId="7" borderId="1" xfId="2" applyFont="1" applyFill="1" applyBorder="1" applyAlignment="1">
      <alignment horizontal="center" vertical="center" textRotation="90"/>
    </xf>
    <xf numFmtId="0" fontId="92" fillId="7" borderId="13" xfId="2" applyFont="1" applyFill="1" applyBorder="1" applyAlignment="1">
      <alignment horizontal="center" vertical="center" textRotation="90"/>
    </xf>
    <xf numFmtId="0" fontId="92" fillId="7" borderId="112" xfId="2" applyFont="1" applyFill="1" applyBorder="1" applyAlignment="1">
      <alignment horizontal="center" vertical="center" textRotation="90"/>
    </xf>
    <xf numFmtId="0" fontId="74" fillId="0" borderId="34" xfId="2" applyFont="1" applyBorder="1" applyAlignment="1">
      <alignment horizontal="center" vertical="center" wrapText="1"/>
    </xf>
    <xf numFmtId="0" fontId="74" fillId="0" borderId="35" xfId="2" applyFont="1" applyBorder="1" applyAlignment="1">
      <alignment horizontal="center" vertical="center" wrapText="1"/>
    </xf>
    <xf numFmtId="0" fontId="74" fillId="0" borderId="21" xfId="2" applyFont="1" applyBorder="1" applyAlignment="1">
      <alignment horizontal="center" vertical="center" wrapText="1"/>
    </xf>
    <xf numFmtId="0" fontId="74" fillId="0" borderId="36" xfId="2" applyFont="1" applyBorder="1" applyAlignment="1">
      <alignment horizontal="center" vertical="center" wrapText="1"/>
    </xf>
    <xf numFmtId="0" fontId="74" fillId="0" borderId="37" xfId="2" applyFont="1" applyBorder="1" applyAlignment="1">
      <alignment horizontal="center" vertical="center" wrapText="1"/>
    </xf>
    <xf numFmtId="0" fontId="74" fillId="0" borderId="38" xfId="2" applyFont="1" applyBorder="1" applyAlignment="1">
      <alignment horizontal="center" vertical="center" wrapText="1"/>
    </xf>
    <xf numFmtId="0" fontId="73" fillId="4" borderId="82" xfId="2" applyFont="1" applyFill="1" applyBorder="1" applyAlignment="1">
      <alignment horizontal="center" vertical="center" wrapText="1"/>
    </xf>
    <xf numFmtId="0" fontId="73" fillId="4" borderId="23" xfId="2" applyFont="1" applyFill="1" applyBorder="1" applyAlignment="1">
      <alignment horizontal="center" vertical="center" wrapText="1"/>
    </xf>
    <xf numFmtId="0" fontId="73" fillId="4" borderId="2" xfId="2" applyFont="1" applyFill="1" applyBorder="1" applyAlignment="1">
      <alignment horizontal="center" vertical="center" wrapText="1"/>
    </xf>
    <xf numFmtId="0" fontId="73" fillId="4" borderId="39" xfId="2" applyFont="1" applyFill="1" applyBorder="1" applyAlignment="1">
      <alignment horizontal="center" vertical="center" wrapText="1"/>
    </xf>
    <xf numFmtId="0" fontId="73" fillId="4" borderId="0" xfId="2" applyFont="1" applyFill="1" applyAlignment="1">
      <alignment horizontal="center" vertical="center" wrapText="1"/>
    </xf>
    <xf numFmtId="0" fontId="73" fillId="4" borderId="14" xfId="2" applyFont="1" applyFill="1" applyBorder="1" applyAlignment="1">
      <alignment horizontal="center" vertical="center" wrapText="1"/>
    </xf>
    <xf numFmtId="0" fontId="74" fillId="0" borderId="40" xfId="2" applyFont="1" applyBorder="1" applyAlignment="1">
      <alignment horizontal="left" vertical="center" wrapText="1"/>
    </xf>
    <xf numFmtId="0" fontId="74" fillId="0" borderId="104" xfId="2" applyFont="1" applyBorder="1" applyAlignment="1">
      <alignment horizontal="left" vertical="center" wrapText="1"/>
    </xf>
    <xf numFmtId="0" fontId="74" fillId="0" borderId="34" xfId="2" applyFont="1" applyBorder="1" applyAlignment="1">
      <alignment horizontal="left" vertical="center" wrapText="1"/>
    </xf>
    <xf numFmtId="0" fontId="74" fillId="0" borderId="81" xfId="2" applyFont="1" applyBorder="1" applyAlignment="1">
      <alignment horizontal="left" vertical="center" wrapText="1"/>
    </xf>
    <xf numFmtId="0" fontId="74" fillId="0" borderId="84" xfId="2" applyFont="1" applyBorder="1" applyAlignment="1">
      <alignment horizontal="left" vertical="center" wrapText="1"/>
    </xf>
    <xf numFmtId="0" fontId="74" fillId="0" borderId="21" xfId="2" applyFont="1" applyBorder="1" applyAlignment="1">
      <alignment horizontal="left" vertical="center" wrapText="1"/>
    </xf>
    <xf numFmtId="0" fontId="74" fillId="0" borderId="62" xfId="2" applyFont="1" applyBorder="1" applyAlignment="1">
      <alignment horizontal="left" vertical="center" wrapText="1"/>
    </xf>
    <xf numFmtId="0" fontId="74" fillId="0" borderId="105" xfId="2" applyFont="1" applyBorder="1" applyAlignment="1">
      <alignment horizontal="left" vertical="center" wrapText="1"/>
    </xf>
    <xf numFmtId="0" fontId="74" fillId="0" borderId="37" xfId="2" applyFont="1" applyBorder="1" applyAlignment="1">
      <alignment horizontal="left" vertical="center" wrapText="1"/>
    </xf>
    <xf numFmtId="0" fontId="40" fillId="0" borderId="24" xfId="2" applyFont="1" applyBorder="1" applyAlignment="1">
      <alignment horizontal="center" vertical="center"/>
    </xf>
    <xf numFmtId="0" fontId="40" fillId="0" borderId="3" xfId="2" applyFont="1" applyBorder="1" applyAlignment="1">
      <alignment horizontal="center" vertical="center"/>
    </xf>
    <xf numFmtId="0" fontId="40" fillId="0" borderId="4" xfId="2" applyFont="1" applyBorder="1" applyAlignment="1">
      <alignment horizontal="center" vertical="center"/>
    </xf>
    <xf numFmtId="0" fontId="40" fillId="0" borderId="5" xfId="2" applyFont="1" applyBorder="1" applyAlignment="1">
      <alignment horizontal="center" vertical="center"/>
    </xf>
    <xf numFmtId="0" fontId="174" fillId="7" borderId="23" xfId="0" applyFont="1" applyFill="1" applyBorder="1" applyAlignment="1">
      <alignment horizontal="center" vertical="center"/>
    </xf>
    <xf numFmtId="0" fontId="174" fillId="7" borderId="22" xfId="0" applyFont="1" applyFill="1" applyBorder="1" applyAlignment="1">
      <alignment horizontal="center" vertical="center"/>
    </xf>
    <xf numFmtId="0" fontId="73" fillId="4" borderId="21" xfId="2" applyFont="1" applyFill="1" applyBorder="1" applyAlignment="1">
      <alignment horizontal="center" vertical="center" wrapText="1"/>
    </xf>
    <xf numFmtId="0" fontId="73" fillId="4" borderId="79" xfId="2" applyFont="1" applyFill="1" applyBorder="1" applyAlignment="1">
      <alignment horizontal="center" vertical="center" wrapText="1"/>
    </xf>
    <xf numFmtId="0" fontId="184" fillId="7" borderId="18" xfId="0" applyFont="1" applyFill="1" applyBorder="1" applyAlignment="1">
      <alignment horizontal="center" vertical="center" textRotation="90" wrapText="1"/>
    </xf>
    <xf numFmtId="0" fontId="184" fillId="7" borderId="15" xfId="0" applyFont="1" applyFill="1" applyBorder="1" applyAlignment="1">
      <alignment horizontal="center" vertical="center" textRotation="90" wrapText="1"/>
    </xf>
    <xf numFmtId="0" fontId="140" fillId="3" borderId="0" xfId="0" applyFont="1" applyFill="1" applyAlignment="1">
      <alignment horizontal="center"/>
    </xf>
    <xf numFmtId="0" fontId="43" fillId="0" borderId="15" xfId="2" applyFont="1" applyBorder="1" applyAlignment="1">
      <alignment horizontal="center" vertical="center"/>
    </xf>
    <xf numFmtId="0" fontId="43" fillId="0" borderId="11" xfId="2" applyFont="1" applyBorder="1" applyAlignment="1">
      <alignment horizontal="center" vertical="center"/>
    </xf>
    <xf numFmtId="0" fontId="174" fillId="9" borderId="3" xfId="0" applyFont="1" applyFill="1" applyBorder="1" applyAlignment="1">
      <alignment horizontal="center" vertical="center"/>
    </xf>
    <xf numFmtId="0" fontId="174" fillId="9" borderId="4" xfId="0" applyFont="1" applyFill="1" applyBorder="1" applyAlignment="1">
      <alignment horizontal="center" vertical="center"/>
    </xf>
    <xf numFmtId="0" fontId="180" fillId="8" borderId="4" xfId="2" applyFont="1" applyFill="1" applyBorder="1" applyAlignment="1">
      <alignment horizontal="center" vertical="center" wrapText="1"/>
    </xf>
    <xf numFmtId="0" fontId="174" fillId="7" borderId="18" xfId="0" applyFont="1" applyFill="1" applyBorder="1" applyAlignment="1">
      <alignment horizontal="center" vertical="center"/>
    </xf>
    <xf numFmtId="0" fontId="174" fillId="7" borderId="11" xfId="0" applyFont="1" applyFill="1" applyBorder="1" applyAlignment="1">
      <alignment horizontal="center" vertical="center"/>
    </xf>
    <xf numFmtId="0" fontId="181" fillId="8" borderId="18" xfId="2" applyFont="1" applyFill="1" applyBorder="1" applyAlignment="1">
      <alignment horizontal="center" vertical="center" textRotation="90" wrapText="1"/>
    </xf>
    <xf numFmtId="0" fontId="181" fillId="8" borderId="15" xfId="2" applyFont="1" applyFill="1" applyBorder="1" applyAlignment="1">
      <alignment horizontal="center" vertical="center" textRotation="90" wrapText="1"/>
    </xf>
    <xf numFmtId="0" fontId="141" fillId="0" borderId="3" xfId="2" applyFont="1" applyBorder="1" applyAlignment="1">
      <alignment horizontal="center" vertical="center" wrapText="1"/>
    </xf>
    <xf numFmtId="0" fontId="141" fillId="0" borderId="4" xfId="2" applyFont="1" applyBorder="1" applyAlignment="1">
      <alignment horizontal="center" vertical="center" wrapText="1"/>
    </xf>
    <xf numFmtId="0" fontId="89" fillId="6" borderId="127" xfId="2" applyFont="1" applyFill="1" applyBorder="1" applyAlignment="1">
      <alignment horizontal="center" vertical="center" wrapText="1"/>
    </xf>
    <xf numFmtId="0" fontId="89" fillId="6" borderId="54" xfId="2" applyFont="1" applyFill="1" applyBorder="1" applyAlignment="1">
      <alignment horizontal="center" vertical="center"/>
    </xf>
    <xf numFmtId="0" fontId="89" fillId="6" borderId="131" xfId="2" applyFont="1" applyFill="1" applyBorder="1" applyAlignment="1">
      <alignment horizontal="center" vertical="center"/>
    </xf>
    <xf numFmtId="0" fontId="89" fillId="6" borderId="128" xfId="2" applyFont="1" applyFill="1" applyBorder="1" applyAlignment="1">
      <alignment horizontal="center" vertical="center"/>
    </xf>
    <xf numFmtId="0" fontId="89" fillId="6" borderId="92" xfId="2" applyFont="1" applyFill="1" applyBorder="1" applyAlignment="1">
      <alignment horizontal="center" vertical="center"/>
    </xf>
    <xf numFmtId="0" fontId="89" fillId="6" borderId="132" xfId="2" applyFont="1" applyFill="1" applyBorder="1" applyAlignment="1">
      <alignment horizontal="center" vertical="center"/>
    </xf>
    <xf numFmtId="0" fontId="40" fillId="6" borderId="129" xfId="2" applyFont="1" applyFill="1" applyBorder="1" applyAlignment="1">
      <alignment horizontal="center" vertical="center"/>
    </xf>
    <xf numFmtId="0" fontId="40" fillId="6" borderId="130" xfId="2" applyFont="1" applyFill="1" applyBorder="1" applyAlignment="1">
      <alignment horizontal="center" vertical="center"/>
    </xf>
    <xf numFmtId="0" fontId="40" fillId="6" borderId="133" xfId="2" applyFont="1" applyFill="1" applyBorder="1" applyAlignment="1">
      <alignment horizontal="center" vertical="center"/>
    </xf>
    <xf numFmtId="0" fontId="89" fillId="6" borderId="134" xfId="2" applyFont="1" applyFill="1" applyBorder="1" applyAlignment="1">
      <alignment horizontal="center" vertical="center" wrapText="1"/>
    </xf>
    <xf numFmtId="0" fontId="89" fillId="6" borderId="135" xfId="2" applyFont="1" applyFill="1" applyBorder="1" applyAlignment="1">
      <alignment horizontal="center" vertical="center"/>
    </xf>
    <xf numFmtId="0" fontId="89" fillId="6" borderId="136" xfId="2" applyFont="1" applyFill="1" applyBorder="1" applyAlignment="1">
      <alignment horizontal="center" vertical="center"/>
    </xf>
    <xf numFmtId="0" fontId="40" fillId="6" borderId="18" xfId="2" applyFont="1" applyFill="1" applyBorder="1" applyAlignment="1">
      <alignment horizontal="center" vertical="center"/>
    </xf>
    <xf numFmtId="0" fontId="40" fillId="6" borderId="15" xfId="2" applyFont="1" applyFill="1" applyBorder="1" applyAlignment="1">
      <alignment horizontal="center" vertical="center"/>
    </xf>
    <xf numFmtId="0" fontId="40" fillId="6" borderId="11" xfId="2" applyFont="1" applyFill="1" applyBorder="1" applyAlignment="1">
      <alignment horizontal="center" vertical="center"/>
    </xf>
    <xf numFmtId="0" fontId="65" fillId="20" borderId="20" xfId="0" applyFont="1" applyFill="1" applyBorder="1" applyAlignment="1">
      <alignment horizontal="center" vertical="center"/>
    </xf>
    <xf numFmtId="0" fontId="99" fillId="6" borderId="98" xfId="2" applyFont="1" applyFill="1" applyBorder="1" applyAlignment="1">
      <alignment horizontal="center" vertical="center" textRotation="90"/>
    </xf>
    <xf numFmtId="0" fontId="99" fillId="6" borderId="49" xfId="2" applyFont="1" applyFill="1" applyBorder="1" applyAlignment="1">
      <alignment horizontal="center" vertical="center" textRotation="90"/>
    </xf>
    <xf numFmtId="0" fontId="28" fillId="9" borderId="8" xfId="0" applyFont="1" applyFill="1" applyBorder="1" applyAlignment="1">
      <alignment horizontal="center" vertical="center"/>
    </xf>
    <xf numFmtId="0" fontId="29" fillId="8" borderId="0" xfId="2" applyFont="1" applyFill="1" applyAlignment="1">
      <alignment horizontal="center" vertical="center" wrapText="1"/>
    </xf>
    <xf numFmtId="0" fontId="40" fillId="6" borderId="9" xfId="2" applyFont="1" applyFill="1" applyBorder="1" applyAlignment="1">
      <alignment horizontal="center" vertical="center"/>
    </xf>
    <xf numFmtId="0" fontId="40" fillId="6" borderId="12" xfId="2" applyFont="1" applyFill="1" applyBorder="1" applyAlignment="1">
      <alignment horizontal="center" vertical="center"/>
    </xf>
    <xf numFmtId="0" fontId="40" fillId="6" borderId="99" xfId="2" applyFont="1" applyFill="1" applyBorder="1" applyAlignment="1">
      <alignment horizontal="center" vertical="center"/>
    </xf>
    <xf numFmtId="0" fontId="99" fillId="6" borderId="98" xfId="2" applyFont="1" applyFill="1" applyBorder="1" applyAlignment="1">
      <alignment horizontal="center" vertical="center"/>
    </xf>
    <xf numFmtId="0" fontId="99" fillId="6" borderId="10" xfId="2" applyFont="1" applyFill="1" applyBorder="1" applyAlignment="1">
      <alignment horizontal="center" vertical="center"/>
    </xf>
    <xf numFmtId="0" fontId="99" fillId="6" borderId="97" xfId="2" applyFont="1" applyFill="1" applyBorder="1" applyAlignment="1">
      <alignment horizontal="center" vertical="center"/>
    </xf>
    <xf numFmtId="0" fontId="67" fillId="7" borderId="95" xfId="4" applyFont="1" applyFill="1" applyBorder="1" applyAlignment="1">
      <alignment horizontal="center" vertical="center" wrapText="1"/>
    </xf>
    <xf numFmtId="0" fontId="67" fillId="7" borderId="96" xfId="4" applyFont="1" applyFill="1" applyBorder="1" applyAlignment="1">
      <alignment horizontal="center" vertical="center" wrapText="1"/>
    </xf>
    <xf numFmtId="0" fontId="67" fillId="7" borderId="116" xfId="4" applyFont="1" applyFill="1" applyBorder="1" applyAlignment="1">
      <alignment horizontal="center" vertical="center" wrapText="1"/>
    </xf>
    <xf numFmtId="0" fontId="39" fillId="7" borderId="18" xfId="0" applyFont="1" applyFill="1" applyBorder="1" applyAlignment="1">
      <alignment horizontal="center" vertical="center" textRotation="90"/>
    </xf>
    <xf numFmtId="0" fontId="28" fillId="7" borderId="3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28" fillId="7" borderId="3" xfId="4" applyFont="1" applyFill="1" applyBorder="1" applyAlignment="1">
      <alignment horizontal="center" vertical="center" wrapText="1"/>
    </xf>
    <xf numFmtId="0" fontId="28" fillId="7" borderId="4" xfId="4" applyFont="1" applyFill="1" applyBorder="1" applyAlignment="1">
      <alignment horizontal="center" vertical="center" wrapText="1"/>
    </xf>
    <xf numFmtId="0" fontId="28" fillId="7" borderId="5" xfId="4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67" fillId="7" borderId="3" xfId="4" applyFont="1" applyFill="1" applyBorder="1" applyAlignment="1">
      <alignment horizontal="center" vertical="center" wrapText="1"/>
    </xf>
    <xf numFmtId="0" fontId="67" fillId="7" borderId="4" xfId="4" applyFont="1" applyFill="1" applyBorder="1" applyAlignment="1">
      <alignment horizontal="center" vertical="center" wrapText="1"/>
    </xf>
    <xf numFmtId="0" fontId="67" fillId="7" borderId="5" xfId="4" applyFont="1" applyFill="1" applyBorder="1" applyAlignment="1">
      <alignment horizontal="center" vertical="center" wrapText="1"/>
    </xf>
    <xf numFmtId="0" fontId="93" fillId="0" borderId="18" xfId="2" applyFont="1" applyBorder="1" applyAlignment="1">
      <alignment horizontal="center" vertical="center"/>
    </xf>
    <xf numFmtId="0" fontId="93" fillId="0" borderId="11" xfId="2" applyFont="1" applyBorder="1" applyAlignment="1">
      <alignment horizontal="center" vertical="center"/>
    </xf>
    <xf numFmtId="0" fontId="67" fillId="7" borderId="3" xfId="0" applyFont="1" applyFill="1" applyBorder="1" applyAlignment="1">
      <alignment horizontal="center" vertical="center" wrapText="1"/>
    </xf>
    <xf numFmtId="0" fontId="67" fillId="7" borderId="4" xfId="0" applyFont="1" applyFill="1" applyBorder="1" applyAlignment="1">
      <alignment horizontal="center" vertical="center" wrapText="1"/>
    </xf>
    <xf numFmtId="0" fontId="67" fillId="7" borderId="5" xfId="0" applyFont="1" applyFill="1" applyBorder="1" applyAlignment="1">
      <alignment horizontal="center" vertical="center" wrapText="1"/>
    </xf>
    <xf numFmtId="0" fontId="81" fillId="7" borderId="18" xfId="0" applyFont="1" applyFill="1" applyBorder="1" applyAlignment="1">
      <alignment horizontal="center" vertical="center" wrapText="1"/>
    </xf>
    <xf numFmtId="0" fontId="81" fillId="7" borderId="11" xfId="0" applyFont="1" applyFill="1" applyBorder="1" applyAlignment="1">
      <alignment horizontal="center" vertical="center" wrapText="1"/>
    </xf>
  </cellXfs>
  <cellStyles count="61">
    <cellStyle name="40 % - Accent1 2" xfId="25" xr:uid="{1E37F2E1-ED23-4B7F-8068-CD19ACBB3AE5}"/>
    <cellStyle name="40 % - Accent1 3" xfId="43" xr:uid="{C547134B-A10E-4C46-9A49-424E5129239F}"/>
    <cellStyle name="60 % - Accent1 2" xfId="26" xr:uid="{DE9E4F85-D7E4-4448-A930-5C4158C7E3DA}"/>
    <cellStyle name="AutoFormat-Optionen 2 2" xfId="37" xr:uid="{A37B9DBA-9B1B-4DCF-A85C-EA3CCE943969}"/>
    <cellStyle name="Comma 2" xfId="59" xr:uid="{A6BA2DCD-8380-4019-8BE7-5EB59D172113}"/>
    <cellStyle name="Comma 3" xfId="6" xr:uid="{5E122E8F-E1C0-419E-B523-0CE147E97587}"/>
    <cellStyle name="Milliers 2" xfId="42" xr:uid="{D496D9A0-AC64-4E4E-ADF0-5C9A917C0ECC}"/>
    <cellStyle name="Milliers 2 2" xfId="46" xr:uid="{78C53ABD-5408-460D-B540-3EA97CAEAAB1}"/>
    <cellStyle name="Milliers 2 2 2" xfId="50" xr:uid="{07267DD0-737E-44E7-A222-8E244C3B3599}"/>
    <cellStyle name="Milliers 2 2 2 2" xfId="58" xr:uid="{ECB25FB2-8A95-41FC-AD77-1C7FD2BD489B}"/>
    <cellStyle name="Milliers 2 2 3" xfId="54" xr:uid="{8228EB8B-8893-4FCE-BE3B-B79949613A2F}"/>
    <cellStyle name="Milliers 2 3" xfId="48" xr:uid="{172FE63C-9532-4756-A70E-621211727699}"/>
    <cellStyle name="Milliers 2 3 2" xfId="56" xr:uid="{4FE8E678-C3AB-445C-8560-006A4940210B}"/>
    <cellStyle name="Milliers 2 4" xfId="52" xr:uid="{0036C315-5EC2-4AD4-AE1D-50DAE37F4EE3}"/>
    <cellStyle name="Milliers 3" xfId="33" xr:uid="{07C1ED1A-B64B-4298-A86C-02A446B59BA5}"/>
    <cellStyle name="Milliers 3 2" xfId="45" xr:uid="{A2C0EDC3-3E50-4398-B672-C06E43812D1A}"/>
    <cellStyle name="Milliers 3 2 2" xfId="49" xr:uid="{A7CAFD61-93EF-4267-AF76-84846FA17E17}"/>
    <cellStyle name="Milliers 3 2 2 2" xfId="57" xr:uid="{7443F760-E148-4C31-9139-880F03562866}"/>
    <cellStyle name="Milliers 3 2 3" xfId="53" xr:uid="{8794E10A-B2CD-4E6A-81A7-846C4058B352}"/>
    <cellStyle name="Milliers 3 3" xfId="47" xr:uid="{46A5F683-8B25-4407-9507-4746A8B2A08B}"/>
    <cellStyle name="Milliers 3 3 2" xfId="55" xr:uid="{5BEC89E5-70EC-4ABB-8B92-797701038E62}"/>
    <cellStyle name="Milliers 3 4" xfId="51" xr:uid="{19BECBD9-E903-458C-B143-926B93A978E5}"/>
    <cellStyle name="Normal" xfId="0" builtinId="0"/>
    <cellStyle name="Normal 10" xfId="30" xr:uid="{F53F5486-E5E9-41B3-8476-BDA5E02DDC3C}"/>
    <cellStyle name="Normal 11" xfId="40" xr:uid="{7CF73CFF-F265-4546-9EF6-B64E4BCF8E5B}"/>
    <cellStyle name="Normal 12" xfId="31" xr:uid="{1F5129E0-DD02-4F37-9A54-BD0B30A0F6F2}"/>
    <cellStyle name="Normal 13" xfId="10" xr:uid="{763875D5-4C61-4890-8318-CF7118BF87C8}"/>
    <cellStyle name="Normal 2" xfId="2" xr:uid="{412AC829-ECAC-4EB1-A0A7-D46C8C53065F}"/>
    <cellStyle name="Normal 2 2" xfId="36" xr:uid="{E98F9AE7-129A-4696-8093-CEF6F2596971}"/>
    <cellStyle name="Normal 2 3" xfId="60" xr:uid="{ADF70665-51F0-4404-B146-5B56841DA459}"/>
    <cellStyle name="Normal 2 4" xfId="5" xr:uid="{7B0A646D-54B1-4CED-B780-F34E0F32A0C0}"/>
    <cellStyle name="Normal 26" xfId="34" xr:uid="{26044446-7004-4BD2-A622-848CAFA50822}"/>
    <cellStyle name="Normal 3" xfId="9" xr:uid="{9E267A06-A6E4-4FAE-AA66-6093D7C2FC47}"/>
    <cellStyle name="Normal 3 2" xfId="11" xr:uid="{7C66D360-9EE4-44C1-92C8-16C65AA8BFFA}"/>
    <cellStyle name="Normal 3 2 2" xfId="17" xr:uid="{D5DC1071-47F7-4C0F-BCE4-56B2FFED1540}"/>
    <cellStyle name="Normal 3 2 2 2" xfId="27" xr:uid="{277A9B77-6E5D-4909-A724-57A0BF9A9AEC}"/>
    <cellStyle name="Normal 3 2 2 3" xfId="44" xr:uid="{30A2F148-0A8A-4329-94EE-57B3D29F1F3E}"/>
    <cellStyle name="Normal 3 2 3" xfId="22" xr:uid="{9E5596F9-0E37-47DE-9E7E-711E2640DF19}"/>
    <cellStyle name="Normal 3 3" xfId="12" xr:uid="{CF744EA3-CBE0-4D2B-94DA-582BB4A37D65}"/>
    <cellStyle name="Normal 4" xfId="13" xr:uid="{279A8B6C-88BB-44E2-8109-5C54FC76B947}"/>
    <cellStyle name="Normal 4 2" xfId="18" xr:uid="{821E4FFA-BDC4-4532-8FCF-9A01AA35A6A7}"/>
    <cellStyle name="Normal 4 3" xfId="41" xr:uid="{989BC147-9868-4400-A084-00F20B3D0E65}"/>
    <cellStyle name="Normal 5" xfId="14" xr:uid="{06CCC670-22B2-4E6E-AD8F-89BD8D469319}"/>
    <cellStyle name="Normal 5 2" xfId="19" xr:uid="{A2BEAFF8-1CEA-4D89-A4F9-4D1358751386}"/>
    <cellStyle name="Normal 5 2 2" xfId="28" xr:uid="{6E10D003-3503-4AE6-AE3D-EA77A3FFA291}"/>
    <cellStyle name="Normal 5 3" xfId="23" xr:uid="{5713B05B-CA6B-4470-9376-BAAFF6315FF8}"/>
    <cellStyle name="Normal 5 4" xfId="39" xr:uid="{6F8DCD22-5D1F-4225-89E5-F9B91BE19A8C}"/>
    <cellStyle name="Normal 6" xfId="15" xr:uid="{73004975-51F6-4191-91DE-DD8E7E71A731}"/>
    <cellStyle name="Normal 6 2" xfId="20" xr:uid="{AF73AA2A-C18C-4E0D-88A1-B35630694050}"/>
    <cellStyle name="Normal 6 2 2" xfId="29" xr:uid="{30775CF9-45C5-406A-956B-73D7C1886956}"/>
    <cellStyle name="Normal 6 3" xfId="24" xr:uid="{9B49AFCB-AF06-44B2-9EE7-C7B3E9FCD2DD}"/>
    <cellStyle name="Normal 6 4" xfId="38" xr:uid="{8F38ADFE-6266-417C-A5BA-894CA6F26830}"/>
    <cellStyle name="Normal 7" xfId="16" xr:uid="{0337A2CB-A4B3-418D-A9BE-3A7EE90767E1}"/>
    <cellStyle name="Normal 7 2" xfId="21" xr:uid="{E4FCD5AC-3F3F-4895-83FD-C17B69A692CF}"/>
    <cellStyle name="Normal 8" xfId="7" xr:uid="{B8F1534A-5308-4C06-BF5D-8F972FBDC4B9}"/>
    <cellStyle name="Normal 9" xfId="8" xr:uid="{1EE545F4-7421-4DC7-98DB-D46F2D5C9620}"/>
    <cellStyle name="Normal_Base Données" xfId="4" xr:uid="{4AAD55FD-557B-473B-9513-1F3250794481}"/>
    <cellStyle name="normální_Blazek" xfId="1" xr:uid="{D1515EB4-1D9E-4F36-A12A-90EE47A88FB0}"/>
    <cellStyle name="Percent" xfId="3" builtinId="5"/>
    <cellStyle name="Pourcentage 2" xfId="35" xr:uid="{28469C94-5B97-4473-878D-2FED54FB1694}"/>
    <cellStyle name="Standard_Mappe3" xfId="32" xr:uid="{63A4B201-4F9E-406E-87D5-CFA5FD5F956E}"/>
  </cellStyles>
  <dxfs count="13496">
    <dxf>
      <fill>
        <patternFill>
          <bgColor theme="8" tint="0.59996337778862885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150498</xdr:colOff>
      <xdr:row>3</xdr:row>
      <xdr:rowOff>92865</xdr:rowOff>
    </xdr:from>
    <xdr:to>
      <xdr:col>0</xdr:col>
      <xdr:colOff>474736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82CDF68-2DC6-4457-A7B6-1CB7E6BB4ADB}"/>
            </a:ext>
          </a:extLst>
        </xdr:cNvPr>
        <xdr:cNvGrpSpPr/>
      </xdr:nvGrpSpPr>
      <xdr:grpSpPr>
        <a:xfrm>
          <a:off x="150498" y="1464465"/>
          <a:ext cx="324238" cy="722294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F375A55-C462-DAF1-88B5-BE83C9783B76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1CA66C-BE76-0FDC-B27F-A1F2C2224220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7385C31D-0A5A-263E-F0F5-A20012141BFF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301625</xdr:colOff>
      <xdr:row>0</xdr:row>
      <xdr:rowOff>79375</xdr:rowOff>
    </xdr:from>
    <xdr:ext cx="4000500" cy="955651"/>
    <xdr:pic>
      <xdr:nvPicPr>
        <xdr:cNvPr id="6" name="Image 1">
          <a:extLst>
            <a:ext uri="{FF2B5EF4-FFF2-40B4-BE49-F238E27FC236}">
              <a16:creationId xmlns:a16="http://schemas.microsoft.com/office/drawing/2014/main" id="{8A961576-0DFA-4DDC-90D1-EFA03835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" y="79375"/>
          <a:ext cx="4000500" cy="955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147408</xdr:colOff>
      <xdr:row>8</xdr:row>
      <xdr:rowOff>2722</xdr:rowOff>
    </xdr:from>
    <xdr:to>
      <xdr:col>0</xdr:col>
      <xdr:colOff>464909</xdr:colOff>
      <xdr:row>9</xdr:row>
      <xdr:rowOff>45357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0FF4F84-2B65-46DB-9625-CC5F19B77855}"/>
            </a:ext>
          </a:extLst>
        </xdr:cNvPr>
        <xdr:cNvSpPr/>
      </xdr:nvSpPr>
      <xdr:spPr>
        <a:xfrm flipH="1">
          <a:off x="147408" y="2260147"/>
          <a:ext cx="317501" cy="23313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200" b="1">
              <a:solidFill>
                <a:sysClr val="windowText" lastClr="000000"/>
              </a:solidFill>
            </a:rPr>
            <a:t>4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150498</xdr:colOff>
      <xdr:row>3</xdr:row>
      <xdr:rowOff>92865</xdr:rowOff>
    </xdr:from>
    <xdr:to>
      <xdr:col>0</xdr:col>
      <xdr:colOff>474736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560EE-3CAD-45A7-94DA-BBDC28A07820}"/>
            </a:ext>
          </a:extLst>
        </xdr:cNvPr>
        <xdr:cNvGrpSpPr/>
      </xdr:nvGrpSpPr>
      <xdr:grpSpPr>
        <a:xfrm>
          <a:off x="150498" y="1883565"/>
          <a:ext cx="324238" cy="710864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39D578E-2B0F-AA73-E11E-DEED6CB05296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4835220-1A85-50A9-A0C8-94A35B8EE69F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71A1EA9-A79C-395C-6294-6D300A436B20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240361</xdr:colOff>
      <xdr:row>0</xdr:row>
      <xdr:rowOff>56910</xdr:rowOff>
    </xdr:from>
    <xdr:ext cx="2516770" cy="955651"/>
    <xdr:pic>
      <xdr:nvPicPr>
        <xdr:cNvPr id="6" name="Image 1">
          <a:extLst>
            <a:ext uri="{FF2B5EF4-FFF2-40B4-BE49-F238E27FC236}">
              <a16:creationId xmlns:a16="http://schemas.microsoft.com/office/drawing/2014/main" id="{94E9783D-3C46-4CA4-AFFE-1D756124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361" y="56910"/>
          <a:ext cx="2516770" cy="955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147408</xdr:colOff>
      <xdr:row>8</xdr:row>
      <xdr:rowOff>2722</xdr:rowOff>
    </xdr:from>
    <xdr:to>
      <xdr:col>0</xdr:col>
      <xdr:colOff>464909</xdr:colOff>
      <xdr:row>9</xdr:row>
      <xdr:rowOff>45357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A2017E0-3EB1-4434-B5C1-7638554101CE}"/>
            </a:ext>
          </a:extLst>
        </xdr:cNvPr>
        <xdr:cNvSpPr/>
      </xdr:nvSpPr>
      <xdr:spPr>
        <a:xfrm flipH="1">
          <a:off x="147408" y="2260147"/>
          <a:ext cx="317501" cy="23313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200" b="1">
              <a:solidFill>
                <a:sysClr val="windowText" lastClr="000000"/>
              </a:solidFill>
            </a:rPr>
            <a:t>4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150498</xdr:colOff>
      <xdr:row>3</xdr:row>
      <xdr:rowOff>33334</xdr:rowOff>
    </xdr:from>
    <xdr:to>
      <xdr:col>0</xdr:col>
      <xdr:colOff>474736</xdr:colOff>
      <xdr:row>6</xdr:row>
      <xdr:rowOff>216155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69314E6-AA13-4CA2-92DF-9EE2E9D12CDA}"/>
            </a:ext>
          </a:extLst>
        </xdr:cNvPr>
        <xdr:cNvGrpSpPr/>
      </xdr:nvGrpSpPr>
      <xdr:grpSpPr>
        <a:xfrm>
          <a:off x="150498" y="4471984"/>
          <a:ext cx="324238" cy="1154371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5A596AE-4F6E-FDCC-2C56-E5083F6287DE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1F1855A-E8A1-E1A6-828E-2603CAA370B1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483F25CA-761C-FEAF-06FE-77EE6C87AD01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222251</xdr:colOff>
      <xdr:row>0</xdr:row>
      <xdr:rowOff>111125</xdr:rowOff>
    </xdr:from>
    <xdr:ext cx="3635374" cy="1412875"/>
    <xdr:pic>
      <xdr:nvPicPr>
        <xdr:cNvPr id="6" name="Image 1">
          <a:extLst>
            <a:ext uri="{FF2B5EF4-FFF2-40B4-BE49-F238E27FC236}">
              <a16:creationId xmlns:a16="http://schemas.microsoft.com/office/drawing/2014/main" id="{C4EE2C15-146E-4AC8-8956-CDB45219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1" y="111125"/>
          <a:ext cx="3635374" cy="141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147408</xdr:colOff>
      <xdr:row>8</xdr:row>
      <xdr:rowOff>2722</xdr:rowOff>
    </xdr:from>
    <xdr:to>
      <xdr:col>0</xdr:col>
      <xdr:colOff>464909</xdr:colOff>
      <xdr:row>9</xdr:row>
      <xdr:rowOff>45357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0D2FDF-B7D8-4D65-B8EC-F6D307C1EE18}"/>
            </a:ext>
          </a:extLst>
        </xdr:cNvPr>
        <xdr:cNvSpPr/>
      </xdr:nvSpPr>
      <xdr:spPr>
        <a:xfrm flipH="1">
          <a:off x="147408" y="2926897"/>
          <a:ext cx="317501" cy="23313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200" b="1">
              <a:solidFill>
                <a:sysClr val="windowText" lastClr="000000"/>
              </a:solidFill>
            </a:rPr>
            <a:t>4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222251</xdr:colOff>
      <xdr:row>0</xdr:row>
      <xdr:rowOff>111125</xdr:rowOff>
    </xdr:from>
    <xdr:ext cx="3641076" cy="1382565"/>
    <xdr:pic>
      <xdr:nvPicPr>
        <xdr:cNvPr id="8" name="Image 1">
          <a:extLst>
            <a:ext uri="{FF2B5EF4-FFF2-40B4-BE49-F238E27FC236}">
              <a16:creationId xmlns:a16="http://schemas.microsoft.com/office/drawing/2014/main" id="{934BCDD1-AA75-4297-A867-213B6063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1" y="111125"/>
          <a:ext cx="3641076" cy="1382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92865</xdr:rowOff>
    </xdr:from>
    <xdr:to>
      <xdr:col>0</xdr:col>
      <xdr:colOff>0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0FFCC13-0782-4112-BB1C-BD1F8CC99A11}"/>
            </a:ext>
          </a:extLst>
        </xdr:cNvPr>
        <xdr:cNvGrpSpPr/>
      </xdr:nvGrpSpPr>
      <xdr:grpSpPr>
        <a:xfrm>
          <a:off x="0" y="2560294"/>
          <a:ext cx="0" cy="1381242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BAF9A3E-F52A-AD6C-7504-D48A029E74FA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C2760DC-020A-969F-48E9-460F77256F93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2A37B53-057E-34A4-B6F4-09F4EC77AC41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0</xdr:row>
      <xdr:rowOff>361950</xdr:rowOff>
    </xdr:from>
    <xdr:ext cx="4891520" cy="1857375"/>
    <xdr:pic>
      <xdr:nvPicPr>
        <xdr:cNvPr id="6" name="Image 1">
          <a:extLst>
            <a:ext uri="{FF2B5EF4-FFF2-40B4-BE49-F238E27FC236}">
              <a16:creationId xmlns:a16="http://schemas.microsoft.com/office/drawing/2014/main" id="{96E0CEA0-57F5-4A6C-9228-D19B800C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489152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372171</xdr:colOff>
      <xdr:row>3</xdr:row>
      <xdr:rowOff>244051</xdr:rowOff>
    </xdr:from>
    <xdr:to>
      <xdr:col>0</xdr:col>
      <xdr:colOff>1015108</xdr:colOff>
      <xdr:row>10</xdr:row>
      <xdr:rowOff>4763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F6B3271E-5F1A-4AE3-8C57-DF9303453017}"/>
            </a:ext>
          </a:extLst>
        </xdr:cNvPr>
        <xdr:cNvGrpSpPr/>
      </xdr:nvGrpSpPr>
      <xdr:grpSpPr>
        <a:xfrm>
          <a:off x="372171" y="2711480"/>
          <a:ext cx="642937" cy="2137426"/>
          <a:chOff x="147408" y="1879802"/>
          <a:chExt cx="327328" cy="108020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7A9F11F-052A-F021-5C12-C3A1C1635066}"/>
              </a:ext>
            </a:extLst>
          </xdr:cNvPr>
          <xdr:cNvGrpSpPr/>
        </xdr:nvGrpSpPr>
        <xdr:grpSpPr>
          <a:xfrm>
            <a:off x="150498" y="1879802"/>
            <a:ext cx="324238" cy="771778"/>
            <a:chOff x="4000499" y="1104221"/>
            <a:chExt cx="561976" cy="667429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D317F47B-7E62-8A62-CDF5-C898B3278010}"/>
                </a:ext>
              </a:extLst>
            </xdr:cNvPr>
            <xdr:cNvSpPr/>
          </xdr:nvSpPr>
          <xdr:spPr>
            <a:xfrm flipH="1">
              <a:off x="4002880" y="1104221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1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D6308165-9123-2264-976A-359B1D061863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2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888BF2F-F3D8-D039-48A2-14E1EEB43417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3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3728D2D-C460-7E2F-CB62-65C415A737AD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4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110402</xdr:colOff>
      <xdr:row>0</xdr:row>
      <xdr:rowOff>218642</xdr:rowOff>
    </xdr:from>
    <xdr:ext cx="6314248" cy="3019858"/>
    <xdr:pic>
      <xdr:nvPicPr>
        <xdr:cNvPr id="2" name="Image 1">
          <a:extLst>
            <a:ext uri="{FF2B5EF4-FFF2-40B4-BE49-F238E27FC236}">
              <a16:creationId xmlns:a16="http://schemas.microsoft.com/office/drawing/2014/main" id="{8A257A80-D23C-456C-870E-503D4AB81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02" y="218642"/>
          <a:ext cx="6314248" cy="3019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190500</xdr:colOff>
      <xdr:row>4</xdr:row>
      <xdr:rowOff>51955</xdr:rowOff>
    </xdr:from>
    <xdr:to>
      <xdr:col>1</xdr:col>
      <xdr:colOff>571500</xdr:colOff>
      <xdr:row>8</xdr:row>
      <xdr:rowOff>17318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EFA5CC-8809-4AF5-8A4B-F8F3F645AAAB}"/>
            </a:ext>
          </a:extLst>
        </xdr:cNvPr>
        <xdr:cNvGrpSpPr/>
      </xdr:nvGrpSpPr>
      <xdr:grpSpPr>
        <a:xfrm>
          <a:off x="2044700" y="4395355"/>
          <a:ext cx="381000" cy="2403763"/>
          <a:chOff x="147408" y="1902615"/>
          <a:chExt cx="327328" cy="105739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A93C42D3-F978-BDD6-3019-525FE5445DA5}"/>
              </a:ext>
            </a:extLst>
          </xdr:cNvPr>
          <xdr:cNvGrpSpPr/>
        </xdr:nvGrpSpPr>
        <xdr:grpSpPr>
          <a:xfrm>
            <a:off x="150498" y="1902615"/>
            <a:ext cx="324238" cy="748964"/>
            <a:chOff x="4000499" y="1123950"/>
            <a:chExt cx="561976" cy="647700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A4AF53FD-11F3-87C5-305A-79B93C575F55}"/>
                </a:ext>
              </a:extLst>
            </xdr:cNvPr>
            <xdr:cNvSpPr/>
          </xdr:nvSpPr>
          <xdr:spPr>
            <a:xfrm flipH="1">
              <a:off x="4002880" y="1123950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1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E03B315B-3718-108D-6617-11597784C2A0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2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D040D026-18C6-B1B9-D51E-C695BE803509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3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37581FC-A2F5-ADB7-0557-D8FC20492FDE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4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150498</xdr:colOff>
      <xdr:row>3</xdr:row>
      <xdr:rowOff>92865</xdr:rowOff>
    </xdr:from>
    <xdr:to>
      <xdr:col>0</xdr:col>
      <xdr:colOff>474736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E4D5E0-0740-4FFB-BD95-4E32548D4E86}"/>
            </a:ext>
          </a:extLst>
        </xdr:cNvPr>
        <xdr:cNvGrpSpPr/>
      </xdr:nvGrpSpPr>
      <xdr:grpSpPr>
        <a:xfrm>
          <a:off x="150498" y="2702715"/>
          <a:ext cx="324238" cy="1168064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825364F-33EB-DCBC-177E-872409E95A76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EE232F9-4443-0A19-2F35-D571A246654A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F6146CE-F69F-3C32-AD03-A4D7832A53EC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147408</xdr:colOff>
      <xdr:row>8</xdr:row>
      <xdr:rowOff>2722</xdr:rowOff>
    </xdr:from>
    <xdr:to>
      <xdr:col>0</xdr:col>
      <xdr:colOff>464909</xdr:colOff>
      <xdr:row>9</xdr:row>
      <xdr:rowOff>45357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1C42517-D89D-460F-99A6-7C9E8268B05E}"/>
            </a:ext>
          </a:extLst>
        </xdr:cNvPr>
        <xdr:cNvSpPr/>
      </xdr:nvSpPr>
      <xdr:spPr>
        <a:xfrm flipH="1">
          <a:off x="147408" y="2355397"/>
          <a:ext cx="317501" cy="23313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200" b="1">
              <a:solidFill>
                <a:sysClr val="windowText" lastClr="000000"/>
              </a:solidFill>
            </a:rPr>
            <a:t>4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242454</xdr:colOff>
      <xdr:row>0</xdr:row>
      <xdr:rowOff>0</xdr:rowOff>
    </xdr:from>
    <xdr:ext cx="4924858" cy="2166936"/>
    <xdr:pic>
      <xdr:nvPicPr>
        <xdr:cNvPr id="7" name="Image 1">
          <a:extLst>
            <a:ext uri="{FF2B5EF4-FFF2-40B4-BE49-F238E27FC236}">
              <a16:creationId xmlns:a16="http://schemas.microsoft.com/office/drawing/2014/main" id="{826233F9-3298-4AA4-9E29-97111CF1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454" y="0"/>
          <a:ext cx="4924858" cy="2166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33617</xdr:colOff>
      <xdr:row>0</xdr:row>
      <xdr:rowOff>89647</xdr:rowOff>
    </xdr:from>
    <xdr:ext cx="5031699" cy="2386853"/>
    <xdr:pic>
      <xdr:nvPicPr>
        <xdr:cNvPr id="2" name="Image 1">
          <a:extLst>
            <a:ext uri="{FF2B5EF4-FFF2-40B4-BE49-F238E27FC236}">
              <a16:creationId xmlns:a16="http://schemas.microsoft.com/office/drawing/2014/main" id="{0BAA16C4-2506-4C05-9122-9307AB1D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" y="89647"/>
          <a:ext cx="5031699" cy="2386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302559</xdr:colOff>
      <xdr:row>3</xdr:row>
      <xdr:rowOff>89647</xdr:rowOff>
    </xdr:from>
    <xdr:to>
      <xdr:col>0</xdr:col>
      <xdr:colOff>1091045</xdr:colOff>
      <xdr:row>7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C85E875-D4FE-4FCA-B45B-9C2DB4C9C9B9}"/>
            </a:ext>
          </a:extLst>
        </xdr:cNvPr>
        <xdr:cNvGrpSpPr/>
      </xdr:nvGrpSpPr>
      <xdr:grpSpPr>
        <a:xfrm>
          <a:off x="302559" y="4394947"/>
          <a:ext cx="788486" cy="2348753"/>
          <a:chOff x="147408" y="1902615"/>
          <a:chExt cx="327328" cy="105739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2751E36-49AA-B06D-CE59-E102C63CFDE7}"/>
              </a:ext>
            </a:extLst>
          </xdr:cNvPr>
          <xdr:cNvGrpSpPr/>
        </xdr:nvGrpSpPr>
        <xdr:grpSpPr>
          <a:xfrm>
            <a:off x="150498" y="1902615"/>
            <a:ext cx="324238" cy="748964"/>
            <a:chOff x="4000499" y="1123950"/>
            <a:chExt cx="561976" cy="647700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AF0B0261-B406-845A-5BBA-06CA169C8C59}"/>
                </a:ext>
              </a:extLst>
            </xdr:cNvPr>
            <xdr:cNvSpPr/>
          </xdr:nvSpPr>
          <xdr:spPr>
            <a:xfrm flipH="1">
              <a:off x="4002880" y="1123950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1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9BFAB598-C877-DDFD-DA39-4CF443A4EB4C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2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CC561245-4B26-CE99-A3DB-727D1FA7EB4E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3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331684F5-C1E8-5E98-A8A9-89C2EF95C73F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4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92865</xdr:rowOff>
    </xdr:from>
    <xdr:to>
      <xdr:col>0</xdr:col>
      <xdr:colOff>0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209ACB-9653-4BA0-B483-930607C8B300}"/>
            </a:ext>
          </a:extLst>
        </xdr:cNvPr>
        <xdr:cNvGrpSpPr/>
      </xdr:nvGrpSpPr>
      <xdr:grpSpPr>
        <a:xfrm>
          <a:off x="0" y="4466745"/>
          <a:ext cx="0" cy="3221654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A1D76DD-58A6-E4BE-BF78-CF45C60CB8E5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CD50FBA-FD39-A83B-851C-E50D4FFED5B1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59D66F0-6C7C-EBEE-81F2-4F01665787C9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190499</xdr:colOff>
      <xdr:row>0</xdr:row>
      <xdr:rowOff>100012</xdr:rowOff>
    </xdr:from>
    <xdr:ext cx="7400637" cy="3887813"/>
    <xdr:pic>
      <xdr:nvPicPr>
        <xdr:cNvPr id="6" name="Image 1">
          <a:extLst>
            <a:ext uri="{FF2B5EF4-FFF2-40B4-BE49-F238E27FC236}">
              <a16:creationId xmlns:a16="http://schemas.microsoft.com/office/drawing/2014/main" id="{A327E52A-F3BF-4F92-80BA-05685F07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100012"/>
          <a:ext cx="7400637" cy="3887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372171</xdr:colOff>
      <xdr:row>3</xdr:row>
      <xdr:rowOff>244051</xdr:rowOff>
    </xdr:from>
    <xdr:to>
      <xdr:col>0</xdr:col>
      <xdr:colOff>1015108</xdr:colOff>
      <xdr:row>8</xdr:row>
      <xdr:rowOff>642937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5DCE2A4-2E67-4FBF-A88D-85866474305E}"/>
            </a:ext>
          </a:extLst>
        </xdr:cNvPr>
        <xdr:cNvGrpSpPr/>
      </xdr:nvGrpSpPr>
      <xdr:grpSpPr>
        <a:xfrm>
          <a:off x="372171" y="4617931"/>
          <a:ext cx="642937" cy="4513686"/>
          <a:chOff x="147408" y="1879802"/>
          <a:chExt cx="327328" cy="108020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C94DE89E-B90F-1018-EBA9-0460C64CD461}"/>
              </a:ext>
            </a:extLst>
          </xdr:cNvPr>
          <xdr:cNvGrpSpPr/>
        </xdr:nvGrpSpPr>
        <xdr:grpSpPr>
          <a:xfrm>
            <a:off x="150498" y="1879802"/>
            <a:ext cx="324238" cy="771778"/>
            <a:chOff x="4000499" y="1104221"/>
            <a:chExt cx="561976" cy="667429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697270C2-799A-6485-07CE-1EBDAEE0D743}"/>
                </a:ext>
              </a:extLst>
            </xdr:cNvPr>
            <xdr:cNvSpPr/>
          </xdr:nvSpPr>
          <xdr:spPr>
            <a:xfrm flipH="1">
              <a:off x="4002880" y="1104221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400" b="1">
                  <a:solidFill>
                    <a:sysClr val="windowText" lastClr="000000"/>
                  </a:solidFill>
                </a:rPr>
                <a:t>1</a:t>
              </a:r>
              <a:endParaRPr lang="fr-FR" sz="2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4E16C574-E8C3-189C-F4D7-82395A0DCAA8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400" b="1">
                  <a:solidFill>
                    <a:sysClr val="windowText" lastClr="000000"/>
                  </a:solidFill>
                </a:rPr>
                <a:t>2</a:t>
              </a:r>
              <a:endParaRPr lang="fr-FR" sz="2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7482F56C-57D6-8B89-44D1-FA0A725F1F4E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400" b="1">
                  <a:solidFill>
                    <a:sysClr val="windowText" lastClr="000000"/>
                  </a:solidFill>
                </a:rPr>
                <a:t>3</a:t>
              </a:r>
              <a:endParaRPr lang="fr-FR" sz="20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F596F7E-BC22-E666-6CCA-1BCF839240C8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400" b="1">
                <a:solidFill>
                  <a:sysClr val="windowText" lastClr="000000"/>
                </a:solidFill>
              </a:rPr>
              <a:t>4</a:t>
            </a:r>
            <a:endParaRPr lang="fr-FR" sz="20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240361</xdr:colOff>
      <xdr:row>0</xdr:row>
      <xdr:rowOff>56910</xdr:rowOff>
    </xdr:from>
    <xdr:ext cx="3641076" cy="1382565"/>
    <xdr:pic>
      <xdr:nvPicPr>
        <xdr:cNvPr id="6" name="Image 1">
          <a:extLst>
            <a:ext uri="{FF2B5EF4-FFF2-40B4-BE49-F238E27FC236}">
              <a16:creationId xmlns:a16="http://schemas.microsoft.com/office/drawing/2014/main" id="{6604A32E-C27D-4FC9-93CD-C59183E7C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361" y="56910"/>
          <a:ext cx="3641076" cy="1382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147408</xdr:colOff>
      <xdr:row>3</xdr:row>
      <xdr:rowOff>92865</xdr:rowOff>
    </xdr:from>
    <xdr:to>
      <xdr:col>0</xdr:col>
      <xdr:colOff>474736</xdr:colOff>
      <xdr:row>9</xdr:row>
      <xdr:rowOff>45357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DA8D4A7-45FA-686D-0992-EC7BDF55FF9C}"/>
            </a:ext>
          </a:extLst>
        </xdr:cNvPr>
        <xdr:cNvGrpSpPr/>
      </xdr:nvGrpSpPr>
      <xdr:grpSpPr>
        <a:xfrm>
          <a:off x="147408" y="3464715"/>
          <a:ext cx="327328" cy="2009892"/>
          <a:chOff x="147408" y="1902615"/>
          <a:chExt cx="327328" cy="1057392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C2CB0611-2DE4-419C-906C-A7741A259C66}"/>
              </a:ext>
            </a:extLst>
          </xdr:cNvPr>
          <xdr:cNvGrpSpPr/>
        </xdr:nvGrpSpPr>
        <xdr:grpSpPr>
          <a:xfrm>
            <a:off x="150498" y="1902615"/>
            <a:ext cx="324238" cy="748964"/>
            <a:chOff x="4000499" y="1123950"/>
            <a:chExt cx="561976" cy="647700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0A33107C-EE1A-ECE9-6924-8D83AE198099}"/>
                </a:ext>
              </a:extLst>
            </xdr:cNvPr>
            <xdr:cNvSpPr/>
          </xdr:nvSpPr>
          <xdr:spPr>
            <a:xfrm flipH="1">
              <a:off x="4002880" y="1123950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1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84796539-38BC-BAE4-E2D7-5384103125F5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2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5C510ACC-5B6A-E546-3ABC-6AA0E717A9C5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3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1F278959-DA09-452F-9299-68DE2837B6E2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4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92865</xdr:rowOff>
    </xdr:from>
    <xdr:to>
      <xdr:col>0</xdr:col>
      <xdr:colOff>0</xdr:colOff>
      <xdr:row>7</xdr:row>
      <xdr:rowOff>22679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A016006-91B0-4597-985D-1EA8713E72C7}"/>
            </a:ext>
          </a:extLst>
        </xdr:cNvPr>
        <xdr:cNvGrpSpPr/>
      </xdr:nvGrpSpPr>
      <xdr:grpSpPr>
        <a:xfrm>
          <a:off x="0" y="2550315"/>
          <a:ext cx="0" cy="1377614"/>
          <a:chOff x="4000499" y="1123950"/>
          <a:chExt cx="561976" cy="6477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6916B7E-6391-FE3C-4650-1B8EB27F3ED8}"/>
              </a:ext>
            </a:extLst>
          </xdr:cNvPr>
          <xdr:cNvSpPr/>
        </xdr:nvSpPr>
        <xdr:spPr>
          <a:xfrm flipH="1">
            <a:off x="4002880" y="1123950"/>
            <a:ext cx="542568" cy="19497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1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1C9C6A1-2CA2-E746-F009-C99E8D7EF753}"/>
              </a:ext>
            </a:extLst>
          </xdr:cNvPr>
          <xdr:cNvSpPr/>
        </xdr:nvSpPr>
        <xdr:spPr>
          <a:xfrm>
            <a:off x="4000501" y="1361699"/>
            <a:ext cx="552451" cy="18729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2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8DE38F8-5489-200D-CA3E-22B154303018}"/>
              </a:ext>
            </a:extLst>
          </xdr:cNvPr>
          <xdr:cNvSpPr/>
        </xdr:nvSpPr>
        <xdr:spPr>
          <a:xfrm>
            <a:off x="4000499" y="1590675"/>
            <a:ext cx="561976" cy="18097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3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147408</xdr:colOff>
      <xdr:row>8</xdr:row>
      <xdr:rowOff>2722</xdr:rowOff>
    </xdr:from>
    <xdr:to>
      <xdr:col>0</xdr:col>
      <xdr:colOff>464909</xdr:colOff>
      <xdr:row>9</xdr:row>
      <xdr:rowOff>45357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671A4B-F28F-43CE-BD82-67ABD8DA43A5}"/>
            </a:ext>
          </a:extLst>
        </xdr:cNvPr>
        <xdr:cNvSpPr/>
      </xdr:nvSpPr>
      <xdr:spPr>
        <a:xfrm flipH="1">
          <a:off x="0" y="4317547"/>
          <a:ext cx="0" cy="41411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200" b="1">
              <a:solidFill>
                <a:sysClr val="windowText" lastClr="000000"/>
              </a:solidFill>
            </a:rPr>
            <a:t>4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361950</xdr:rowOff>
    </xdr:from>
    <xdr:ext cx="4891520" cy="1857375"/>
    <xdr:pic>
      <xdr:nvPicPr>
        <xdr:cNvPr id="7" name="Image 1">
          <a:extLst>
            <a:ext uri="{FF2B5EF4-FFF2-40B4-BE49-F238E27FC236}">
              <a16:creationId xmlns:a16="http://schemas.microsoft.com/office/drawing/2014/main" id="{565CFB64-4537-492B-99FB-4D84A113B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489152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209549</xdr:colOff>
      <xdr:row>3</xdr:row>
      <xdr:rowOff>290514</xdr:rowOff>
    </xdr:from>
    <xdr:to>
      <xdr:col>1</xdr:col>
      <xdr:colOff>852486</xdr:colOff>
      <xdr:row>10</xdr:row>
      <xdr:rowOff>4763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FA163F4-E222-4ACF-A4CF-855521A06C91}"/>
            </a:ext>
          </a:extLst>
        </xdr:cNvPr>
        <xdr:cNvGrpSpPr/>
      </xdr:nvGrpSpPr>
      <xdr:grpSpPr>
        <a:xfrm>
          <a:off x="209549" y="2747964"/>
          <a:ext cx="642937" cy="2095499"/>
          <a:chOff x="147408" y="1902615"/>
          <a:chExt cx="327328" cy="1057392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50BD3D4-5136-0E6E-ED29-CDDDDE98D528}"/>
              </a:ext>
            </a:extLst>
          </xdr:cNvPr>
          <xdr:cNvGrpSpPr/>
        </xdr:nvGrpSpPr>
        <xdr:grpSpPr>
          <a:xfrm>
            <a:off x="150498" y="1902615"/>
            <a:ext cx="324238" cy="748964"/>
            <a:chOff x="4000499" y="1123950"/>
            <a:chExt cx="561976" cy="647700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9FE7802F-128C-AF91-4EB7-A7B139F2F65E}"/>
                </a:ext>
              </a:extLst>
            </xdr:cNvPr>
            <xdr:cNvSpPr/>
          </xdr:nvSpPr>
          <xdr:spPr>
            <a:xfrm flipH="1">
              <a:off x="4002880" y="1123950"/>
              <a:ext cx="542568" cy="194972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1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5708D175-6697-7AF0-5A28-B41123C4F549}"/>
                </a:ext>
              </a:extLst>
            </xdr:cNvPr>
            <xdr:cNvSpPr/>
          </xdr:nvSpPr>
          <xdr:spPr>
            <a:xfrm>
              <a:off x="4000501" y="1361699"/>
              <a:ext cx="552451" cy="187297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2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4E4FCEA8-45F5-C503-1A01-DF46B073C814}"/>
                </a:ext>
              </a:extLst>
            </xdr:cNvPr>
            <xdr:cNvSpPr/>
          </xdr:nvSpPr>
          <xdr:spPr>
            <a:xfrm>
              <a:off x="4000499" y="1590675"/>
              <a:ext cx="561976" cy="180975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solidFill>
                    <a:sysClr val="windowText" lastClr="000000"/>
                  </a:solidFill>
                </a:rPr>
                <a:t>3</a:t>
              </a:r>
              <a:endParaRPr lang="fr-FR" sz="1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44A2678-7631-7AC5-71BB-10831CC982F6}"/>
              </a:ext>
            </a:extLst>
          </xdr:cNvPr>
          <xdr:cNvSpPr/>
        </xdr:nvSpPr>
        <xdr:spPr>
          <a:xfrm flipH="1">
            <a:off x="147408" y="2726872"/>
            <a:ext cx="317501" cy="233135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 b="1">
                <a:solidFill>
                  <a:sysClr val="windowText" lastClr="000000"/>
                </a:solidFill>
              </a:rPr>
              <a:t>4</a:t>
            </a:r>
            <a:endParaRPr lang="fr-FR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n61fs100\Data\Molding%20ICT\Production\CA.%20PRODUCTION\POINTAGE\CA%20Prod%20Pointage\Pointage%20FY24%20CA.xlsx" TargetMode="External"/><Relationship Id="rId1" Type="http://schemas.openxmlformats.org/officeDocument/2006/relationships/externalLinkPath" Target="file:///\\man61fs100\Data\Molding%20ICT\Production\CA.%20PRODUCTION\POINTAGE\CA%20Prod%20Pointage\Pointage%20FY24%20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intage"/>
      <sheetName val="Départs"/>
      <sheetName val="Mouvements"/>
      <sheetName val="afectation tetoune"/>
      <sheetName val="EVC"/>
      <sheetName val="Sheet1"/>
    </sheetNames>
    <sheetDataSet>
      <sheetData sheetId="0">
        <row r="1">
          <cell r="A1" t="str">
            <v>AB :ABesence injustifier</v>
          </cell>
          <cell r="B1"/>
          <cell r="C1"/>
          <cell r="D1"/>
        </row>
        <row r="2">
          <cell r="A2" t="str">
            <v>MA:MAladie</v>
          </cell>
          <cell r="B2"/>
          <cell r="C2"/>
          <cell r="D2"/>
        </row>
        <row r="3">
          <cell r="A3" t="str">
            <v>AT</v>
          </cell>
          <cell r="B3"/>
          <cell r="C3"/>
          <cell r="D3"/>
        </row>
        <row r="4">
          <cell r="A4" t="str">
            <v>EF   :  événement Familiale</v>
          </cell>
          <cell r="B4"/>
          <cell r="C4"/>
          <cell r="D4"/>
        </row>
        <row r="5">
          <cell r="A5" t="str">
            <v xml:space="preserve">CP   :  Congé Payé </v>
          </cell>
          <cell r="B5"/>
          <cell r="C5"/>
          <cell r="D5"/>
        </row>
        <row r="6">
          <cell r="A6" t="str">
            <v xml:space="preserve">JF    :  jour férié </v>
          </cell>
          <cell r="B6"/>
          <cell r="C6"/>
          <cell r="D6"/>
        </row>
        <row r="7">
          <cell r="A7" t="str">
            <v>4S    : Quatrième samedi</v>
          </cell>
          <cell r="B7"/>
          <cell r="C7"/>
          <cell r="D7"/>
        </row>
        <row r="8">
          <cell r="A8" t="str">
            <v xml:space="preserve">MP: MISE à piead </v>
          </cell>
          <cell r="B8"/>
          <cell r="C8"/>
          <cell r="D8"/>
        </row>
        <row r="9">
          <cell r="A9" t="str">
            <v xml:space="preserve"> CS : Conge sans solde</v>
          </cell>
          <cell r="B9"/>
          <cell r="C9"/>
          <cell r="D9"/>
        </row>
        <row r="10">
          <cell r="A10"/>
          <cell r="B10"/>
          <cell r="C10"/>
          <cell r="D10"/>
        </row>
        <row r="11">
          <cell r="A11" t="str">
            <v>ID</v>
          </cell>
          <cell r="B11" t="str">
            <v xml:space="preserve">Nom &amp; Prenom </v>
          </cell>
          <cell r="C11" t="str">
            <v>Gender</v>
          </cell>
          <cell r="D11" t="str">
            <v>Team leader</v>
          </cell>
        </row>
        <row r="12">
          <cell r="A12" t="str">
            <v>TE457338</v>
          </cell>
          <cell r="B12" t="str">
            <v>El Yamani Noura</v>
          </cell>
          <cell r="C12" t="str">
            <v>F</v>
          </cell>
          <cell r="D12" t="str">
            <v>El Yamani Noura</v>
          </cell>
        </row>
        <row r="13">
          <cell r="A13" t="str">
            <v>TE399378</v>
          </cell>
          <cell r="B13" t="str">
            <v>ZAKARIA GARARA</v>
          </cell>
          <cell r="C13" t="str">
            <v>M</v>
          </cell>
          <cell r="D13" t="str">
            <v>El Yamani Noura</v>
          </cell>
        </row>
        <row r="14">
          <cell r="A14" t="str">
            <v>TE485915</v>
          </cell>
          <cell r="B14" t="str">
            <v>SAAD ELLAH ZITAN</v>
          </cell>
          <cell r="C14" t="str">
            <v>M</v>
          </cell>
          <cell r="D14" t="str">
            <v>El Yamani Noura</v>
          </cell>
        </row>
        <row r="15">
          <cell r="A15" t="str">
            <v>TE410025</v>
          </cell>
          <cell r="B15" t="str">
            <v>Ben Afya, Zouhir</v>
          </cell>
          <cell r="C15" t="str">
            <v>M</v>
          </cell>
          <cell r="D15" t="str">
            <v>El Yamani Noura</v>
          </cell>
        </row>
        <row r="16">
          <cell r="A16" t="str">
            <v>TE534986</v>
          </cell>
          <cell r="B16" t="str">
            <v>YOUNES AIT SSI</v>
          </cell>
          <cell r="C16" t="str">
            <v>M</v>
          </cell>
          <cell r="D16" t="str">
            <v>El Yamani Noura</v>
          </cell>
        </row>
        <row r="17">
          <cell r="A17" t="str">
            <v>TE555551</v>
          </cell>
          <cell r="B17" t="str">
            <v>YASSINE EL AIDI</v>
          </cell>
          <cell r="C17" t="str">
            <v>M</v>
          </cell>
          <cell r="D17" t="str">
            <v>El Yamani Noura</v>
          </cell>
        </row>
        <row r="18">
          <cell r="A18" t="str">
            <v>TE408411</v>
          </cell>
          <cell r="B18" t="str">
            <v>EL-ACHHAB AMINE</v>
          </cell>
          <cell r="C18" t="str">
            <v>M</v>
          </cell>
          <cell r="D18" t="str">
            <v>El Yamani Noura</v>
          </cell>
        </row>
        <row r="19">
          <cell r="A19" t="str">
            <v>TE543777</v>
          </cell>
          <cell r="B19" t="str">
            <v>ABDELHAMID MAKRAN</v>
          </cell>
          <cell r="C19" t="str">
            <v>M</v>
          </cell>
          <cell r="D19" t="str">
            <v>El Yamani Noura</v>
          </cell>
        </row>
        <row r="20">
          <cell r="A20" t="str">
            <v>TE408469</v>
          </cell>
          <cell r="B20" t="str">
            <v xml:space="preserve">OMAR ES-SOUFI </v>
          </cell>
          <cell r="C20" t="str">
            <v>M</v>
          </cell>
          <cell r="D20" t="str">
            <v>El Yamani Noura</v>
          </cell>
        </row>
        <row r="21">
          <cell r="A21" t="str">
            <v>TE565920</v>
          </cell>
          <cell r="B21" t="str">
            <v>jaMAl boukhzar</v>
          </cell>
          <cell r="C21" t="str">
            <v>M</v>
          </cell>
          <cell r="D21" t="str">
            <v>El Yamani Noura</v>
          </cell>
        </row>
        <row r="22">
          <cell r="A22" t="str">
            <v>TE534981</v>
          </cell>
          <cell r="B22" t="str">
            <v xml:space="preserve">MUSTAPHA ELMKADEM </v>
          </cell>
          <cell r="C22" t="str">
            <v>M</v>
          </cell>
          <cell r="D22" t="str">
            <v>El Yamani Noura</v>
          </cell>
        </row>
        <row r="23">
          <cell r="A23" t="str">
            <v>TE543796</v>
          </cell>
          <cell r="B23" t="str">
            <v>BEN ZAHRA  YOUSSEF</v>
          </cell>
          <cell r="C23" t="str">
            <v>M</v>
          </cell>
          <cell r="D23" t="str">
            <v>El Yamani Noura</v>
          </cell>
        </row>
        <row r="24">
          <cell r="A24" t="str">
            <v>TE568894</v>
          </cell>
          <cell r="B24" t="str">
            <v>TAOUFIK EL FOUAL</v>
          </cell>
          <cell r="C24" t="str">
            <v>M</v>
          </cell>
          <cell r="D24" t="str">
            <v>El Yamani Noura</v>
          </cell>
        </row>
        <row r="25">
          <cell r="A25" t="str">
            <v>TE599043</v>
          </cell>
          <cell r="B25" t="str">
            <v>AHMED AHARCHI</v>
          </cell>
          <cell r="C25" t="str">
            <v>M</v>
          </cell>
          <cell r="D25" t="str">
            <v>El Yamani Noura</v>
          </cell>
        </row>
        <row r="26">
          <cell r="A26" t="str">
            <v>TE599050</v>
          </cell>
          <cell r="B26" t="str">
            <v>OURKIA HASSAN</v>
          </cell>
          <cell r="C26" t="str">
            <v>M</v>
          </cell>
          <cell r="D26" t="str">
            <v>El Yamani Noura</v>
          </cell>
        </row>
        <row r="27">
          <cell r="A27" t="str">
            <v>TE595513</v>
          </cell>
          <cell r="B27" t="str">
            <v>ACHERKI SAID</v>
          </cell>
          <cell r="C27" t="str">
            <v>M</v>
          </cell>
          <cell r="D27" t="str">
            <v>El Yamani Noura</v>
          </cell>
        </row>
        <row r="28">
          <cell r="A28" t="str">
            <v>TE607110</v>
          </cell>
          <cell r="B28" t="str">
            <v>YOUSSEF REGUI</v>
          </cell>
          <cell r="C28" t="str">
            <v>M</v>
          </cell>
          <cell r="D28" t="str">
            <v>El Yamani Noura</v>
          </cell>
        </row>
        <row r="29">
          <cell r="A29" t="str">
            <v>TE406825</v>
          </cell>
          <cell r="B29" t="str">
            <v>EL ACHIRI EL KHALIL</v>
          </cell>
          <cell r="C29" t="str">
            <v>M</v>
          </cell>
          <cell r="D29" t="str">
            <v>El Yamani Noura</v>
          </cell>
        </row>
        <row r="30">
          <cell r="A30" t="str">
            <v>TE552366</v>
          </cell>
          <cell r="B30" t="str">
            <v>ABDELA TIMOURAK</v>
          </cell>
          <cell r="C30" t="str">
            <v>M</v>
          </cell>
          <cell r="D30" t="str">
            <v>El Yamani Noura</v>
          </cell>
        </row>
        <row r="31">
          <cell r="A31" t="str">
            <v>TE516780</v>
          </cell>
          <cell r="B31" t="str">
            <v>Bouzhar, Yassine</v>
          </cell>
          <cell r="C31" t="str">
            <v>M</v>
          </cell>
          <cell r="D31" t="str">
            <v>El Yamani Noura</v>
          </cell>
        </row>
        <row r="32">
          <cell r="A32" t="str">
            <v>TE523765</v>
          </cell>
          <cell r="B32" t="str">
            <v>MAZOUZI ABDE NOUR</v>
          </cell>
          <cell r="C32" t="str">
            <v>M</v>
          </cell>
          <cell r="D32" t="str">
            <v>El Yamani Noura</v>
          </cell>
        </row>
        <row r="33">
          <cell r="A33" t="str">
            <v>TE534984</v>
          </cell>
          <cell r="B33" t="str">
            <v>DIDAH KHADIJA</v>
          </cell>
          <cell r="C33" t="str">
            <v>F</v>
          </cell>
          <cell r="D33" t="str">
            <v>El Yamani Noura</v>
          </cell>
        </row>
        <row r="34">
          <cell r="A34" t="str">
            <v>TE475957</v>
          </cell>
          <cell r="B34" t="str">
            <v>EL AMRANI   SOULAIMANE</v>
          </cell>
          <cell r="C34" t="str">
            <v>M</v>
          </cell>
          <cell r="D34" t="str">
            <v>El Yamani Noura</v>
          </cell>
        </row>
        <row r="35">
          <cell r="A35" t="str">
            <v>TE555547</v>
          </cell>
          <cell r="B35" t="str">
            <v>ABDELKADER BENABBOU</v>
          </cell>
          <cell r="C35" t="str">
            <v>M</v>
          </cell>
          <cell r="D35" t="str">
            <v>El Yamani Noura</v>
          </cell>
        </row>
        <row r="36">
          <cell r="A36" t="str">
            <v>TE555545</v>
          </cell>
          <cell r="B36" t="str">
            <v>IMANE  HARDOUL</v>
          </cell>
          <cell r="C36" t="str">
            <v>F</v>
          </cell>
          <cell r="D36" t="str">
            <v>El Yamani Noura</v>
          </cell>
        </row>
        <row r="37">
          <cell r="A37" t="str">
            <v>TE595512</v>
          </cell>
          <cell r="B37" t="str">
            <v xml:space="preserve">ALABBASSI YOUSSEF </v>
          </cell>
          <cell r="C37" t="str">
            <v>M</v>
          </cell>
          <cell r="D37" t="str">
            <v>El Yamani Noura</v>
          </cell>
        </row>
        <row r="38">
          <cell r="A38" t="str">
            <v>TE595509</v>
          </cell>
          <cell r="B38" t="str">
            <v>Chergui, Ibrahim</v>
          </cell>
          <cell r="C38" t="str">
            <v>M</v>
          </cell>
          <cell r="D38" t="str">
            <v>El Yamani Noura</v>
          </cell>
        </row>
        <row r="39">
          <cell r="A39" t="str">
            <v>TE439693</v>
          </cell>
          <cell r="B39" t="str">
            <v xml:space="preserve">Chakir, Noura </v>
          </cell>
          <cell r="C39" t="str">
            <v>F</v>
          </cell>
          <cell r="D39" t="str">
            <v>El Yamani Noura</v>
          </cell>
        </row>
        <row r="40">
          <cell r="A40" t="str">
            <v>TE635890</v>
          </cell>
          <cell r="B40" t="str">
            <v xml:space="preserve">MOHAMED EL GHAZI </v>
          </cell>
          <cell r="C40" t="str">
            <v>M</v>
          </cell>
          <cell r="D40" t="str">
            <v>El Yamani Noura</v>
          </cell>
        </row>
        <row r="41">
          <cell r="A41" t="str">
            <v>TE456728</v>
          </cell>
          <cell r="B41" t="str">
            <v>Guihita YOUNESS</v>
          </cell>
          <cell r="C41" t="str">
            <v>M</v>
          </cell>
          <cell r="D41" t="str">
            <v>El Yamani Noura</v>
          </cell>
        </row>
        <row r="42">
          <cell r="A42" t="str">
            <v>TE469042</v>
          </cell>
          <cell r="B42" t="str">
            <v>SAOUDI HICHAM</v>
          </cell>
          <cell r="C42" t="str">
            <v>M</v>
          </cell>
          <cell r="D42" t="str">
            <v>El Yamani Noura</v>
          </cell>
        </row>
        <row r="43">
          <cell r="A43" t="str">
            <v>TE418098</v>
          </cell>
          <cell r="B43" t="str">
            <v xml:space="preserve">RAHHALI RAOUIA </v>
          </cell>
          <cell r="C43" t="str">
            <v>F</v>
          </cell>
          <cell r="D43" t="str">
            <v>El Yamani Noura</v>
          </cell>
        </row>
        <row r="44">
          <cell r="A44" t="str">
            <v>TE443710</v>
          </cell>
          <cell r="B44" t="str">
            <v xml:space="preserve">ElABboudy najwa </v>
          </cell>
          <cell r="C44" t="str">
            <v>F</v>
          </cell>
          <cell r="D44" t="str">
            <v>El Yamani Noura</v>
          </cell>
        </row>
        <row r="45">
          <cell r="A45" t="str">
            <v>TE449794</v>
          </cell>
          <cell r="B45" t="str">
            <v>elhamdouni hassna</v>
          </cell>
          <cell r="C45" t="str">
            <v>F</v>
          </cell>
          <cell r="D45" t="str">
            <v>El Yamani Noura</v>
          </cell>
        </row>
        <row r="46">
          <cell r="A46" t="str">
            <v>TE459937</v>
          </cell>
          <cell r="B46" t="str">
            <v>AYATA FATIMAZAHRA</v>
          </cell>
          <cell r="C46" t="str">
            <v>F</v>
          </cell>
          <cell r="D46" t="str">
            <v>El Yamani Noura</v>
          </cell>
        </row>
        <row r="47">
          <cell r="A47" t="str">
            <v>TE475959</v>
          </cell>
          <cell r="B47" t="str">
            <v>EL MESRADHI  NADIA</v>
          </cell>
          <cell r="C47" t="str">
            <v>F</v>
          </cell>
          <cell r="D47" t="str">
            <v>El Yamani Noura</v>
          </cell>
        </row>
        <row r="48">
          <cell r="A48" t="str">
            <v>TE456854</v>
          </cell>
          <cell r="B48" t="str">
            <v>BOUZID IHSSAN</v>
          </cell>
          <cell r="C48" t="str">
            <v>F</v>
          </cell>
          <cell r="D48" t="str">
            <v>El Yamani Noura</v>
          </cell>
        </row>
        <row r="49">
          <cell r="A49" t="str">
            <v>TE389950</v>
          </cell>
          <cell r="B49" t="str">
            <v>HAMMOUCHA IMANE</v>
          </cell>
          <cell r="C49" t="str">
            <v>F</v>
          </cell>
          <cell r="D49" t="str">
            <v>El Yamani Noura</v>
          </cell>
        </row>
        <row r="50">
          <cell r="A50" t="str">
            <v>TE489305</v>
          </cell>
          <cell r="B50" t="str">
            <v>SETTI MERIEM</v>
          </cell>
          <cell r="C50" t="str">
            <v>F</v>
          </cell>
          <cell r="D50" t="str">
            <v>El Yamani Noura</v>
          </cell>
        </row>
        <row r="51">
          <cell r="A51" t="str">
            <v>TE443562</v>
          </cell>
          <cell r="B51" t="str">
            <v>El Amrani, Mohammed</v>
          </cell>
          <cell r="C51" t="str">
            <v>M</v>
          </cell>
          <cell r="D51" t="str">
            <v>El Yamani Noura</v>
          </cell>
        </row>
        <row r="52">
          <cell r="A52" t="str">
            <v>TE408066</v>
          </cell>
          <cell r="B52" t="str">
            <v>mechchach yassine</v>
          </cell>
          <cell r="C52" t="str">
            <v>M</v>
          </cell>
          <cell r="D52" t="str">
            <v>El Yamani Noura</v>
          </cell>
        </row>
        <row r="53">
          <cell r="A53" t="str">
            <v>TE449451</v>
          </cell>
          <cell r="B53" t="str">
            <v>CHAIMAE RAKLAOUI</v>
          </cell>
          <cell r="C53" t="str">
            <v>F</v>
          </cell>
          <cell r="D53" t="str">
            <v>El Yamani Noura</v>
          </cell>
        </row>
        <row r="54">
          <cell r="A54" t="str">
            <v>TE543790</v>
          </cell>
          <cell r="B54" t="str">
            <v>BENHABI  YOUSRA</v>
          </cell>
          <cell r="C54" t="str">
            <v>F</v>
          </cell>
          <cell r="D54" t="str">
            <v>El Yamani Noura</v>
          </cell>
        </row>
        <row r="55">
          <cell r="A55" t="str">
            <v>TE543792</v>
          </cell>
          <cell r="B55" t="str">
            <v>CHERQAOUI ABDERRAHMAN</v>
          </cell>
          <cell r="C55" t="str">
            <v>M</v>
          </cell>
          <cell r="D55" t="str">
            <v>El Yamani Noura</v>
          </cell>
        </row>
        <row r="56">
          <cell r="A56" t="str">
            <v>TE406428</v>
          </cell>
          <cell r="B56" t="str">
            <v>Elmansouri Youssef</v>
          </cell>
          <cell r="C56" t="str">
            <v>M</v>
          </cell>
          <cell r="D56" t="str">
            <v>El Yamani Noura</v>
          </cell>
        </row>
        <row r="57">
          <cell r="A57" t="str">
            <v>TE313544</v>
          </cell>
          <cell r="B57" t="str">
            <v>Chtita, AsMAe</v>
          </cell>
          <cell r="C57" t="str">
            <v>F</v>
          </cell>
          <cell r="D57" t="str">
            <v>El Yamani Noura</v>
          </cell>
        </row>
        <row r="58">
          <cell r="A58" t="str">
            <v>TE555625</v>
          </cell>
          <cell r="B58" t="str">
            <v>CHelle MOHAMMED</v>
          </cell>
          <cell r="C58" t="str">
            <v>M</v>
          </cell>
          <cell r="D58" t="str">
            <v>El Yamani Noura</v>
          </cell>
        </row>
        <row r="59">
          <cell r="A59" t="str">
            <v>TE563303</v>
          </cell>
          <cell r="B59" t="str">
            <v>SARA EL ALUI</v>
          </cell>
          <cell r="C59" t="str">
            <v>F</v>
          </cell>
          <cell r="D59" t="str">
            <v>El Yamani Noura</v>
          </cell>
        </row>
        <row r="60">
          <cell r="A60" t="str">
            <v>TE563300</v>
          </cell>
          <cell r="B60" t="str">
            <v>AMINE ERRAHI</v>
          </cell>
          <cell r="C60" t="str">
            <v>M</v>
          </cell>
          <cell r="D60" t="str">
            <v>El Yamani Noura</v>
          </cell>
        </row>
        <row r="61">
          <cell r="A61" t="str">
            <v>TE570094</v>
          </cell>
          <cell r="B61" t="str">
            <v>SAFAA SAIDI</v>
          </cell>
          <cell r="C61" t="str">
            <v>F</v>
          </cell>
          <cell r="D61" t="str">
            <v>El Yamani Noura</v>
          </cell>
        </row>
        <row r="62">
          <cell r="A62" t="str">
            <v>TE570091</v>
          </cell>
          <cell r="B62" t="str">
            <v>NAJOUA ESSABOUI</v>
          </cell>
          <cell r="C62" t="str">
            <v>F</v>
          </cell>
          <cell r="D62" t="str">
            <v>El Yamani Noura</v>
          </cell>
        </row>
        <row r="63">
          <cell r="A63" t="str">
            <v>TE599094</v>
          </cell>
          <cell r="B63" t="str">
            <v>JBILOUMAROUA</v>
          </cell>
          <cell r="C63" t="str">
            <v>F</v>
          </cell>
          <cell r="D63" t="str">
            <v>El Yamani Noura</v>
          </cell>
        </row>
        <row r="64">
          <cell r="A64" t="str">
            <v>TE599096</v>
          </cell>
          <cell r="B64" t="str">
            <v>FATIMAZAHRA M'BARKIOU</v>
          </cell>
          <cell r="C64" t="str">
            <v>F</v>
          </cell>
          <cell r="D64" t="str">
            <v>El Yamani Noura</v>
          </cell>
        </row>
        <row r="65">
          <cell r="A65" t="str">
            <v>TE599097</v>
          </cell>
          <cell r="B65" t="str">
            <v>Laamim Dounia</v>
          </cell>
          <cell r="C65" t="str">
            <v>F</v>
          </cell>
          <cell r="D65" t="str">
            <v>El Yamani Noura</v>
          </cell>
        </row>
        <row r="66">
          <cell r="A66" t="str">
            <v>TE599093</v>
          </cell>
          <cell r="B66" t="str">
            <v>El Kasri, Oumayma</v>
          </cell>
          <cell r="C66" t="str">
            <v>F</v>
          </cell>
          <cell r="D66" t="str">
            <v>El Yamani Noura</v>
          </cell>
        </row>
        <row r="67">
          <cell r="A67" t="str">
            <v>TE599098</v>
          </cell>
          <cell r="B67" t="str">
            <v>SOUMAYA LABACHIRIE</v>
          </cell>
          <cell r="C67" t="str">
            <v>F</v>
          </cell>
          <cell r="D67" t="str">
            <v>El Yamani Noura</v>
          </cell>
        </row>
        <row r="68">
          <cell r="A68" t="str">
            <v>TE602397</v>
          </cell>
          <cell r="B68" t="str">
            <v>Abderrachid Fathi</v>
          </cell>
          <cell r="C68" t="str">
            <v>M</v>
          </cell>
          <cell r="D68" t="str">
            <v>El Yamani Noura</v>
          </cell>
        </row>
        <row r="69">
          <cell r="A69" t="str">
            <v>TE603467</v>
          </cell>
          <cell r="B69" t="str">
            <v>Mohsen ech chaykhi</v>
          </cell>
          <cell r="C69" t="str">
            <v>M</v>
          </cell>
          <cell r="D69" t="str">
            <v>El Yamani Noura</v>
          </cell>
        </row>
        <row r="70">
          <cell r="A70" t="str">
            <v>TE603471</v>
          </cell>
          <cell r="B70" t="str">
            <v>Nour eddine el ouazzani</v>
          </cell>
          <cell r="C70" t="str">
            <v>M</v>
          </cell>
          <cell r="D70" t="str">
            <v>El Yamani Noura</v>
          </cell>
        </row>
        <row r="71">
          <cell r="A71" t="str">
            <v>TE607109</v>
          </cell>
          <cell r="B71" t="str">
            <v>MARIYAM OUBENAISSA</v>
          </cell>
          <cell r="C71" t="str">
            <v>F</v>
          </cell>
          <cell r="D71" t="str">
            <v>El Yamani Noura</v>
          </cell>
        </row>
        <row r="72">
          <cell r="A72" t="str">
            <v>TE607137</v>
          </cell>
          <cell r="B72" t="str">
            <v>HIND LOUMADEN</v>
          </cell>
          <cell r="C72" t="str">
            <v>F</v>
          </cell>
          <cell r="D72" t="str">
            <v>El Yamani Noura</v>
          </cell>
        </row>
        <row r="73">
          <cell r="A73" t="str">
            <v>TE607112</v>
          </cell>
          <cell r="B73" t="str">
            <v>IKRAM ESSINTATI</v>
          </cell>
          <cell r="C73" t="str">
            <v>F</v>
          </cell>
          <cell r="D73" t="str">
            <v>El Yamani Noura</v>
          </cell>
        </row>
        <row r="74">
          <cell r="A74" t="str">
            <v>TE610589</v>
          </cell>
          <cell r="B74" t="str">
            <v xml:space="preserve">HANANE NASRI </v>
          </cell>
          <cell r="C74" t="str">
            <v>F</v>
          </cell>
          <cell r="D74" t="str">
            <v>El Yamani Noura</v>
          </cell>
        </row>
        <row r="75">
          <cell r="A75" t="str">
            <v>TE610580</v>
          </cell>
          <cell r="B75" t="str">
            <v>DOUAE DAGHBACH</v>
          </cell>
          <cell r="C75" t="str">
            <v>F</v>
          </cell>
          <cell r="D75" t="str">
            <v>El Yamani Noura</v>
          </cell>
        </row>
        <row r="76">
          <cell r="A76" t="str">
            <v>TE577148</v>
          </cell>
          <cell r="B76" t="str">
            <v>El Gharrafi, Samya</v>
          </cell>
          <cell r="C76" t="str">
            <v>F</v>
          </cell>
          <cell r="D76" t="str">
            <v>El Yamani Noura</v>
          </cell>
        </row>
        <row r="77">
          <cell r="A77" t="str">
            <v>TE443714</v>
          </cell>
          <cell r="B77" t="str">
            <v>BOUGHDAD  SALIMA</v>
          </cell>
          <cell r="C77" t="str">
            <v>F</v>
          </cell>
          <cell r="D77" t="str">
            <v>El Yamani Noura</v>
          </cell>
        </row>
        <row r="78">
          <cell r="A78" t="str">
            <v>TE456869</v>
          </cell>
          <cell r="B78" t="str">
            <v>elghallali LATIFA</v>
          </cell>
          <cell r="C78" t="str">
            <v>F</v>
          </cell>
          <cell r="D78" t="str">
            <v>El Yamani Noura</v>
          </cell>
        </row>
        <row r="79">
          <cell r="A79" t="str">
            <v>TE632225</v>
          </cell>
          <cell r="B79" t="str">
            <v>BEKKARI AYMAN</v>
          </cell>
          <cell r="C79" t="str">
            <v>M</v>
          </cell>
          <cell r="D79" t="str">
            <v>El Yamani Noura</v>
          </cell>
        </row>
        <row r="80">
          <cell r="A80" t="str">
            <v>TE632221</v>
          </cell>
          <cell r="B80" t="str">
            <v xml:space="preserve">NARED  MOHAMED AMIN </v>
          </cell>
          <cell r="C80" t="str">
            <v>M</v>
          </cell>
          <cell r="D80" t="str">
            <v>El Yamani Noura</v>
          </cell>
        </row>
        <row r="81">
          <cell r="A81" t="str">
            <v>TE633981</v>
          </cell>
          <cell r="B81" t="str">
            <v>EL HASBA YASSINE</v>
          </cell>
          <cell r="C81" t="str">
            <v>M</v>
          </cell>
          <cell r="D81" t="str">
            <v>El Yamani Noura</v>
          </cell>
        </row>
        <row r="82">
          <cell r="A82" t="str">
            <v>TE633978</v>
          </cell>
          <cell r="B82" t="str">
            <v>ENNAJI IKRAME</v>
          </cell>
          <cell r="C82" t="str">
            <v>F</v>
          </cell>
          <cell r="D82" t="str">
            <v>El Yamani Noura</v>
          </cell>
        </row>
        <row r="83">
          <cell r="A83" t="str">
            <v>TE633954</v>
          </cell>
          <cell r="B83" t="str">
            <v>AMEZIANE OUAFAE</v>
          </cell>
          <cell r="C83" t="str">
            <v>F</v>
          </cell>
          <cell r="D83" t="str">
            <v>El Yamani Noura</v>
          </cell>
        </row>
        <row r="84">
          <cell r="A84" t="str">
            <v>TE635196</v>
          </cell>
          <cell r="B84" t="str">
            <v>ZAKAIAE SRAIDI</v>
          </cell>
          <cell r="C84" t="str">
            <v>M</v>
          </cell>
          <cell r="D84" t="str">
            <v>El Yamani Noura</v>
          </cell>
        </row>
        <row r="85">
          <cell r="A85" t="str">
            <v>TE633941</v>
          </cell>
          <cell r="B85" t="str">
            <v>ELBOUHALI FATIMA-EZZAHRA</v>
          </cell>
          <cell r="C85" t="str">
            <v>F</v>
          </cell>
          <cell r="D85" t="str">
            <v>El Yamani Noura</v>
          </cell>
        </row>
        <row r="86">
          <cell r="A86" t="str">
            <v>TE635195</v>
          </cell>
          <cell r="B86" t="str">
            <v>MAHAMED FARIS</v>
          </cell>
          <cell r="C86" t="str">
            <v>M</v>
          </cell>
          <cell r="D86" t="str">
            <v>El Yamani Noura</v>
          </cell>
        </row>
        <row r="87">
          <cell r="A87" t="str">
            <v>TE635191</v>
          </cell>
          <cell r="B87" t="str">
            <v>MAROUAN MESMOUDI</v>
          </cell>
          <cell r="C87" t="str">
            <v>M</v>
          </cell>
          <cell r="D87" t="str">
            <v>El Yamani Noura</v>
          </cell>
        </row>
        <row r="88">
          <cell r="A88" t="str">
            <v>TE635187</v>
          </cell>
          <cell r="B88" t="str">
            <v>FADWA AKHACHIOU</v>
          </cell>
          <cell r="C88" t="str">
            <v>F</v>
          </cell>
          <cell r="D88" t="str">
            <v>El Yamani Noura</v>
          </cell>
        </row>
        <row r="89">
          <cell r="A89" t="str">
            <v>TE635893</v>
          </cell>
          <cell r="B89" t="str">
            <v xml:space="preserve">AYOUB  EL HAOUCHY </v>
          </cell>
          <cell r="C89" t="str">
            <v>M</v>
          </cell>
          <cell r="D89" t="str">
            <v>El Yamani Noura</v>
          </cell>
        </row>
        <row r="90">
          <cell r="A90" t="str">
            <v>TE635803</v>
          </cell>
          <cell r="B90" t="str">
            <v xml:space="preserve">BRAHIM AIT HAMOU </v>
          </cell>
          <cell r="C90" t="str">
            <v>M</v>
          </cell>
          <cell r="D90" t="str">
            <v>El Yamani Noura</v>
          </cell>
        </row>
        <row r="91">
          <cell r="A91" t="str">
            <v>TE639081</v>
          </cell>
          <cell r="B91" t="str">
            <v xml:space="preserve">AMINA GHANMI </v>
          </cell>
          <cell r="C91" t="str">
            <v>F</v>
          </cell>
          <cell r="D91" t="str">
            <v>El Yamani Noura</v>
          </cell>
        </row>
        <row r="92">
          <cell r="A92" t="str">
            <v>TE635886</v>
          </cell>
          <cell r="B92" t="str">
            <v xml:space="preserve">NIHAD ZEKKARI </v>
          </cell>
          <cell r="C92" t="str">
            <v>F</v>
          </cell>
          <cell r="D92" t="str">
            <v>El Yamani Noura</v>
          </cell>
        </row>
        <row r="93">
          <cell r="A93" t="str">
            <v>TE635822</v>
          </cell>
          <cell r="B93" t="str">
            <v>MOHAMED DBINOU</v>
          </cell>
          <cell r="C93" t="str">
            <v>M</v>
          </cell>
          <cell r="D93" t="str">
            <v>El Yamani Noura</v>
          </cell>
        </row>
        <row r="94">
          <cell r="A94" t="str">
            <v>TE651422</v>
          </cell>
          <cell r="B94" t="str">
            <v>JILLALI BENZDOUDOU</v>
          </cell>
          <cell r="C94" t="str">
            <v>F</v>
          </cell>
          <cell r="D94" t="str">
            <v>El Yamani Noura</v>
          </cell>
        </row>
        <row r="95">
          <cell r="A95" t="str">
            <v>TE632214</v>
          </cell>
          <cell r="B95" t="str">
            <v>AJAHA ZOHAIR</v>
          </cell>
          <cell r="C95" t="str">
            <v>M</v>
          </cell>
          <cell r="D95" t="str">
            <v>El Yamani Noura</v>
          </cell>
        </row>
        <row r="96">
          <cell r="A96" t="str">
            <v>TE636860</v>
          </cell>
          <cell r="B96" t="str">
            <v>ABDELHALIM HAYDOUR</v>
          </cell>
          <cell r="C96" t="str">
            <v>M</v>
          </cell>
          <cell r="D96" t="str">
            <v>El Yamani Noura</v>
          </cell>
        </row>
        <row r="97">
          <cell r="A97" t="str">
            <v>TE636838</v>
          </cell>
          <cell r="B97" t="str">
            <v>BOUCHRA  CHOUITAT</v>
          </cell>
          <cell r="C97" t="str">
            <v>F</v>
          </cell>
          <cell r="D97" t="str">
            <v>El Yamani Noura</v>
          </cell>
        </row>
        <row r="98">
          <cell r="A98" t="str">
            <v>TE636836</v>
          </cell>
          <cell r="B98" t="str">
            <v>IMANE  BANANI</v>
          </cell>
          <cell r="C98" t="str">
            <v>F</v>
          </cell>
          <cell r="D98" t="str">
            <v>El Yamani Noura</v>
          </cell>
        </row>
        <row r="99">
          <cell r="A99" t="str">
            <v>TE636861</v>
          </cell>
          <cell r="B99" t="str">
            <v>MERYEM  ELBOUZAGGAOUI</v>
          </cell>
          <cell r="C99" t="str">
            <v>F</v>
          </cell>
          <cell r="D99" t="str">
            <v>El Yamani Noura</v>
          </cell>
        </row>
        <row r="100">
          <cell r="A100" t="str">
            <v>TE636853</v>
          </cell>
          <cell r="B100" t="str">
            <v>MOHAMED  EL AONI</v>
          </cell>
          <cell r="C100" t="str">
            <v>M</v>
          </cell>
          <cell r="D100" t="str">
            <v>El Yamani Noura</v>
          </cell>
        </row>
        <row r="101">
          <cell r="A101" t="str">
            <v>TE636846</v>
          </cell>
          <cell r="B101" t="str">
            <v xml:space="preserve">MOHAMED ABD ELALI  SAMADY </v>
          </cell>
          <cell r="C101" t="str">
            <v>M</v>
          </cell>
          <cell r="D101" t="str">
            <v>El Yamani Noura</v>
          </cell>
        </row>
        <row r="102">
          <cell r="A102" t="str">
            <v>TE639097</v>
          </cell>
          <cell r="B102" t="str">
            <v>MOHAMED  EL HAIMRI</v>
          </cell>
          <cell r="C102" t="str">
            <v>M</v>
          </cell>
          <cell r="D102" t="str">
            <v>El Yamani Noura</v>
          </cell>
        </row>
        <row r="103">
          <cell r="A103" t="str">
            <v>TE639098</v>
          </cell>
          <cell r="B103" t="str">
            <v>MOHAMED  BOUCHLOUCH</v>
          </cell>
          <cell r="C103" t="str">
            <v>M</v>
          </cell>
          <cell r="D103" t="str">
            <v>El Yamani Noura</v>
          </cell>
        </row>
        <row r="104">
          <cell r="A104" t="str">
            <v>TE640925</v>
          </cell>
          <cell r="B104" t="str">
            <v>AYMANE JELOUN</v>
          </cell>
          <cell r="C104" t="str">
            <v>M</v>
          </cell>
          <cell r="D104" t="str">
            <v>El Yamani Noura</v>
          </cell>
        </row>
        <row r="105">
          <cell r="A105" t="str">
            <v>TE640924</v>
          </cell>
          <cell r="B105" t="str">
            <v>OUSSAMA BEN TMIM</v>
          </cell>
          <cell r="C105" t="str">
            <v>M</v>
          </cell>
          <cell r="D105" t="str">
            <v>El Yamani Noura</v>
          </cell>
        </row>
        <row r="106">
          <cell r="A106" t="str">
            <v>TE640922</v>
          </cell>
          <cell r="B106" t="str">
            <v>SOUAD HAMMOUDANE</v>
          </cell>
          <cell r="C106" t="str">
            <v>F</v>
          </cell>
          <cell r="D106" t="str">
            <v>El Yamani Noura</v>
          </cell>
        </row>
        <row r="107">
          <cell r="A107" t="str">
            <v>TE640930</v>
          </cell>
          <cell r="B107" t="str">
            <v>ABDELALI EL FATTOUHI</v>
          </cell>
          <cell r="C107" t="str">
            <v>M</v>
          </cell>
          <cell r="D107" t="str">
            <v>El Yamani Noura</v>
          </cell>
        </row>
        <row r="108">
          <cell r="A108" t="str">
            <v>TE640936</v>
          </cell>
          <cell r="B108" t="str">
            <v>ILYASS EL KHAMLICHI</v>
          </cell>
          <cell r="C108" t="str">
            <v>M</v>
          </cell>
          <cell r="D108" t="str">
            <v>El Yamani Noura</v>
          </cell>
        </row>
        <row r="109">
          <cell r="A109" t="str">
            <v>TE643600</v>
          </cell>
          <cell r="B109" t="str">
            <v>OUMAIMA BOULMANI</v>
          </cell>
          <cell r="C109" t="str">
            <v>F</v>
          </cell>
          <cell r="D109" t="str">
            <v>El Yamani Noura</v>
          </cell>
        </row>
        <row r="110">
          <cell r="A110" t="str">
            <v>TE647798</v>
          </cell>
          <cell r="B110" t="str">
            <v>TAOUFIQ SADIK</v>
          </cell>
          <cell r="C110" t="str">
            <v>M</v>
          </cell>
          <cell r="D110" t="str">
            <v>El Yamani Noura</v>
          </cell>
        </row>
        <row r="111">
          <cell r="A111" t="str">
            <v>TE647796</v>
          </cell>
          <cell r="B111" t="str">
            <v>IMAN AGHMIR</v>
          </cell>
          <cell r="C111" t="str">
            <v>F</v>
          </cell>
          <cell r="D111" t="str">
            <v>El Yamani Noura</v>
          </cell>
        </row>
        <row r="112">
          <cell r="A112" t="str">
            <v>TE647792</v>
          </cell>
          <cell r="B112" t="str">
            <v>El-Ayadi Mohamed</v>
          </cell>
          <cell r="C112" t="str">
            <v>M</v>
          </cell>
          <cell r="D112" t="str">
            <v>El Yamani Noura</v>
          </cell>
        </row>
        <row r="113">
          <cell r="A113" t="str">
            <v>TE647790</v>
          </cell>
          <cell r="B113" t="str">
            <v>RIDA SAGHIR</v>
          </cell>
          <cell r="C113" t="str">
            <v>M</v>
          </cell>
          <cell r="D113" t="str">
            <v>El Yamani Noura</v>
          </cell>
        </row>
        <row r="114">
          <cell r="A114" t="str">
            <v>TE647787</v>
          </cell>
          <cell r="B114" t="str">
            <v>MERYEM DRIHEM</v>
          </cell>
          <cell r="C114" t="str">
            <v>F</v>
          </cell>
          <cell r="D114" t="str">
            <v>El Yamani Noura</v>
          </cell>
        </row>
        <row r="115">
          <cell r="A115" t="str">
            <v>TE648824</v>
          </cell>
          <cell r="B115" t="str">
            <v>NADA EL HADDOUCHI</v>
          </cell>
          <cell r="C115" t="str">
            <v>F</v>
          </cell>
          <cell r="D115" t="str">
            <v>El Yamani Noura</v>
          </cell>
        </row>
        <row r="116">
          <cell r="A116" t="str">
            <v>TE648822</v>
          </cell>
          <cell r="B116" t="str">
            <v>MOHAMED EL-ABBADI</v>
          </cell>
          <cell r="C116" t="str">
            <v>M</v>
          </cell>
          <cell r="D116" t="str">
            <v>El Yamani Noura</v>
          </cell>
        </row>
        <row r="117">
          <cell r="A117" t="str">
            <v>TE648821</v>
          </cell>
          <cell r="B117" t="str">
            <v>SOUFIANE BOUBADDARA</v>
          </cell>
          <cell r="C117" t="str">
            <v>M</v>
          </cell>
          <cell r="D117" t="str">
            <v>El Yamani Noura</v>
          </cell>
        </row>
        <row r="118">
          <cell r="A118" t="str">
            <v>TE648818</v>
          </cell>
          <cell r="B118" t="str">
            <v>SOUKAINA BEN AYAD</v>
          </cell>
          <cell r="C118" t="str">
            <v>F</v>
          </cell>
          <cell r="D118" t="str">
            <v>El Yamani Noura</v>
          </cell>
        </row>
        <row r="119">
          <cell r="A119" t="str">
            <v>TE648817</v>
          </cell>
          <cell r="B119" t="str">
            <v>FATIMA BOUIDAN</v>
          </cell>
          <cell r="C119" t="str">
            <v>F</v>
          </cell>
          <cell r="D119" t="str">
            <v>El Yamani Noura</v>
          </cell>
        </row>
        <row r="120">
          <cell r="A120" t="str">
            <v>TE648813</v>
          </cell>
          <cell r="B120" t="str">
            <v>IMANE CHAIHAB</v>
          </cell>
          <cell r="C120" t="str">
            <v>F</v>
          </cell>
          <cell r="D120" t="str">
            <v>El Yamani Noura</v>
          </cell>
        </row>
        <row r="121">
          <cell r="A121" t="str">
            <v>TE651423</v>
          </cell>
          <cell r="B121" t="str">
            <v>ISMAIL RIAHI DRIF</v>
          </cell>
          <cell r="C121" t="str">
            <v>F</v>
          </cell>
          <cell r="D121" t="str">
            <v>El Yamani Noura</v>
          </cell>
        </row>
        <row r="122">
          <cell r="A122" t="str">
            <v>TE651421</v>
          </cell>
          <cell r="B122" t="str">
            <v>khadija akkar</v>
          </cell>
          <cell r="C122" t="str">
            <v>F</v>
          </cell>
          <cell r="D122" t="str">
            <v>El Yamani Noura</v>
          </cell>
        </row>
        <row r="123">
          <cell r="A123" t="str">
            <v>Te358859</v>
          </cell>
          <cell r="B123" t="str">
            <v>SAITALI  MOURAD</v>
          </cell>
          <cell r="C123" t="str">
            <v>M</v>
          </cell>
          <cell r="D123" t="str">
            <v>Mourad Saitali</v>
          </cell>
        </row>
        <row r="124">
          <cell r="A124" t="str">
            <v>TE593702</v>
          </cell>
          <cell r="B124" t="str">
            <v>El Hajlaoui, Hamza</v>
          </cell>
          <cell r="C124" t="str">
            <v>M</v>
          </cell>
          <cell r="D124" t="str">
            <v>Mourad Saitali</v>
          </cell>
        </row>
        <row r="125">
          <cell r="A125" t="str">
            <v>TE570076</v>
          </cell>
          <cell r="B125" t="str">
            <v>ABDERRAHIM BHIH</v>
          </cell>
          <cell r="C125" t="str">
            <v>M</v>
          </cell>
          <cell r="D125" t="str">
            <v>Mourad Saitali</v>
          </cell>
        </row>
        <row r="126">
          <cell r="A126" t="str">
            <v>TE555530</v>
          </cell>
          <cell r="B126" t="str">
            <v>ABDELILAH AZIAR</v>
          </cell>
          <cell r="C126" t="str">
            <v>M</v>
          </cell>
          <cell r="D126" t="str">
            <v>Mourad Saitali</v>
          </cell>
        </row>
        <row r="127">
          <cell r="A127" t="str">
            <v>TE570060</v>
          </cell>
          <cell r="B127" t="str">
            <v>ABDERRAHIM OMRAN</v>
          </cell>
          <cell r="C127" t="str">
            <v>M</v>
          </cell>
          <cell r="D127" t="str">
            <v>Mourad Saitali</v>
          </cell>
        </row>
        <row r="128">
          <cell r="A128" t="str">
            <v>TE570062</v>
          </cell>
          <cell r="B128" t="str">
            <v>ABDESSAMAD BAROUAL</v>
          </cell>
          <cell r="C128" t="str">
            <v>M</v>
          </cell>
          <cell r="D128" t="str">
            <v>Mourad Saitali</v>
          </cell>
        </row>
        <row r="129">
          <cell r="A129" t="str">
            <v>TE399383</v>
          </cell>
          <cell r="B129" t="str">
            <v>AKDOUZ ali</v>
          </cell>
          <cell r="C129" t="str">
            <v>M</v>
          </cell>
          <cell r="D129" t="str">
            <v>Mourad Saitali</v>
          </cell>
        </row>
        <row r="130">
          <cell r="A130" t="str">
            <v>TE543772</v>
          </cell>
          <cell r="B130" t="str">
            <v>AMINA EL HAKOUNI</v>
          </cell>
          <cell r="C130" t="str">
            <v>F</v>
          </cell>
          <cell r="D130" t="str">
            <v>Mourad Saitali</v>
          </cell>
        </row>
        <row r="131">
          <cell r="A131" t="str">
            <v>TE543768</v>
          </cell>
          <cell r="B131" t="str">
            <v>ANASS OURAHOU</v>
          </cell>
          <cell r="C131" t="str">
            <v>M</v>
          </cell>
          <cell r="D131" t="str">
            <v>Mourad Saitali</v>
          </cell>
        </row>
        <row r="132">
          <cell r="A132" t="str">
            <v>TE544398</v>
          </cell>
          <cell r="B132" t="str">
            <v>ANASSE ZARGUIL</v>
          </cell>
          <cell r="C132" t="str">
            <v>M</v>
          </cell>
          <cell r="D132" t="str">
            <v>Mourad Saitali</v>
          </cell>
        </row>
        <row r="133">
          <cell r="A133" t="str">
            <v>te543387</v>
          </cell>
          <cell r="B133" t="str">
            <v>Asaad Adib</v>
          </cell>
          <cell r="C133" t="str">
            <v>M</v>
          </cell>
          <cell r="D133" t="str">
            <v>Mourad Saitali</v>
          </cell>
        </row>
        <row r="134">
          <cell r="A134" t="str">
            <v>TE407508</v>
          </cell>
          <cell r="B134" t="str">
            <v>ayyoub kaarout</v>
          </cell>
          <cell r="C134" t="str">
            <v>M</v>
          </cell>
          <cell r="D134" t="str">
            <v>Mourad Saitali</v>
          </cell>
        </row>
        <row r="135">
          <cell r="A135" t="str">
            <v>TE448248</v>
          </cell>
          <cell r="B135" t="str">
            <v>Bouali Najoua</v>
          </cell>
          <cell r="C135" t="str">
            <v>F</v>
          </cell>
          <cell r="D135" t="str">
            <v>Mourad Saitali</v>
          </cell>
        </row>
        <row r="136">
          <cell r="A136" t="str">
            <v>TE443694</v>
          </cell>
          <cell r="B136" t="str">
            <v>BOUZID  ZOUHIR</v>
          </cell>
          <cell r="C136" t="str">
            <v>M</v>
          </cell>
          <cell r="D136" t="str">
            <v>Mourad Saitali</v>
          </cell>
        </row>
        <row r="137">
          <cell r="A137" t="str">
            <v>TE443567</v>
          </cell>
          <cell r="B137" t="str">
            <v>Dghouri, Naoual</v>
          </cell>
          <cell r="C137" t="str">
            <v>F</v>
          </cell>
          <cell r="D137" t="str">
            <v>Mourad Saitali</v>
          </cell>
        </row>
        <row r="138">
          <cell r="A138" t="str">
            <v>TE456859</v>
          </cell>
          <cell r="B138" t="str">
            <v>EL AMRI   SAMIRA</v>
          </cell>
          <cell r="C138" t="str">
            <v>F</v>
          </cell>
          <cell r="D138" t="str">
            <v>Mourad Saitali</v>
          </cell>
        </row>
        <row r="139">
          <cell r="A139" t="str">
            <v>TE475951</v>
          </cell>
          <cell r="B139" t="str">
            <v>EL GHARRAFI  SANAE</v>
          </cell>
          <cell r="C139" t="str">
            <v>F</v>
          </cell>
          <cell r="D139" t="str">
            <v>Mourad Saitali</v>
          </cell>
        </row>
        <row r="140">
          <cell r="A140" t="str">
            <v>TE443685</v>
          </cell>
          <cell r="B140" t="str">
            <v>EL KHMYRY  MOHAMED</v>
          </cell>
          <cell r="C140" t="str">
            <v>M</v>
          </cell>
          <cell r="D140" t="str">
            <v>Mourad Saitali</v>
          </cell>
        </row>
        <row r="141">
          <cell r="A141" t="str">
            <v>TE459941</v>
          </cell>
          <cell r="B141" t="str">
            <v>EL KHOU noufissa</v>
          </cell>
          <cell r="C141" t="str">
            <v>F</v>
          </cell>
          <cell r="D141" t="str">
            <v>Mourad Saitali</v>
          </cell>
        </row>
        <row r="142">
          <cell r="A142" t="str">
            <v>TE456736</v>
          </cell>
          <cell r="B142" t="str">
            <v>es_safy SALAH-EDDINE</v>
          </cell>
          <cell r="C142" t="str">
            <v>M</v>
          </cell>
          <cell r="D142" t="str">
            <v>Mourad Saitali</v>
          </cell>
        </row>
        <row r="143">
          <cell r="A143" t="str">
            <v>TE523755</v>
          </cell>
          <cell r="B143" t="str">
            <v xml:space="preserve">FATIMA OUJIL </v>
          </cell>
          <cell r="C143" t="str">
            <v>F</v>
          </cell>
          <cell r="D143" t="str">
            <v>Mourad Saitali</v>
          </cell>
        </row>
        <row r="144">
          <cell r="A144" t="str">
            <v>TE416496</v>
          </cell>
          <cell r="B144" t="str">
            <v>GUERRAB LAMYAA</v>
          </cell>
          <cell r="C144" t="str">
            <v>F</v>
          </cell>
          <cell r="D144" t="str">
            <v>Mourad Saitali</v>
          </cell>
        </row>
        <row r="145">
          <cell r="A145" t="str">
            <v>TE555525</v>
          </cell>
          <cell r="B145" t="str">
            <v>HAMZA TOUIR</v>
          </cell>
          <cell r="C145" t="str">
            <v>M</v>
          </cell>
          <cell r="D145" t="str">
            <v>Mourad Saitali</v>
          </cell>
        </row>
        <row r="146">
          <cell r="A146" t="str">
            <v>TE565909</v>
          </cell>
          <cell r="B146" t="str">
            <v>ILYASS EL ALLAOUI</v>
          </cell>
          <cell r="C146" t="str">
            <v>M</v>
          </cell>
          <cell r="D146" t="str">
            <v>Mourad Saitali</v>
          </cell>
        </row>
        <row r="147">
          <cell r="A147" t="str">
            <v>TE389952</v>
          </cell>
          <cell r="B147" t="str">
            <v xml:space="preserve">KABIBI Sakina </v>
          </cell>
          <cell r="C147" t="str">
            <v>F</v>
          </cell>
          <cell r="D147" t="str">
            <v>Mourad Saitali</v>
          </cell>
        </row>
        <row r="148">
          <cell r="A148" t="str">
            <v>TE406492</v>
          </cell>
          <cell r="B148" t="str">
            <v>Laid, Mounia</v>
          </cell>
          <cell r="C148" t="str">
            <v>F</v>
          </cell>
          <cell r="D148" t="str">
            <v>Mourad Saitali</v>
          </cell>
        </row>
        <row r="149">
          <cell r="A149" t="str">
            <v>TE390654</v>
          </cell>
          <cell r="B149" t="str">
            <v>MARIA ZOUHAR</v>
          </cell>
          <cell r="C149" t="str">
            <v>F</v>
          </cell>
          <cell r="D149" t="str">
            <v>Mourad Saitali</v>
          </cell>
        </row>
        <row r="150">
          <cell r="A150" t="str">
            <v>TE459935</v>
          </cell>
          <cell r="B150" t="str">
            <v>MARIMI houda</v>
          </cell>
          <cell r="C150" t="str">
            <v>F</v>
          </cell>
          <cell r="D150" t="str">
            <v>Mourad Saitali</v>
          </cell>
        </row>
        <row r="151">
          <cell r="A151" t="str">
            <v>TE534978</v>
          </cell>
          <cell r="B151" t="str">
            <v>MOHAMED-YASSINE el krimy</v>
          </cell>
          <cell r="C151" t="str">
            <v>M</v>
          </cell>
          <cell r="D151" t="str">
            <v>Mourad Saitali</v>
          </cell>
        </row>
        <row r="152">
          <cell r="A152" t="str">
            <v>TE565910</v>
          </cell>
          <cell r="B152" t="str">
            <v>MONSEF EL FAHSI</v>
          </cell>
          <cell r="C152" t="str">
            <v>M</v>
          </cell>
          <cell r="D152" t="str">
            <v>Mourad Saitali</v>
          </cell>
        </row>
        <row r="153">
          <cell r="A153" t="str">
            <v>TE399385</v>
          </cell>
          <cell r="B153" t="str">
            <v>NAJOUA EL BAGHDADI</v>
          </cell>
          <cell r="C153" t="str">
            <v>F</v>
          </cell>
          <cell r="D153" t="str">
            <v>Mourad Saitali</v>
          </cell>
        </row>
        <row r="154">
          <cell r="A154" t="str">
            <v>TE563716</v>
          </cell>
          <cell r="B154" t="str">
            <v>ossama el khomci</v>
          </cell>
          <cell r="C154" t="str">
            <v>M</v>
          </cell>
          <cell r="D154" t="str">
            <v>Mourad Saitali</v>
          </cell>
        </row>
        <row r="155">
          <cell r="A155" t="str">
            <v>TE543766</v>
          </cell>
          <cell r="B155" t="str">
            <v>OUMAIMA ELMSIAH</v>
          </cell>
          <cell r="C155" t="str">
            <v>F</v>
          </cell>
          <cell r="D155" t="str">
            <v>Mourad Saitali</v>
          </cell>
        </row>
        <row r="156">
          <cell r="A156" t="str">
            <v>TE555531</v>
          </cell>
          <cell r="B156" t="str">
            <v>REDA ZNIZER</v>
          </cell>
          <cell r="C156" t="str">
            <v>M</v>
          </cell>
          <cell r="D156" t="str">
            <v>Mourad Saitali</v>
          </cell>
        </row>
        <row r="157">
          <cell r="A157" t="str">
            <v>TE445869</v>
          </cell>
          <cell r="B157" t="str">
            <v>SOUKAINA akhdim</v>
          </cell>
          <cell r="C157" t="str">
            <v>F</v>
          </cell>
          <cell r="D157" t="str">
            <v>Mourad Saitali</v>
          </cell>
        </row>
        <row r="158">
          <cell r="A158" t="str">
            <v>TE563296</v>
          </cell>
          <cell r="B158" t="str">
            <v>YASSIN BELMEFTAH</v>
          </cell>
          <cell r="C158" t="str">
            <v>M</v>
          </cell>
          <cell r="D158" t="str">
            <v>Mourad Saitali</v>
          </cell>
        </row>
        <row r="159">
          <cell r="A159" t="str">
            <v>TE443680</v>
          </cell>
          <cell r="B159" t="str">
            <v xml:space="preserve">ZABour khadija </v>
          </cell>
          <cell r="C159" t="str">
            <v>F</v>
          </cell>
          <cell r="D159" t="str">
            <v>Mourad Saitali</v>
          </cell>
        </row>
        <row r="160">
          <cell r="A160" t="str">
            <v>TE568896</v>
          </cell>
          <cell r="B160" t="str">
            <v>HAJAR FRIYEKH</v>
          </cell>
          <cell r="C160" t="str">
            <v>F</v>
          </cell>
          <cell r="D160" t="str">
            <v>Mourad Saitali</v>
          </cell>
        </row>
        <row r="161">
          <cell r="A161" t="str">
            <v>TE415870</v>
          </cell>
          <cell r="B161" t="str">
            <v>ZAMZAM MERYAM</v>
          </cell>
          <cell r="C161" t="str">
            <v>F</v>
          </cell>
          <cell r="D161" t="str">
            <v>Mourad Saitali</v>
          </cell>
        </row>
        <row r="162">
          <cell r="A162" t="str">
            <v>TE307569</v>
          </cell>
          <cell r="B162" t="str">
            <v>Zeroual, HaliMA</v>
          </cell>
          <cell r="C162" t="str">
            <v>F</v>
          </cell>
          <cell r="D162" t="str">
            <v>Mourad Saitali</v>
          </cell>
        </row>
        <row r="163">
          <cell r="A163" t="str">
            <v>TE595520</v>
          </cell>
          <cell r="B163" t="str">
            <v>MOUAD CHOUIGUER</v>
          </cell>
          <cell r="C163" t="str">
            <v>M</v>
          </cell>
          <cell r="D163" t="str">
            <v>Mourad Saitali</v>
          </cell>
        </row>
        <row r="164">
          <cell r="A164" t="str">
            <v>TE595501</v>
          </cell>
          <cell r="B164" t="str">
            <v>HAKIMA EL IDRISSI</v>
          </cell>
          <cell r="C164" t="str">
            <v>F</v>
          </cell>
          <cell r="D164" t="str">
            <v>Mourad Saitali</v>
          </cell>
        </row>
        <row r="165">
          <cell r="A165" t="str">
            <v>TE595500</v>
          </cell>
          <cell r="B165" t="str">
            <v>MOUHSINE AZOUGGAGHWALLEN</v>
          </cell>
          <cell r="C165" t="str">
            <v>M</v>
          </cell>
          <cell r="D165" t="str">
            <v>Mourad Saitali</v>
          </cell>
        </row>
        <row r="166">
          <cell r="A166" t="str">
            <v>TE595499</v>
          </cell>
          <cell r="B166" t="str">
            <v xml:space="preserve">AYOUB AIT OUAHMANE </v>
          </cell>
          <cell r="C166" t="str">
            <v>M</v>
          </cell>
          <cell r="D166" t="str">
            <v>Mourad Saitali</v>
          </cell>
        </row>
        <row r="167">
          <cell r="A167" t="str">
            <v>TE602408</v>
          </cell>
          <cell r="B167" t="str">
            <v xml:space="preserve">MOUHAMED ESSOUSSI </v>
          </cell>
          <cell r="C167" t="str">
            <v>M</v>
          </cell>
          <cell r="D167" t="str">
            <v>Mourad Saitali</v>
          </cell>
        </row>
        <row r="168">
          <cell r="A168" t="str">
            <v>TE602407</v>
          </cell>
          <cell r="B168" t="str">
            <v>El Moussaoui, Ayoub</v>
          </cell>
          <cell r="C168" t="str">
            <v>M</v>
          </cell>
          <cell r="D168" t="str">
            <v>Mourad Saitali</v>
          </cell>
        </row>
        <row r="169">
          <cell r="A169" t="str">
            <v>TE607131</v>
          </cell>
          <cell r="B169" t="str">
            <v>Fajji, Mohamed-Said</v>
          </cell>
          <cell r="C169" t="str">
            <v>M</v>
          </cell>
          <cell r="D169" t="str">
            <v>Mourad Saitali</v>
          </cell>
        </row>
        <row r="170">
          <cell r="A170" t="str">
            <v>TE607125</v>
          </cell>
          <cell r="B170" t="str">
            <v>Sadki, Ayoub</v>
          </cell>
          <cell r="C170" t="str">
            <v>M</v>
          </cell>
          <cell r="D170" t="str">
            <v>Mourad Saitali</v>
          </cell>
        </row>
        <row r="171">
          <cell r="A171" t="str">
            <v>TE607119</v>
          </cell>
          <cell r="B171" t="str">
            <v>El-Ghaoual, Hassane</v>
          </cell>
          <cell r="C171" t="str">
            <v>M</v>
          </cell>
          <cell r="D171" t="str">
            <v>Mourad Saitali</v>
          </cell>
        </row>
        <row r="172">
          <cell r="A172" t="str">
            <v>TE607128</v>
          </cell>
          <cell r="B172" t="str">
            <v>El Maimouni, Zakarya</v>
          </cell>
          <cell r="C172" t="str">
            <v>M</v>
          </cell>
          <cell r="D172" t="str">
            <v>Mourad Saitali</v>
          </cell>
        </row>
        <row r="173">
          <cell r="A173" t="str">
            <v>TE607124</v>
          </cell>
          <cell r="B173" t="str">
            <v>Kharchich, Adil</v>
          </cell>
          <cell r="C173" t="str">
            <v>M</v>
          </cell>
          <cell r="D173" t="str">
            <v>Mourad Saitali</v>
          </cell>
        </row>
        <row r="174">
          <cell r="A174" t="str">
            <v>TE610592</v>
          </cell>
          <cell r="B174" t="str">
            <v>Elkarout, Bilal</v>
          </cell>
          <cell r="C174" t="str">
            <v>M</v>
          </cell>
          <cell r="D174" t="str">
            <v>Mourad Saitali</v>
          </cell>
        </row>
        <row r="175">
          <cell r="A175" t="str">
            <v>TE610591</v>
          </cell>
          <cell r="B175" t="str">
            <v>Jaklal, Abdelaziz</v>
          </cell>
          <cell r="C175" t="str">
            <v>M</v>
          </cell>
          <cell r="D175" t="str">
            <v>Mourad Saitali</v>
          </cell>
        </row>
        <row r="176">
          <cell r="A176" t="str">
            <v>TE595258</v>
          </cell>
          <cell r="B176" t="str">
            <v>El Khatib, Noura</v>
          </cell>
          <cell r="C176" t="str">
            <v>F</v>
          </cell>
          <cell r="D176" t="str">
            <v>Mourad Saitali</v>
          </cell>
        </row>
        <row r="177">
          <cell r="A177" t="str">
            <v>TE580908</v>
          </cell>
          <cell r="B177" t="str">
            <v>Asoud, Nabila</v>
          </cell>
          <cell r="C177" t="str">
            <v>F</v>
          </cell>
          <cell r="D177" t="str">
            <v>Mourad Saitali</v>
          </cell>
        </row>
        <row r="178">
          <cell r="A178" t="str">
            <v>TE576475</v>
          </cell>
          <cell r="B178" t="str">
            <v>Lakhouil, Omar</v>
          </cell>
          <cell r="C178" t="str">
            <v>M</v>
          </cell>
          <cell r="D178" t="str">
            <v>Mourad Saitali</v>
          </cell>
        </row>
        <row r="179">
          <cell r="A179" t="str">
            <v>TE614066</v>
          </cell>
          <cell r="B179" t="str">
            <v>Ouassila Ourighle</v>
          </cell>
          <cell r="C179" t="str">
            <v>F</v>
          </cell>
          <cell r="D179" t="str">
            <v>Mourad Saitali</v>
          </cell>
        </row>
        <row r="180">
          <cell r="A180" t="str">
            <v>TE614074</v>
          </cell>
          <cell r="B180" t="str">
            <v>Taoufik Amazou</v>
          </cell>
          <cell r="C180" t="str">
            <v>M</v>
          </cell>
          <cell r="D180" t="str">
            <v>Mourad Saitali</v>
          </cell>
        </row>
        <row r="181">
          <cell r="A181" t="str">
            <v>TE327464</v>
          </cell>
          <cell r="B181" t="str">
            <v>Lahibi, FatiMA</v>
          </cell>
          <cell r="C181" t="str">
            <v>F</v>
          </cell>
          <cell r="D181" t="str">
            <v>Mourad Saitali</v>
          </cell>
        </row>
        <row r="182">
          <cell r="A182" t="str">
            <v>TE617070</v>
          </cell>
          <cell r="B182" t="str">
            <v>El Morabet, Faiza</v>
          </cell>
          <cell r="C182" t="str">
            <v>F</v>
          </cell>
          <cell r="D182" t="str">
            <v>Mourad Saitali</v>
          </cell>
        </row>
        <row r="183">
          <cell r="A183" t="str">
            <v>TE456848</v>
          </cell>
          <cell r="B183" t="str">
            <v>EL OTMANI OUMAIMA</v>
          </cell>
          <cell r="C183" t="str">
            <v>F</v>
          </cell>
          <cell r="D183" t="str">
            <v>Mourad Saitali</v>
          </cell>
        </row>
        <row r="184">
          <cell r="A184" t="str">
            <v>TE632211</v>
          </cell>
          <cell r="B184" t="str">
            <v>MOHAMED ECH-CHTYOUY</v>
          </cell>
          <cell r="C184" t="str">
            <v>M</v>
          </cell>
          <cell r="D184" t="str">
            <v>Mourad Saitali</v>
          </cell>
        </row>
        <row r="185">
          <cell r="A185" t="str">
            <v>TE632210</v>
          </cell>
          <cell r="B185" t="str">
            <v>MOHAMED EL HBABI</v>
          </cell>
          <cell r="C185" t="str">
            <v>M</v>
          </cell>
          <cell r="D185" t="str">
            <v>Mourad Saitali</v>
          </cell>
        </row>
        <row r="186">
          <cell r="A186" t="str">
            <v>TE632209</v>
          </cell>
          <cell r="B186" t="str">
            <v>KAOUTAR EL MSIAH</v>
          </cell>
          <cell r="C186" t="str">
            <v>F</v>
          </cell>
          <cell r="D186" t="str">
            <v>Mourad Saitali</v>
          </cell>
        </row>
        <row r="187">
          <cell r="A187" t="str">
            <v>TE632204</v>
          </cell>
          <cell r="B187" t="str">
            <v>FAHD GAZRA</v>
          </cell>
          <cell r="C187" t="str">
            <v>M</v>
          </cell>
          <cell r="D187" t="str">
            <v>Mourad Saitali</v>
          </cell>
        </row>
        <row r="188">
          <cell r="A188" t="str">
            <v>TE632197</v>
          </cell>
          <cell r="B188" t="str">
            <v>OTHMAN AZIMMAT</v>
          </cell>
          <cell r="C188" t="str">
            <v>M</v>
          </cell>
          <cell r="D188" t="str">
            <v>Mourad Saitali</v>
          </cell>
        </row>
        <row r="189">
          <cell r="A189" t="str">
            <v>TE632196</v>
          </cell>
          <cell r="B189" t="str">
            <v>DOUAE DEBBOUN</v>
          </cell>
          <cell r="C189" t="str">
            <v>F</v>
          </cell>
          <cell r="D189" t="str">
            <v>Mourad Saitali</v>
          </cell>
        </row>
        <row r="190">
          <cell r="A190" t="str">
            <v>TE633969</v>
          </cell>
          <cell r="B190" t="str">
            <v>NADIA LAMSSAYEH</v>
          </cell>
          <cell r="C190" t="str">
            <v>F</v>
          </cell>
          <cell r="D190" t="str">
            <v>Mourad Saitali</v>
          </cell>
        </row>
        <row r="191">
          <cell r="A191" t="str">
            <v>TE600371</v>
          </cell>
          <cell r="B191" t="str">
            <v>Belmir, Sanae</v>
          </cell>
          <cell r="C191" t="str">
            <v>F</v>
          </cell>
          <cell r="D191" t="str">
            <v>Mourad Saitali</v>
          </cell>
        </row>
        <row r="192">
          <cell r="A192" t="str">
            <v>TE633957</v>
          </cell>
          <cell r="B192" t="str">
            <v>HAKIM STITOU</v>
          </cell>
          <cell r="C192" t="str">
            <v>M</v>
          </cell>
          <cell r="D192" t="str">
            <v>Mourad Saitali</v>
          </cell>
        </row>
        <row r="193">
          <cell r="A193" t="str">
            <v>TE633955</v>
          </cell>
          <cell r="B193" t="str">
            <v>KHALID TALBI</v>
          </cell>
          <cell r="C193" t="str">
            <v>M</v>
          </cell>
          <cell r="D193" t="str">
            <v>Mourad Saitali</v>
          </cell>
        </row>
        <row r="194">
          <cell r="A194" t="str">
            <v>TE633952</v>
          </cell>
          <cell r="B194" t="str">
            <v>FATIMA CHETOUANE</v>
          </cell>
          <cell r="C194" t="str">
            <v>F</v>
          </cell>
          <cell r="D194" t="str">
            <v>Mourad Saitali</v>
          </cell>
        </row>
        <row r="195">
          <cell r="A195" t="str">
            <v>TE633951</v>
          </cell>
          <cell r="B195" t="str">
            <v>OUMAIMA KALALE</v>
          </cell>
          <cell r="C195" t="str">
            <v>F</v>
          </cell>
          <cell r="D195" t="str">
            <v>Mourad Saitali</v>
          </cell>
        </row>
        <row r="196">
          <cell r="A196" t="str">
            <v>TE633945</v>
          </cell>
          <cell r="B196" t="str">
            <v>OSSAMA ATIFI</v>
          </cell>
          <cell r="C196" t="str">
            <v>M</v>
          </cell>
          <cell r="D196" t="str">
            <v>Mourad Saitali</v>
          </cell>
        </row>
        <row r="197">
          <cell r="A197" t="str">
            <v>TE633944</v>
          </cell>
          <cell r="B197" t="str">
            <v>ILYAS ZIANI</v>
          </cell>
          <cell r="C197" t="str">
            <v>M</v>
          </cell>
          <cell r="D197" t="str">
            <v>Mourad Saitali</v>
          </cell>
        </row>
        <row r="198">
          <cell r="A198" t="str">
            <v>TE633943</v>
          </cell>
          <cell r="B198" t="str">
            <v>AZEDDINE EL MENNOUNY</v>
          </cell>
          <cell r="C198" t="str">
            <v>M</v>
          </cell>
          <cell r="D198" t="str">
            <v>Mourad Saitali</v>
          </cell>
        </row>
        <row r="199">
          <cell r="A199" t="str">
            <v>TE632198</v>
          </cell>
          <cell r="B199" t="str">
            <v xml:space="preserve">MOHAMED SAID BEN AYYAD </v>
          </cell>
          <cell r="C199" t="str">
            <v>M</v>
          </cell>
          <cell r="D199" t="str">
            <v>Mourad Saitali</v>
          </cell>
        </row>
        <row r="200">
          <cell r="A200" t="str">
            <v>TE635889</v>
          </cell>
          <cell r="B200" t="str">
            <v>OMAYMA SEIDI</v>
          </cell>
          <cell r="C200" t="str">
            <v>F</v>
          </cell>
          <cell r="D200" t="str">
            <v>Mourad Saitali</v>
          </cell>
        </row>
        <row r="201">
          <cell r="A201" t="str">
            <v>TE635887</v>
          </cell>
          <cell r="B201" t="str">
            <v>FATIMA-ZAHRAE ATTOU</v>
          </cell>
          <cell r="C201" t="str">
            <v>F</v>
          </cell>
          <cell r="D201" t="str">
            <v>Mourad Saitali</v>
          </cell>
        </row>
        <row r="202">
          <cell r="A202" t="str">
            <v>TE635898</v>
          </cell>
          <cell r="B202" t="str">
            <v>KAOUTAR EL HAMRI</v>
          </cell>
          <cell r="C202" t="str">
            <v>F</v>
          </cell>
          <cell r="D202" t="str">
            <v>Mourad Saitali</v>
          </cell>
        </row>
        <row r="203">
          <cell r="A203" t="str">
            <v>TE635809</v>
          </cell>
          <cell r="B203" t="str">
            <v>ABDELMOUNAIM BELMZIOUKIA</v>
          </cell>
          <cell r="C203" t="str">
            <v>M</v>
          </cell>
          <cell r="D203" t="str">
            <v>Mourad Saitali</v>
          </cell>
        </row>
        <row r="204">
          <cell r="A204" t="str">
            <v>TE635813</v>
          </cell>
          <cell r="B204" t="str">
            <v>MOHAMED EL OUMRI </v>
          </cell>
          <cell r="C204" t="str">
            <v>M</v>
          </cell>
          <cell r="D204" t="str">
            <v>Mourad Saitali</v>
          </cell>
        </row>
        <row r="205">
          <cell r="A205" t="str">
            <v>TE636851</v>
          </cell>
          <cell r="B205" t="str">
            <v>HANANE TIGUA</v>
          </cell>
          <cell r="C205" t="str">
            <v>F</v>
          </cell>
          <cell r="D205" t="str">
            <v>Mourad Saitali</v>
          </cell>
        </row>
        <row r="206">
          <cell r="A206" t="str">
            <v>TE636841</v>
          </cell>
          <cell r="B206" t="str">
            <v>YOUNES OUBEN AYAD</v>
          </cell>
          <cell r="C206" t="str">
            <v>M</v>
          </cell>
          <cell r="D206" t="str">
            <v>Mourad Saitali</v>
          </cell>
        </row>
        <row r="207">
          <cell r="A207" t="str">
            <v>TE636849</v>
          </cell>
          <cell r="B207" t="str">
            <v>OUAMAIMA EL BOUKRI</v>
          </cell>
          <cell r="C207" t="str">
            <v>F</v>
          </cell>
          <cell r="D207" t="str">
            <v>Mourad Saitali</v>
          </cell>
        </row>
        <row r="208">
          <cell r="A208" t="str">
            <v>TE639099</v>
          </cell>
          <cell r="B208" t="str">
            <v xml:space="preserve">ZAINEB EL ALLALI </v>
          </cell>
          <cell r="C208" t="str">
            <v>F</v>
          </cell>
          <cell r="D208" t="str">
            <v>Mourad Saitali</v>
          </cell>
        </row>
        <row r="209">
          <cell r="A209" t="str">
            <v>TE639084</v>
          </cell>
          <cell r="B209" t="str">
            <v>RANIA ZERYOULY</v>
          </cell>
          <cell r="C209" t="str">
            <v>F</v>
          </cell>
          <cell r="D209" t="str">
            <v>Mourad Saitali</v>
          </cell>
        </row>
        <row r="210">
          <cell r="A210" t="str">
            <v>TE601256</v>
          </cell>
          <cell r="B210" t="str">
            <v>MOUHCINE AZNAGUE</v>
          </cell>
          <cell r="C210" t="str">
            <v>M</v>
          </cell>
          <cell r="D210" t="str">
            <v>Mourad Saitali</v>
          </cell>
        </row>
        <row r="211">
          <cell r="A211" t="str">
            <v>TE640935</v>
          </cell>
          <cell r="B211" t="str">
            <v>WIJDANE BAR-HMI</v>
          </cell>
          <cell r="C211" t="str">
            <v>F</v>
          </cell>
          <cell r="D211" t="str">
            <v>Mourad Saitali</v>
          </cell>
        </row>
        <row r="212">
          <cell r="A212" t="str">
            <v>TE640934</v>
          </cell>
          <cell r="B212" t="str">
            <v>NIHAD MCHICHO</v>
          </cell>
          <cell r="C212" t="str">
            <v>F</v>
          </cell>
          <cell r="D212" t="str">
            <v>Mourad Saitali</v>
          </cell>
        </row>
        <row r="213">
          <cell r="A213" t="str">
            <v>TE640931</v>
          </cell>
          <cell r="B213" t="str">
            <v>KAMAL AIT OUAKOUR</v>
          </cell>
          <cell r="C213" t="str">
            <v>M</v>
          </cell>
          <cell r="D213" t="str">
            <v>Mourad Saitali</v>
          </cell>
        </row>
        <row r="214">
          <cell r="A214" t="str">
            <v>TE640916</v>
          </cell>
          <cell r="B214" t="str">
            <v>Elamrani, Hajar</v>
          </cell>
          <cell r="C214" t="str">
            <v>F</v>
          </cell>
          <cell r="D214" t="str">
            <v>Mourad Saitali</v>
          </cell>
        </row>
        <row r="215">
          <cell r="A215" t="str">
            <v>TE642821</v>
          </cell>
          <cell r="B215" t="str">
            <v>FATIMA ESSOUINI</v>
          </cell>
          <cell r="C215" t="str">
            <v>F</v>
          </cell>
          <cell r="D215" t="str">
            <v>Mourad Saitali</v>
          </cell>
        </row>
        <row r="216">
          <cell r="A216" t="str">
            <v>TE641897</v>
          </cell>
          <cell r="B216" t="str">
            <v>ILIYASS BOUZROUD</v>
          </cell>
          <cell r="C216" t="str">
            <v>M</v>
          </cell>
          <cell r="D216" t="str">
            <v>Mourad Saitali</v>
          </cell>
        </row>
        <row r="217">
          <cell r="A217" t="str">
            <v>TE641895</v>
          </cell>
          <cell r="B217" t="str">
            <v>Tijani, Souad</v>
          </cell>
          <cell r="C217" t="str">
            <v>F</v>
          </cell>
          <cell r="D217" t="str">
            <v>Mourad Saitali</v>
          </cell>
        </row>
        <row r="218">
          <cell r="A218" t="str">
            <v>TE643607</v>
          </cell>
          <cell r="B218" t="str">
            <v>MAROUAN EL BARDI</v>
          </cell>
          <cell r="C218" t="str">
            <v>M</v>
          </cell>
          <cell r="D218" t="str">
            <v>Mourad Saitali</v>
          </cell>
        </row>
        <row r="219">
          <cell r="A219" t="str">
            <v>TE643602</v>
          </cell>
          <cell r="B219" t="str">
            <v>HAJAR EL KHAMLICHI</v>
          </cell>
          <cell r="C219" t="str">
            <v>F</v>
          </cell>
          <cell r="D219" t="str">
            <v>Mourad Saitali</v>
          </cell>
        </row>
        <row r="220">
          <cell r="A220" t="str">
            <v>TE643599</v>
          </cell>
          <cell r="B220" t="str">
            <v>SAMIA N'GUIRI</v>
          </cell>
          <cell r="C220" t="str">
            <v>F</v>
          </cell>
          <cell r="D220" t="str">
            <v>Mourad Saitali</v>
          </cell>
        </row>
        <row r="221">
          <cell r="A221" t="str">
            <v>TE643597</v>
          </cell>
          <cell r="B221" t="str">
            <v>SOKAINA LAMHOUFER</v>
          </cell>
          <cell r="C221" t="str">
            <v>F</v>
          </cell>
          <cell r="D221" t="str">
            <v>Mourad Saitali</v>
          </cell>
        </row>
        <row r="222">
          <cell r="A222" t="str">
            <v>TE643593</v>
          </cell>
          <cell r="B222" t="str">
            <v>KARIM EL KASSAB</v>
          </cell>
          <cell r="C222" t="str">
            <v>M</v>
          </cell>
          <cell r="D222" t="str">
            <v>Mourad Saitali</v>
          </cell>
        </row>
        <row r="223">
          <cell r="A223" t="str">
            <v>TE647808</v>
          </cell>
          <cell r="B223" t="str">
            <v>Achkari-Begdouri, Mohammed</v>
          </cell>
          <cell r="C223" t="str">
            <v>M</v>
          </cell>
          <cell r="D223" t="str">
            <v>Mourad Saitali</v>
          </cell>
        </row>
        <row r="224">
          <cell r="A224" t="str">
            <v>TE647807</v>
          </cell>
          <cell r="B224" t="str">
            <v>El-Kalei, Mohcine</v>
          </cell>
          <cell r="C224" t="str">
            <v>M</v>
          </cell>
          <cell r="D224" t="str">
            <v>Mourad Saitali</v>
          </cell>
        </row>
        <row r="225">
          <cell r="A225" t="str">
            <v>TE647803</v>
          </cell>
          <cell r="B225" t="str">
            <v>M'HAMED EL MOSSAOUI</v>
          </cell>
          <cell r="C225" t="str">
            <v>M</v>
          </cell>
          <cell r="D225" t="str">
            <v>Mourad Saitali</v>
          </cell>
        </row>
        <row r="226">
          <cell r="A226" t="str">
            <v>TE647795</v>
          </cell>
          <cell r="B226" t="str">
            <v>KHADIJA ZTAYA</v>
          </cell>
          <cell r="C226" t="str">
            <v>F</v>
          </cell>
          <cell r="D226" t="str">
            <v>Mourad Saitali</v>
          </cell>
        </row>
        <row r="227">
          <cell r="A227" t="str">
            <v>TE647794</v>
          </cell>
          <cell r="B227" t="str">
            <v>ABIR ELMOKRAZE</v>
          </cell>
          <cell r="C227" t="str">
            <v>F</v>
          </cell>
          <cell r="D227" t="str">
            <v>Mourad Saitali</v>
          </cell>
        </row>
        <row r="228">
          <cell r="A228" t="str">
            <v>TE647788</v>
          </cell>
          <cell r="B228" t="str">
            <v>HAMZA EL MAJDOUBY</v>
          </cell>
          <cell r="C228" t="str">
            <v>M</v>
          </cell>
          <cell r="D228" t="str">
            <v>Mourad Saitali</v>
          </cell>
        </row>
        <row r="229">
          <cell r="A229" t="str">
            <v>TE648831</v>
          </cell>
          <cell r="B229" t="str">
            <v>YOUNESS EL HAIMER</v>
          </cell>
          <cell r="C229" t="str">
            <v>M</v>
          </cell>
          <cell r="D229" t="str">
            <v>Mourad Saitali</v>
          </cell>
        </row>
        <row r="230">
          <cell r="A230" t="str">
            <v>TE648829</v>
          </cell>
          <cell r="B230" t="str">
            <v>MOHAMED SAID ATTARI</v>
          </cell>
          <cell r="C230" t="str">
            <v>M</v>
          </cell>
          <cell r="D230" t="str">
            <v>Mourad Saitali</v>
          </cell>
        </row>
        <row r="231">
          <cell r="A231" t="str">
            <v>TE648828</v>
          </cell>
          <cell r="B231" t="str">
            <v>NOHAILA BOULAAYNINE</v>
          </cell>
          <cell r="C231" t="str">
            <v>F</v>
          </cell>
          <cell r="D231" t="str">
            <v>Mourad Saitali</v>
          </cell>
        </row>
        <row r="232">
          <cell r="A232" t="str">
            <v>TE648823</v>
          </cell>
          <cell r="B232" t="str">
            <v>SOHAIB EL GHALBI</v>
          </cell>
          <cell r="C232" t="str">
            <v>M</v>
          </cell>
          <cell r="D232" t="str">
            <v>Mourad Saitali</v>
          </cell>
        </row>
        <row r="233">
          <cell r="A233" t="str">
            <v>TE648816</v>
          </cell>
          <cell r="B233" t="str">
            <v>NISRINE EL BAHRY</v>
          </cell>
          <cell r="C233" t="str">
            <v>F</v>
          </cell>
          <cell r="D233" t="str">
            <v>Mourad Saitali</v>
          </cell>
        </row>
        <row r="234">
          <cell r="A234" t="str">
            <v>TE648815</v>
          </cell>
          <cell r="B234" t="str">
            <v>MOHAMED EL-JANATI</v>
          </cell>
          <cell r="C234" t="str">
            <v>M</v>
          </cell>
          <cell r="D234" t="str">
            <v>Mourad Saitali</v>
          </cell>
        </row>
        <row r="235">
          <cell r="A235" t="str">
            <v>TE648814</v>
          </cell>
          <cell r="B235" t="str">
            <v>NOURA EL QARTIT</v>
          </cell>
          <cell r="C235" t="str">
            <v>F</v>
          </cell>
          <cell r="D235" t="str">
            <v>Mourad Saitali</v>
          </cell>
        </row>
        <row r="236">
          <cell r="A236" t="str">
            <v>TE648811</v>
          </cell>
          <cell r="B236" t="str">
            <v>MOHAMED HACHEM</v>
          </cell>
          <cell r="C236" t="str">
            <v>M</v>
          </cell>
          <cell r="D236" t="str">
            <v>Mourad Saitali</v>
          </cell>
        </row>
        <row r="237">
          <cell r="A237" t="str">
            <v>TE635801</v>
          </cell>
          <cell r="B237" t="str">
            <v xml:space="preserve">NASSER AHAYAN </v>
          </cell>
          <cell r="C237" t="str">
            <v>M</v>
          </cell>
          <cell r="D237" t="str">
            <v>Mourad Saitali</v>
          </cell>
        </row>
        <row r="238">
          <cell r="A238" t="str">
            <v>TE648812</v>
          </cell>
          <cell r="B238" t="str">
            <v>ASSIA ESSBAI</v>
          </cell>
          <cell r="C238" t="str">
            <v>F</v>
          </cell>
          <cell r="D238" t="str">
            <v>Mourad Saitali</v>
          </cell>
        </row>
        <row r="239">
          <cell r="A239" t="str">
            <v>TE395929</v>
          </cell>
          <cell r="B239" t="str">
            <v>MOSSADAK HAMZA</v>
          </cell>
          <cell r="C239" t="str">
            <v>M</v>
          </cell>
          <cell r="D239" t="str">
            <v>MOSSADAK HAMZA</v>
          </cell>
        </row>
        <row r="240">
          <cell r="A240" t="str">
            <v>TE543811</v>
          </cell>
          <cell r="B240" t="str">
            <v>AHMED  AKHARRAZ</v>
          </cell>
          <cell r="C240" t="str">
            <v>M</v>
          </cell>
          <cell r="D240" t="str">
            <v>MOSSADAK HAMZA</v>
          </cell>
        </row>
        <row r="241">
          <cell r="A241" t="str">
            <v>TE459921</v>
          </cell>
          <cell r="B241" t="str">
            <v>CHADLI-IDRISSI CHADIA</v>
          </cell>
          <cell r="C241" t="str">
            <v>F</v>
          </cell>
          <cell r="D241" t="str">
            <v>MOSSADAK HAMZA</v>
          </cell>
        </row>
        <row r="242">
          <cell r="A242" t="str">
            <v>TE395109</v>
          </cell>
          <cell r="B242" t="str">
            <v xml:space="preserve">Skhiri, Charaf </v>
          </cell>
          <cell r="C242" t="str">
            <v>m</v>
          </cell>
          <cell r="D242" t="str">
            <v>MOSSADAK HAMZA</v>
          </cell>
        </row>
        <row r="243">
          <cell r="A243" t="str">
            <v>TE456855</v>
          </cell>
          <cell r="B243" t="str">
            <v>OUSSAADI  AZIZA</v>
          </cell>
          <cell r="C243" t="str">
            <v>F</v>
          </cell>
          <cell r="D243" t="str">
            <v>MOSSADAK HAMZA</v>
          </cell>
        </row>
        <row r="244">
          <cell r="A244" t="str">
            <v>TE543814</v>
          </cell>
          <cell r="B244" t="str">
            <v>MOURAD AIT ALI</v>
          </cell>
          <cell r="C244" t="str">
            <v>M</v>
          </cell>
          <cell r="D244" t="str">
            <v>MOSSADAK HAMZA</v>
          </cell>
        </row>
        <row r="245">
          <cell r="A245" t="str">
            <v>TE523750</v>
          </cell>
          <cell r="B245" t="str">
            <v>YOUNESS AJAANAN</v>
          </cell>
          <cell r="C245" t="str">
            <v>M</v>
          </cell>
          <cell r="D245" t="str">
            <v>MOSSADAK HAMZA</v>
          </cell>
        </row>
        <row r="246">
          <cell r="A246" t="str">
            <v>TE409266</v>
          </cell>
          <cell r="B246" t="str">
            <v xml:space="preserve">  JANATI-HASSANI SOUFIANE</v>
          </cell>
          <cell r="C246" t="str">
            <v>M</v>
          </cell>
          <cell r="D246" t="str">
            <v>MOSSADAK HAMZA</v>
          </cell>
        </row>
        <row r="247">
          <cell r="A247" t="str">
            <v>TE407317</v>
          </cell>
          <cell r="B247" t="str">
            <v>FASKA KHADIJA</v>
          </cell>
          <cell r="C247" t="str">
            <v>F</v>
          </cell>
          <cell r="D247" t="str">
            <v>MOSSADAK HAMZA</v>
          </cell>
        </row>
        <row r="248">
          <cell r="A248" t="str">
            <v>TE607129</v>
          </cell>
          <cell r="B248" t="str">
            <v>Echchaikhi, Bilal</v>
          </cell>
          <cell r="C248" t="str">
            <v>M</v>
          </cell>
          <cell r="D248" t="str">
            <v>MOSSADAK HAMZA</v>
          </cell>
        </row>
        <row r="249">
          <cell r="A249" t="str">
            <v>TE555535</v>
          </cell>
          <cell r="B249" t="str">
            <v xml:space="preserve">OUTBARAKHT  MOHAMED </v>
          </cell>
          <cell r="C249" t="str">
            <v>M</v>
          </cell>
          <cell r="D249" t="str">
            <v>MOSSADAK HAMZA</v>
          </cell>
        </row>
        <row r="250">
          <cell r="A250" t="str">
            <v>TE636932</v>
          </cell>
          <cell r="B250" t="str">
            <v>MIMOUN BELGHAZI</v>
          </cell>
          <cell r="C250" t="str">
            <v>M</v>
          </cell>
          <cell r="D250" t="str">
            <v>MOSSADAK HAMZA</v>
          </cell>
        </row>
        <row r="251">
          <cell r="A251" t="str">
            <v>TE312087</v>
          </cell>
          <cell r="B251" t="str">
            <v>Lahouaoui ayoub</v>
          </cell>
          <cell r="C251" t="str">
            <v>M</v>
          </cell>
          <cell r="D251" t="str">
            <v>MOSSADAK HAMZA</v>
          </cell>
        </row>
        <row r="252">
          <cell r="A252" t="str">
            <v>TE565929</v>
          </cell>
          <cell r="B252" t="str">
            <v>MOHSSINE ELJARYB</v>
          </cell>
          <cell r="C252" t="str">
            <v>M</v>
          </cell>
          <cell r="D252" t="str">
            <v>MOSSADAK HAMZA</v>
          </cell>
        </row>
        <row r="253">
          <cell r="A253" t="str">
            <v>TE552374</v>
          </cell>
          <cell r="B253" t="str">
            <v>OUMAIMA ECHCHAHID</v>
          </cell>
          <cell r="C253" t="str">
            <v>F</v>
          </cell>
          <cell r="D253" t="str">
            <v>MOSSADAK HAMZA</v>
          </cell>
        </row>
        <row r="254">
          <cell r="A254" t="str">
            <v>TE565906</v>
          </cell>
          <cell r="B254" t="str">
            <v>MOHAMED KARIM</v>
          </cell>
          <cell r="C254" t="str">
            <v>M</v>
          </cell>
          <cell r="D254" t="str">
            <v>MOSSADAK HAMZA</v>
          </cell>
        </row>
        <row r="255">
          <cell r="A255" t="str">
            <v>TE404743</v>
          </cell>
          <cell r="B255" t="str">
            <v>MAriam El-Ghafiri</v>
          </cell>
          <cell r="C255" t="str">
            <v>F</v>
          </cell>
          <cell r="D255" t="str">
            <v>MOSSADAK HAMZA</v>
          </cell>
        </row>
        <row r="256">
          <cell r="A256" t="str">
            <v>TE596411</v>
          </cell>
          <cell r="B256" t="str">
            <v>NISRINE ELKHAYROUNY</v>
          </cell>
          <cell r="C256" t="str">
            <v>F</v>
          </cell>
          <cell r="D256" t="str">
            <v>MOSSADAK HAMZA</v>
          </cell>
        </row>
        <row r="257">
          <cell r="A257" t="str">
            <v>TE371404</v>
          </cell>
          <cell r="B257" t="str">
            <v>Latrach, Mourad</v>
          </cell>
          <cell r="C257" t="str">
            <v>M</v>
          </cell>
          <cell r="D257" t="str">
            <v>MOSSADAK HAMZA</v>
          </cell>
        </row>
        <row r="258">
          <cell r="A258" t="str">
            <v>TE636844</v>
          </cell>
          <cell r="B258" t="str">
            <v>RAJAE   EL FECHTALI</v>
          </cell>
          <cell r="C258" t="str">
            <v>F</v>
          </cell>
          <cell r="D258" t="str">
            <v>MOSSADAK HAMZA</v>
          </cell>
        </row>
        <row r="259">
          <cell r="A259" t="str">
            <v>TE417937</v>
          </cell>
          <cell r="B259" t="str">
            <v xml:space="preserve">JALAL BOKKOUR </v>
          </cell>
          <cell r="C259" t="str">
            <v>M</v>
          </cell>
          <cell r="D259" t="str">
            <v>MOSSADAK HAMZA</v>
          </cell>
        </row>
        <row r="260">
          <cell r="A260" t="str">
            <v>TE563713</v>
          </cell>
          <cell r="B260" t="str">
            <v>Issam, El Amri</v>
          </cell>
          <cell r="C260" t="str">
            <v>M</v>
          </cell>
          <cell r="D260" t="str">
            <v>MOSSADAK HAMZA</v>
          </cell>
        </row>
        <row r="261">
          <cell r="A261" t="str">
            <v>TE555616</v>
          </cell>
          <cell r="B261" t="str">
            <v>ABderrahman errahmouni</v>
          </cell>
          <cell r="C261" t="str">
            <v>M</v>
          </cell>
          <cell r="D261" t="str">
            <v>MOSSADAK HAMZA</v>
          </cell>
        </row>
        <row r="262">
          <cell r="A262" t="str">
            <v>TE397872</v>
          </cell>
          <cell r="B262" t="str">
            <v>Fouad, Ghazouani</v>
          </cell>
          <cell r="C262" t="str">
            <v>M</v>
          </cell>
          <cell r="D262" t="str">
            <v>MOSSADAK HAMZA</v>
          </cell>
        </row>
        <row r="263">
          <cell r="A263" t="str">
            <v>TE543800</v>
          </cell>
          <cell r="B263" t="str">
            <v>OUTMANE LOTFELLAH</v>
          </cell>
          <cell r="C263" t="str">
            <v>M</v>
          </cell>
          <cell r="D263" t="str">
            <v>MOSSADAK HAMZA</v>
          </cell>
        </row>
        <row r="264">
          <cell r="A264" t="str">
            <v>TE552362</v>
          </cell>
          <cell r="B264" t="str">
            <v>SAID FAHSSI</v>
          </cell>
          <cell r="C264" t="str">
            <v>M</v>
          </cell>
          <cell r="D264" t="str">
            <v>MOSSADAK HAMZA</v>
          </cell>
        </row>
        <row r="265">
          <cell r="A265" t="str">
            <v>TE520193</v>
          </cell>
          <cell r="B265" t="str">
            <v>HAJAR BELBEKKARI</v>
          </cell>
          <cell r="C265" t="str">
            <v>F</v>
          </cell>
          <cell r="D265" t="str">
            <v>MOSSADAK HAMZA</v>
          </cell>
        </row>
        <row r="266">
          <cell r="A266" t="str">
            <v>TE452364</v>
          </cell>
          <cell r="B266" t="str">
            <v>ES-SAIDI MALIKA</v>
          </cell>
          <cell r="C266" t="str">
            <v>F</v>
          </cell>
          <cell r="D266" t="str">
            <v>MOSSADAK HAMZA</v>
          </cell>
        </row>
        <row r="267">
          <cell r="A267" t="str">
            <v>TE408075</v>
          </cell>
          <cell r="B267" t="str">
            <v>ELMADI  YASSIN</v>
          </cell>
          <cell r="C267" t="str">
            <v>M</v>
          </cell>
          <cell r="D267" t="str">
            <v>MOSSADAK HAMZA</v>
          </cell>
        </row>
        <row r="268">
          <cell r="A268" t="str">
            <v>TE443715</v>
          </cell>
          <cell r="B268" t="str">
            <v>EL HAROUNY  ZAINAB</v>
          </cell>
          <cell r="C268" t="str">
            <v>F</v>
          </cell>
          <cell r="D268" t="str">
            <v>MOSSADAK HAMZA</v>
          </cell>
        </row>
        <row r="269">
          <cell r="A269" t="str">
            <v>TE443713</v>
          </cell>
          <cell r="B269" t="str">
            <v>ELMALOULI  KAOUTER</v>
          </cell>
          <cell r="C269" t="str">
            <v>F</v>
          </cell>
          <cell r="D269" t="str">
            <v>MOSSADAK HAMZA</v>
          </cell>
        </row>
        <row r="270">
          <cell r="A270" t="str">
            <v>TE543392</v>
          </cell>
          <cell r="B270" t="str">
            <v>BOUCHTA  AALALOUCH</v>
          </cell>
          <cell r="C270" t="str">
            <v>M</v>
          </cell>
          <cell r="D270" t="str">
            <v>MOSSADAK HAMZA</v>
          </cell>
        </row>
        <row r="271">
          <cell r="A271" t="str">
            <v>TE405414</v>
          </cell>
          <cell r="B271" t="str">
            <v>Boufelja, Redouan</v>
          </cell>
          <cell r="C271" t="str">
            <v>M</v>
          </cell>
          <cell r="D271" t="str">
            <v>MOSSADAK HAMZA</v>
          </cell>
        </row>
        <row r="272">
          <cell r="A272" t="str">
            <v>TE446221</v>
          </cell>
          <cell r="B272" t="str">
            <v>Boufettal,ABdelhakime</v>
          </cell>
          <cell r="C272" t="str">
            <v>M</v>
          </cell>
          <cell r="D272" t="str">
            <v>MOSSADAK HAMZA</v>
          </cell>
        </row>
        <row r="273">
          <cell r="A273" t="str">
            <v>TE555537</v>
          </cell>
          <cell r="B273" t="str">
            <v>BOUZBOUZ YASSINE</v>
          </cell>
          <cell r="C273" t="str">
            <v>M</v>
          </cell>
          <cell r="D273" t="str">
            <v>MOSSADAK HAMZA</v>
          </cell>
        </row>
        <row r="274">
          <cell r="A274" t="str">
            <v>TE523758</v>
          </cell>
          <cell r="B274" t="str">
            <v>MARYAM EL OUARTI</v>
          </cell>
          <cell r="C274" t="str">
            <v>F</v>
          </cell>
          <cell r="D274" t="str">
            <v>MOSSADAK HAMZA</v>
          </cell>
        </row>
        <row r="275">
          <cell r="A275" t="str">
            <v>TE390661</v>
          </cell>
          <cell r="B275" t="str">
            <v>EZZAYANI CHAIMAE</v>
          </cell>
          <cell r="C275" t="str">
            <v>F</v>
          </cell>
          <cell r="D275" t="str">
            <v>MOSSADAK HAMZA</v>
          </cell>
        </row>
        <row r="276">
          <cell r="A276" t="str">
            <v>TE573314</v>
          </cell>
          <cell r="B276" t="str">
            <v>MUSTAPHA EL HARRAS</v>
          </cell>
          <cell r="C276" t="str">
            <v>M</v>
          </cell>
          <cell r="D276" t="str">
            <v>MOSSADAK HAMZA</v>
          </cell>
        </row>
        <row r="277">
          <cell r="A277" t="str">
            <v>TE543802</v>
          </cell>
          <cell r="B277" t="str">
            <v>ABDELHAKIM MISKIN</v>
          </cell>
          <cell r="C277" t="str">
            <v>M</v>
          </cell>
          <cell r="D277" t="str">
            <v>MOSSADAK HAMZA</v>
          </cell>
        </row>
        <row r="278">
          <cell r="A278" t="str">
            <v>TE586521</v>
          </cell>
          <cell r="B278" t="str">
            <v>OTHMANE EL KASRI</v>
          </cell>
          <cell r="C278" t="str">
            <v>m</v>
          </cell>
          <cell r="D278" t="str">
            <v>MOSSADAK HAMZA</v>
          </cell>
        </row>
        <row r="279">
          <cell r="A279" t="str">
            <v>TE585536</v>
          </cell>
          <cell r="B279" t="str">
            <v>ikram ahammout</v>
          </cell>
          <cell r="C279" t="str">
            <v>F</v>
          </cell>
          <cell r="D279" t="str">
            <v>MOSSADAK HAMZA</v>
          </cell>
        </row>
        <row r="280">
          <cell r="A280" t="str">
            <v>TE402773</v>
          </cell>
          <cell r="B280" t="str">
            <v>YOUSSEF ZAYD</v>
          </cell>
          <cell r="C280" t="str">
            <v>M</v>
          </cell>
          <cell r="D280" t="str">
            <v>MOSSADAK HAMZA</v>
          </cell>
        </row>
        <row r="281">
          <cell r="A281" t="str">
            <v>TE602444</v>
          </cell>
          <cell r="B281" t="str">
            <v>AYA SAOUD</v>
          </cell>
          <cell r="C281" t="str">
            <v>F</v>
          </cell>
          <cell r="D281" t="str">
            <v>MOSSADAK HAMZA</v>
          </cell>
        </row>
        <row r="282">
          <cell r="A282" t="str">
            <v>TE602403</v>
          </cell>
          <cell r="B282" t="str">
            <v xml:space="preserve">ACHRAF ERRADI </v>
          </cell>
          <cell r="C282" t="str">
            <v>M</v>
          </cell>
          <cell r="D282" t="str">
            <v>MOSSADAK HAMZA</v>
          </cell>
        </row>
        <row r="283">
          <cell r="A283" t="str">
            <v>TE602413</v>
          </cell>
          <cell r="B283" t="str">
            <v>MOHAMED HABOUSSI</v>
          </cell>
          <cell r="C283" t="str">
            <v>M</v>
          </cell>
          <cell r="D283" t="str">
            <v>MOSSADAK HAMZA</v>
          </cell>
        </row>
        <row r="284">
          <cell r="A284" t="str">
            <v>TE603472</v>
          </cell>
          <cell r="B284" t="str">
            <v>Mohamed el Ouahabi</v>
          </cell>
          <cell r="C284" t="str">
            <v>M</v>
          </cell>
          <cell r="D284" t="str">
            <v>MOSSADAK HAMZA</v>
          </cell>
        </row>
        <row r="285">
          <cell r="A285" t="str">
            <v>TE607123</v>
          </cell>
          <cell r="B285" t="str">
            <v>El-Kattar, Soulaiman</v>
          </cell>
          <cell r="C285" t="str">
            <v>M</v>
          </cell>
          <cell r="D285" t="str">
            <v>MOSSADAK HAMZA</v>
          </cell>
        </row>
        <row r="286">
          <cell r="A286" t="str">
            <v>TE607120</v>
          </cell>
          <cell r="B286" t="str">
            <v>Akourajjaye, Aissam</v>
          </cell>
          <cell r="C286" t="str">
            <v>M</v>
          </cell>
          <cell r="D286" t="str">
            <v>MOSSADAK HAMZA</v>
          </cell>
        </row>
        <row r="287">
          <cell r="A287" t="str">
            <v>TE607126</v>
          </cell>
          <cell r="B287" t="str">
            <v>Sinko, Chakib</v>
          </cell>
          <cell r="C287" t="str">
            <v>M</v>
          </cell>
          <cell r="D287" t="str">
            <v>MOSSADAK HAMZA</v>
          </cell>
        </row>
        <row r="288">
          <cell r="A288" t="str">
            <v>TE568885</v>
          </cell>
          <cell r="B288" t="str">
            <v>ISMAIL El-Hassouni</v>
          </cell>
          <cell r="C288" t="str">
            <v>M</v>
          </cell>
          <cell r="D288" t="str">
            <v>MOSSADAK HAMZA</v>
          </cell>
        </row>
        <row r="289">
          <cell r="A289" t="str">
            <v>TE583402</v>
          </cell>
          <cell r="B289" t="str">
            <v>ZAHIRA EL MCHABTI</v>
          </cell>
          <cell r="C289" t="str">
            <v>F</v>
          </cell>
          <cell r="D289" t="str">
            <v>MOSSADAK HAMZA</v>
          </cell>
        </row>
        <row r="290">
          <cell r="A290" t="str">
            <v>TE597639</v>
          </cell>
          <cell r="B290" t="str">
            <v>SAMIA ELFELLAHI</v>
          </cell>
          <cell r="C290" t="str">
            <v>F</v>
          </cell>
          <cell r="D290" t="str">
            <v>MOSSADAK HAMZA</v>
          </cell>
        </row>
        <row r="291">
          <cell r="A291" t="str">
            <v>TE563743</v>
          </cell>
          <cell r="B291" t="str">
            <v>HAJAR EL-JAZOULY</v>
          </cell>
          <cell r="C291" t="str">
            <v>F</v>
          </cell>
          <cell r="D291" t="str">
            <v>MOSSADAK HAMZA</v>
          </cell>
        </row>
        <row r="292">
          <cell r="A292" t="str">
            <v>TE585643</v>
          </cell>
          <cell r="B292" t="str">
            <v>NADIA EL OMARI</v>
          </cell>
          <cell r="C292" t="str">
            <v>F</v>
          </cell>
          <cell r="D292" t="str">
            <v>MOSSADAK HAMZA</v>
          </cell>
        </row>
        <row r="293">
          <cell r="A293" t="str">
            <v>TE603470</v>
          </cell>
          <cell r="B293" t="str">
            <v xml:space="preserve">Ahid Ahlam </v>
          </cell>
          <cell r="C293" t="str">
            <v>f</v>
          </cell>
          <cell r="D293" t="str">
            <v>MOSSADAK HAMZA</v>
          </cell>
        </row>
        <row r="294">
          <cell r="A294" t="str">
            <v>TE614070</v>
          </cell>
          <cell r="B294" t="str">
            <v xml:space="preserve">
Elaymouch, M'Hamed</v>
          </cell>
          <cell r="C294" t="str">
            <v>M</v>
          </cell>
          <cell r="D294" t="str">
            <v>MOSSADAK HAMZA</v>
          </cell>
        </row>
        <row r="295">
          <cell r="A295" t="str">
            <v>TE614069</v>
          </cell>
          <cell r="B295" t="str">
            <v>Elyaagoubi, Fatimazahra</v>
          </cell>
          <cell r="C295" t="str">
            <v>f</v>
          </cell>
          <cell r="D295" t="str">
            <v>MOSSADAK HAMZA</v>
          </cell>
        </row>
        <row r="296">
          <cell r="A296" t="str">
            <v>TE617066</v>
          </cell>
          <cell r="B296" t="str">
            <v>Challak Mohamed</v>
          </cell>
          <cell r="C296" t="str">
            <v>M</v>
          </cell>
          <cell r="D296" t="str">
            <v>MOSSADAK HAMZA</v>
          </cell>
        </row>
        <row r="297">
          <cell r="A297" t="str">
            <v>TE617064</v>
          </cell>
          <cell r="B297" t="str">
            <v>Baouaih  Youssef</v>
          </cell>
          <cell r="C297" t="str">
            <v>M</v>
          </cell>
          <cell r="D297" t="str">
            <v>MOSSADAK HAMZA</v>
          </cell>
        </row>
        <row r="298">
          <cell r="A298" t="str">
            <v>TE617076</v>
          </cell>
          <cell r="B298" t="str">
            <v>Meskine Yamna</v>
          </cell>
          <cell r="C298" t="str">
            <v>F</v>
          </cell>
          <cell r="D298" t="str">
            <v>MOSSADAK HAMZA</v>
          </cell>
        </row>
        <row r="299">
          <cell r="A299" t="str">
            <v>TE617065</v>
          </cell>
          <cell r="B299" t="str">
            <v>El Hajjy Noemane</v>
          </cell>
          <cell r="C299" t="str">
            <v>M</v>
          </cell>
          <cell r="D299" t="str">
            <v>MOSSADAK HAMZA</v>
          </cell>
        </row>
        <row r="300">
          <cell r="A300" t="str">
            <v>TE617067</v>
          </cell>
          <cell r="B300" t="str">
            <v>Zerhouni Ismail</v>
          </cell>
          <cell r="C300" t="str">
            <v>M</v>
          </cell>
          <cell r="D300" t="str">
            <v>MOSSADAK HAMZA</v>
          </cell>
        </row>
        <row r="301">
          <cell r="A301" t="str">
            <v>TE617068</v>
          </cell>
          <cell r="B301" t="str">
            <v>El Badoui, Redouan</v>
          </cell>
          <cell r="C301" t="str">
            <v>M</v>
          </cell>
          <cell r="D301" t="str">
            <v>MOSSADAK HAMZA</v>
          </cell>
        </row>
        <row r="302">
          <cell r="A302" t="str">
            <v>TE632193</v>
          </cell>
          <cell r="B302" t="str">
            <v>CHARAF ELJABBOURI</v>
          </cell>
          <cell r="C302" t="str">
            <v>M</v>
          </cell>
          <cell r="D302" t="str">
            <v>MOSSADAK HAMZA</v>
          </cell>
        </row>
        <row r="303">
          <cell r="A303" t="str">
            <v>TE632190</v>
          </cell>
          <cell r="B303" t="str">
            <v>SOUFIANE ABBOU</v>
          </cell>
          <cell r="C303" t="str">
            <v>M</v>
          </cell>
          <cell r="D303" t="str">
            <v>MOSSADAK HAMZA</v>
          </cell>
        </row>
        <row r="304">
          <cell r="A304" t="str">
            <v>TE632187</v>
          </cell>
          <cell r="B304" t="str">
            <v>WAIL AMARNIS</v>
          </cell>
          <cell r="C304" t="str">
            <v>M</v>
          </cell>
          <cell r="D304" t="str">
            <v>MOSSADAK HAMZA</v>
          </cell>
        </row>
        <row r="305">
          <cell r="A305" t="str">
            <v>TE633965</v>
          </cell>
          <cell r="B305" t="str">
            <v>El Mtioui, Mohamed</v>
          </cell>
          <cell r="C305" t="str">
            <v>M</v>
          </cell>
          <cell r="D305" t="str">
            <v>MOSSADAK HAMZA</v>
          </cell>
        </row>
        <row r="306">
          <cell r="A306" t="str">
            <v>TE635192</v>
          </cell>
          <cell r="B306" t="str">
            <v>SOUMAYA AKHACHIOU</v>
          </cell>
          <cell r="C306" t="str">
            <v>F</v>
          </cell>
          <cell r="D306" t="str">
            <v>MOSSADAK HAMZA</v>
          </cell>
        </row>
        <row r="307">
          <cell r="A307" t="str">
            <v>TE617080</v>
          </cell>
          <cell r="B307" t="str">
            <v>Bouzarzar Fatima Zahra</v>
          </cell>
          <cell r="C307" t="str">
            <v>F</v>
          </cell>
          <cell r="D307" t="str">
            <v>MOSSADAK HAMZA</v>
          </cell>
        </row>
        <row r="308">
          <cell r="A308" t="str">
            <v>TE459939</v>
          </cell>
          <cell r="B308" t="str">
            <v>KACMI fatiMA</v>
          </cell>
          <cell r="C308" t="str">
            <v>F</v>
          </cell>
          <cell r="D308" t="str">
            <v>MOSSADAK HAMZA</v>
          </cell>
        </row>
        <row r="309">
          <cell r="A309" t="str">
            <v>TE635884</v>
          </cell>
          <cell r="B309" t="str">
            <v xml:space="preserve">IBTISSAM BOUHSSIS </v>
          </cell>
          <cell r="C309" t="str">
            <v>F</v>
          </cell>
          <cell r="D309" t="str">
            <v>MOSSADAK HAMZA</v>
          </cell>
        </row>
        <row r="310">
          <cell r="A310" t="str">
            <v>TE635820</v>
          </cell>
          <cell r="B310" t="str">
            <v xml:space="preserve">HILAL EL MCHABTI </v>
          </cell>
          <cell r="C310" t="str">
            <v>M</v>
          </cell>
          <cell r="D310" t="str">
            <v>MOSSADAK HAMZA</v>
          </cell>
        </row>
        <row r="311">
          <cell r="A311" t="str">
            <v>TE635817</v>
          </cell>
          <cell r="B311" t="str">
            <v xml:space="preserve">NOUREDDIN  EL MALLOUKI </v>
          </cell>
          <cell r="C311" t="str">
            <v>M</v>
          </cell>
          <cell r="D311" t="str">
            <v>MOSSADAK HAMZA</v>
          </cell>
        </row>
        <row r="312">
          <cell r="A312" t="str">
            <v>TE635816</v>
          </cell>
          <cell r="B312" t="str">
            <v xml:space="preserve">AYMANE IDRISSI </v>
          </cell>
          <cell r="C312" t="str">
            <v>M</v>
          </cell>
          <cell r="D312" t="str">
            <v>MOSSADAK HAMZA</v>
          </cell>
        </row>
        <row r="313">
          <cell r="A313" t="str">
            <v>TE635815</v>
          </cell>
          <cell r="B313" t="str">
            <v>RADIA ET.TODGHY</v>
          </cell>
          <cell r="C313" t="str">
            <v>F</v>
          </cell>
          <cell r="D313" t="str">
            <v>MOSSADAK HAMZA</v>
          </cell>
        </row>
        <row r="314">
          <cell r="A314" t="str">
            <v>TE635799</v>
          </cell>
          <cell r="B314" t="str">
            <v xml:space="preserve">OUTMAN MEZZIANE </v>
          </cell>
          <cell r="C314" t="str">
            <v>M</v>
          </cell>
          <cell r="D314" t="str">
            <v>MOSSADAK HAMZA</v>
          </cell>
        </row>
        <row r="315">
          <cell r="A315" t="str">
            <v>TE635897</v>
          </cell>
          <cell r="B315" t="str">
            <v>OSSAMA BEN TOUDDA</v>
          </cell>
          <cell r="C315" t="str">
            <v>M</v>
          </cell>
          <cell r="D315" t="str">
            <v>MOSSADAK HAMZA</v>
          </cell>
        </row>
        <row r="316">
          <cell r="A316" t="str">
            <v>TE635804</v>
          </cell>
          <cell r="B316" t="str">
            <v xml:space="preserve">ALI TEJJAR </v>
          </cell>
          <cell r="C316" t="str">
            <v>M</v>
          </cell>
          <cell r="D316" t="str">
            <v>MOSSADAK HAMZA</v>
          </cell>
        </row>
        <row r="317">
          <cell r="A317" t="str">
            <v>TE635800</v>
          </cell>
          <cell r="B317" t="str">
            <v xml:space="preserve">ISMAIL AJAEZ </v>
          </cell>
          <cell r="C317" t="str">
            <v>M</v>
          </cell>
          <cell r="D317" t="str">
            <v>MOSSADAK HAMZA</v>
          </cell>
        </row>
        <row r="318">
          <cell r="A318" t="str">
            <v>TE635806</v>
          </cell>
          <cell r="B318" t="str">
            <v>HAJAR EL KHLOUFI</v>
          </cell>
          <cell r="C318" t="str">
            <v>F</v>
          </cell>
          <cell r="D318" t="str">
            <v>MOSSADAK HAMZA</v>
          </cell>
        </row>
        <row r="319">
          <cell r="A319" t="str">
            <v>TE635818</v>
          </cell>
          <cell r="B319" t="str">
            <v>HAMZA  EL KHOMCI</v>
          </cell>
          <cell r="C319" t="str">
            <v>M</v>
          </cell>
          <cell r="D319" t="str">
            <v>MOSSADAK HAMZA</v>
          </cell>
        </row>
        <row r="320">
          <cell r="A320" t="str">
            <v>TE635896</v>
          </cell>
          <cell r="B320" t="str">
            <v>LEHCEN CHAHMOUT</v>
          </cell>
          <cell r="C320" t="str">
            <v>M</v>
          </cell>
          <cell r="D320" t="str">
            <v>MOSSADAK HAMZA</v>
          </cell>
        </row>
        <row r="321">
          <cell r="A321" t="str">
            <v>TE636863</v>
          </cell>
          <cell r="B321" t="str">
            <v>CHAIMAE   EL JADDAR</v>
          </cell>
          <cell r="C321" t="str">
            <v>F</v>
          </cell>
          <cell r="D321" t="str">
            <v>MOSSADAK HAMZA</v>
          </cell>
        </row>
        <row r="322">
          <cell r="A322" t="str">
            <v>TE636843</v>
          </cell>
          <cell r="B322" t="str">
            <v>FATNA   AKIR</v>
          </cell>
          <cell r="C322" t="str">
            <v>F</v>
          </cell>
          <cell r="D322" t="str">
            <v>MOSSADAK HAMZA</v>
          </cell>
        </row>
        <row r="323">
          <cell r="A323" t="str">
            <v>TE563712</v>
          </cell>
          <cell r="B323" t="str">
            <v>boudour mohammed</v>
          </cell>
          <cell r="C323" t="str">
            <v>m</v>
          </cell>
          <cell r="D323" t="str">
            <v>MOSSADAK HAMZA</v>
          </cell>
        </row>
        <row r="324">
          <cell r="A324" t="str">
            <v>TE401965</v>
          </cell>
          <cell r="B324" t="str">
            <v>Farid, Bouchra</v>
          </cell>
          <cell r="C324" t="str">
            <v>F</v>
          </cell>
          <cell r="D324" t="str">
            <v>MOSSADAK HAMZA</v>
          </cell>
        </row>
        <row r="325">
          <cell r="A325" t="str">
            <v>TE636832</v>
          </cell>
          <cell r="B325" t="str">
            <v>SAFAA   SAIDI</v>
          </cell>
          <cell r="C325" t="str">
            <v>F</v>
          </cell>
          <cell r="D325" t="str">
            <v>MOSSADAK HAMZA</v>
          </cell>
        </row>
        <row r="326">
          <cell r="A326" t="str">
            <v>TE636842</v>
          </cell>
          <cell r="B326" t="str">
            <v>ZINEB LOTFI</v>
          </cell>
          <cell r="C326" t="str">
            <v>F</v>
          </cell>
          <cell r="D326" t="str">
            <v>MOSSADAK HAMZA</v>
          </cell>
        </row>
        <row r="327">
          <cell r="A327" t="str">
            <v>TE639080</v>
          </cell>
          <cell r="B327" t="str">
            <v xml:space="preserve">KAWTAR RABOUN </v>
          </cell>
          <cell r="C327" t="str">
            <v>F</v>
          </cell>
          <cell r="D327" t="str">
            <v>MOSSADAK HAMZA</v>
          </cell>
        </row>
        <row r="328">
          <cell r="A328" t="str">
            <v>TE639090</v>
          </cell>
          <cell r="B328" t="str">
            <v xml:space="preserve">AMINA EL HANAFI </v>
          </cell>
          <cell r="C328" t="str">
            <v>F</v>
          </cell>
          <cell r="D328" t="str">
            <v>MOSSADAK HAMZA</v>
          </cell>
        </row>
        <row r="329">
          <cell r="A329" t="str">
            <v>TE639089</v>
          </cell>
          <cell r="B329" t="str">
            <v xml:space="preserve">YOUSSRA EL FOUAS </v>
          </cell>
          <cell r="C329" t="str">
            <v>F</v>
          </cell>
          <cell r="D329" t="str">
            <v>MOSSADAK HAMZA</v>
          </cell>
        </row>
        <row r="330">
          <cell r="A330" t="str">
            <v>TE640933</v>
          </cell>
          <cell r="B330" t="str">
            <v>NOUHAILA RAMOU</v>
          </cell>
          <cell r="C330" t="str">
            <v>F</v>
          </cell>
          <cell r="D330" t="str">
            <v>MOSSADAK HAMZA</v>
          </cell>
        </row>
        <row r="331">
          <cell r="A331" t="str">
            <v>TE641898</v>
          </cell>
          <cell r="B331" t="str">
            <v>Loudyi, Mahdi</v>
          </cell>
          <cell r="C331" t="str">
            <v>M</v>
          </cell>
          <cell r="D331" t="str">
            <v>MOSSADAK HAMZA</v>
          </cell>
        </row>
        <row r="332">
          <cell r="A332" t="str">
            <v>TE641896</v>
          </cell>
          <cell r="B332" t="str">
            <v>Hamouda, Achraf</v>
          </cell>
          <cell r="C332" t="str">
            <v>M</v>
          </cell>
          <cell r="D332" t="str">
            <v>MOSSADAK HAMZA</v>
          </cell>
        </row>
        <row r="333">
          <cell r="A333" t="str">
            <v>TE641894</v>
          </cell>
          <cell r="B333" t="str">
            <v>Merbouh, Imane</v>
          </cell>
          <cell r="C333" t="str">
            <v>f</v>
          </cell>
          <cell r="D333" t="str">
            <v>MOSSADAK HAMZA</v>
          </cell>
        </row>
        <row r="334">
          <cell r="A334" t="str">
            <v>TE643606</v>
          </cell>
          <cell r="B334" t="str">
            <v>EL OTMANI HAMZA</v>
          </cell>
          <cell r="C334" t="str">
            <v>M</v>
          </cell>
          <cell r="D334" t="str">
            <v>MOSSADAK HAMZA</v>
          </cell>
        </row>
        <row r="335">
          <cell r="A335" t="str">
            <v>TE643604</v>
          </cell>
          <cell r="B335" t="str">
            <v>ZAROUAL JAMILA</v>
          </cell>
          <cell r="C335" t="str">
            <v>F</v>
          </cell>
          <cell r="D335" t="str">
            <v>MOSSADAK HAMZA</v>
          </cell>
        </row>
        <row r="336">
          <cell r="A336" t="str">
            <v>TE636821</v>
          </cell>
          <cell r="B336" t="str">
            <v xml:space="preserve">Bahloul, Anas </v>
          </cell>
          <cell r="C336" t="str">
            <v>M</v>
          </cell>
          <cell r="D336" t="str">
            <v>MOSSADAK HAMZA</v>
          </cell>
        </row>
        <row r="337">
          <cell r="A337" t="str">
            <v>TE643601</v>
          </cell>
          <cell r="B337" t="str">
            <v>EL-HARRAK HAMZA</v>
          </cell>
          <cell r="C337" t="str">
            <v>M</v>
          </cell>
          <cell r="D337" t="str">
            <v>MOSSADAK HAMZA</v>
          </cell>
        </row>
        <row r="338">
          <cell r="A338" t="str">
            <v>TE643598</v>
          </cell>
          <cell r="B338" t="str">
            <v>TALBI KARIMA</v>
          </cell>
          <cell r="C338" t="str">
            <v>F</v>
          </cell>
          <cell r="D338" t="str">
            <v>MOSSADAK HAMZA</v>
          </cell>
        </row>
        <row r="339">
          <cell r="A339" t="str">
            <v>TE643592</v>
          </cell>
          <cell r="B339" t="str">
            <v>BOUJAMDA IBTISSAM</v>
          </cell>
          <cell r="C339" t="str">
            <v>F</v>
          </cell>
          <cell r="D339" t="str">
            <v>MOSSADAK HAMZA</v>
          </cell>
        </row>
        <row r="340">
          <cell r="A340" t="str">
            <v>TE647805</v>
          </cell>
          <cell r="B340" t="str">
            <v>Tabta, Ikram</v>
          </cell>
          <cell r="C340" t="str">
            <v>F</v>
          </cell>
          <cell r="D340" t="str">
            <v>MOSSADAK HAMZA</v>
          </cell>
        </row>
        <row r="341">
          <cell r="A341" t="str">
            <v>TE647802</v>
          </cell>
          <cell r="B341" t="str">
            <v>Lachkham, Hind</v>
          </cell>
          <cell r="C341" t="str">
            <v>F</v>
          </cell>
          <cell r="D341" t="str">
            <v>MOSSADAK HAMZA</v>
          </cell>
        </row>
        <row r="342">
          <cell r="A342" t="str">
            <v>TE647799</v>
          </cell>
          <cell r="B342" t="str">
            <v>Dourouayne, Ibtissam</v>
          </cell>
          <cell r="C342" t="str">
            <v>F</v>
          </cell>
          <cell r="D342" t="str">
            <v>MOSSADAK HAMZA</v>
          </cell>
        </row>
        <row r="343">
          <cell r="A343" t="str">
            <v>TE647793</v>
          </cell>
          <cell r="B343" t="str">
            <v>El Hamdioui, Othmane</v>
          </cell>
          <cell r="C343" t="str">
            <v>M</v>
          </cell>
          <cell r="D343" t="str">
            <v>MOSSADAK HAMZA</v>
          </cell>
        </row>
        <row r="344">
          <cell r="A344" t="str">
            <v>TE647785</v>
          </cell>
          <cell r="B344" t="str">
            <v>El Bakkali, Mohamed Redha</v>
          </cell>
          <cell r="C344" t="str">
            <v>M</v>
          </cell>
          <cell r="D344" t="str">
            <v>MOSSADAK HAMZA</v>
          </cell>
        </row>
        <row r="345">
          <cell r="A345" t="str">
            <v>TE647784</v>
          </cell>
          <cell r="B345" t="str">
            <v>Hammadi, Abdelhak</v>
          </cell>
          <cell r="C345" t="str">
            <v>M</v>
          </cell>
          <cell r="D345" t="str">
            <v>MOSSADAK HAMZA</v>
          </cell>
        </row>
        <row r="346">
          <cell r="A346" t="str">
            <v>TE647783</v>
          </cell>
          <cell r="B346" t="str">
            <v>El Handira, Oussama</v>
          </cell>
          <cell r="C346" t="str">
            <v>M</v>
          </cell>
          <cell r="D346" t="str">
            <v>MOSSADAK HAMZA</v>
          </cell>
        </row>
        <row r="347">
          <cell r="A347" t="str">
            <v>TE647782</v>
          </cell>
          <cell r="B347" t="str">
            <v>El Azouzi, Mohamed</v>
          </cell>
          <cell r="C347" t="str">
            <v>M</v>
          </cell>
          <cell r="D347" t="str">
            <v>MOSSADAK HAMZA</v>
          </cell>
        </row>
        <row r="348">
          <cell r="A348" t="str">
            <v>TE647781</v>
          </cell>
          <cell r="B348" t="str">
            <v>Bouras, Mohammed Ali</v>
          </cell>
          <cell r="C348" t="str">
            <v>M</v>
          </cell>
          <cell r="D348" t="str">
            <v>MOSSADAK HAMZA</v>
          </cell>
        </row>
        <row r="349">
          <cell r="A349" t="str">
            <v>TE654282</v>
          </cell>
          <cell r="B349" t="str">
            <v>FEKRIA EL GNAOUI</v>
          </cell>
          <cell r="C349" t="str">
            <v>F</v>
          </cell>
          <cell r="D349" t="str">
            <v>MOSSADAK HAMZA</v>
          </cell>
        </row>
        <row r="350">
          <cell r="A350" t="str">
            <v>TE603468</v>
          </cell>
          <cell r="B350" t="str">
            <v>Hamza Bouzitouna</v>
          </cell>
          <cell r="C350" t="str">
            <v>M</v>
          </cell>
          <cell r="D350" t="str">
            <v>MOSSADAK HAMZA</v>
          </cell>
        </row>
        <row r="352">
          <cell r="C352"/>
          <cell r="D352"/>
        </row>
        <row r="353">
          <cell r="C353"/>
          <cell r="D353"/>
        </row>
        <row r="354">
          <cell r="C354"/>
          <cell r="D354"/>
        </row>
        <row r="355">
          <cell r="C355"/>
          <cell r="D355"/>
        </row>
        <row r="356">
          <cell r="C356"/>
          <cell r="D356"/>
        </row>
        <row r="357">
          <cell r="C357"/>
          <cell r="D357"/>
        </row>
        <row r="358">
          <cell r="C358"/>
          <cell r="D358"/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nterprisedirectory.connect.te.com/Profile/UserProfile/TE647806" TargetMode="External"/><Relationship Id="rId2" Type="http://schemas.openxmlformats.org/officeDocument/2006/relationships/hyperlink" Target="https://enterprisedirectory.connect.te.com/Profile/UserProfile/TE641895" TargetMode="External"/><Relationship Id="rId1" Type="http://schemas.openxmlformats.org/officeDocument/2006/relationships/hyperlink" Target="https://enterprisedirectory.connect.te.com/Profile/UserProfile/TE640916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enterprisedirectory.connect.te.com/Profile/UserProfile/TE64780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https://enterprisedirectory.connect.te.com/Profile/UserProfile/TE641898" TargetMode="External"/><Relationship Id="rId7" Type="http://schemas.openxmlformats.org/officeDocument/2006/relationships/hyperlink" Target="https://enterprisedirectory.connect.te.com/Profile/UserProfile/TE647789" TargetMode="External"/><Relationship Id="rId2" Type="http://schemas.openxmlformats.org/officeDocument/2006/relationships/hyperlink" Target="https://enterprisedirectory.connect.te.com/Profile/UserProfile/TE607126" TargetMode="External"/><Relationship Id="rId1" Type="http://schemas.openxmlformats.org/officeDocument/2006/relationships/hyperlink" Target="https://enterprisedirectory.connect.te.com/Profile/UserProfile/TE607123" TargetMode="External"/><Relationship Id="rId6" Type="http://schemas.openxmlformats.org/officeDocument/2006/relationships/hyperlink" Target="https://enterprisedirectory.connect.te.com/Profile/UserProfile/TE647799" TargetMode="External"/><Relationship Id="rId5" Type="http://schemas.openxmlformats.org/officeDocument/2006/relationships/hyperlink" Target="https://enterprisedirectory.connect.te.com/Profile/UserProfile/TE641894" TargetMode="External"/><Relationship Id="rId4" Type="http://schemas.openxmlformats.org/officeDocument/2006/relationships/hyperlink" Target="https://enterprisedirectory.connect.te.com/Profile/UserProfile/TE641896" TargetMode="External"/><Relationship Id="rId9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ECCB-C910-4FF8-BB60-8D4B05993627}">
  <sheetPr>
    <pageSetUpPr fitToPage="1"/>
  </sheetPr>
  <dimension ref="A1:BW130"/>
  <sheetViews>
    <sheetView view="pageBreakPreview" topLeftCell="AU96" zoomScale="50" zoomScaleNormal="60" zoomScaleSheetLayoutView="50" workbookViewId="0">
      <selection activeCell="BL122" sqref="BL121:BL122"/>
    </sheetView>
  </sheetViews>
  <sheetFormatPr defaultColWidth="9.109375" defaultRowHeight="14.4"/>
  <cols>
    <col min="1" max="1" width="18.44140625" bestFit="1" customWidth="1"/>
    <col min="2" max="2" width="51.5546875" bestFit="1" customWidth="1"/>
    <col min="3" max="3" width="17.5546875" bestFit="1" customWidth="1"/>
    <col min="4" max="4" width="28.6640625" bestFit="1" customWidth="1"/>
    <col min="5" max="5" width="21.44140625" style="30" bestFit="1" customWidth="1"/>
    <col min="6" max="6" width="28.6640625" style="30" bestFit="1" customWidth="1"/>
    <col min="7" max="7" width="16.5546875" style="30" bestFit="1" customWidth="1"/>
    <col min="8" max="8" width="21.44140625" style="30" bestFit="1" customWidth="1"/>
    <col min="9" max="9" width="17.88671875" style="30" bestFit="1" customWidth="1"/>
    <col min="10" max="10" width="19.44140625" style="30" bestFit="1" customWidth="1"/>
    <col min="11" max="11" width="17.88671875" style="30" bestFit="1" customWidth="1"/>
    <col min="12" max="12" width="19.44140625" style="30" bestFit="1" customWidth="1"/>
    <col min="13" max="13" width="17.88671875" style="30" bestFit="1" customWidth="1"/>
    <col min="14" max="14" width="19.44140625" style="30" bestFit="1" customWidth="1"/>
    <col min="15" max="15" width="18.109375" style="30" bestFit="1" customWidth="1"/>
    <col min="16" max="16" width="15.6640625" style="30" bestFit="1" customWidth="1"/>
    <col min="17" max="17" width="22.33203125" style="30" bestFit="1" customWidth="1"/>
    <col min="18" max="18" width="20.6640625" style="30" bestFit="1" customWidth="1"/>
    <col min="19" max="19" width="20.44140625" style="30" customWidth="1"/>
    <col min="20" max="20" width="22.5546875" style="30" bestFit="1" customWidth="1"/>
    <col min="21" max="21" width="19.44140625" style="30" bestFit="1" customWidth="1"/>
    <col min="22" max="22" width="20.6640625" style="30" customWidth="1"/>
    <col min="23" max="23" width="19.44140625" style="30" bestFit="1" customWidth="1"/>
    <col min="24" max="24" width="17.88671875" style="30" bestFit="1" customWidth="1"/>
    <col min="25" max="25" width="17.5546875" style="30" bestFit="1" customWidth="1"/>
    <col min="26" max="26" width="11.88671875" style="30" bestFit="1" customWidth="1"/>
    <col min="27" max="27" width="17.88671875" style="30" bestFit="1" customWidth="1"/>
    <col min="28" max="28" width="18.109375" style="30" bestFit="1" customWidth="1"/>
    <col min="29" max="29" width="22.33203125" style="30" bestFit="1" customWidth="1"/>
    <col min="30" max="30" width="16.5546875" style="30" bestFit="1" customWidth="1"/>
    <col min="31" max="31" width="15.109375" style="30" bestFit="1" customWidth="1"/>
    <col min="32" max="32" width="17.88671875" style="30" bestFit="1" customWidth="1"/>
    <col min="33" max="33" width="32.33203125" style="30" bestFit="1" customWidth="1"/>
    <col min="34" max="35" width="15.109375" style="30" bestFit="1" customWidth="1"/>
    <col min="36" max="36" width="19.44140625" style="30" bestFit="1" customWidth="1"/>
    <col min="37" max="37" width="17.88671875" style="30" bestFit="1" customWidth="1"/>
    <col min="38" max="38" width="19.44140625" style="30" bestFit="1" customWidth="1"/>
    <col min="39" max="39" width="17.88671875" style="30" bestFit="1" customWidth="1"/>
    <col min="40" max="40" width="18.33203125" style="30" bestFit="1" customWidth="1"/>
    <col min="41" max="41" width="17.88671875" style="30" bestFit="1" customWidth="1"/>
    <col min="42" max="42" width="18.33203125" style="30" bestFit="1" customWidth="1"/>
    <col min="43" max="43" width="17.88671875" style="30" bestFit="1" customWidth="1"/>
    <col min="44" max="44" width="14.6640625" style="30" bestFit="1" customWidth="1"/>
    <col min="45" max="46" width="17.5546875" style="30" bestFit="1" customWidth="1"/>
    <col min="47" max="47" width="22.88671875" style="30" bestFit="1" customWidth="1"/>
    <col min="48" max="49" width="17.5546875" style="30" bestFit="1" customWidth="1"/>
    <col min="50" max="50" width="17.88671875" style="30" bestFit="1" customWidth="1"/>
    <col min="51" max="51" width="17" style="30" bestFit="1" customWidth="1"/>
    <col min="52" max="52" width="17.88671875" style="30" bestFit="1" customWidth="1"/>
    <col min="53" max="53" width="17" style="30" bestFit="1" customWidth="1"/>
    <col min="54" max="54" width="14.6640625" style="30" bestFit="1" customWidth="1"/>
    <col min="55" max="55" width="17.88671875" style="30" bestFit="1" customWidth="1"/>
    <col min="56" max="56" width="17.5546875" style="30" bestFit="1" customWidth="1"/>
    <col min="57" max="57" width="14.6640625" style="30" bestFit="1" customWidth="1"/>
    <col min="58" max="58" width="22.33203125" style="30" customWidth="1"/>
    <col min="59" max="59" width="20.44140625" style="30" bestFit="1" customWidth="1"/>
    <col min="60" max="60" width="16.6640625" style="30" bestFit="1" customWidth="1"/>
    <col min="61" max="61" width="17.5546875" style="30" bestFit="1" customWidth="1"/>
    <col min="62" max="62" width="19.33203125" style="30" bestFit="1" customWidth="1"/>
    <col min="63" max="63" width="20.44140625" style="30" bestFit="1" customWidth="1"/>
    <col min="64" max="65" width="17.5546875" style="30" bestFit="1" customWidth="1"/>
    <col min="66" max="66" width="17.88671875" style="30" bestFit="1" customWidth="1"/>
    <col min="67" max="67" width="21.44140625" style="30" bestFit="1" customWidth="1"/>
    <col min="68" max="68" width="17.88671875" bestFit="1" customWidth="1"/>
    <col min="69" max="69" width="19.44140625" bestFit="1" customWidth="1"/>
    <col min="70" max="70" width="17.88671875" bestFit="1" customWidth="1"/>
    <col min="71" max="73" width="10.5546875" bestFit="1" customWidth="1"/>
    <col min="74" max="74" width="26.88671875" bestFit="1" customWidth="1"/>
    <col min="75" max="75" width="24" bestFit="1" customWidth="1"/>
  </cols>
  <sheetData>
    <row r="1" spans="1:75" s="1" customFormat="1" ht="33.75" customHeight="1" thickBot="1">
      <c r="A1" s="601"/>
      <c r="B1" s="602"/>
      <c r="C1" s="615" t="s">
        <v>29</v>
      </c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9" t="s">
        <v>0</v>
      </c>
      <c r="BT1" s="620"/>
      <c r="BU1" s="611" t="s">
        <v>20</v>
      </c>
      <c r="BV1" s="612"/>
    </row>
    <row r="2" spans="1:75" s="1" customFormat="1" ht="51.75" customHeight="1" thickBot="1">
      <c r="A2" s="603"/>
      <c r="B2" s="604"/>
      <c r="C2" s="617" t="s">
        <v>30</v>
      </c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/>
      <c r="AE2" s="618"/>
      <c r="AF2" s="618"/>
      <c r="AG2" s="618"/>
      <c r="AH2" s="618"/>
      <c r="AI2" s="618"/>
      <c r="AJ2" s="618"/>
      <c r="AK2" s="618"/>
      <c r="AL2" s="618"/>
      <c r="AM2" s="618"/>
      <c r="AN2" s="618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618"/>
      <c r="BD2" s="618"/>
      <c r="BE2" s="618"/>
      <c r="BF2" s="618"/>
      <c r="BG2" s="618"/>
      <c r="BH2" s="618"/>
      <c r="BI2" s="618"/>
      <c r="BJ2" s="618"/>
      <c r="BK2" s="618"/>
      <c r="BL2" s="618"/>
      <c r="BM2" s="618"/>
      <c r="BN2" s="618"/>
      <c r="BO2" s="618"/>
      <c r="BP2" s="618"/>
      <c r="BQ2" s="618"/>
      <c r="BR2" s="618"/>
      <c r="BS2" s="619" t="s">
        <v>1</v>
      </c>
      <c r="BT2" s="620"/>
      <c r="BU2" s="613">
        <v>45362</v>
      </c>
      <c r="BV2" s="614"/>
    </row>
    <row r="3" spans="1:75" s="2" customFormat="1" ht="22.5" customHeight="1">
      <c r="B3" s="3" t="s">
        <v>4</v>
      </c>
      <c r="C3" s="4"/>
      <c r="D3" s="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3"/>
      <c r="BQ3" s="3"/>
      <c r="BR3" s="3"/>
      <c r="BS3" s="567" t="s">
        <v>518</v>
      </c>
      <c r="BT3" s="568"/>
      <c r="BU3" s="569"/>
      <c r="BV3" s="576">
        <f>+AVERAGE(BV16:BV109)</f>
        <v>0.35870158210583686</v>
      </c>
      <c r="BW3" s="578">
        <f>COUNTIF(E16:BU109,"&gt;2")/COUNTIF(E16:BU109,"&gt;1")</f>
        <v>0.65960784313725496</v>
      </c>
    </row>
    <row r="4" spans="1:75" s="2" customFormat="1" ht="12" customHeight="1">
      <c r="A4" s="6"/>
      <c r="E4" s="25"/>
      <c r="F4" s="25"/>
      <c r="G4" s="25"/>
      <c r="H4" s="26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S4" s="570"/>
      <c r="BT4" s="571"/>
      <c r="BU4" s="572"/>
      <c r="BV4" s="571"/>
      <c r="BW4" s="578"/>
    </row>
    <row r="5" spans="1:75" s="6" customFormat="1" ht="15.75" customHeight="1">
      <c r="B5" s="7" t="s">
        <v>5</v>
      </c>
      <c r="D5" s="2"/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7"/>
      <c r="BQ5" s="7"/>
      <c r="BR5" s="7"/>
      <c r="BS5" s="570"/>
      <c r="BT5" s="571"/>
      <c r="BU5" s="572"/>
      <c r="BV5" s="571"/>
      <c r="BW5" s="578"/>
    </row>
    <row r="6" spans="1:75" s="6" customFormat="1" ht="15.75" customHeight="1">
      <c r="B6" s="7" t="s">
        <v>6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7"/>
      <c r="BQ6" s="7"/>
      <c r="BR6" s="7"/>
      <c r="BS6" s="570"/>
      <c r="BT6" s="571"/>
      <c r="BU6" s="572"/>
      <c r="BV6" s="571"/>
      <c r="BW6" s="578"/>
    </row>
    <row r="7" spans="1:75" s="6" customFormat="1" ht="19.5" customHeight="1">
      <c r="B7" s="7" t="s">
        <v>7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9"/>
      <c r="BM7" s="9"/>
      <c r="BN7" s="9"/>
      <c r="BO7" s="9"/>
      <c r="BS7" s="570"/>
      <c r="BT7" s="571"/>
      <c r="BU7" s="572"/>
      <c r="BV7" s="571"/>
      <c r="BW7" s="578"/>
    </row>
    <row r="8" spans="1:75" s="6" customFormat="1" ht="6.75" customHeight="1">
      <c r="B8" s="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S8" s="570"/>
      <c r="BT8" s="571"/>
      <c r="BU8" s="572"/>
      <c r="BV8" s="571"/>
      <c r="BW8" s="578"/>
    </row>
    <row r="9" spans="1:75" s="2" customFormat="1" ht="15" customHeight="1">
      <c r="A9" s="6"/>
      <c r="B9" s="7" t="s">
        <v>10</v>
      </c>
      <c r="C9" s="11"/>
      <c r="D9" s="11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5"/>
      <c r="BQ9" s="5"/>
      <c r="BR9" s="5"/>
      <c r="BS9" s="570"/>
      <c r="BT9" s="571"/>
      <c r="BU9" s="572"/>
      <c r="BV9" s="571"/>
      <c r="BW9" s="578"/>
    </row>
    <row r="10" spans="1:75" s="2" customFormat="1" ht="16.5" customHeight="1" thickBot="1">
      <c r="A10" s="6"/>
      <c r="B10" s="7"/>
      <c r="C10" s="11"/>
      <c r="D10" s="11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5"/>
      <c r="BQ10" s="5"/>
      <c r="BR10" s="5"/>
      <c r="BS10" s="573"/>
      <c r="BT10" s="574"/>
      <c r="BU10" s="575"/>
      <c r="BV10" s="574"/>
      <c r="BW10" s="578"/>
    </row>
    <row r="11" spans="1:75" ht="16.5" customHeight="1" thickTop="1" thickBot="1">
      <c r="A11" s="42"/>
      <c r="B11" s="42"/>
      <c r="C11" s="42"/>
      <c r="D11" s="43"/>
      <c r="E11" s="50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605"/>
      <c r="BT11" s="605"/>
      <c r="BU11" s="605"/>
      <c r="BV11" s="606" t="s">
        <v>11</v>
      </c>
      <c r="BW11" s="577" t="s">
        <v>517</v>
      </c>
    </row>
    <row r="12" spans="1:75" ht="114.75" customHeight="1" thickTop="1" thickBot="1">
      <c r="A12" s="607" t="s">
        <v>2</v>
      </c>
      <c r="B12" s="609" t="s">
        <v>3</v>
      </c>
      <c r="C12" s="609" t="s">
        <v>8</v>
      </c>
      <c r="D12" s="609" t="s">
        <v>9</v>
      </c>
      <c r="E12" s="580" t="s">
        <v>487</v>
      </c>
      <c r="F12" s="580"/>
      <c r="G12" s="580" t="s">
        <v>486</v>
      </c>
      <c r="H12" s="580"/>
      <c r="I12" s="580"/>
      <c r="J12" s="580" t="s">
        <v>479</v>
      </c>
      <c r="K12" s="580"/>
      <c r="L12" s="580" t="s">
        <v>480</v>
      </c>
      <c r="M12" s="580"/>
      <c r="N12" s="579" t="s">
        <v>442</v>
      </c>
      <c r="O12" s="579"/>
      <c r="P12" s="579"/>
      <c r="Q12" s="47" t="s">
        <v>442</v>
      </c>
      <c r="R12" s="47" t="s">
        <v>446</v>
      </c>
      <c r="S12" s="47" t="s">
        <v>482</v>
      </c>
      <c r="T12" s="47" t="s">
        <v>443</v>
      </c>
      <c r="U12" s="579" t="s">
        <v>442</v>
      </c>
      <c r="V12" s="579"/>
      <c r="W12" s="580" t="s">
        <v>440</v>
      </c>
      <c r="X12" s="580"/>
      <c r="Y12" s="53" t="s">
        <v>444</v>
      </c>
      <c r="Z12" s="53"/>
      <c r="AA12" s="53"/>
      <c r="AB12" s="53"/>
      <c r="AC12" s="47" t="s">
        <v>445</v>
      </c>
      <c r="AD12" s="579" t="s">
        <v>478</v>
      </c>
      <c r="AE12" s="579"/>
      <c r="AF12" s="579"/>
      <c r="AG12" s="47" t="s">
        <v>488</v>
      </c>
      <c r="AH12" s="579" t="s">
        <v>477</v>
      </c>
      <c r="AI12" s="579"/>
      <c r="AJ12" s="579" t="s">
        <v>483</v>
      </c>
      <c r="AK12" s="579"/>
      <c r="AL12" s="579" t="s">
        <v>489</v>
      </c>
      <c r="AM12" s="579"/>
      <c r="AN12" s="579" t="s">
        <v>442</v>
      </c>
      <c r="AO12" s="579"/>
      <c r="AP12" s="579" t="s">
        <v>442</v>
      </c>
      <c r="AQ12" s="579"/>
      <c r="AR12" s="579" t="s">
        <v>447</v>
      </c>
      <c r="AS12" s="579"/>
      <c r="AT12" s="579"/>
      <c r="AU12" s="579"/>
      <c r="AV12" s="579"/>
      <c r="AW12" s="579"/>
      <c r="AX12" s="579"/>
      <c r="AY12" s="579" t="s">
        <v>447</v>
      </c>
      <c r="AZ12" s="579"/>
      <c r="BA12" s="579" t="s">
        <v>457</v>
      </c>
      <c r="BB12" s="579"/>
      <c r="BC12" s="47" t="s">
        <v>495</v>
      </c>
      <c r="BD12" s="593" t="s">
        <v>489</v>
      </c>
      <c r="BE12" s="593"/>
      <c r="BF12" s="47" t="s">
        <v>481</v>
      </c>
      <c r="BG12" s="47" t="s">
        <v>476</v>
      </c>
      <c r="BH12" s="581" t="s">
        <v>446</v>
      </c>
      <c r="BI12" s="581"/>
      <c r="BJ12" s="47" t="s">
        <v>443</v>
      </c>
      <c r="BK12" s="47" t="s">
        <v>443</v>
      </c>
      <c r="BL12" s="579" t="s">
        <v>475</v>
      </c>
      <c r="BM12" s="579"/>
      <c r="BN12" s="579"/>
      <c r="BO12" s="579" t="s">
        <v>442</v>
      </c>
      <c r="BP12" s="579"/>
      <c r="BQ12" s="579"/>
      <c r="BR12" s="579"/>
      <c r="BS12" s="583" t="s">
        <v>66</v>
      </c>
      <c r="BT12" s="583" t="s">
        <v>67</v>
      </c>
      <c r="BU12" s="583" t="s">
        <v>68</v>
      </c>
      <c r="BV12" s="577"/>
      <c r="BW12" s="577"/>
    </row>
    <row r="13" spans="1:75" ht="34.5" customHeight="1" thickBot="1">
      <c r="A13" s="608"/>
      <c r="B13" s="610"/>
      <c r="C13" s="610"/>
      <c r="D13" s="610"/>
      <c r="E13" s="580" t="s">
        <v>464</v>
      </c>
      <c r="F13" s="580"/>
      <c r="G13" s="580" t="s">
        <v>176</v>
      </c>
      <c r="H13" s="580"/>
      <c r="I13" s="580"/>
      <c r="J13" s="580" t="s">
        <v>210</v>
      </c>
      <c r="K13" s="580"/>
      <c r="L13" s="580" t="s">
        <v>178</v>
      </c>
      <c r="M13" s="580"/>
      <c r="N13" s="579" t="s">
        <v>211</v>
      </c>
      <c r="O13" s="579"/>
      <c r="P13" s="579"/>
      <c r="Q13" s="579" t="s">
        <v>181</v>
      </c>
      <c r="R13" s="579" t="s">
        <v>182</v>
      </c>
      <c r="S13" s="579" t="s">
        <v>183</v>
      </c>
      <c r="T13" s="579" t="s">
        <v>184</v>
      </c>
      <c r="U13" s="579" t="s">
        <v>273</v>
      </c>
      <c r="V13" s="579" t="s">
        <v>449</v>
      </c>
      <c r="W13" s="580" t="s">
        <v>186</v>
      </c>
      <c r="X13" s="580"/>
      <c r="Y13" s="580" t="s">
        <v>448</v>
      </c>
      <c r="Z13" s="580"/>
      <c r="AA13" s="580"/>
      <c r="AB13" s="579" t="s">
        <v>189</v>
      </c>
      <c r="AC13" s="579" t="s">
        <v>196</v>
      </c>
      <c r="AD13" s="579" t="s">
        <v>190</v>
      </c>
      <c r="AE13" s="579"/>
      <c r="AF13" s="579"/>
      <c r="AG13" s="580" t="s">
        <v>192</v>
      </c>
      <c r="AH13" s="594" t="s">
        <v>193</v>
      </c>
      <c r="AI13" s="594"/>
      <c r="AJ13" s="579" t="s">
        <v>194</v>
      </c>
      <c r="AK13" s="579"/>
      <c r="AL13" s="579" t="s">
        <v>499</v>
      </c>
      <c r="AM13" s="579"/>
      <c r="AN13" s="580" t="s">
        <v>498</v>
      </c>
      <c r="AO13" s="580"/>
      <c r="AP13" s="580" t="s">
        <v>496</v>
      </c>
      <c r="AQ13" s="580"/>
      <c r="AR13" s="579" t="s">
        <v>452</v>
      </c>
      <c r="AS13" s="579"/>
      <c r="AT13" s="579"/>
      <c r="AU13" s="579"/>
      <c r="AV13" s="579"/>
      <c r="AW13" s="579"/>
      <c r="AX13" s="579"/>
      <c r="AY13" s="579" t="s">
        <v>451</v>
      </c>
      <c r="AZ13" s="579"/>
      <c r="BA13" s="579" t="s">
        <v>453</v>
      </c>
      <c r="BB13" s="579"/>
      <c r="BC13" s="579" t="s">
        <v>472</v>
      </c>
      <c r="BD13" s="593" t="s">
        <v>439</v>
      </c>
      <c r="BE13" s="593"/>
      <c r="BF13" s="579" t="s">
        <v>497</v>
      </c>
      <c r="BG13" s="579" t="s">
        <v>463</v>
      </c>
      <c r="BH13" s="582" t="s">
        <v>455</v>
      </c>
      <c r="BI13" s="582"/>
      <c r="BJ13" s="579" t="s">
        <v>456</v>
      </c>
      <c r="BK13" s="579" t="s">
        <v>209</v>
      </c>
      <c r="BL13" s="579" t="s">
        <v>461</v>
      </c>
      <c r="BM13" s="579"/>
      <c r="BN13" s="579"/>
      <c r="BO13" s="579" t="s">
        <v>466</v>
      </c>
      <c r="BP13" s="579" t="s">
        <v>459</v>
      </c>
      <c r="BQ13" s="579" t="s">
        <v>460</v>
      </c>
      <c r="BR13" s="579"/>
      <c r="BS13" s="583"/>
      <c r="BT13" s="583"/>
      <c r="BU13" s="583"/>
      <c r="BV13" s="577"/>
      <c r="BW13" s="577"/>
    </row>
    <row r="14" spans="1:75" ht="199.5" customHeight="1" thickBot="1">
      <c r="A14" s="608"/>
      <c r="B14" s="610"/>
      <c r="C14" s="610"/>
      <c r="D14" s="610"/>
      <c r="E14" s="580"/>
      <c r="F14" s="580"/>
      <c r="G14" s="580"/>
      <c r="H14" s="580"/>
      <c r="I14" s="580"/>
      <c r="J14" s="580"/>
      <c r="K14" s="580"/>
      <c r="L14" s="580"/>
      <c r="M14" s="580"/>
      <c r="N14" s="579"/>
      <c r="O14" s="579"/>
      <c r="P14" s="579"/>
      <c r="Q14" s="579"/>
      <c r="R14" s="579"/>
      <c r="S14" s="579"/>
      <c r="T14" s="579"/>
      <c r="U14" s="579"/>
      <c r="V14" s="579"/>
      <c r="W14" s="580"/>
      <c r="X14" s="580"/>
      <c r="Y14" s="580"/>
      <c r="Z14" s="580"/>
      <c r="AA14" s="580"/>
      <c r="AB14" s="579"/>
      <c r="AC14" s="579"/>
      <c r="AD14" s="579"/>
      <c r="AE14" s="579"/>
      <c r="AF14" s="579"/>
      <c r="AG14" s="580"/>
      <c r="AH14" s="594"/>
      <c r="AI14" s="594"/>
      <c r="AJ14" s="579"/>
      <c r="AK14" s="579"/>
      <c r="AL14" s="579"/>
      <c r="AM14" s="579"/>
      <c r="AN14" s="580"/>
      <c r="AO14" s="580"/>
      <c r="AP14" s="580"/>
      <c r="AQ14" s="580"/>
      <c r="AR14" s="579"/>
      <c r="AS14" s="579"/>
      <c r="AT14" s="579"/>
      <c r="AU14" s="579"/>
      <c r="AV14" s="579"/>
      <c r="AW14" s="579"/>
      <c r="AX14" s="579"/>
      <c r="AY14" s="579"/>
      <c r="AZ14" s="579"/>
      <c r="BA14" s="579"/>
      <c r="BB14" s="579"/>
      <c r="BC14" s="579"/>
      <c r="BD14" s="593"/>
      <c r="BE14" s="593"/>
      <c r="BF14" s="579"/>
      <c r="BG14" s="579"/>
      <c r="BH14" s="582"/>
      <c r="BI14" s="582"/>
      <c r="BJ14" s="579"/>
      <c r="BK14" s="579"/>
      <c r="BL14" s="579"/>
      <c r="BM14" s="579"/>
      <c r="BN14" s="579"/>
      <c r="BO14" s="579"/>
      <c r="BP14" s="579"/>
      <c r="BQ14" s="579"/>
      <c r="BR14" s="579"/>
      <c r="BS14" s="583"/>
      <c r="BT14" s="583"/>
      <c r="BU14" s="583"/>
      <c r="BV14" s="577"/>
      <c r="BW14" s="577"/>
    </row>
    <row r="15" spans="1:75" ht="156.75" customHeight="1" thickBot="1">
      <c r="A15" s="608"/>
      <c r="B15" s="610"/>
      <c r="C15" s="610"/>
      <c r="D15" s="610"/>
      <c r="E15" s="54" t="s">
        <v>175</v>
      </c>
      <c r="F15" s="54" t="s">
        <v>64</v>
      </c>
      <c r="G15" s="54" t="s">
        <v>177</v>
      </c>
      <c r="H15" s="54" t="s">
        <v>175</v>
      </c>
      <c r="I15" s="54" t="s">
        <v>64</v>
      </c>
      <c r="J15" s="54" t="s">
        <v>175</v>
      </c>
      <c r="K15" s="54" t="s">
        <v>64</v>
      </c>
      <c r="L15" s="54" t="s">
        <v>175</v>
      </c>
      <c r="M15" s="54" t="s">
        <v>64</v>
      </c>
      <c r="N15" s="54" t="s">
        <v>175</v>
      </c>
      <c r="O15" s="54" t="s">
        <v>179</v>
      </c>
      <c r="P15" s="54" t="s">
        <v>180</v>
      </c>
      <c r="Q15" s="54" t="s">
        <v>471</v>
      </c>
      <c r="R15" s="54" t="s">
        <v>471</v>
      </c>
      <c r="S15" s="54" t="s">
        <v>471</v>
      </c>
      <c r="T15" s="54" t="s">
        <v>471</v>
      </c>
      <c r="U15" s="54" t="s">
        <v>471</v>
      </c>
      <c r="V15" s="54" t="s">
        <v>471</v>
      </c>
      <c r="W15" s="54" t="s">
        <v>175</v>
      </c>
      <c r="X15" s="54" t="s">
        <v>64</v>
      </c>
      <c r="Y15" s="54" t="s">
        <v>187</v>
      </c>
      <c r="Z15" s="54" t="s">
        <v>60</v>
      </c>
      <c r="AA15" s="54" t="s">
        <v>188</v>
      </c>
      <c r="AB15" s="49" t="s">
        <v>458</v>
      </c>
      <c r="AC15" s="54" t="s">
        <v>471</v>
      </c>
      <c r="AD15" s="54" t="s">
        <v>177</v>
      </c>
      <c r="AE15" s="54" t="s">
        <v>191</v>
      </c>
      <c r="AF15" s="54" t="s">
        <v>64</v>
      </c>
      <c r="AG15" s="54" t="s">
        <v>64</v>
      </c>
      <c r="AH15" s="54" t="s">
        <v>195</v>
      </c>
      <c r="AI15" s="54" t="s">
        <v>195</v>
      </c>
      <c r="AJ15" s="54" t="s">
        <v>175</v>
      </c>
      <c r="AK15" s="54" t="s">
        <v>64</v>
      </c>
      <c r="AL15" s="54" t="s">
        <v>175</v>
      </c>
      <c r="AM15" s="54" t="s">
        <v>64</v>
      </c>
      <c r="AN15" s="54" t="s">
        <v>197</v>
      </c>
      <c r="AO15" s="54" t="s">
        <v>198</v>
      </c>
      <c r="AP15" s="54" t="s">
        <v>197</v>
      </c>
      <c r="AQ15" s="54" t="s">
        <v>198</v>
      </c>
      <c r="AR15" s="54" t="s">
        <v>199</v>
      </c>
      <c r="AS15" s="54" t="s">
        <v>200</v>
      </c>
      <c r="AT15" s="54" t="s">
        <v>201</v>
      </c>
      <c r="AU15" s="54" t="s">
        <v>484</v>
      </c>
      <c r="AV15" s="54" t="s">
        <v>203</v>
      </c>
      <c r="AW15" s="54" t="s">
        <v>204</v>
      </c>
      <c r="AX15" s="54" t="s">
        <v>64</v>
      </c>
      <c r="AY15" s="54" t="s">
        <v>208</v>
      </c>
      <c r="AZ15" s="54" t="s">
        <v>64</v>
      </c>
      <c r="BA15" s="49" t="s">
        <v>205</v>
      </c>
      <c r="BB15" s="49" t="s">
        <v>206</v>
      </c>
      <c r="BC15" s="54" t="s">
        <v>471</v>
      </c>
      <c r="BD15" s="49" t="s">
        <v>175</v>
      </c>
      <c r="BE15" s="49" t="s">
        <v>64</v>
      </c>
      <c r="BF15" s="54" t="s">
        <v>485</v>
      </c>
      <c r="BG15" s="54" t="s">
        <v>206</v>
      </c>
      <c r="BH15" s="31" t="s">
        <v>175</v>
      </c>
      <c r="BI15" s="31" t="s">
        <v>64</v>
      </c>
      <c r="BJ15" s="54" t="s">
        <v>485</v>
      </c>
      <c r="BK15" s="54" t="s">
        <v>64</v>
      </c>
      <c r="BL15" s="54" t="s">
        <v>175</v>
      </c>
      <c r="BM15" s="54" t="s">
        <v>462</v>
      </c>
      <c r="BN15" s="54" t="s">
        <v>206</v>
      </c>
      <c r="BO15" s="54" t="s">
        <v>175</v>
      </c>
      <c r="BP15" s="54" t="s">
        <v>206</v>
      </c>
      <c r="BQ15" s="54" t="s">
        <v>175</v>
      </c>
      <c r="BR15" s="54" t="s">
        <v>206</v>
      </c>
      <c r="BS15" s="583"/>
      <c r="BT15" s="583"/>
      <c r="BU15" s="583"/>
      <c r="BV15" s="577"/>
      <c r="BW15" s="577"/>
    </row>
    <row r="16" spans="1:75" ht="41.25" customHeight="1">
      <c r="A16" s="48" t="s">
        <v>281</v>
      </c>
      <c r="B16" s="48" t="s">
        <v>282</v>
      </c>
      <c r="C16" s="48" t="s">
        <v>214</v>
      </c>
      <c r="D16" s="48" t="s">
        <v>434</v>
      </c>
      <c r="E16" s="55">
        <v>4</v>
      </c>
      <c r="F16" s="56">
        <v>4</v>
      </c>
      <c r="G16" s="56">
        <v>3</v>
      </c>
      <c r="H16" s="56">
        <v>4</v>
      </c>
      <c r="I16" s="56" t="s">
        <v>69</v>
      </c>
      <c r="J16" s="56" t="s">
        <v>69</v>
      </c>
      <c r="K16" s="56" t="s">
        <v>69</v>
      </c>
      <c r="L16" s="56" t="s">
        <v>69</v>
      </c>
      <c r="M16" s="56">
        <v>3</v>
      </c>
      <c r="N16" s="56">
        <v>4</v>
      </c>
      <c r="O16" s="56" t="s">
        <v>69</v>
      </c>
      <c r="P16" s="56">
        <v>4</v>
      </c>
      <c r="Q16" s="56" t="s">
        <v>69</v>
      </c>
      <c r="R16" s="56">
        <v>4</v>
      </c>
      <c r="S16" s="56">
        <v>3</v>
      </c>
      <c r="T16" s="56" t="s">
        <v>69</v>
      </c>
      <c r="U16" s="56">
        <v>3</v>
      </c>
      <c r="V16" s="56" t="s">
        <v>69</v>
      </c>
      <c r="W16" s="56">
        <v>4</v>
      </c>
      <c r="X16" s="56" t="s">
        <v>69</v>
      </c>
      <c r="Y16" s="56" t="s">
        <v>69</v>
      </c>
      <c r="Z16" s="56">
        <v>3</v>
      </c>
      <c r="AA16" s="56">
        <v>3</v>
      </c>
      <c r="AB16" s="56" t="s">
        <v>69</v>
      </c>
      <c r="AC16" s="56">
        <v>4</v>
      </c>
      <c r="AD16" s="56" t="s">
        <v>69</v>
      </c>
      <c r="AE16" s="56" t="s">
        <v>69</v>
      </c>
      <c r="AF16" s="56" t="s">
        <v>69</v>
      </c>
      <c r="AG16" s="56" t="s">
        <v>69</v>
      </c>
      <c r="AH16" s="56" t="s">
        <v>69</v>
      </c>
      <c r="AI16" s="56" t="s">
        <v>69</v>
      </c>
      <c r="AJ16" s="56">
        <v>4</v>
      </c>
      <c r="AK16" s="56" t="s">
        <v>69</v>
      </c>
      <c r="AL16" s="56">
        <v>4</v>
      </c>
      <c r="AM16" s="56">
        <v>4</v>
      </c>
      <c r="AN16" s="56" t="s">
        <v>69</v>
      </c>
      <c r="AO16" s="56" t="s">
        <v>69</v>
      </c>
      <c r="AP16" s="56" t="s">
        <v>69</v>
      </c>
      <c r="AQ16" s="56" t="s">
        <v>69</v>
      </c>
      <c r="AR16" s="56" t="s">
        <v>69</v>
      </c>
      <c r="AS16" s="56" t="s">
        <v>69</v>
      </c>
      <c r="AT16" s="56" t="s">
        <v>69</v>
      </c>
      <c r="AU16" s="56" t="s">
        <v>69</v>
      </c>
      <c r="AV16" s="56" t="s">
        <v>69</v>
      </c>
      <c r="AW16" s="56" t="s">
        <v>69</v>
      </c>
      <c r="AX16" s="56" t="s">
        <v>69</v>
      </c>
      <c r="AY16" s="56" t="s">
        <v>69</v>
      </c>
      <c r="AZ16" s="56" t="s">
        <v>69</v>
      </c>
      <c r="BA16" s="56" t="s">
        <v>69</v>
      </c>
      <c r="BB16" s="56" t="s">
        <v>69</v>
      </c>
      <c r="BC16" s="56" t="s">
        <v>69</v>
      </c>
      <c r="BD16" s="56">
        <v>4</v>
      </c>
      <c r="BE16" s="56">
        <v>4</v>
      </c>
      <c r="BF16" s="56">
        <v>4</v>
      </c>
      <c r="BG16" s="56" t="s">
        <v>69</v>
      </c>
      <c r="BH16" s="56" t="s">
        <v>69</v>
      </c>
      <c r="BI16" s="56" t="s">
        <v>69</v>
      </c>
      <c r="BJ16" s="56" t="s">
        <v>69</v>
      </c>
      <c r="BK16" s="56" t="s">
        <v>69</v>
      </c>
      <c r="BL16" s="56" t="s">
        <v>69</v>
      </c>
      <c r="BM16" s="56" t="s">
        <v>69</v>
      </c>
      <c r="BN16" s="56" t="s">
        <v>69</v>
      </c>
      <c r="BO16" s="56" t="s">
        <v>69</v>
      </c>
      <c r="BP16" s="56" t="s">
        <v>69</v>
      </c>
      <c r="BQ16" s="56" t="s">
        <v>69</v>
      </c>
      <c r="BR16" s="56" t="s">
        <v>69</v>
      </c>
      <c r="BS16" s="56" t="s">
        <v>69</v>
      </c>
      <c r="BT16" s="56" t="s">
        <v>69</v>
      </c>
      <c r="BU16" s="93">
        <v>4</v>
      </c>
      <c r="BV16" s="95">
        <f>COUNTIF(E16:BU16,"&gt;0")/39</f>
        <v>0.53846153846153844</v>
      </c>
      <c r="BW16" s="95">
        <f>+COUNTIF(E16:BU16,"&gt;2")/COUNTIF(E16:BU16,"&gt;1")</f>
        <v>1</v>
      </c>
    </row>
    <row r="17" spans="1:75" ht="41.25" customHeight="1">
      <c r="A17" s="48" t="s">
        <v>283</v>
      </c>
      <c r="B17" s="48" t="s">
        <v>284</v>
      </c>
      <c r="C17" s="48" t="s">
        <v>217</v>
      </c>
      <c r="D17" s="48" t="s">
        <v>434</v>
      </c>
      <c r="E17" s="57" t="s">
        <v>69</v>
      </c>
      <c r="F17" s="58">
        <v>4</v>
      </c>
      <c r="G17" s="58" t="s">
        <v>69</v>
      </c>
      <c r="H17" s="58" t="s">
        <v>69</v>
      </c>
      <c r="I17" s="58" t="s">
        <v>69</v>
      </c>
      <c r="J17" s="58" t="s">
        <v>69</v>
      </c>
      <c r="K17" s="58" t="s">
        <v>69</v>
      </c>
      <c r="L17" s="58">
        <v>4</v>
      </c>
      <c r="M17" s="58">
        <v>4</v>
      </c>
      <c r="N17" s="58" t="s">
        <v>69</v>
      </c>
      <c r="O17" s="58" t="s">
        <v>69</v>
      </c>
      <c r="P17" s="58">
        <v>4</v>
      </c>
      <c r="Q17" s="58" t="s">
        <v>69</v>
      </c>
      <c r="R17" s="58">
        <v>2</v>
      </c>
      <c r="S17" s="58" t="s">
        <v>69</v>
      </c>
      <c r="T17" s="58">
        <v>3</v>
      </c>
      <c r="U17" s="58" t="s">
        <v>69</v>
      </c>
      <c r="V17" s="58" t="s">
        <v>69</v>
      </c>
      <c r="W17" s="58">
        <v>4</v>
      </c>
      <c r="X17" s="58" t="s">
        <v>69</v>
      </c>
      <c r="Y17" s="58" t="s">
        <v>69</v>
      </c>
      <c r="Z17" s="58" t="s">
        <v>69</v>
      </c>
      <c r="AA17" s="58" t="s">
        <v>69</v>
      </c>
      <c r="AB17" s="58" t="s">
        <v>69</v>
      </c>
      <c r="AC17" s="58">
        <v>2</v>
      </c>
      <c r="AD17" s="58" t="s">
        <v>69</v>
      </c>
      <c r="AE17" s="58" t="s">
        <v>69</v>
      </c>
      <c r="AF17" s="58" t="s">
        <v>69</v>
      </c>
      <c r="AG17" s="58" t="s">
        <v>69</v>
      </c>
      <c r="AH17" s="58" t="s">
        <v>69</v>
      </c>
      <c r="AI17" s="58" t="s">
        <v>69</v>
      </c>
      <c r="AJ17" s="58">
        <v>4</v>
      </c>
      <c r="AK17" s="58" t="s">
        <v>69</v>
      </c>
      <c r="AL17" s="58" t="s">
        <v>69</v>
      </c>
      <c r="AM17" s="58" t="s">
        <v>69</v>
      </c>
      <c r="AN17" s="58" t="s">
        <v>69</v>
      </c>
      <c r="AO17" s="58" t="s">
        <v>69</v>
      </c>
      <c r="AP17" s="58" t="s">
        <v>69</v>
      </c>
      <c r="AQ17" s="58" t="s">
        <v>69</v>
      </c>
      <c r="AR17" s="58" t="s">
        <v>69</v>
      </c>
      <c r="AS17" s="58" t="s">
        <v>69</v>
      </c>
      <c r="AT17" s="58" t="s">
        <v>69</v>
      </c>
      <c r="AU17" s="58" t="s">
        <v>69</v>
      </c>
      <c r="AV17" s="58" t="s">
        <v>69</v>
      </c>
      <c r="AW17" s="58" t="s">
        <v>69</v>
      </c>
      <c r="AX17" s="58" t="s">
        <v>69</v>
      </c>
      <c r="AY17" s="58">
        <v>4</v>
      </c>
      <c r="AZ17" s="58">
        <v>4</v>
      </c>
      <c r="BA17" s="58" t="s">
        <v>69</v>
      </c>
      <c r="BB17" s="58" t="s">
        <v>69</v>
      </c>
      <c r="BC17" s="58" t="s">
        <v>69</v>
      </c>
      <c r="BD17" s="58" t="s">
        <v>69</v>
      </c>
      <c r="BE17" s="58" t="s">
        <v>69</v>
      </c>
      <c r="BF17" s="58" t="s">
        <v>69</v>
      </c>
      <c r="BG17" s="58" t="s">
        <v>69</v>
      </c>
      <c r="BH17" s="58" t="s">
        <v>69</v>
      </c>
      <c r="BI17" s="58" t="s">
        <v>69</v>
      </c>
      <c r="BJ17" s="58" t="s">
        <v>69</v>
      </c>
      <c r="BK17" s="58" t="s">
        <v>69</v>
      </c>
      <c r="BL17" s="58" t="s">
        <v>69</v>
      </c>
      <c r="BM17" s="58" t="s">
        <v>69</v>
      </c>
      <c r="BN17" s="58" t="s">
        <v>69</v>
      </c>
      <c r="BO17" s="58" t="s">
        <v>69</v>
      </c>
      <c r="BP17" s="58" t="s">
        <v>69</v>
      </c>
      <c r="BQ17" s="58" t="s">
        <v>69</v>
      </c>
      <c r="BR17" s="58" t="s">
        <v>69</v>
      </c>
      <c r="BS17" s="58" t="s">
        <v>69</v>
      </c>
      <c r="BT17" s="58" t="s">
        <v>69</v>
      </c>
      <c r="BU17" s="94">
        <v>4</v>
      </c>
      <c r="BV17" s="95">
        <f t="shared" ref="BV17:BV80" si="0">COUNTIF(E17:BU17,"&gt;0")/39</f>
        <v>0.30769230769230771</v>
      </c>
      <c r="BW17" s="95">
        <f t="shared" ref="BW17:BW80" si="1">+COUNTIF(E17:BU17,"&gt;2")/COUNTIF(E17:BU17,"&gt;1")</f>
        <v>0.83333333333333337</v>
      </c>
    </row>
    <row r="18" spans="1:75" ht="41.25" customHeight="1">
      <c r="A18" s="48" t="s">
        <v>285</v>
      </c>
      <c r="B18" s="48" t="s">
        <v>286</v>
      </c>
      <c r="C18" s="48" t="s">
        <v>217</v>
      </c>
      <c r="D18" s="48" t="s">
        <v>434</v>
      </c>
      <c r="E18" s="57">
        <v>4</v>
      </c>
      <c r="F18" s="58">
        <v>2</v>
      </c>
      <c r="G18" s="58">
        <v>4</v>
      </c>
      <c r="H18" s="58">
        <v>4</v>
      </c>
      <c r="I18" s="58">
        <v>4</v>
      </c>
      <c r="J18" s="58" t="s">
        <v>69</v>
      </c>
      <c r="K18" s="58" t="s">
        <v>69</v>
      </c>
      <c r="L18" s="58" t="s">
        <v>69</v>
      </c>
      <c r="M18" s="58" t="s">
        <v>69</v>
      </c>
      <c r="N18" s="58">
        <v>4</v>
      </c>
      <c r="O18" s="58">
        <v>4</v>
      </c>
      <c r="P18" s="58">
        <v>3</v>
      </c>
      <c r="Q18" s="58" t="s">
        <v>69</v>
      </c>
      <c r="R18" s="58">
        <v>4</v>
      </c>
      <c r="S18" s="58" t="s">
        <v>69</v>
      </c>
      <c r="T18" s="58" t="s">
        <v>69</v>
      </c>
      <c r="U18" s="58" t="s">
        <v>69</v>
      </c>
      <c r="V18" s="58" t="s">
        <v>69</v>
      </c>
      <c r="W18" s="58">
        <v>4</v>
      </c>
      <c r="X18" s="58" t="s">
        <v>69</v>
      </c>
      <c r="Y18" s="58" t="s">
        <v>69</v>
      </c>
      <c r="Z18" s="58">
        <v>4</v>
      </c>
      <c r="AA18" s="58">
        <v>4</v>
      </c>
      <c r="AB18" s="58" t="s">
        <v>69</v>
      </c>
      <c r="AC18" s="58" t="s">
        <v>69</v>
      </c>
      <c r="AD18" s="58">
        <v>4</v>
      </c>
      <c r="AE18" s="58" t="s">
        <v>69</v>
      </c>
      <c r="AF18" s="58" t="s">
        <v>69</v>
      </c>
      <c r="AG18" s="58" t="s">
        <v>69</v>
      </c>
      <c r="AH18" s="58" t="s">
        <v>69</v>
      </c>
      <c r="AI18" s="58" t="s">
        <v>69</v>
      </c>
      <c r="AJ18" s="58">
        <v>4</v>
      </c>
      <c r="AK18" s="58" t="s">
        <v>69</v>
      </c>
      <c r="AL18" s="58" t="s">
        <v>69</v>
      </c>
      <c r="AM18" s="58" t="s">
        <v>69</v>
      </c>
      <c r="AN18" s="58" t="s">
        <v>69</v>
      </c>
      <c r="AO18" s="58" t="s">
        <v>69</v>
      </c>
      <c r="AP18" s="58" t="s">
        <v>69</v>
      </c>
      <c r="AQ18" s="58" t="s">
        <v>69</v>
      </c>
      <c r="AR18" s="58" t="s">
        <v>69</v>
      </c>
      <c r="AS18" s="58" t="s">
        <v>69</v>
      </c>
      <c r="AT18" s="58" t="s">
        <v>69</v>
      </c>
      <c r="AU18" s="58" t="s">
        <v>69</v>
      </c>
      <c r="AV18" s="58" t="s">
        <v>69</v>
      </c>
      <c r="AW18" s="58" t="s">
        <v>69</v>
      </c>
      <c r="AX18" s="58" t="s">
        <v>69</v>
      </c>
      <c r="AY18" s="58" t="s">
        <v>69</v>
      </c>
      <c r="AZ18" s="58" t="s">
        <v>69</v>
      </c>
      <c r="BA18" s="58" t="s">
        <v>69</v>
      </c>
      <c r="BB18" s="58" t="s">
        <v>69</v>
      </c>
      <c r="BC18" s="58" t="s">
        <v>69</v>
      </c>
      <c r="BD18" s="58" t="s">
        <v>69</v>
      </c>
      <c r="BE18" s="58" t="s">
        <v>69</v>
      </c>
      <c r="BF18" s="58" t="s">
        <v>69</v>
      </c>
      <c r="BG18" s="58" t="s">
        <v>69</v>
      </c>
      <c r="BH18" s="58" t="s">
        <v>69</v>
      </c>
      <c r="BI18" s="58" t="s">
        <v>69</v>
      </c>
      <c r="BJ18" s="58" t="s">
        <v>69</v>
      </c>
      <c r="BK18" s="58" t="s">
        <v>69</v>
      </c>
      <c r="BL18" s="58" t="s">
        <v>69</v>
      </c>
      <c r="BM18" s="58" t="s">
        <v>69</v>
      </c>
      <c r="BN18" s="58" t="s">
        <v>69</v>
      </c>
      <c r="BO18" s="58" t="s">
        <v>69</v>
      </c>
      <c r="BP18" s="58" t="s">
        <v>69</v>
      </c>
      <c r="BQ18" s="58" t="s">
        <v>69</v>
      </c>
      <c r="BR18" s="58" t="s">
        <v>69</v>
      </c>
      <c r="BS18" s="58" t="s">
        <v>69</v>
      </c>
      <c r="BT18" s="58" t="s">
        <v>69</v>
      </c>
      <c r="BU18" s="94">
        <v>4</v>
      </c>
      <c r="BV18" s="95">
        <f t="shared" si="0"/>
        <v>0.38461538461538464</v>
      </c>
      <c r="BW18" s="95">
        <f t="shared" si="1"/>
        <v>0.93333333333333335</v>
      </c>
    </row>
    <row r="19" spans="1:75" ht="41.25" customHeight="1">
      <c r="A19" s="48" t="s">
        <v>289</v>
      </c>
      <c r="B19" s="48" t="s">
        <v>290</v>
      </c>
      <c r="C19" s="48" t="s">
        <v>214</v>
      </c>
      <c r="D19" s="48" t="s">
        <v>434</v>
      </c>
      <c r="E19" s="57">
        <v>3</v>
      </c>
      <c r="F19" s="58" t="s">
        <v>69</v>
      </c>
      <c r="G19" s="58" t="s">
        <v>69</v>
      </c>
      <c r="H19" s="58">
        <v>3</v>
      </c>
      <c r="I19" s="58" t="s">
        <v>69</v>
      </c>
      <c r="J19" s="58" t="s">
        <v>69</v>
      </c>
      <c r="K19" s="58" t="s">
        <v>69</v>
      </c>
      <c r="L19" s="58" t="s">
        <v>69</v>
      </c>
      <c r="M19" s="58" t="s">
        <v>69</v>
      </c>
      <c r="N19" s="58" t="s">
        <v>69</v>
      </c>
      <c r="O19" s="58" t="s">
        <v>69</v>
      </c>
      <c r="P19" s="58">
        <v>2</v>
      </c>
      <c r="Q19" s="58" t="s">
        <v>69</v>
      </c>
      <c r="R19" s="58" t="s">
        <v>69</v>
      </c>
      <c r="S19" s="58" t="s">
        <v>69</v>
      </c>
      <c r="T19" s="58">
        <v>4</v>
      </c>
      <c r="U19" s="58" t="s">
        <v>69</v>
      </c>
      <c r="V19" s="58" t="s">
        <v>69</v>
      </c>
      <c r="W19" s="58">
        <v>4</v>
      </c>
      <c r="X19" s="58" t="s">
        <v>69</v>
      </c>
      <c r="Y19" s="58" t="s">
        <v>69</v>
      </c>
      <c r="Z19" s="58" t="s">
        <v>69</v>
      </c>
      <c r="AA19" s="58" t="s">
        <v>69</v>
      </c>
      <c r="AB19" s="58" t="s">
        <v>69</v>
      </c>
      <c r="AC19" s="58" t="s">
        <v>69</v>
      </c>
      <c r="AD19" s="58">
        <v>3</v>
      </c>
      <c r="AE19" s="58">
        <v>4</v>
      </c>
      <c r="AF19" s="58">
        <v>4</v>
      </c>
      <c r="AG19" s="58" t="s">
        <v>69</v>
      </c>
      <c r="AH19" s="58" t="s">
        <v>69</v>
      </c>
      <c r="AI19" s="58" t="s">
        <v>69</v>
      </c>
      <c r="AJ19" s="58">
        <v>4</v>
      </c>
      <c r="AK19" s="58">
        <v>4</v>
      </c>
      <c r="AL19" s="58" t="s">
        <v>69</v>
      </c>
      <c r="AM19" s="58" t="s">
        <v>69</v>
      </c>
      <c r="AN19" s="58" t="s">
        <v>69</v>
      </c>
      <c r="AO19" s="58" t="s">
        <v>69</v>
      </c>
      <c r="AP19" s="58" t="s">
        <v>69</v>
      </c>
      <c r="AQ19" s="58" t="s">
        <v>69</v>
      </c>
      <c r="AR19" s="58" t="s">
        <v>69</v>
      </c>
      <c r="AS19" s="58" t="s">
        <v>69</v>
      </c>
      <c r="AT19" s="58" t="s">
        <v>69</v>
      </c>
      <c r="AU19" s="58" t="s">
        <v>69</v>
      </c>
      <c r="AV19" s="58" t="s">
        <v>69</v>
      </c>
      <c r="AW19" s="58" t="s">
        <v>69</v>
      </c>
      <c r="AX19" s="58" t="s">
        <v>69</v>
      </c>
      <c r="AY19" s="58" t="s">
        <v>69</v>
      </c>
      <c r="AZ19" s="58" t="s">
        <v>69</v>
      </c>
      <c r="BA19" s="58" t="s">
        <v>69</v>
      </c>
      <c r="BB19" s="58" t="s">
        <v>69</v>
      </c>
      <c r="BC19" s="58" t="s">
        <v>69</v>
      </c>
      <c r="BD19" s="58" t="s">
        <v>69</v>
      </c>
      <c r="BE19" s="58" t="s">
        <v>69</v>
      </c>
      <c r="BF19" s="58" t="s">
        <v>69</v>
      </c>
      <c r="BG19" s="58" t="s">
        <v>69</v>
      </c>
      <c r="BH19" s="58" t="s">
        <v>69</v>
      </c>
      <c r="BI19" s="58" t="s">
        <v>69</v>
      </c>
      <c r="BJ19" s="58" t="s">
        <v>69</v>
      </c>
      <c r="BK19" s="58" t="s">
        <v>69</v>
      </c>
      <c r="BL19" s="58">
        <v>2</v>
      </c>
      <c r="BM19" s="58" t="s">
        <v>69</v>
      </c>
      <c r="BN19" s="58" t="s">
        <v>69</v>
      </c>
      <c r="BO19" s="58" t="s">
        <v>69</v>
      </c>
      <c r="BP19" s="58" t="s">
        <v>69</v>
      </c>
      <c r="BQ19" s="58" t="s">
        <v>69</v>
      </c>
      <c r="BR19" s="58" t="s">
        <v>69</v>
      </c>
      <c r="BS19" s="58" t="s">
        <v>69</v>
      </c>
      <c r="BT19" s="58" t="s">
        <v>69</v>
      </c>
      <c r="BU19" s="94">
        <v>4</v>
      </c>
      <c r="BV19" s="95">
        <f t="shared" si="0"/>
        <v>0.30769230769230771</v>
      </c>
      <c r="BW19" s="95">
        <f t="shared" si="1"/>
        <v>0.83333333333333337</v>
      </c>
    </row>
    <row r="20" spans="1:75" ht="41.25" customHeight="1">
      <c r="A20" s="48" t="s">
        <v>291</v>
      </c>
      <c r="B20" s="48" t="s">
        <v>292</v>
      </c>
      <c r="C20" s="48" t="s">
        <v>214</v>
      </c>
      <c r="D20" s="48" t="s">
        <v>434</v>
      </c>
      <c r="E20" s="57" t="s">
        <v>69</v>
      </c>
      <c r="F20" s="58">
        <v>2</v>
      </c>
      <c r="G20" s="58" t="s">
        <v>69</v>
      </c>
      <c r="H20" s="58" t="s">
        <v>69</v>
      </c>
      <c r="I20" s="58" t="s">
        <v>69</v>
      </c>
      <c r="J20" s="58">
        <v>4</v>
      </c>
      <c r="K20" s="58">
        <v>4</v>
      </c>
      <c r="L20" s="58" t="s">
        <v>69</v>
      </c>
      <c r="M20" s="58" t="s">
        <v>69</v>
      </c>
      <c r="N20" s="58" t="s">
        <v>69</v>
      </c>
      <c r="O20" s="58" t="s">
        <v>69</v>
      </c>
      <c r="P20" s="58">
        <v>2</v>
      </c>
      <c r="Q20" s="58" t="s">
        <v>69</v>
      </c>
      <c r="R20" s="58" t="s">
        <v>69</v>
      </c>
      <c r="S20" s="58" t="s">
        <v>69</v>
      </c>
      <c r="T20" s="58">
        <v>3</v>
      </c>
      <c r="U20" s="58" t="s">
        <v>69</v>
      </c>
      <c r="V20" s="58" t="s">
        <v>69</v>
      </c>
      <c r="W20" s="58">
        <v>4</v>
      </c>
      <c r="X20" s="58" t="s">
        <v>69</v>
      </c>
      <c r="Y20" s="58" t="s">
        <v>69</v>
      </c>
      <c r="Z20" s="58">
        <v>4</v>
      </c>
      <c r="AA20" s="58">
        <v>4</v>
      </c>
      <c r="AB20" s="58">
        <v>4</v>
      </c>
      <c r="AC20" s="58">
        <v>2</v>
      </c>
      <c r="AD20" s="58" t="s">
        <v>69</v>
      </c>
      <c r="AE20" s="58">
        <v>4</v>
      </c>
      <c r="AF20" s="58" t="s">
        <v>69</v>
      </c>
      <c r="AG20" s="58" t="s">
        <v>69</v>
      </c>
      <c r="AH20" s="58" t="s">
        <v>69</v>
      </c>
      <c r="AI20" s="58" t="s">
        <v>69</v>
      </c>
      <c r="AJ20" s="58">
        <v>4</v>
      </c>
      <c r="AK20" s="58" t="s">
        <v>69</v>
      </c>
      <c r="AL20" s="58" t="s">
        <v>69</v>
      </c>
      <c r="AM20" s="58" t="s">
        <v>69</v>
      </c>
      <c r="AN20" s="58" t="s">
        <v>69</v>
      </c>
      <c r="AO20" s="58" t="s">
        <v>69</v>
      </c>
      <c r="AP20" s="58" t="s">
        <v>69</v>
      </c>
      <c r="AQ20" s="58" t="s">
        <v>69</v>
      </c>
      <c r="AR20" s="58" t="s">
        <v>69</v>
      </c>
      <c r="AS20" s="58" t="s">
        <v>69</v>
      </c>
      <c r="AT20" s="58" t="s">
        <v>69</v>
      </c>
      <c r="AU20" s="58" t="s">
        <v>69</v>
      </c>
      <c r="AV20" s="58" t="s">
        <v>69</v>
      </c>
      <c r="AW20" s="58" t="s">
        <v>69</v>
      </c>
      <c r="AX20" s="58" t="s">
        <v>69</v>
      </c>
      <c r="AY20" s="58" t="s">
        <v>69</v>
      </c>
      <c r="AZ20" s="58" t="s">
        <v>69</v>
      </c>
      <c r="BA20" s="58" t="s">
        <v>69</v>
      </c>
      <c r="BB20" s="58" t="s">
        <v>69</v>
      </c>
      <c r="BC20" s="58" t="s">
        <v>69</v>
      </c>
      <c r="BD20" s="58" t="s">
        <v>69</v>
      </c>
      <c r="BE20" s="58" t="s">
        <v>69</v>
      </c>
      <c r="BF20" s="58" t="s">
        <v>69</v>
      </c>
      <c r="BG20" s="58" t="s">
        <v>69</v>
      </c>
      <c r="BH20" s="58" t="s">
        <v>69</v>
      </c>
      <c r="BI20" s="58" t="s">
        <v>69</v>
      </c>
      <c r="BJ20" s="58" t="s">
        <v>69</v>
      </c>
      <c r="BK20" s="58" t="s">
        <v>69</v>
      </c>
      <c r="BL20" s="58" t="s">
        <v>69</v>
      </c>
      <c r="BM20" s="58" t="s">
        <v>69</v>
      </c>
      <c r="BN20" s="58" t="s">
        <v>69</v>
      </c>
      <c r="BO20" s="58" t="s">
        <v>69</v>
      </c>
      <c r="BP20" s="58" t="s">
        <v>69</v>
      </c>
      <c r="BQ20" s="58" t="s">
        <v>69</v>
      </c>
      <c r="BR20" s="58" t="s">
        <v>69</v>
      </c>
      <c r="BS20" s="58" t="s">
        <v>69</v>
      </c>
      <c r="BT20" s="58" t="s">
        <v>69</v>
      </c>
      <c r="BU20" s="94">
        <v>4</v>
      </c>
      <c r="BV20" s="95">
        <f t="shared" si="0"/>
        <v>0.33333333333333331</v>
      </c>
      <c r="BW20" s="95">
        <f t="shared" si="1"/>
        <v>0.76923076923076927</v>
      </c>
    </row>
    <row r="21" spans="1:75" ht="41.25" customHeight="1">
      <c r="A21" s="48" t="s">
        <v>293</v>
      </c>
      <c r="B21" s="48" t="s">
        <v>294</v>
      </c>
      <c r="C21" s="48" t="s">
        <v>214</v>
      </c>
      <c r="D21" s="48" t="s">
        <v>434</v>
      </c>
      <c r="E21" s="57">
        <v>4</v>
      </c>
      <c r="F21" s="58">
        <v>4</v>
      </c>
      <c r="G21" s="58">
        <v>4</v>
      </c>
      <c r="H21" s="58">
        <v>4</v>
      </c>
      <c r="I21" s="58">
        <v>4</v>
      </c>
      <c r="J21" s="58">
        <v>2</v>
      </c>
      <c r="K21" s="58" t="s">
        <v>69</v>
      </c>
      <c r="L21" s="58">
        <v>4</v>
      </c>
      <c r="M21" s="58">
        <v>4</v>
      </c>
      <c r="N21" s="58">
        <v>4</v>
      </c>
      <c r="O21" s="58">
        <v>4</v>
      </c>
      <c r="P21" s="58">
        <v>4</v>
      </c>
      <c r="Q21" s="58" t="s">
        <v>69</v>
      </c>
      <c r="R21" s="58" t="s">
        <v>69</v>
      </c>
      <c r="S21" s="58">
        <v>4</v>
      </c>
      <c r="T21" s="58" t="s">
        <v>69</v>
      </c>
      <c r="U21" s="58" t="s">
        <v>69</v>
      </c>
      <c r="V21" s="58" t="s">
        <v>69</v>
      </c>
      <c r="W21" s="58">
        <v>4</v>
      </c>
      <c r="X21" s="58" t="s">
        <v>69</v>
      </c>
      <c r="Y21" s="58" t="s">
        <v>69</v>
      </c>
      <c r="Z21" s="58" t="s">
        <v>69</v>
      </c>
      <c r="AA21" s="58" t="s">
        <v>69</v>
      </c>
      <c r="AB21" s="58" t="s">
        <v>69</v>
      </c>
      <c r="AC21" s="58">
        <v>4</v>
      </c>
      <c r="AD21" s="58" t="s">
        <v>69</v>
      </c>
      <c r="AE21" s="58" t="s">
        <v>69</v>
      </c>
      <c r="AF21" s="58" t="s">
        <v>69</v>
      </c>
      <c r="AG21" s="58" t="s">
        <v>69</v>
      </c>
      <c r="AH21" s="58" t="s">
        <v>69</v>
      </c>
      <c r="AI21" s="58" t="s">
        <v>69</v>
      </c>
      <c r="AJ21" s="58">
        <v>4</v>
      </c>
      <c r="AK21" s="58" t="s">
        <v>69</v>
      </c>
      <c r="AL21" s="58" t="s">
        <v>69</v>
      </c>
      <c r="AM21" s="58" t="s">
        <v>69</v>
      </c>
      <c r="AN21" s="58" t="s">
        <v>69</v>
      </c>
      <c r="AO21" s="58" t="s">
        <v>69</v>
      </c>
      <c r="AP21" s="58" t="s">
        <v>69</v>
      </c>
      <c r="AQ21" s="58" t="s">
        <v>69</v>
      </c>
      <c r="AR21" s="58" t="s">
        <v>69</v>
      </c>
      <c r="AS21" s="58" t="s">
        <v>69</v>
      </c>
      <c r="AT21" s="58" t="s">
        <v>69</v>
      </c>
      <c r="AU21" s="58" t="s">
        <v>69</v>
      </c>
      <c r="AV21" s="58" t="s">
        <v>69</v>
      </c>
      <c r="AW21" s="58" t="s">
        <v>69</v>
      </c>
      <c r="AX21" s="58" t="s">
        <v>69</v>
      </c>
      <c r="AY21" s="58" t="s">
        <v>69</v>
      </c>
      <c r="AZ21" s="58">
        <v>4</v>
      </c>
      <c r="BA21" s="58" t="s">
        <v>69</v>
      </c>
      <c r="BB21" s="58" t="s">
        <v>69</v>
      </c>
      <c r="BC21" s="58" t="s">
        <v>69</v>
      </c>
      <c r="BD21" s="58" t="s">
        <v>69</v>
      </c>
      <c r="BE21" s="58" t="s">
        <v>69</v>
      </c>
      <c r="BF21" s="58" t="s">
        <v>69</v>
      </c>
      <c r="BG21" s="58" t="s">
        <v>69</v>
      </c>
      <c r="BH21" s="58" t="s">
        <v>69</v>
      </c>
      <c r="BI21" s="58" t="s">
        <v>69</v>
      </c>
      <c r="BJ21" s="58" t="s">
        <v>69</v>
      </c>
      <c r="BK21" s="58" t="s">
        <v>69</v>
      </c>
      <c r="BL21" s="58" t="s">
        <v>69</v>
      </c>
      <c r="BM21" s="58" t="s">
        <v>69</v>
      </c>
      <c r="BN21" s="58" t="s">
        <v>69</v>
      </c>
      <c r="BO21" s="58" t="s">
        <v>69</v>
      </c>
      <c r="BP21" s="58" t="s">
        <v>69</v>
      </c>
      <c r="BQ21" s="58" t="s">
        <v>69</v>
      </c>
      <c r="BR21" s="58" t="s">
        <v>69</v>
      </c>
      <c r="BS21" s="58" t="s">
        <v>69</v>
      </c>
      <c r="BT21" s="58" t="s">
        <v>69</v>
      </c>
      <c r="BU21" s="94">
        <v>4</v>
      </c>
      <c r="BV21" s="95">
        <f t="shared" si="0"/>
        <v>0.4358974358974359</v>
      </c>
      <c r="BW21" s="95">
        <f t="shared" si="1"/>
        <v>0.94117647058823528</v>
      </c>
    </row>
    <row r="22" spans="1:75" ht="41.25" customHeight="1">
      <c r="A22" s="48" t="s">
        <v>295</v>
      </c>
      <c r="B22" s="48" t="s">
        <v>296</v>
      </c>
      <c r="C22" s="48" t="s">
        <v>216</v>
      </c>
      <c r="D22" s="48" t="s">
        <v>434</v>
      </c>
      <c r="E22" s="57">
        <v>4</v>
      </c>
      <c r="F22" s="58">
        <v>4</v>
      </c>
      <c r="G22" s="58" t="s">
        <v>69</v>
      </c>
      <c r="H22" s="58" t="s">
        <v>69</v>
      </c>
      <c r="I22" s="58" t="s">
        <v>69</v>
      </c>
      <c r="J22" s="58">
        <v>4</v>
      </c>
      <c r="K22" s="58">
        <v>4</v>
      </c>
      <c r="L22" s="58">
        <v>1</v>
      </c>
      <c r="M22" s="58" t="s">
        <v>69</v>
      </c>
      <c r="N22" s="58">
        <v>4</v>
      </c>
      <c r="O22" s="58" t="s">
        <v>69</v>
      </c>
      <c r="P22" s="58">
        <v>2</v>
      </c>
      <c r="Q22" s="58" t="s">
        <v>69</v>
      </c>
      <c r="R22" s="58" t="s">
        <v>69</v>
      </c>
      <c r="S22" s="58" t="s">
        <v>69</v>
      </c>
      <c r="T22" s="58" t="s">
        <v>69</v>
      </c>
      <c r="U22" s="58" t="s">
        <v>69</v>
      </c>
      <c r="V22" s="58" t="s">
        <v>69</v>
      </c>
      <c r="W22" s="58">
        <v>4</v>
      </c>
      <c r="X22" s="58" t="s">
        <v>69</v>
      </c>
      <c r="Y22" s="58" t="s">
        <v>69</v>
      </c>
      <c r="Z22" s="58">
        <v>4</v>
      </c>
      <c r="AA22" s="58">
        <v>4</v>
      </c>
      <c r="AB22" s="58">
        <v>4</v>
      </c>
      <c r="AC22" s="58" t="s">
        <v>69</v>
      </c>
      <c r="AD22" s="58" t="s">
        <v>69</v>
      </c>
      <c r="AE22" s="58" t="s">
        <v>69</v>
      </c>
      <c r="AF22" s="58" t="s">
        <v>69</v>
      </c>
      <c r="AG22" s="58" t="s">
        <v>69</v>
      </c>
      <c r="AH22" s="58" t="s">
        <v>69</v>
      </c>
      <c r="AI22" s="58" t="s">
        <v>69</v>
      </c>
      <c r="AJ22" s="58">
        <v>4</v>
      </c>
      <c r="AK22" s="58" t="s">
        <v>69</v>
      </c>
      <c r="AL22" s="58" t="s">
        <v>69</v>
      </c>
      <c r="AM22" s="58" t="s">
        <v>69</v>
      </c>
      <c r="AN22" s="58" t="s">
        <v>69</v>
      </c>
      <c r="AO22" s="58" t="s">
        <v>69</v>
      </c>
      <c r="AP22" s="58" t="s">
        <v>69</v>
      </c>
      <c r="AQ22" s="58" t="s">
        <v>69</v>
      </c>
      <c r="AR22" s="58" t="s">
        <v>69</v>
      </c>
      <c r="AS22" s="58" t="s">
        <v>69</v>
      </c>
      <c r="AT22" s="58" t="s">
        <v>69</v>
      </c>
      <c r="AU22" s="58" t="s">
        <v>69</v>
      </c>
      <c r="AV22" s="58" t="s">
        <v>69</v>
      </c>
      <c r="AW22" s="58" t="s">
        <v>69</v>
      </c>
      <c r="AX22" s="58" t="s">
        <v>69</v>
      </c>
      <c r="AY22" s="58" t="s">
        <v>69</v>
      </c>
      <c r="AZ22" s="58" t="s">
        <v>69</v>
      </c>
      <c r="BA22" s="58" t="s">
        <v>69</v>
      </c>
      <c r="BB22" s="58" t="s">
        <v>69</v>
      </c>
      <c r="BC22" s="58" t="s">
        <v>69</v>
      </c>
      <c r="BD22" s="58" t="s">
        <v>69</v>
      </c>
      <c r="BE22" s="58">
        <v>3</v>
      </c>
      <c r="BF22" s="58" t="s">
        <v>69</v>
      </c>
      <c r="BG22" s="58">
        <v>3</v>
      </c>
      <c r="BH22" s="58" t="s">
        <v>69</v>
      </c>
      <c r="BI22" s="58">
        <v>4</v>
      </c>
      <c r="BJ22" s="58" t="s">
        <v>69</v>
      </c>
      <c r="BK22" s="58" t="s">
        <v>69</v>
      </c>
      <c r="BL22" s="58" t="s">
        <v>69</v>
      </c>
      <c r="BM22" s="58" t="s">
        <v>69</v>
      </c>
      <c r="BN22" s="58" t="s">
        <v>69</v>
      </c>
      <c r="BO22" s="58" t="s">
        <v>69</v>
      </c>
      <c r="BP22" s="58" t="s">
        <v>69</v>
      </c>
      <c r="BQ22" s="58" t="s">
        <v>69</v>
      </c>
      <c r="BR22" s="58" t="s">
        <v>69</v>
      </c>
      <c r="BS22" s="58" t="s">
        <v>69</v>
      </c>
      <c r="BT22" s="58" t="s">
        <v>69</v>
      </c>
      <c r="BU22" s="94">
        <v>4</v>
      </c>
      <c r="BV22" s="95">
        <f t="shared" si="0"/>
        <v>0.41025641025641024</v>
      </c>
      <c r="BW22" s="95">
        <f t="shared" si="1"/>
        <v>0.93333333333333335</v>
      </c>
    </row>
    <row r="23" spans="1:75" ht="41.25" customHeight="1">
      <c r="A23" s="48" t="s">
        <v>468</v>
      </c>
      <c r="B23" s="48" t="s">
        <v>297</v>
      </c>
      <c r="C23" s="48" t="s">
        <v>216</v>
      </c>
      <c r="D23" s="48" t="s">
        <v>434</v>
      </c>
      <c r="E23" s="57">
        <v>4</v>
      </c>
      <c r="F23" s="58" t="s">
        <v>69</v>
      </c>
      <c r="G23" s="58">
        <v>3</v>
      </c>
      <c r="H23" s="58" t="s">
        <v>69</v>
      </c>
      <c r="I23" s="58" t="s">
        <v>69</v>
      </c>
      <c r="J23" s="58">
        <v>4</v>
      </c>
      <c r="K23" s="58">
        <v>4</v>
      </c>
      <c r="L23" s="58" t="s">
        <v>69</v>
      </c>
      <c r="M23" s="58" t="s">
        <v>69</v>
      </c>
      <c r="N23" s="58">
        <v>4</v>
      </c>
      <c r="O23" s="58">
        <v>4</v>
      </c>
      <c r="P23" s="58" t="s">
        <v>69</v>
      </c>
      <c r="Q23" s="58" t="s">
        <v>69</v>
      </c>
      <c r="R23" s="58" t="s">
        <v>69</v>
      </c>
      <c r="S23" s="58" t="s">
        <v>69</v>
      </c>
      <c r="T23" s="58" t="s">
        <v>69</v>
      </c>
      <c r="U23" s="58">
        <v>3</v>
      </c>
      <c r="V23" s="58">
        <v>4</v>
      </c>
      <c r="W23" s="58">
        <v>4</v>
      </c>
      <c r="X23" s="58" t="s">
        <v>69</v>
      </c>
      <c r="Y23" s="58" t="s">
        <v>69</v>
      </c>
      <c r="Z23" s="58">
        <v>2</v>
      </c>
      <c r="AA23" s="58">
        <v>3</v>
      </c>
      <c r="AB23" s="58" t="s">
        <v>69</v>
      </c>
      <c r="AC23" s="58">
        <v>2</v>
      </c>
      <c r="AD23" s="58" t="s">
        <v>69</v>
      </c>
      <c r="AE23" s="58" t="s">
        <v>69</v>
      </c>
      <c r="AF23" s="58" t="s">
        <v>69</v>
      </c>
      <c r="AG23" s="58" t="s">
        <v>69</v>
      </c>
      <c r="AH23" s="58" t="s">
        <v>69</v>
      </c>
      <c r="AI23" s="58" t="s">
        <v>69</v>
      </c>
      <c r="AJ23" s="58">
        <v>4</v>
      </c>
      <c r="AK23" s="58" t="s">
        <v>69</v>
      </c>
      <c r="AL23" s="58">
        <v>3</v>
      </c>
      <c r="AM23" s="58">
        <v>4</v>
      </c>
      <c r="AN23" s="58" t="s">
        <v>69</v>
      </c>
      <c r="AO23" s="58">
        <v>2</v>
      </c>
      <c r="AP23" s="58" t="s">
        <v>69</v>
      </c>
      <c r="AQ23" s="58" t="s">
        <v>69</v>
      </c>
      <c r="AR23" s="58" t="s">
        <v>69</v>
      </c>
      <c r="AS23" s="58" t="s">
        <v>69</v>
      </c>
      <c r="AT23" s="58" t="s">
        <v>69</v>
      </c>
      <c r="AU23" s="58">
        <v>2</v>
      </c>
      <c r="AV23" s="58" t="s">
        <v>69</v>
      </c>
      <c r="AW23" s="58">
        <v>3</v>
      </c>
      <c r="AX23" s="58" t="s">
        <v>69</v>
      </c>
      <c r="AY23" s="58" t="s">
        <v>69</v>
      </c>
      <c r="AZ23" s="58" t="s">
        <v>69</v>
      </c>
      <c r="BA23" s="58" t="s">
        <v>69</v>
      </c>
      <c r="BB23" s="58" t="s">
        <v>69</v>
      </c>
      <c r="BC23" s="58" t="s">
        <v>69</v>
      </c>
      <c r="BD23" s="58">
        <v>3</v>
      </c>
      <c r="BE23" s="58">
        <v>4</v>
      </c>
      <c r="BF23" s="58">
        <v>4</v>
      </c>
      <c r="BG23" s="58" t="s">
        <v>69</v>
      </c>
      <c r="BH23" s="58" t="s">
        <v>69</v>
      </c>
      <c r="BI23" s="58" t="s">
        <v>69</v>
      </c>
      <c r="BJ23" s="58" t="s">
        <v>69</v>
      </c>
      <c r="BK23" s="58" t="s">
        <v>69</v>
      </c>
      <c r="BL23" s="58" t="s">
        <v>69</v>
      </c>
      <c r="BM23" s="58" t="s">
        <v>69</v>
      </c>
      <c r="BN23" s="58" t="s">
        <v>69</v>
      </c>
      <c r="BO23" s="58" t="s">
        <v>69</v>
      </c>
      <c r="BP23" s="58" t="s">
        <v>69</v>
      </c>
      <c r="BQ23" s="58" t="s">
        <v>69</v>
      </c>
      <c r="BR23" s="58" t="s">
        <v>69</v>
      </c>
      <c r="BS23" s="58" t="s">
        <v>69</v>
      </c>
      <c r="BT23" s="58" t="s">
        <v>69</v>
      </c>
      <c r="BU23" s="94">
        <v>4</v>
      </c>
      <c r="BV23" s="95">
        <f t="shared" si="0"/>
        <v>0.5641025641025641</v>
      </c>
      <c r="BW23" s="95">
        <f t="shared" si="1"/>
        <v>0.81818181818181823</v>
      </c>
    </row>
    <row r="24" spans="1:75" ht="41.25" customHeight="1">
      <c r="A24" s="48" t="s">
        <v>298</v>
      </c>
      <c r="B24" s="48" t="s">
        <v>299</v>
      </c>
      <c r="C24" s="48" t="s">
        <v>216</v>
      </c>
      <c r="D24" s="48" t="s">
        <v>434</v>
      </c>
      <c r="E24" s="57">
        <v>4</v>
      </c>
      <c r="F24" s="58">
        <v>4</v>
      </c>
      <c r="G24" s="58">
        <v>4</v>
      </c>
      <c r="H24" s="58" t="s">
        <v>69</v>
      </c>
      <c r="I24" s="58" t="s">
        <v>69</v>
      </c>
      <c r="J24" s="58">
        <v>4</v>
      </c>
      <c r="K24" s="58" t="s">
        <v>69</v>
      </c>
      <c r="L24" s="58" t="s">
        <v>69</v>
      </c>
      <c r="M24" s="58" t="s">
        <v>69</v>
      </c>
      <c r="N24" s="58">
        <v>4</v>
      </c>
      <c r="O24" s="58">
        <v>4</v>
      </c>
      <c r="P24" s="58">
        <v>4</v>
      </c>
      <c r="Q24" s="58" t="s">
        <v>69</v>
      </c>
      <c r="R24" s="58" t="s">
        <v>69</v>
      </c>
      <c r="S24" s="58" t="s">
        <v>69</v>
      </c>
      <c r="T24" s="58" t="s">
        <v>69</v>
      </c>
      <c r="U24" s="58" t="s">
        <v>69</v>
      </c>
      <c r="V24" s="58" t="s">
        <v>69</v>
      </c>
      <c r="W24" s="58">
        <v>4</v>
      </c>
      <c r="X24" s="58" t="s">
        <v>69</v>
      </c>
      <c r="Y24" s="58" t="s">
        <v>69</v>
      </c>
      <c r="Z24" s="58">
        <v>3</v>
      </c>
      <c r="AA24" s="58">
        <v>3</v>
      </c>
      <c r="AB24" s="58" t="s">
        <v>69</v>
      </c>
      <c r="AC24" s="58" t="s">
        <v>69</v>
      </c>
      <c r="AD24" s="58">
        <v>4</v>
      </c>
      <c r="AE24" s="58" t="s">
        <v>69</v>
      </c>
      <c r="AF24" s="58" t="s">
        <v>69</v>
      </c>
      <c r="AG24" s="58" t="s">
        <v>69</v>
      </c>
      <c r="AH24" s="58" t="s">
        <v>69</v>
      </c>
      <c r="AI24" s="58" t="s">
        <v>69</v>
      </c>
      <c r="AJ24" s="58">
        <v>4</v>
      </c>
      <c r="AK24" s="58" t="s">
        <v>69</v>
      </c>
      <c r="AL24" s="58" t="s">
        <v>69</v>
      </c>
      <c r="AM24" s="58">
        <v>4</v>
      </c>
      <c r="AN24" s="58">
        <v>4</v>
      </c>
      <c r="AO24" s="58">
        <v>4</v>
      </c>
      <c r="AP24" s="58" t="s">
        <v>69</v>
      </c>
      <c r="AQ24" s="58" t="s">
        <v>69</v>
      </c>
      <c r="AR24" s="58" t="s">
        <v>69</v>
      </c>
      <c r="AS24" s="58" t="s">
        <v>69</v>
      </c>
      <c r="AT24" s="58" t="s">
        <v>69</v>
      </c>
      <c r="AU24" s="58" t="s">
        <v>69</v>
      </c>
      <c r="AV24" s="58" t="s">
        <v>69</v>
      </c>
      <c r="AW24" s="58" t="s">
        <v>69</v>
      </c>
      <c r="AX24" s="58" t="s">
        <v>69</v>
      </c>
      <c r="AY24" s="58" t="s">
        <v>69</v>
      </c>
      <c r="AZ24" s="58" t="s">
        <v>69</v>
      </c>
      <c r="BA24" s="58">
        <v>2</v>
      </c>
      <c r="BB24" s="58">
        <v>2</v>
      </c>
      <c r="BC24" s="58" t="s">
        <v>69</v>
      </c>
      <c r="BD24" s="58" t="s">
        <v>69</v>
      </c>
      <c r="BE24" s="58">
        <v>4</v>
      </c>
      <c r="BF24" s="58">
        <v>4</v>
      </c>
      <c r="BG24" s="58">
        <v>4</v>
      </c>
      <c r="BH24" s="58" t="s">
        <v>69</v>
      </c>
      <c r="BI24" s="58" t="s">
        <v>69</v>
      </c>
      <c r="BJ24" s="58" t="s">
        <v>69</v>
      </c>
      <c r="BK24" s="58" t="s">
        <v>69</v>
      </c>
      <c r="BL24" s="58" t="s">
        <v>69</v>
      </c>
      <c r="BM24" s="58" t="s">
        <v>69</v>
      </c>
      <c r="BN24" s="58" t="s">
        <v>69</v>
      </c>
      <c r="BO24" s="58" t="s">
        <v>69</v>
      </c>
      <c r="BP24" s="58" t="s">
        <v>69</v>
      </c>
      <c r="BQ24" s="58" t="s">
        <v>69</v>
      </c>
      <c r="BR24" s="58" t="s">
        <v>69</v>
      </c>
      <c r="BS24" s="58" t="s">
        <v>69</v>
      </c>
      <c r="BT24" s="58" t="s">
        <v>69</v>
      </c>
      <c r="BU24" s="94">
        <v>4</v>
      </c>
      <c r="BV24" s="95">
        <f t="shared" si="0"/>
        <v>0.53846153846153844</v>
      </c>
      <c r="BW24" s="95">
        <f t="shared" si="1"/>
        <v>0.90476190476190477</v>
      </c>
    </row>
    <row r="25" spans="1:75" ht="41.25" customHeight="1">
      <c r="A25" s="48" t="s">
        <v>300</v>
      </c>
      <c r="B25" s="48" t="s">
        <v>301</v>
      </c>
      <c r="C25" s="48" t="s">
        <v>216</v>
      </c>
      <c r="D25" s="48" t="s">
        <v>434</v>
      </c>
      <c r="E25" s="57">
        <v>2</v>
      </c>
      <c r="F25" s="58" t="s">
        <v>69</v>
      </c>
      <c r="G25" s="58" t="s">
        <v>69</v>
      </c>
      <c r="H25" s="58" t="s">
        <v>69</v>
      </c>
      <c r="I25" s="58" t="s">
        <v>69</v>
      </c>
      <c r="J25" s="58">
        <v>4</v>
      </c>
      <c r="K25" s="58">
        <v>4</v>
      </c>
      <c r="L25" s="58" t="s">
        <v>69</v>
      </c>
      <c r="M25" s="58" t="s">
        <v>69</v>
      </c>
      <c r="N25" s="58" t="s">
        <v>69</v>
      </c>
      <c r="O25" s="58" t="s">
        <v>69</v>
      </c>
      <c r="P25" s="58" t="s">
        <v>69</v>
      </c>
      <c r="Q25" s="58" t="s">
        <v>69</v>
      </c>
      <c r="R25" s="58" t="s">
        <v>69</v>
      </c>
      <c r="S25" s="58" t="s">
        <v>69</v>
      </c>
      <c r="T25" s="58" t="s">
        <v>69</v>
      </c>
      <c r="U25" s="58" t="s">
        <v>69</v>
      </c>
      <c r="V25" s="58" t="s">
        <v>69</v>
      </c>
      <c r="W25" s="58">
        <v>4</v>
      </c>
      <c r="X25" s="58" t="s">
        <v>69</v>
      </c>
      <c r="Y25" s="58" t="s">
        <v>69</v>
      </c>
      <c r="Z25" s="58" t="s">
        <v>69</v>
      </c>
      <c r="AA25" s="58" t="s">
        <v>69</v>
      </c>
      <c r="AB25" s="58" t="s">
        <v>69</v>
      </c>
      <c r="AC25" s="58" t="s">
        <v>69</v>
      </c>
      <c r="AD25" s="58" t="s">
        <v>69</v>
      </c>
      <c r="AE25" s="58" t="s">
        <v>69</v>
      </c>
      <c r="AF25" s="58" t="s">
        <v>69</v>
      </c>
      <c r="AG25" s="58" t="s">
        <v>69</v>
      </c>
      <c r="AH25" s="58" t="s">
        <v>69</v>
      </c>
      <c r="AI25" s="58" t="s">
        <v>69</v>
      </c>
      <c r="AJ25" s="58">
        <v>4</v>
      </c>
      <c r="AK25" s="58" t="s">
        <v>69</v>
      </c>
      <c r="AL25" s="58" t="s">
        <v>69</v>
      </c>
      <c r="AM25" s="58" t="s">
        <v>69</v>
      </c>
      <c r="AN25" s="58" t="s">
        <v>69</v>
      </c>
      <c r="AO25" s="58" t="s">
        <v>69</v>
      </c>
      <c r="AP25" s="58" t="s">
        <v>69</v>
      </c>
      <c r="AQ25" s="58" t="s">
        <v>69</v>
      </c>
      <c r="AR25" s="58" t="s">
        <v>69</v>
      </c>
      <c r="AS25" s="58" t="s">
        <v>69</v>
      </c>
      <c r="AT25" s="58" t="s">
        <v>69</v>
      </c>
      <c r="AU25" s="58" t="s">
        <v>69</v>
      </c>
      <c r="AV25" s="58" t="s">
        <v>69</v>
      </c>
      <c r="AW25" s="58" t="s">
        <v>69</v>
      </c>
      <c r="AX25" s="58">
        <v>3</v>
      </c>
      <c r="AY25" s="58" t="s">
        <v>69</v>
      </c>
      <c r="AZ25" s="58" t="s">
        <v>69</v>
      </c>
      <c r="BA25" s="58" t="s">
        <v>69</v>
      </c>
      <c r="BB25" s="58" t="s">
        <v>69</v>
      </c>
      <c r="BC25" s="58" t="s">
        <v>69</v>
      </c>
      <c r="BD25" s="58" t="s">
        <v>69</v>
      </c>
      <c r="BE25" s="58" t="s">
        <v>69</v>
      </c>
      <c r="BF25" s="58" t="s">
        <v>69</v>
      </c>
      <c r="BG25" s="58" t="s">
        <v>69</v>
      </c>
      <c r="BH25" s="58" t="s">
        <v>69</v>
      </c>
      <c r="BI25" s="58" t="s">
        <v>69</v>
      </c>
      <c r="BJ25" s="58" t="s">
        <v>69</v>
      </c>
      <c r="BK25" s="58" t="s">
        <v>69</v>
      </c>
      <c r="BL25" s="58" t="s">
        <v>69</v>
      </c>
      <c r="BM25" s="58" t="s">
        <v>69</v>
      </c>
      <c r="BN25" s="58" t="s">
        <v>69</v>
      </c>
      <c r="BO25" s="58" t="s">
        <v>69</v>
      </c>
      <c r="BP25" s="58" t="s">
        <v>69</v>
      </c>
      <c r="BQ25" s="58" t="s">
        <v>69</v>
      </c>
      <c r="BR25" s="58" t="s">
        <v>69</v>
      </c>
      <c r="BS25" s="58">
        <v>2</v>
      </c>
      <c r="BT25" s="58" t="s">
        <v>69</v>
      </c>
      <c r="BU25" s="94">
        <v>4</v>
      </c>
      <c r="BV25" s="95">
        <f t="shared" si="0"/>
        <v>0.20512820512820512</v>
      </c>
      <c r="BW25" s="95">
        <f t="shared" si="1"/>
        <v>0.75</v>
      </c>
    </row>
    <row r="26" spans="1:75" ht="41.25" customHeight="1">
      <c r="A26" s="48" t="s">
        <v>304</v>
      </c>
      <c r="B26" s="48" t="s">
        <v>305</v>
      </c>
      <c r="C26" s="48" t="s">
        <v>214</v>
      </c>
      <c r="D26" s="48" t="s">
        <v>434</v>
      </c>
      <c r="E26" s="57">
        <v>4</v>
      </c>
      <c r="F26" s="58">
        <v>4</v>
      </c>
      <c r="G26" s="58">
        <v>3</v>
      </c>
      <c r="H26" s="58" t="s">
        <v>69</v>
      </c>
      <c r="I26" s="58" t="s">
        <v>69</v>
      </c>
      <c r="J26" s="58">
        <v>4</v>
      </c>
      <c r="K26" s="58" t="s">
        <v>69</v>
      </c>
      <c r="L26" s="58">
        <v>2</v>
      </c>
      <c r="M26" s="58">
        <v>2</v>
      </c>
      <c r="N26" s="58">
        <v>4</v>
      </c>
      <c r="O26" s="58" t="s">
        <v>69</v>
      </c>
      <c r="P26" s="58">
        <v>4</v>
      </c>
      <c r="Q26" s="58" t="s">
        <v>69</v>
      </c>
      <c r="R26" s="58" t="s">
        <v>69</v>
      </c>
      <c r="S26" s="58" t="s">
        <v>69</v>
      </c>
      <c r="T26" s="58" t="s">
        <v>69</v>
      </c>
      <c r="U26" s="58">
        <v>3</v>
      </c>
      <c r="V26" s="58" t="s">
        <v>69</v>
      </c>
      <c r="W26" s="58">
        <v>4</v>
      </c>
      <c r="X26" s="58">
        <v>3</v>
      </c>
      <c r="Y26" s="58" t="s">
        <v>69</v>
      </c>
      <c r="Z26" s="58" t="s">
        <v>69</v>
      </c>
      <c r="AA26" s="58" t="s">
        <v>69</v>
      </c>
      <c r="AB26" s="58" t="s">
        <v>69</v>
      </c>
      <c r="AC26" s="58" t="s">
        <v>69</v>
      </c>
      <c r="AD26" s="58" t="s">
        <v>69</v>
      </c>
      <c r="AE26" s="58" t="s">
        <v>69</v>
      </c>
      <c r="AF26" s="58" t="s">
        <v>69</v>
      </c>
      <c r="AG26" s="58" t="s">
        <v>69</v>
      </c>
      <c r="AH26" s="58" t="s">
        <v>69</v>
      </c>
      <c r="AI26" s="58" t="s">
        <v>69</v>
      </c>
      <c r="AJ26" s="58">
        <v>4</v>
      </c>
      <c r="AK26" s="58" t="s">
        <v>69</v>
      </c>
      <c r="AL26" s="58" t="s">
        <v>69</v>
      </c>
      <c r="AM26" s="58" t="s">
        <v>69</v>
      </c>
      <c r="AN26" s="58">
        <v>4</v>
      </c>
      <c r="AO26" s="58">
        <v>4</v>
      </c>
      <c r="AP26" s="58" t="s">
        <v>69</v>
      </c>
      <c r="AQ26" s="58" t="s">
        <v>69</v>
      </c>
      <c r="AR26" s="58">
        <v>3</v>
      </c>
      <c r="AS26" s="58">
        <v>3</v>
      </c>
      <c r="AT26" s="58">
        <v>3</v>
      </c>
      <c r="AU26" s="58">
        <v>3</v>
      </c>
      <c r="AV26" s="58">
        <v>3</v>
      </c>
      <c r="AW26" s="58">
        <v>3</v>
      </c>
      <c r="AX26" s="58">
        <v>3</v>
      </c>
      <c r="AY26" s="58" t="s">
        <v>69</v>
      </c>
      <c r="AZ26" s="58" t="s">
        <v>69</v>
      </c>
      <c r="BA26" s="58" t="s">
        <v>69</v>
      </c>
      <c r="BB26" s="58" t="s">
        <v>69</v>
      </c>
      <c r="BC26" s="58" t="s">
        <v>69</v>
      </c>
      <c r="BD26" s="58" t="s">
        <v>69</v>
      </c>
      <c r="BE26" s="58" t="s">
        <v>69</v>
      </c>
      <c r="BF26" s="58" t="s">
        <v>69</v>
      </c>
      <c r="BG26" s="58" t="s">
        <v>69</v>
      </c>
      <c r="BH26" s="58" t="s">
        <v>69</v>
      </c>
      <c r="BI26" s="58" t="s">
        <v>69</v>
      </c>
      <c r="BJ26" s="58" t="s">
        <v>69</v>
      </c>
      <c r="BK26" s="58" t="s">
        <v>69</v>
      </c>
      <c r="BL26" s="58" t="s">
        <v>69</v>
      </c>
      <c r="BM26" s="58" t="s">
        <v>69</v>
      </c>
      <c r="BN26" s="58">
        <v>2</v>
      </c>
      <c r="BO26" s="58" t="s">
        <v>69</v>
      </c>
      <c r="BP26" s="58" t="s">
        <v>69</v>
      </c>
      <c r="BQ26" s="58" t="s">
        <v>69</v>
      </c>
      <c r="BR26" s="58" t="s">
        <v>69</v>
      </c>
      <c r="BS26" s="58" t="s">
        <v>69</v>
      </c>
      <c r="BT26" s="58" t="s">
        <v>69</v>
      </c>
      <c r="BU26" s="94">
        <v>4</v>
      </c>
      <c r="BV26" s="95">
        <f t="shared" si="0"/>
        <v>0.58974358974358976</v>
      </c>
      <c r="BW26" s="95">
        <f t="shared" si="1"/>
        <v>0.86956521739130432</v>
      </c>
    </row>
    <row r="27" spans="1:75" ht="41.25" customHeight="1">
      <c r="A27" s="48" t="s">
        <v>306</v>
      </c>
      <c r="B27" s="48" t="s">
        <v>307</v>
      </c>
      <c r="C27" s="48" t="s">
        <v>214</v>
      </c>
      <c r="D27" s="48" t="s">
        <v>434</v>
      </c>
      <c r="E27" s="57">
        <v>4</v>
      </c>
      <c r="F27" s="58" t="s">
        <v>69</v>
      </c>
      <c r="G27" s="58">
        <v>3</v>
      </c>
      <c r="H27" s="58" t="s">
        <v>69</v>
      </c>
      <c r="I27" s="58" t="s">
        <v>69</v>
      </c>
      <c r="J27" s="58" t="s">
        <v>69</v>
      </c>
      <c r="K27" s="58" t="s">
        <v>69</v>
      </c>
      <c r="L27" s="58" t="s">
        <v>69</v>
      </c>
      <c r="M27" s="58" t="s">
        <v>69</v>
      </c>
      <c r="N27" s="58" t="s">
        <v>69</v>
      </c>
      <c r="O27" s="58" t="s">
        <v>69</v>
      </c>
      <c r="P27" s="58" t="s">
        <v>69</v>
      </c>
      <c r="Q27" s="58" t="s">
        <v>69</v>
      </c>
      <c r="R27" s="58" t="s">
        <v>69</v>
      </c>
      <c r="S27" s="58">
        <v>4</v>
      </c>
      <c r="T27" s="58">
        <v>4</v>
      </c>
      <c r="U27" s="58">
        <v>4</v>
      </c>
      <c r="V27" s="58" t="s">
        <v>69</v>
      </c>
      <c r="W27" s="58">
        <v>4</v>
      </c>
      <c r="X27" s="58" t="s">
        <v>69</v>
      </c>
      <c r="Y27" s="58" t="s">
        <v>69</v>
      </c>
      <c r="Z27" s="58" t="s">
        <v>69</v>
      </c>
      <c r="AA27" s="58" t="s">
        <v>69</v>
      </c>
      <c r="AB27" s="58" t="s">
        <v>69</v>
      </c>
      <c r="AC27" s="58">
        <v>3</v>
      </c>
      <c r="AD27" s="58" t="s">
        <v>69</v>
      </c>
      <c r="AE27" s="58" t="s">
        <v>69</v>
      </c>
      <c r="AF27" s="58" t="s">
        <v>69</v>
      </c>
      <c r="AG27" s="58" t="s">
        <v>69</v>
      </c>
      <c r="AH27" s="58" t="s">
        <v>69</v>
      </c>
      <c r="AI27" s="58" t="s">
        <v>69</v>
      </c>
      <c r="AJ27" s="58">
        <v>4</v>
      </c>
      <c r="AK27" s="58" t="s">
        <v>69</v>
      </c>
      <c r="AL27" s="58" t="s">
        <v>69</v>
      </c>
      <c r="AM27" s="58" t="s">
        <v>69</v>
      </c>
      <c r="AN27" s="58" t="s">
        <v>69</v>
      </c>
      <c r="AO27" s="58" t="s">
        <v>69</v>
      </c>
      <c r="AP27" s="58" t="s">
        <v>69</v>
      </c>
      <c r="AQ27" s="58" t="s">
        <v>69</v>
      </c>
      <c r="AR27" s="58" t="s">
        <v>69</v>
      </c>
      <c r="AS27" s="58" t="s">
        <v>69</v>
      </c>
      <c r="AT27" s="58" t="s">
        <v>69</v>
      </c>
      <c r="AU27" s="58" t="s">
        <v>69</v>
      </c>
      <c r="AV27" s="58" t="s">
        <v>69</v>
      </c>
      <c r="AW27" s="58" t="s">
        <v>69</v>
      </c>
      <c r="AX27" s="58" t="s">
        <v>69</v>
      </c>
      <c r="AY27" s="58">
        <v>3</v>
      </c>
      <c r="AZ27" s="58" t="s">
        <v>69</v>
      </c>
      <c r="BA27" s="58">
        <v>2</v>
      </c>
      <c r="BB27" s="58">
        <v>2</v>
      </c>
      <c r="BC27" s="58" t="s">
        <v>69</v>
      </c>
      <c r="BD27" s="58" t="s">
        <v>69</v>
      </c>
      <c r="BE27" s="58" t="s">
        <v>69</v>
      </c>
      <c r="BF27" s="58" t="s">
        <v>69</v>
      </c>
      <c r="BG27" s="58" t="s">
        <v>69</v>
      </c>
      <c r="BH27" s="58" t="s">
        <v>69</v>
      </c>
      <c r="BI27" s="58" t="s">
        <v>69</v>
      </c>
      <c r="BJ27" s="58" t="s">
        <v>69</v>
      </c>
      <c r="BK27" s="58" t="s">
        <v>69</v>
      </c>
      <c r="BL27" s="58" t="s">
        <v>69</v>
      </c>
      <c r="BM27" s="58" t="s">
        <v>69</v>
      </c>
      <c r="BN27" s="58" t="s">
        <v>69</v>
      </c>
      <c r="BO27" s="58" t="s">
        <v>69</v>
      </c>
      <c r="BP27" s="58" t="s">
        <v>69</v>
      </c>
      <c r="BQ27" s="58" t="s">
        <v>69</v>
      </c>
      <c r="BR27" s="58" t="s">
        <v>69</v>
      </c>
      <c r="BS27" s="58" t="s">
        <v>69</v>
      </c>
      <c r="BT27" s="58" t="s">
        <v>69</v>
      </c>
      <c r="BU27" s="94">
        <v>4</v>
      </c>
      <c r="BV27" s="95">
        <f t="shared" si="0"/>
        <v>0.30769230769230771</v>
      </c>
      <c r="BW27" s="95">
        <f t="shared" si="1"/>
        <v>0.83333333333333337</v>
      </c>
    </row>
    <row r="28" spans="1:75" ht="41.25" customHeight="1">
      <c r="A28" s="48" t="s">
        <v>311</v>
      </c>
      <c r="B28" s="48" t="s">
        <v>312</v>
      </c>
      <c r="C28" s="48" t="s">
        <v>217</v>
      </c>
      <c r="D28" s="48" t="s">
        <v>434</v>
      </c>
      <c r="E28" s="57">
        <v>4</v>
      </c>
      <c r="F28" s="58" t="s">
        <v>69</v>
      </c>
      <c r="G28" s="58">
        <v>3</v>
      </c>
      <c r="H28" s="58" t="s">
        <v>69</v>
      </c>
      <c r="I28" s="58" t="s">
        <v>69</v>
      </c>
      <c r="J28" s="58" t="s">
        <v>69</v>
      </c>
      <c r="K28" s="58" t="s">
        <v>69</v>
      </c>
      <c r="L28" s="58">
        <v>3</v>
      </c>
      <c r="M28" s="58" t="s">
        <v>69</v>
      </c>
      <c r="N28" s="58" t="s">
        <v>69</v>
      </c>
      <c r="O28" s="58">
        <v>4</v>
      </c>
      <c r="P28" s="58" t="s">
        <v>69</v>
      </c>
      <c r="Q28" s="58">
        <v>2</v>
      </c>
      <c r="R28" s="58" t="s">
        <v>69</v>
      </c>
      <c r="S28" s="58" t="s">
        <v>69</v>
      </c>
      <c r="T28" s="58" t="s">
        <v>69</v>
      </c>
      <c r="U28" s="58" t="s">
        <v>69</v>
      </c>
      <c r="V28" s="58">
        <v>2</v>
      </c>
      <c r="W28" s="58">
        <v>4</v>
      </c>
      <c r="X28" s="58" t="s">
        <v>69</v>
      </c>
      <c r="Y28" s="58" t="s">
        <v>69</v>
      </c>
      <c r="Z28" s="58" t="s">
        <v>69</v>
      </c>
      <c r="AA28" s="58" t="s">
        <v>69</v>
      </c>
      <c r="AB28" s="58" t="s">
        <v>69</v>
      </c>
      <c r="AC28" s="58" t="s">
        <v>69</v>
      </c>
      <c r="AD28" s="58">
        <v>2</v>
      </c>
      <c r="AE28" s="58" t="s">
        <v>69</v>
      </c>
      <c r="AF28" s="58" t="s">
        <v>69</v>
      </c>
      <c r="AG28" s="58" t="s">
        <v>69</v>
      </c>
      <c r="AH28" s="58" t="s">
        <v>69</v>
      </c>
      <c r="AI28" s="58" t="s">
        <v>69</v>
      </c>
      <c r="AJ28" s="58">
        <v>4</v>
      </c>
      <c r="AK28" s="58" t="s">
        <v>69</v>
      </c>
      <c r="AL28" s="58" t="s">
        <v>69</v>
      </c>
      <c r="AM28" s="58" t="s">
        <v>69</v>
      </c>
      <c r="AN28" s="58" t="s">
        <v>69</v>
      </c>
      <c r="AO28" s="58" t="s">
        <v>69</v>
      </c>
      <c r="AP28" s="58" t="s">
        <v>69</v>
      </c>
      <c r="AQ28" s="58" t="s">
        <v>69</v>
      </c>
      <c r="AR28" s="58" t="s">
        <v>69</v>
      </c>
      <c r="AS28" s="58" t="s">
        <v>69</v>
      </c>
      <c r="AT28" s="58" t="s">
        <v>69</v>
      </c>
      <c r="AU28" s="58" t="s">
        <v>69</v>
      </c>
      <c r="AV28" s="58" t="s">
        <v>69</v>
      </c>
      <c r="AW28" s="58" t="s">
        <v>69</v>
      </c>
      <c r="AX28" s="58" t="s">
        <v>69</v>
      </c>
      <c r="AY28" s="58" t="s">
        <v>69</v>
      </c>
      <c r="AZ28" s="58" t="s">
        <v>69</v>
      </c>
      <c r="BA28" s="58" t="s">
        <v>69</v>
      </c>
      <c r="BB28" s="58" t="s">
        <v>69</v>
      </c>
      <c r="BC28" s="58" t="s">
        <v>69</v>
      </c>
      <c r="BD28" s="58" t="s">
        <v>69</v>
      </c>
      <c r="BE28" s="58" t="s">
        <v>69</v>
      </c>
      <c r="BF28" s="58" t="s">
        <v>69</v>
      </c>
      <c r="BG28" s="58" t="s">
        <v>69</v>
      </c>
      <c r="BH28" s="58" t="s">
        <v>69</v>
      </c>
      <c r="BI28" s="58" t="s">
        <v>69</v>
      </c>
      <c r="BJ28" s="58" t="s">
        <v>69</v>
      </c>
      <c r="BK28" s="58">
        <v>3</v>
      </c>
      <c r="BL28" s="58" t="s">
        <v>69</v>
      </c>
      <c r="BM28" s="58" t="s">
        <v>69</v>
      </c>
      <c r="BN28" s="58" t="s">
        <v>69</v>
      </c>
      <c r="BO28" s="58" t="s">
        <v>69</v>
      </c>
      <c r="BP28" s="58" t="s">
        <v>69</v>
      </c>
      <c r="BQ28" s="58" t="s">
        <v>69</v>
      </c>
      <c r="BR28" s="58" t="s">
        <v>69</v>
      </c>
      <c r="BS28" s="58" t="s">
        <v>69</v>
      </c>
      <c r="BT28" s="58" t="s">
        <v>69</v>
      </c>
      <c r="BU28" s="94">
        <v>4</v>
      </c>
      <c r="BV28" s="95">
        <f t="shared" si="0"/>
        <v>0.28205128205128205</v>
      </c>
      <c r="BW28" s="95">
        <f t="shared" si="1"/>
        <v>0.72727272727272729</v>
      </c>
    </row>
    <row r="29" spans="1:75" ht="41.25" customHeight="1">
      <c r="A29" s="48" t="s">
        <v>313</v>
      </c>
      <c r="B29" s="48" t="s">
        <v>314</v>
      </c>
      <c r="C29" s="48" t="s">
        <v>217</v>
      </c>
      <c r="D29" s="48" t="s">
        <v>434</v>
      </c>
      <c r="E29" s="57">
        <v>4</v>
      </c>
      <c r="F29" s="58">
        <v>4</v>
      </c>
      <c r="G29" s="58">
        <v>4</v>
      </c>
      <c r="H29" s="58">
        <v>4</v>
      </c>
      <c r="I29" s="58">
        <v>4</v>
      </c>
      <c r="J29" s="58" t="s">
        <v>69</v>
      </c>
      <c r="K29" s="58" t="s">
        <v>69</v>
      </c>
      <c r="L29" s="58">
        <v>4</v>
      </c>
      <c r="M29" s="58" t="s">
        <v>69</v>
      </c>
      <c r="N29" s="58">
        <v>4</v>
      </c>
      <c r="O29" s="58">
        <v>3</v>
      </c>
      <c r="P29" s="58">
        <v>4</v>
      </c>
      <c r="Q29" s="58" t="s">
        <v>69</v>
      </c>
      <c r="R29" s="58" t="s">
        <v>69</v>
      </c>
      <c r="S29" s="58" t="s">
        <v>69</v>
      </c>
      <c r="T29" s="58" t="s">
        <v>69</v>
      </c>
      <c r="U29" s="58" t="s">
        <v>69</v>
      </c>
      <c r="V29" s="58">
        <v>2</v>
      </c>
      <c r="W29" s="58">
        <v>4</v>
      </c>
      <c r="X29" s="58" t="s">
        <v>69</v>
      </c>
      <c r="Y29" s="58" t="s">
        <v>69</v>
      </c>
      <c r="Z29" s="58" t="s">
        <v>69</v>
      </c>
      <c r="AA29" s="58" t="s">
        <v>69</v>
      </c>
      <c r="AB29" s="58" t="s">
        <v>69</v>
      </c>
      <c r="AC29" s="58" t="s">
        <v>69</v>
      </c>
      <c r="AD29" s="58">
        <v>4</v>
      </c>
      <c r="AE29" s="58" t="s">
        <v>69</v>
      </c>
      <c r="AF29" s="58" t="s">
        <v>69</v>
      </c>
      <c r="AG29" s="58" t="s">
        <v>69</v>
      </c>
      <c r="AH29" s="58" t="s">
        <v>69</v>
      </c>
      <c r="AI29" s="58" t="s">
        <v>69</v>
      </c>
      <c r="AJ29" s="58">
        <v>4</v>
      </c>
      <c r="AK29" s="58" t="s">
        <v>69</v>
      </c>
      <c r="AL29" s="58" t="s">
        <v>69</v>
      </c>
      <c r="AM29" s="58" t="s">
        <v>69</v>
      </c>
      <c r="AN29" s="58" t="s">
        <v>69</v>
      </c>
      <c r="AO29" s="58">
        <v>2</v>
      </c>
      <c r="AP29" s="58" t="s">
        <v>69</v>
      </c>
      <c r="AQ29" s="58" t="s">
        <v>69</v>
      </c>
      <c r="AR29" s="58">
        <v>3</v>
      </c>
      <c r="AS29" s="58">
        <v>3</v>
      </c>
      <c r="AT29" s="58">
        <v>3</v>
      </c>
      <c r="AU29" s="58">
        <v>3</v>
      </c>
      <c r="AV29" s="58">
        <v>3</v>
      </c>
      <c r="AW29" s="58">
        <v>3</v>
      </c>
      <c r="AX29" s="58">
        <v>1</v>
      </c>
      <c r="AY29" s="58" t="s">
        <v>69</v>
      </c>
      <c r="AZ29" s="58" t="s">
        <v>69</v>
      </c>
      <c r="BA29" s="58" t="s">
        <v>69</v>
      </c>
      <c r="BB29" s="58" t="s">
        <v>69</v>
      </c>
      <c r="BC29" s="58" t="s">
        <v>69</v>
      </c>
      <c r="BD29" s="58" t="s">
        <v>69</v>
      </c>
      <c r="BE29" s="58" t="s">
        <v>69</v>
      </c>
      <c r="BF29" s="58" t="s">
        <v>69</v>
      </c>
      <c r="BG29" s="58" t="s">
        <v>69</v>
      </c>
      <c r="BH29" s="58" t="s">
        <v>69</v>
      </c>
      <c r="BI29" s="58" t="s">
        <v>69</v>
      </c>
      <c r="BJ29" s="58" t="s">
        <v>69</v>
      </c>
      <c r="BK29" s="58" t="s">
        <v>69</v>
      </c>
      <c r="BL29" s="58">
        <v>2</v>
      </c>
      <c r="BM29" s="58">
        <v>2</v>
      </c>
      <c r="BN29" s="58">
        <v>2</v>
      </c>
      <c r="BO29" s="58" t="s">
        <v>69</v>
      </c>
      <c r="BP29" s="58" t="s">
        <v>69</v>
      </c>
      <c r="BQ29" s="58" t="s">
        <v>69</v>
      </c>
      <c r="BR29" s="58" t="s">
        <v>69</v>
      </c>
      <c r="BS29" s="58" t="s">
        <v>69</v>
      </c>
      <c r="BT29" s="58" t="s">
        <v>69</v>
      </c>
      <c r="BU29" s="94">
        <v>4</v>
      </c>
      <c r="BV29" s="95">
        <f t="shared" si="0"/>
        <v>0.64102564102564108</v>
      </c>
      <c r="BW29" s="95">
        <f t="shared" si="1"/>
        <v>0.79166666666666663</v>
      </c>
    </row>
    <row r="30" spans="1:75" ht="41.25" customHeight="1">
      <c r="A30" s="48" t="s">
        <v>315</v>
      </c>
      <c r="B30" s="48" t="s">
        <v>316</v>
      </c>
      <c r="C30" s="48" t="s">
        <v>217</v>
      </c>
      <c r="D30" s="48" t="s">
        <v>434</v>
      </c>
      <c r="E30" s="57">
        <v>4</v>
      </c>
      <c r="F30" s="58">
        <v>4</v>
      </c>
      <c r="G30" s="58">
        <v>4</v>
      </c>
      <c r="H30" s="58">
        <v>4</v>
      </c>
      <c r="I30" s="58">
        <v>4</v>
      </c>
      <c r="J30" s="58">
        <v>2</v>
      </c>
      <c r="K30" s="58" t="s">
        <v>69</v>
      </c>
      <c r="L30" s="58">
        <v>4</v>
      </c>
      <c r="M30" s="58" t="s">
        <v>69</v>
      </c>
      <c r="N30" s="58">
        <v>3</v>
      </c>
      <c r="O30" s="58">
        <v>4</v>
      </c>
      <c r="P30" s="58">
        <v>4</v>
      </c>
      <c r="Q30" s="58">
        <v>3</v>
      </c>
      <c r="R30" s="58" t="s">
        <v>69</v>
      </c>
      <c r="S30" s="58">
        <v>4</v>
      </c>
      <c r="T30" s="58">
        <v>3</v>
      </c>
      <c r="U30" s="58" t="s">
        <v>69</v>
      </c>
      <c r="V30" s="58">
        <v>4</v>
      </c>
      <c r="W30" s="58">
        <v>3</v>
      </c>
      <c r="X30" s="58">
        <v>4</v>
      </c>
      <c r="Y30" s="58" t="s">
        <v>69</v>
      </c>
      <c r="Z30" s="58" t="s">
        <v>69</v>
      </c>
      <c r="AA30" s="58" t="s">
        <v>69</v>
      </c>
      <c r="AB30" s="58" t="s">
        <v>69</v>
      </c>
      <c r="AC30" s="58">
        <v>2</v>
      </c>
      <c r="AD30" s="58" t="s">
        <v>69</v>
      </c>
      <c r="AE30" s="58">
        <v>4</v>
      </c>
      <c r="AF30" s="58">
        <v>4</v>
      </c>
      <c r="AG30" s="58" t="s">
        <v>69</v>
      </c>
      <c r="AH30" s="58" t="s">
        <v>69</v>
      </c>
      <c r="AI30" s="58" t="s">
        <v>69</v>
      </c>
      <c r="AJ30" s="58">
        <v>4</v>
      </c>
      <c r="AK30" s="58">
        <v>4</v>
      </c>
      <c r="AL30" s="58">
        <v>4</v>
      </c>
      <c r="AM30" s="58">
        <v>2</v>
      </c>
      <c r="AN30" s="58">
        <v>4</v>
      </c>
      <c r="AO30" s="58">
        <v>4</v>
      </c>
      <c r="AP30" s="58" t="s">
        <v>69</v>
      </c>
      <c r="AQ30" s="58" t="s">
        <v>69</v>
      </c>
      <c r="AR30" s="58" t="s">
        <v>69</v>
      </c>
      <c r="AS30" s="58">
        <v>2</v>
      </c>
      <c r="AT30" s="58">
        <v>2</v>
      </c>
      <c r="AU30" s="58"/>
      <c r="AV30" s="58">
        <v>2</v>
      </c>
      <c r="AW30" s="58">
        <v>2</v>
      </c>
      <c r="AX30" s="58">
        <v>2</v>
      </c>
      <c r="AY30" s="58" t="s">
        <v>69</v>
      </c>
      <c r="AZ30" s="58" t="s">
        <v>69</v>
      </c>
      <c r="BA30" s="58" t="s">
        <v>69</v>
      </c>
      <c r="BB30" s="58">
        <v>4</v>
      </c>
      <c r="BC30" s="58" t="s">
        <v>69</v>
      </c>
      <c r="BD30" s="58">
        <v>4</v>
      </c>
      <c r="BE30" s="58">
        <v>2</v>
      </c>
      <c r="BF30" s="58">
        <v>2</v>
      </c>
      <c r="BG30" s="58" t="s">
        <v>69</v>
      </c>
      <c r="BH30" s="58"/>
      <c r="BI30" s="58" t="s">
        <v>69</v>
      </c>
      <c r="BJ30" s="58">
        <v>2</v>
      </c>
      <c r="BK30" s="58">
        <v>3</v>
      </c>
      <c r="BL30" s="58" t="s">
        <v>69</v>
      </c>
      <c r="BM30" s="58">
        <v>2</v>
      </c>
      <c r="BN30" s="58">
        <v>3</v>
      </c>
      <c r="BO30" s="58" t="s">
        <v>69</v>
      </c>
      <c r="BP30" s="58" t="s">
        <v>69</v>
      </c>
      <c r="BQ30" s="58" t="s">
        <v>69</v>
      </c>
      <c r="BR30" s="58" t="s">
        <v>69</v>
      </c>
      <c r="BS30" s="58" t="s">
        <v>69</v>
      </c>
      <c r="BT30" s="58" t="s">
        <v>69</v>
      </c>
      <c r="BU30" s="94">
        <v>4</v>
      </c>
      <c r="BV30" s="95">
        <f t="shared" si="0"/>
        <v>1</v>
      </c>
      <c r="BW30" s="95">
        <f t="shared" si="1"/>
        <v>0.69230769230769229</v>
      </c>
    </row>
    <row r="31" spans="1:75" ht="41.25" customHeight="1">
      <c r="A31" s="48" t="s">
        <v>317</v>
      </c>
      <c r="B31" s="48" t="s">
        <v>318</v>
      </c>
      <c r="C31" s="48" t="s">
        <v>216</v>
      </c>
      <c r="D31" s="48" t="s">
        <v>434</v>
      </c>
      <c r="E31" s="57">
        <v>4</v>
      </c>
      <c r="F31" s="58">
        <v>1</v>
      </c>
      <c r="G31" s="58" t="s">
        <v>69</v>
      </c>
      <c r="H31" s="58">
        <v>4</v>
      </c>
      <c r="I31" s="58" t="s">
        <v>69</v>
      </c>
      <c r="J31" s="58" t="s">
        <v>69</v>
      </c>
      <c r="K31" s="58" t="s">
        <v>69</v>
      </c>
      <c r="L31" s="58" t="s">
        <v>69</v>
      </c>
      <c r="M31" s="58" t="s">
        <v>69</v>
      </c>
      <c r="N31" s="58">
        <v>4</v>
      </c>
      <c r="O31" s="58" t="s">
        <v>69</v>
      </c>
      <c r="P31" s="58">
        <v>4</v>
      </c>
      <c r="Q31" s="58">
        <v>4</v>
      </c>
      <c r="R31" s="58" t="s">
        <v>69</v>
      </c>
      <c r="S31" s="58" t="s">
        <v>69</v>
      </c>
      <c r="T31" s="58" t="s">
        <v>69</v>
      </c>
      <c r="U31" s="58">
        <v>3</v>
      </c>
      <c r="V31" s="58" t="s">
        <v>69</v>
      </c>
      <c r="W31" s="58">
        <v>4</v>
      </c>
      <c r="X31" s="58" t="s">
        <v>69</v>
      </c>
      <c r="Y31" s="58" t="s">
        <v>69</v>
      </c>
      <c r="Z31" s="58">
        <v>3</v>
      </c>
      <c r="AA31" s="58">
        <v>3</v>
      </c>
      <c r="AB31" s="58" t="s">
        <v>69</v>
      </c>
      <c r="AC31" s="58" t="s">
        <v>69</v>
      </c>
      <c r="AD31" s="58" t="s">
        <v>69</v>
      </c>
      <c r="AE31" s="58" t="s">
        <v>69</v>
      </c>
      <c r="AF31" s="58" t="s">
        <v>69</v>
      </c>
      <c r="AG31" s="58" t="s">
        <v>69</v>
      </c>
      <c r="AH31" s="58" t="s">
        <v>69</v>
      </c>
      <c r="AI31" s="58" t="s">
        <v>69</v>
      </c>
      <c r="AJ31" s="58">
        <v>4</v>
      </c>
      <c r="AK31" s="58" t="s">
        <v>69</v>
      </c>
      <c r="AL31" s="58" t="s">
        <v>69</v>
      </c>
      <c r="AM31" s="58" t="s">
        <v>69</v>
      </c>
      <c r="AN31" s="58" t="s">
        <v>69</v>
      </c>
      <c r="AO31" s="58" t="s">
        <v>69</v>
      </c>
      <c r="AP31" s="58" t="s">
        <v>69</v>
      </c>
      <c r="AQ31" s="58" t="s">
        <v>69</v>
      </c>
      <c r="AR31" s="58" t="s">
        <v>69</v>
      </c>
      <c r="AS31" s="58" t="s">
        <v>69</v>
      </c>
      <c r="AT31" s="58" t="s">
        <v>69</v>
      </c>
      <c r="AU31" s="58" t="s">
        <v>69</v>
      </c>
      <c r="AV31" s="58" t="s">
        <v>69</v>
      </c>
      <c r="AW31" s="58" t="s">
        <v>69</v>
      </c>
      <c r="AX31" s="58">
        <v>3</v>
      </c>
      <c r="AY31" s="58" t="s">
        <v>69</v>
      </c>
      <c r="AZ31" s="58" t="s">
        <v>69</v>
      </c>
      <c r="BA31" s="58" t="s">
        <v>69</v>
      </c>
      <c r="BB31" s="58" t="s">
        <v>69</v>
      </c>
      <c r="BC31" s="58" t="s">
        <v>69</v>
      </c>
      <c r="BD31" s="58" t="s">
        <v>69</v>
      </c>
      <c r="BE31" s="58" t="s">
        <v>69</v>
      </c>
      <c r="BF31" s="58" t="s">
        <v>69</v>
      </c>
      <c r="BG31" s="58" t="s">
        <v>69</v>
      </c>
      <c r="BH31" s="58" t="s">
        <v>69</v>
      </c>
      <c r="BI31" s="58" t="s">
        <v>69</v>
      </c>
      <c r="BJ31" s="58" t="s">
        <v>69</v>
      </c>
      <c r="BK31" s="58" t="s">
        <v>69</v>
      </c>
      <c r="BL31" s="58">
        <v>3</v>
      </c>
      <c r="BM31" s="58">
        <v>2</v>
      </c>
      <c r="BN31" s="58" t="s">
        <v>69</v>
      </c>
      <c r="BO31" s="58" t="s">
        <v>69</v>
      </c>
      <c r="BP31" s="58" t="s">
        <v>69</v>
      </c>
      <c r="BQ31" s="58" t="s">
        <v>69</v>
      </c>
      <c r="BR31" s="58" t="s">
        <v>69</v>
      </c>
      <c r="BS31" s="58" t="s">
        <v>69</v>
      </c>
      <c r="BT31" s="58" t="s">
        <v>69</v>
      </c>
      <c r="BU31" s="94">
        <v>4</v>
      </c>
      <c r="BV31" s="95">
        <f t="shared" si="0"/>
        <v>0.38461538461538464</v>
      </c>
      <c r="BW31" s="95">
        <f t="shared" si="1"/>
        <v>0.9285714285714286</v>
      </c>
    </row>
    <row r="32" spans="1:75" ht="41.25" customHeight="1">
      <c r="A32" s="48" t="s">
        <v>319</v>
      </c>
      <c r="B32" s="48" t="s">
        <v>320</v>
      </c>
      <c r="C32" s="48" t="s">
        <v>216</v>
      </c>
      <c r="D32" s="48" t="s">
        <v>434</v>
      </c>
      <c r="E32" s="57">
        <v>3</v>
      </c>
      <c r="F32" s="58">
        <v>4</v>
      </c>
      <c r="G32" s="58">
        <v>4</v>
      </c>
      <c r="H32" s="58">
        <v>4</v>
      </c>
      <c r="I32" s="58">
        <v>4</v>
      </c>
      <c r="J32" s="58" t="s">
        <v>69</v>
      </c>
      <c r="K32" s="58" t="s">
        <v>69</v>
      </c>
      <c r="L32" s="58" t="s">
        <v>69</v>
      </c>
      <c r="M32" s="58" t="s">
        <v>69</v>
      </c>
      <c r="N32" s="58">
        <v>3</v>
      </c>
      <c r="O32" s="58" t="s">
        <v>69</v>
      </c>
      <c r="P32" s="58" t="s">
        <v>69</v>
      </c>
      <c r="Q32" s="58" t="s">
        <v>69</v>
      </c>
      <c r="R32" s="58">
        <v>2</v>
      </c>
      <c r="S32" s="58" t="s">
        <v>69</v>
      </c>
      <c r="T32" s="58" t="s">
        <v>69</v>
      </c>
      <c r="U32" s="58">
        <v>3</v>
      </c>
      <c r="V32" s="58">
        <v>3</v>
      </c>
      <c r="W32" s="58">
        <v>4</v>
      </c>
      <c r="X32" s="58" t="s">
        <v>69</v>
      </c>
      <c r="Y32" s="58" t="s">
        <v>69</v>
      </c>
      <c r="Z32" s="58">
        <v>3</v>
      </c>
      <c r="AA32" s="58">
        <v>3</v>
      </c>
      <c r="AB32" s="58" t="s">
        <v>69</v>
      </c>
      <c r="AC32" s="58">
        <v>2</v>
      </c>
      <c r="AD32" s="58" t="s">
        <v>69</v>
      </c>
      <c r="AE32" s="58" t="s">
        <v>69</v>
      </c>
      <c r="AF32" s="58" t="s">
        <v>69</v>
      </c>
      <c r="AG32" s="58" t="s">
        <v>69</v>
      </c>
      <c r="AH32" s="58" t="s">
        <v>69</v>
      </c>
      <c r="AI32" s="58" t="s">
        <v>69</v>
      </c>
      <c r="AJ32" s="58">
        <v>4</v>
      </c>
      <c r="AK32" s="58" t="s">
        <v>69</v>
      </c>
      <c r="AL32" s="58" t="s">
        <v>69</v>
      </c>
      <c r="AM32" s="58" t="s">
        <v>69</v>
      </c>
      <c r="AN32" s="58" t="s">
        <v>69</v>
      </c>
      <c r="AO32" s="58" t="s">
        <v>69</v>
      </c>
      <c r="AP32" s="58" t="s">
        <v>69</v>
      </c>
      <c r="AQ32" s="58" t="s">
        <v>69</v>
      </c>
      <c r="AR32" s="58">
        <v>2</v>
      </c>
      <c r="AS32" s="58">
        <v>2</v>
      </c>
      <c r="AT32" s="58">
        <v>2</v>
      </c>
      <c r="AU32" s="58">
        <v>2</v>
      </c>
      <c r="AV32" s="58">
        <v>2</v>
      </c>
      <c r="AW32" s="58">
        <v>2</v>
      </c>
      <c r="AX32" s="58">
        <v>2</v>
      </c>
      <c r="AY32" s="58">
        <v>3</v>
      </c>
      <c r="AZ32" s="58" t="s">
        <v>69</v>
      </c>
      <c r="BA32" s="58" t="s">
        <v>69</v>
      </c>
      <c r="BB32" s="58" t="s">
        <v>69</v>
      </c>
      <c r="BC32" s="58" t="s">
        <v>69</v>
      </c>
      <c r="BD32" s="58" t="s">
        <v>69</v>
      </c>
      <c r="BE32" s="58" t="s">
        <v>69</v>
      </c>
      <c r="BF32" s="58" t="s">
        <v>69</v>
      </c>
      <c r="BG32" s="58" t="s">
        <v>69</v>
      </c>
      <c r="BH32" s="58" t="s">
        <v>69</v>
      </c>
      <c r="BI32" s="58" t="s">
        <v>69</v>
      </c>
      <c r="BJ32" s="58" t="s">
        <v>69</v>
      </c>
      <c r="BK32" s="58" t="s">
        <v>69</v>
      </c>
      <c r="BL32" s="58" t="s">
        <v>69</v>
      </c>
      <c r="BM32" s="58" t="s">
        <v>69</v>
      </c>
      <c r="BN32" s="58">
        <v>3</v>
      </c>
      <c r="BO32" s="58" t="s">
        <v>69</v>
      </c>
      <c r="BP32" s="58">
        <v>2</v>
      </c>
      <c r="BQ32" s="58" t="s">
        <v>69</v>
      </c>
      <c r="BR32" s="58">
        <v>2</v>
      </c>
      <c r="BS32" s="58" t="s">
        <v>69</v>
      </c>
      <c r="BT32" s="58" t="s">
        <v>69</v>
      </c>
      <c r="BU32" s="94">
        <v>4</v>
      </c>
      <c r="BV32" s="95">
        <f t="shared" si="0"/>
        <v>0.66666666666666663</v>
      </c>
      <c r="BW32" s="95">
        <f t="shared" si="1"/>
        <v>0.57692307692307687</v>
      </c>
    </row>
    <row r="33" spans="1:75" ht="41.25" customHeight="1">
      <c r="A33" s="48" t="s">
        <v>321</v>
      </c>
      <c r="B33" s="48" t="s">
        <v>322</v>
      </c>
      <c r="C33" s="48" t="s">
        <v>214</v>
      </c>
      <c r="D33" s="48" t="s">
        <v>434</v>
      </c>
      <c r="E33" s="57">
        <v>2</v>
      </c>
      <c r="F33" s="58">
        <v>4</v>
      </c>
      <c r="G33" s="58">
        <v>4</v>
      </c>
      <c r="H33" s="58">
        <v>4</v>
      </c>
      <c r="I33" s="58">
        <v>4</v>
      </c>
      <c r="J33" s="58">
        <v>4</v>
      </c>
      <c r="K33" s="58">
        <v>4</v>
      </c>
      <c r="L33" s="58">
        <v>4</v>
      </c>
      <c r="M33" s="58">
        <v>4</v>
      </c>
      <c r="N33" s="58">
        <v>4</v>
      </c>
      <c r="O33" s="58">
        <v>4</v>
      </c>
      <c r="P33" s="58">
        <v>4</v>
      </c>
      <c r="Q33" s="58" t="s">
        <v>69</v>
      </c>
      <c r="R33" s="58">
        <v>4</v>
      </c>
      <c r="S33" s="58">
        <v>4</v>
      </c>
      <c r="T33" s="58" t="s">
        <v>69</v>
      </c>
      <c r="U33" s="58">
        <v>4</v>
      </c>
      <c r="V33" s="58" t="s">
        <v>69</v>
      </c>
      <c r="W33" s="58">
        <v>4</v>
      </c>
      <c r="X33" s="58" t="s">
        <v>69</v>
      </c>
      <c r="Y33" s="58" t="s">
        <v>69</v>
      </c>
      <c r="Z33" s="58" t="s">
        <v>69</v>
      </c>
      <c r="AA33" s="58" t="s">
        <v>69</v>
      </c>
      <c r="AB33" s="58" t="s">
        <v>69</v>
      </c>
      <c r="AC33" s="58">
        <v>2</v>
      </c>
      <c r="AD33" s="58" t="s">
        <v>69</v>
      </c>
      <c r="AE33" s="58" t="s">
        <v>69</v>
      </c>
      <c r="AF33" s="58" t="s">
        <v>69</v>
      </c>
      <c r="AG33" s="58" t="s">
        <v>69</v>
      </c>
      <c r="AH33" s="58" t="s">
        <v>69</v>
      </c>
      <c r="AI33" s="58" t="s">
        <v>69</v>
      </c>
      <c r="AJ33" s="58">
        <v>3</v>
      </c>
      <c r="AK33" s="58" t="s">
        <v>69</v>
      </c>
      <c r="AL33" s="58" t="s">
        <v>69</v>
      </c>
      <c r="AM33" s="58" t="s">
        <v>69</v>
      </c>
      <c r="AN33" s="58" t="s">
        <v>69</v>
      </c>
      <c r="AO33" s="58" t="s">
        <v>69</v>
      </c>
      <c r="AP33" s="58" t="s">
        <v>69</v>
      </c>
      <c r="AQ33" s="58" t="s">
        <v>69</v>
      </c>
      <c r="AR33" s="58" t="s">
        <v>69</v>
      </c>
      <c r="AS33" s="58" t="s">
        <v>69</v>
      </c>
      <c r="AT33" s="58" t="s">
        <v>69</v>
      </c>
      <c r="AU33" s="58" t="s">
        <v>69</v>
      </c>
      <c r="AV33" s="58" t="s">
        <v>69</v>
      </c>
      <c r="AW33" s="58" t="s">
        <v>69</v>
      </c>
      <c r="AX33" s="58" t="s">
        <v>69</v>
      </c>
      <c r="AY33" s="58" t="s">
        <v>69</v>
      </c>
      <c r="AZ33" s="58" t="s">
        <v>69</v>
      </c>
      <c r="BA33" s="58" t="s">
        <v>69</v>
      </c>
      <c r="BB33" s="58" t="s">
        <v>69</v>
      </c>
      <c r="BC33" s="58" t="s">
        <v>69</v>
      </c>
      <c r="BD33" s="58" t="s">
        <v>69</v>
      </c>
      <c r="BE33" s="58" t="s">
        <v>69</v>
      </c>
      <c r="BF33" s="58" t="s">
        <v>69</v>
      </c>
      <c r="BG33" s="58" t="s">
        <v>69</v>
      </c>
      <c r="BH33" s="58" t="s">
        <v>69</v>
      </c>
      <c r="BI33" s="58" t="s">
        <v>69</v>
      </c>
      <c r="BJ33" s="58" t="s">
        <v>69</v>
      </c>
      <c r="BK33" s="58" t="s">
        <v>69</v>
      </c>
      <c r="BL33" s="58" t="s">
        <v>69</v>
      </c>
      <c r="BM33" s="58" t="s">
        <v>69</v>
      </c>
      <c r="BN33" s="58">
        <v>3</v>
      </c>
      <c r="BO33" s="58" t="s">
        <v>69</v>
      </c>
      <c r="BP33" s="58" t="s">
        <v>69</v>
      </c>
      <c r="BQ33" s="58" t="s">
        <v>69</v>
      </c>
      <c r="BR33" s="58" t="s">
        <v>69</v>
      </c>
      <c r="BS33" s="58" t="s">
        <v>69</v>
      </c>
      <c r="BT33" s="58" t="s">
        <v>69</v>
      </c>
      <c r="BU33" s="94">
        <v>3</v>
      </c>
      <c r="BV33" s="95">
        <f t="shared" si="0"/>
        <v>0.51282051282051277</v>
      </c>
      <c r="BW33" s="95">
        <f t="shared" si="1"/>
        <v>0.9</v>
      </c>
    </row>
    <row r="34" spans="1:75" ht="41.25" customHeight="1">
      <c r="A34" s="48" t="s">
        <v>323</v>
      </c>
      <c r="B34" s="48" t="s">
        <v>324</v>
      </c>
      <c r="C34" s="48" t="s">
        <v>216</v>
      </c>
      <c r="D34" s="48" t="s">
        <v>434</v>
      </c>
      <c r="E34" s="57">
        <v>3</v>
      </c>
      <c r="F34" s="58">
        <v>4</v>
      </c>
      <c r="G34" s="58" t="s">
        <v>69</v>
      </c>
      <c r="H34" s="58" t="s">
        <v>69</v>
      </c>
      <c r="I34" s="58" t="s">
        <v>69</v>
      </c>
      <c r="J34" s="58" t="s">
        <v>69</v>
      </c>
      <c r="K34" s="58" t="s">
        <v>69</v>
      </c>
      <c r="L34" s="58">
        <v>2</v>
      </c>
      <c r="M34" s="58" t="s">
        <v>69</v>
      </c>
      <c r="N34" s="58">
        <v>2</v>
      </c>
      <c r="O34" s="58">
        <v>3</v>
      </c>
      <c r="P34" s="58">
        <v>4</v>
      </c>
      <c r="Q34" s="58" t="s">
        <v>69</v>
      </c>
      <c r="R34" s="58" t="s">
        <v>69</v>
      </c>
      <c r="S34" s="58" t="s">
        <v>69</v>
      </c>
      <c r="T34" s="58">
        <v>3</v>
      </c>
      <c r="U34" s="58">
        <v>2</v>
      </c>
      <c r="V34" s="58">
        <v>3</v>
      </c>
      <c r="W34" s="58" t="s">
        <v>69</v>
      </c>
      <c r="X34" s="58">
        <v>2</v>
      </c>
      <c r="Y34" s="58" t="s">
        <v>69</v>
      </c>
      <c r="Z34" s="58" t="s">
        <v>69</v>
      </c>
      <c r="AA34" s="58" t="s">
        <v>69</v>
      </c>
      <c r="AB34" s="58" t="s">
        <v>69</v>
      </c>
      <c r="AC34" s="58" t="s">
        <v>69</v>
      </c>
      <c r="AD34" s="58" t="s">
        <v>69</v>
      </c>
      <c r="AE34" s="58" t="s">
        <v>69</v>
      </c>
      <c r="AF34" s="58" t="s">
        <v>69</v>
      </c>
      <c r="AG34" s="58" t="s">
        <v>69</v>
      </c>
      <c r="AH34" s="58" t="s">
        <v>69</v>
      </c>
      <c r="AI34" s="58" t="s">
        <v>69</v>
      </c>
      <c r="AJ34" s="58">
        <v>3</v>
      </c>
      <c r="AK34" s="58" t="s">
        <v>69</v>
      </c>
      <c r="AL34" s="58" t="s">
        <v>69</v>
      </c>
      <c r="AM34" s="58" t="s">
        <v>69</v>
      </c>
      <c r="AN34" s="58" t="s">
        <v>69</v>
      </c>
      <c r="AO34" s="58" t="s">
        <v>69</v>
      </c>
      <c r="AP34" s="58" t="s">
        <v>69</v>
      </c>
      <c r="AQ34" s="58" t="s">
        <v>69</v>
      </c>
      <c r="AR34" s="58" t="s">
        <v>69</v>
      </c>
      <c r="AS34" s="58" t="s">
        <v>69</v>
      </c>
      <c r="AT34" s="58" t="s">
        <v>69</v>
      </c>
      <c r="AU34" s="58" t="s">
        <v>69</v>
      </c>
      <c r="AV34" s="58" t="s">
        <v>69</v>
      </c>
      <c r="AW34" s="58" t="s">
        <v>69</v>
      </c>
      <c r="AX34" s="58" t="s">
        <v>69</v>
      </c>
      <c r="AY34" s="58">
        <v>2</v>
      </c>
      <c r="AZ34" s="58" t="s">
        <v>69</v>
      </c>
      <c r="BA34" s="58" t="s">
        <v>69</v>
      </c>
      <c r="BB34" s="58">
        <v>2</v>
      </c>
      <c r="BC34" s="58" t="s">
        <v>69</v>
      </c>
      <c r="BD34" s="58" t="s">
        <v>69</v>
      </c>
      <c r="BE34" s="58">
        <v>2</v>
      </c>
      <c r="BF34" s="58" t="s">
        <v>69</v>
      </c>
      <c r="BG34" s="58" t="s">
        <v>69</v>
      </c>
      <c r="BH34" s="58" t="s">
        <v>69</v>
      </c>
      <c r="BI34" s="58">
        <v>2</v>
      </c>
      <c r="BJ34" s="58" t="s">
        <v>69</v>
      </c>
      <c r="BK34" s="58">
        <v>3</v>
      </c>
      <c r="BL34" s="58" t="s">
        <v>69</v>
      </c>
      <c r="BM34" s="58" t="s">
        <v>69</v>
      </c>
      <c r="BN34" s="58" t="s">
        <v>69</v>
      </c>
      <c r="BO34" s="58" t="s">
        <v>69</v>
      </c>
      <c r="BP34" s="58" t="s">
        <v>69</v>
      </c>
      <c r="BQ34" s="58" t="s">
        <v>69</v>
      </c>
      <c r="BR34" s="58" t="s">
        <v>69</v>
      </c>
      <c r="BS34" s="58" t="s">
        <v>69</v>
      </c>
      <c r="BT34" s="58" t="s">
        <v>69</v>
      </c>
      <c r="BU34" s="94">
        <v>4</v>
      </c>
      <c r="BV34" s="95">
        <f t="shared" si="0"/>
        <v>0.4358974358974359</v>
      </c>
      <c r="BW34" s="95">
        <f t="shared" si="1"/>
        <v>0.52941176470588236</v>
      </c>
    </row>
    <row r="35" spans="1:75" ht="41.25" customHeight="1">
      <c r="A35" s="48" t="s">
        <v>325</v>
      </c>
      <c r="B35" s="48" t="s">
        <v>326</v>
      </c>
      <c r="C35" s="48" t="s">
        <v>216</v>
      </c>
      <c r="D35" s="48" t="s">
        <v>434</v>
      </c>
      <c r="E35" s="57" t="s">
        <v>69</v>
      </c>
      <c r="F35" s="58">
        <v>1</v>
      </c>
      <c r="G35" s="58">
        <v>4</v>
      </c>
      <c r="H35" s="58" t="s">
        <v>69</v>
      </c>
      <c r="I35" s="58" t="s">
        <v>69</v>
      </c>
      <c r="J35" s="58" t="s">
        <v>69</v>
      </c>
      <c r="K35" s="58" t="s">
        <v>69</v>
      </c>
      <c r="L35" s="58" t="s">
        <v>69</v>
      </c>
      <c r="M35" s="58" t="s">
        <v>69</v>
      </c>
      <c r="N35" s="58" t="s">
        <v>69</v>
      </c>
      <c r="O35" s="58">
        <v>2</v>
      </c>
      <c r="P35" s="58">
        <v>2</v>
      </c>
      <c r="Q35" s="58" t="s">
        <v>69</v>
      </c>
      <c r="R35" s="58" t="s">
        <v>69</v>
      </c>
      <c r="S35" s="58" t="s">
        <v>69</v>
      </c>
      <c r="T35" s="58" t="s">
        <v>69</v>
      </c>
      <c r="U35" s="58">
        <v>3</v>
      </c>
      <c r="V35" s="58">
        <v>3</v>
      </c>
      <c r="W35" s="58" t="s">
        <v>69</v>
      </c>
      <c r="X35" s="58" t="s">
        <v>69</v>
      </c>
      <c r="Y35" s="58" t="s">
        <v>69</v>
      </c>
      <c r="Z35" s="58" t="s">
        <v>69</v>
      </c>
      <c r="AA35" s="58" t="s">
        <v>69</v>
      </c>
      <c r="AB35" s="58" t="s">
        <v>69</v>
      </c>
      <c r="AC35" s="58">
        <v>2</v>
      </c>
      <c r="AD35" s="58" t="s">
        <v>69</v>
      </c>
      <c r="AE35" s="58" t="s">
        <v>69</v>
      </c>
      <c r="AF35" s="58" t="s">
        <v>69</v>
      </c>
      <c r="AG35" s="58" t="s">
        <v>69</v>
      </c>
      <c r="AH35" s="58" t="s">
        <v>69</v>
      </c>
      <c r="AI35" s="58" t="s">
        <v>69</v>
      </c>
      <c r="AJ35" s="58" t="s">
        <v>69</v>
      </c>
      <c r="AK35" s="58" t="s">
        <v>69</v>
      </c>
      <c r="AL35" s="58" t="s">
        <v>69</v>
      </c>
      <c r="AM35" s="58">
        <v>2</v>
      </c>
      <c r="AN35" s="58" t="s">
        <v>69</v>
      </c>
      <c r="AO35" s="58" t="s">
        <v>69</v>
      </c>
      <c r="AP35" s="58" t="s">
        <v>69</v>
      </c>
      <c r="AQ35" s="58" t="s">
        <v>69</v>
      </c>
      <c r="AR35" s="58">
        <v>2</v>
      </c>
      <c r="AS35" s="58">
        <v>2</v>
      </c>
      <c r="AT35" s="58">
        <v>2</v>
      </c>
      <c r="AU35" s="58">
        <v>2</v>
      </c>
      <c r="AV35" s="58">
        <v>2</v>
      </c>
      <c r="AW35" s="58">
        <v>2</v>
      </c>
      <c r="AX35" s="58">
        <v>2</v>
      </c>
      <c r="AY35" s="58">
        <v>3</v>
      </c>
      <c r="AZ35" s="58" t="s">
        <v>69</v>
      </c>
      <c r="BA35" s="58" t="s">
        <v>69</v>
      </c>
      <c r="BB35" s="58" t="s">
        <v>69</v>
      </c>
      <c r="BC35" s="58" t="s">
        <v>69</v>
      </c>
      <c r="BD35" s="58" t="s">
        <v>69</v>
      </c>
      <c r="BE35" s="58">
        <v>2</v>
      </c>
      <c r="BF35" s="58">
        <v>2</v>
      </c>
      <c r="BG35" s="58" t="s">
        <v>69</v>
      </c>
      <c r="BH35" s="58" t="s">
        <v>69</v>
      </c>
      <c r="BI35" s="58" t="s">
        <v>69</v>
      </c>
      <c r="BJ35" s="58" t="s">
        <v>69</v>
      </c>
      <c r="BK35" s="58" t="s">
        <v>69</v>
      </c>
      <c r="BL35" s="58" t="s">
        <v>69</v>
      </c>
      <c r="BM35" s="58" t="s">
        <v>69</v>
      </c>
      <c r="BN35" s="58" t="s">
        <v>69</v>
      </c>
      <c r="BO35" s="58" t="s">
        <v>69</v>
      </c>
      <c r="BP35" s="58" t="s">
        <v>69</v>
      </c>
      <c r="BQ35" s="58" t="s">
        <v>69</v>
      </c>
      <c r="BR35" s="58" t="s">
        <v>69</v>
      </c>
      <c r="BS35" s="58" t="s">
        <v>69</v>
      </c>
      <c r="BT35" s="58" t="s">
        <v>69</v>
      </c>
      <c r="BU35" s="94">
        <v>4</v>
      </c>
      <c r="BV35" s="95">
        <f t="shared" si="0"/>
        <v>0.48717948717948717</v>
      </c>
      <c r="BW35" s="95">
        <f t="shared" si="1"/>
        <v>0.27777777777777779</v>
      </c>
    </row>
    <row r="36" spans="1:75" ht="41.25" customHeight="1">
      <c r="A36" s="48" t="s">
        <v>331</v>
      </c>
      <c r="B36" s="48" t="s">
        <v>332</v>
      </c>
      <c r="C36" s="48" t="s">
        <v>216</v>
      </c>
      <c r="D36" s="48" t="s">
        <v>434</v>
      </c>
      <c r="E36" s="57">
        <v>3</v>
      </c>
      <c r="F36" s="58">
        <v>2</v>
      </c>
      <c r="G36" s="58">
        <v>4</v>
      </c>
      <c r="H36" s="58" t="s">
        <v>69</v>
      </c>
      <c r="I36" s="58" t="s">
        <v>69</v>
      </c>
      <c r="J36" s="58">
        <v>2</v>
      </c>
      <c r="K36" s="58" t="s">
        <v>69</v>
      </c>
      <c r="L36" s="58">
        <v>2</v>
      </c>
      <c r="M36" s="58" t="s">
        <v>69</v>
      </c>
      <c r="N36" s="58" t="s">
        <v>69</v>
      </c>
      <c r="O36" s="58" t="s">
        <v>69</v>
      </c>
      <c r="P36" s="58">
        <v>2</v>
      </c>
      <c r="Q36" s="58" t="s">
        <v>69</v>
      </c>
      <c r="R36" s="58" t="s">
        <v>69</v>
      </c>
      <c r="S36" s="58" t="s">
        <v>69</v>
      </c>
      <c r="T36" s="58" t="s">
        <v>69</v>
      </c>
      <c r="U36" s="58">
        <v>4</v>
      </c>
      <c r="V36" s="58" t="s">
        <v>69</v>
      </c>
      <c r="W36" s="58" t="s">
        <v>69</v>
      </c>
      <c r="X36" s="58" t="s">
        <v>69</v>
      </c>
      <c r="Y36" s="58" t="s">
        <v>69</v>
      </c>
      <c r="Z36" s="58" t="s">
        <v>69</v>
      </c>
      <c r="AA36" s="58" t="s">
        <v>69</v>
      </c>
      <c r="AB36" s="58" t="s">
        <v>69</v>
      </c>
      <c r="AC36" s="58">
        <v>4</v>
      </c>
      <c r="AD36" s="58" t="s">
        <v>69</v>
      </c>
      <c r="AE36" s="58" t="s">
        <v>69</v>
      </c>
      <c r="AF36" s="58" t="s">
        <v>69</v>
      </c>
      <c r="AG36" s="58" t="s">
        <v>69</v>
      </c>
      <c r="AH36" s="58" t="s">
        <v>69</v>
      </c>
      <c r="AI36" s="58" t="s">
        <v>69</v>
      </c>
      <c r="AJ36" s="58" t="s">
        <v>69</v>
      </c>
      <c r="AK36" s="58" t="s">
        <v>69</v>
      </c>
      <c r="AL36" s="58">
        <v>2</v>
      </c>
      <c r="AM36" s="58" t="s">
        <v>69</v>
      </c>
      <c r="AN36" s="58">
        <v>4</v>
      </c>
      <c r="AO36" s="58">
        <v>4</v>
      </c>
      <c r="AP36" s="58">
        <v>4</v>
      </c>
      <c r="AQ36" s="58">
        <v>4</v>
      </c>
      <c r="AR36" s="58" t="s">
        <v>69</v>
      </c>
      <c r="AS36" s="58" t="s">
        <v>69</v>
      </c>
      <c r="AT36" s="58" t="s">
        <v>69</v>
      </c>
      <c r="AU36" s="58" t="s">
        <v>69</v>
      </c>
      <c r="AV36" s="58" t="s">
        <v>69</v>
      </c>
      <c r="AW36" s="58" t="s">
        <v>69</v>
      </c>
      <c r="AX36" s="58" t="s">
        <v>69</v>
      </c>
      <c r="AY36" s="58" t="s">
        <v>69</v>
      </c>
      <c r="AZ36" s="58" t="s">
        <v>69</v>
      </c>
      <c r="BA36" s="58" t="s">
        <v>69</v>
      </c>
      <c r="BB36" s="58" t="s">
        <v>69</v>
      </c>
      <c r="BC36" s="58" t="s">
        <v>69</v>
      </c>
      <c r="BD36" s="58">
        <v>2</v>
      </c>
      <c r="BE36" s="58" t="s">
        <v>69</v>
      </c>
      <c r="BF36" s="58" t="s">
        <v>69</v>
      </c>
      <c r="BG36" s="58" t="s">
        <v>69</v>
      </c>
      <c r="BH36" s="58" t="s">
        <v>69</v>
      </c>
      <c r="BI36" s="58" t="s">
        <v>69</v>
      </c>
      <c r="BJ36" s="58" t="s">
        <v>69</v>
      </c>
      <c r="BK36" s="58" t="s">
        <v>69</v>
      </c>
      <c r="BL36" s="58" t="s">
        <v>69</v>
      </c>
      <c r="BM36" s="58" t="s">
        <v>69</v>
      </c>
      <c r="BN36" s="58" t="s">
        <v>69</v>
      </c>
      <c r="BO36" s="58" t="s">
        <v>69</v>
      </c>
      <c r="BP36" s="58" t="s">
        <v>69</v>
      </c>
      <c r="BQ36" s="58" t="s">
        <v>69</v>
      </c>
      <c r="BR36" s="58" t="s">
        <v>69</v>
      </c>
      <c r="BS36" s="58" t="s">
        <v>69</v>
      </c>
      <c r="BT36" s="58" t="s">
        <v>69</v>
      </c>
      <c r="BU36" s="94">
        <v>4</v>
      </c>
      <c r="BV36" s="95">
        <f t="shared" si="0"/>
        <v>0.38461538461538464</v>
      </c>
      <c r="BW36" s="95">
        <f t="shared" si="1"/>
        <v>0.6</v>
      </c>
    </row>
    <row r="37" spans="1:75" ht="41.25" customHeight="1">
      <c r="A37" s="48" t="s">
        <v>333</v>
      </c>
      <c r="B37" s="48" t="s">
        <v>334</v>
      </c>
      <c r="C37" s="48" t="s">
        <v>214</v>
      </c>
      <c r="D37" s="48" t="s">
        <v>434</v>
      </c>
      <c r="E37" s="57">
        <v>3</v>
      </c>
      <c r="F37" s="58">
        <v>3</v>
      </c>
      <c r="G37" s="58" t="s">
        <v>69</v>
      </c>
      <c r="H37" s="58" t="s">
        <v>69</v>
      </c>
      <c r="I37" s="58" t="s">
        <v>69</v>
      </c>
      <c r="J37" s="58" t="s">
        <v>69</v>
      </c>
      <c r="K37" s="58">
        <v>4</v>
      </c>
      <c r="L37" s="58" t="s">
        <v>69</v>
      </c>
      <c r="M37" s="58" t="s">
        <v>69</v>
      </c>
      <c r="N37" s="58" t="s">
        <v>69</v>
      </c>
      <c r="O37" s="58">
        <v>3</v>
      </c>
      <c r="P37" s="58">
        <v>3</v>
      </c>
      <c r="Q37" s="58">
        <v>2</v>
      </c>
      <c r="R37" s="58" t="s">
        <v>69</v>
      </c>
      <c r="S37" s="58" t="s">
        <v>69</v>
      </c>
      <c r="T37" s="58" t="s">
        <v>69</v>
      </c>
      <c r="U37" s="58" t="s">
        <v>69</v>
      </c>
      <c r="V37" s="58" t="s">
        <v>69</v>
      </c>
      <c r="W37" s="58" t="s">
        <v>69</v>
      </c>
      <c r="X37" s="58" t="s">
        <v>69</v>
      </c>
      <c r="Y37" s="58" t="s">
        <v>69</v>
      </c>
      <c r="Z37" s="58" t="s">
        <v>69</v>
      </c>
      <c r="AA37" s="58" t="s">
        <v>69</v>
      </c>
      <c r="AB37" s="58" t="s">
        <v>69</v>
      </c>
      <c r="AC37" s="58" t="s">
        <v>69</v>
      </c>
      <c r="AD37" s="58" t="s">
        <v>69</v>
      </c>
      <c r="AE37" s="58" t="s">
        <v>69</v>
      </c>
      <c r="AF37" s="58" t="s">
        <v>69</v>
      </c>
      <c r="AG37" s="58" t="s">
        <v>69</v>
      </c>
      <c r="AH37" s="58" t="s">
        <v>69</v>
      </c>
      <c r="AI37" s="58">
        <v>4</v>
      </c>
      <c r="AJ37" s="58">
        <v>2</v>
      </c>
      <c r="AK37" s="58" t="s">
        <v>69</v>
      </c>
      <c r="AL37" s="58" t="s">
        <v>69</v>
      </c>
      <c r="AM37" s="58" t="s">
        <v>69</v>
      </c>
      <c r="AN37" s="58" t="s">
        <v>69</v>
      </c>
      <c r="AO37" s="58" t="s">
        <v>69</v>
      </c>
      <c r="AP37" s="58" t="s">
        <v>69</v>
      </c>
      <c r="AQ37" s="58" t="s">
        <v>69</v>
      </c>
      <c r="AR37" s="58" t="s">
        <v>69</v>
      </c>
      <c r="AS37" s="58">
        <v>2</v>
      </c>
      <c r="AT37" s="58">
        <v>2</v>
      </c>
      <c r="AU37" s="58">
        <v>2</v>
      </c>
      <c r="AV37" s="58">
        <v>2</v>
      </c>
      <c r="AW37" s="58">
        <v>2</v>
      </c>
      <c r="AX37" s="58">
        <v>2</v>
      </c>
      <c r="AY37" s="58" t="s">
        <v>69</v>
      </c>
      <c r="AZ37" s="58" t="s">
        <v>69</v>
      </c>
      <c r="BA37" s="58" t="s">
        <v>69</v>
      </c>
      <c r="BB37" s="58" t="s">
        <v>69</v>
      </c>
      <c r="BC37" s="58" t="s">
        <v>69</v>
      </c>
      <c r="BD37" s="58" t="s">
        <v>69</v>
      </c>
      <c r="BE37" s="58">
        <v>2</v>
      </c>
      <c r="BF37" s="58" t="s">
        <v>69</v>
      </c>
      <c r="BG37" s="58" t="s">
        <v>69</v>
      </c>
      <c r="BH37" s="58" t="s">
        <v>69</v>
      </c>
      <c r="BI37" s="58">
        <v>2</v>
      </c>
      <c r="BJ37" s="58" t="s">
        <v>69</v>
      </c>
      <c r="BK37" s="58" t="s">
        <v>69</v>
      </c>
      <c r="BL37" s="58" t="s">
        <v>69</v>
      </c>
      <c r="BM37" s="58" t="s">
        <v>69</v>
      </c>
      <c r="BN37" s="58" t="s">
        <v>69</v>
      </c>
      <c r="BO37" s="58" t="s">
        <v>69</v>
      </c>
      <c r="BP37" s="58" t="s">
        <v>69</v>
      </c>
      <c r="BQ37" s="58" t="s">
        <v>69</v>
      </c>
      <c r="BR37" s="58" t="s">
        <v>69</v>
      </c>
      <c r="BS37" s="58" t="s">
        <v>69</v>
      </c>
      <c r="BT37" s="58" t="s">
        <v>69</v>
      </c>
      <c r="BU37" s="94">
        <v>4</v>
      </c>
      <c r="BV37" s="95">
        <f t="shared" si="0"/>
        <v>0.4358974358974359</v>
      </c>
      <c r="BW37" s="95">
        <f t="shared" si="1"/>
        <v>0.41176470588235292</v>
      </c>
    </row>
    <row r="38" spans="1:75" ht="41.25" customHeight="1">
      <c r="A38" s="48" t="s">
        <v>335</v>
      </c>
      <c r="B38" s="48" t="s">
        <v>336</v>
      </c>
      <c r="C38" s="48" t="s">
        <v>214</v>
      </c>
      <c r="D38" s="48" t="s">
        <v>434</v>
      </c>
      <c r="E38" s="57">
        <v>3</v>
      </c>
      <c r="F38" s="58" t="s">
        <v>69</v>
      </c>
      <c r="G38" s="58" t="s">
        <v>69</v>
      </c>
      <c r="H38" s="58" t="s">
        <v>69</v>
      </c>
      <c r="I38" s="58">
        <v>2</v>
      </c>
      <c r="J38" s="58" t="s">
        <v>69</v>
      </c>
      <c r="K38" s="58" t="s">
        <v>69</v>
      </c>
      <c r="L38" s="58" t="s">
        <v>69</v>
      </c>
      <c r="M38" s="58" t="s">
        <v>69</v>
      </c>
      <c r="N38" s="58">
        <v>2</v>
      </c>
      <c r="O38" s="58" t="s">
        <v>69</v>
      </c>
      <c r="P38" s="58">
        <v>2</v>
      </c>
      <c r="Q38" s="58" t="s">
        <v>69</v>
      </c>
      <c r="R38" s="58">
        <v>4</v>
      </c>
      <c r="S38" s="58" t="s">
        <v>69</v>
      </c>
      <c r="T38" s="58" t="s">
        <v>69</v>
      </c>
      <c r="U38" s="58" t="s">
        <v>69</v>
      </c>
      <c r="V38" s="58" t="s">
        <v>69</v>
      </c>
      <c r="W38" s="58" t="s">
        <v>69</v>
      </c>
      <c r="X38" s="58" t="s">
        <v>69</v>
      </c>
      <c r="Y38" s="58" t="s">
        <v>69</v>
      </c>
      <c r="Z38" s="58" t="s">
        <v>69</v>
      </c>
      <c r="AA38" s="58" t="s">
        <v>69</v>
      </c>
      <c r="AB38" s="58" t="s">
        <v>69</v>
      </c>
      <c r="AC38" s="58" t="s">
        <v>69</v>
      </c>
      <c r="AD38" s="58" t="s">
        <v>69</v>
      </c>
      <c r="AE38" s="58" t="s">
        <v>69</v>
      </c>
      <c r="AF38" s="58" t="s">
        <v>69</v>
      </c>
      <c r="AG38" s="58" t="s">
        <v>69</v>
      </c>
      <c r="AH38" s="58" t="s">
        <v>69</v>
      </c>
      <c r="AI38" s="58" t="s">
        <v>69</v>
      </c>
      <c r="AJ38" s="58" t="s">
        <v>69</v>
      </c>
      <c r="AK38" s="58" t="s">
        <v>69</v>
      </c>
      <c r="AL38" s="58" t="s">
        <v>69</v>
      </c>
      <c r="AM38" s="58" t="s">
        <v>69</v>
      </c>
      <c r="AN38" s="58" t="s">
        <v>69</v>
      </c>
      <c r="AO38" s="58" t="s">
        <v>69</v>
      </c>
      <c r="AP38" s="58" t="s">
        <v>69</v>
      </c>
      <c r="AQ38" s="58" t="s">
        <v>69</v>
      </c>
      <c r="AR38" s="58" t="s">
        <v>69</v>
      </c>
      <c r="AS38" s="58" t="s">
        <v>69</v>
      </c>
      <c r="AT38" s="58" t="s">
        <v>69</v>
      </c>
      <c r="AU38" s="58" t="s">
        <v>69</v>
      </c>
      <c r="AV38" s="58" t="s">
        <v>69</v>
      </c>
      <c r="AW38" s="58" t="s">
        <v>69</v>
      </c>
      <c r="AX38" s="58" t="s">
        <v>69</v>
      </c>
      <c r="AY38" s="58">
        <v>3</v>
      </c>
      <c r="AZ38" s="58">
        <v>3</v>
      </c>
      <c r="BA38" s="58" t="s">
        <v>69</v>
      </c>
      <c r="BB38" s="58" t="s">
        <v>69</v>
      </c>
      <c r="BC38" s="58" t="s">
        <v>69</v>
      </c>
      <c r="BD38" s="58" t="s">
        <v>69</v>
      </c>
      <c r="BE38" s="58" t="s">
        <v>69</v>
      </c>
      <c r="BF38" s="58" t="s">
        <v>69</v>
      </c>
      <c r="BG38" s="58" t="s">
        <v>69</v>
      </c>
      <c r="BH38" s="58" t="s">
        <v>69</v>
      </c>
      <c r="BI38" s="58" t="s">
        <v>69</v>
      </c>
      <c r="BJ38" s="58" t="s">
        <v>69</v>
      </c>
      <c r="BK38" s="58" t="s">
        <v>69</v>
      </c>
      <c r="BL38" s="58" t="s">
        <v>69</v>
      </c>
      <c r="BM38" s="58" t="s">
        <v>69</v>
      </c>
      <c r="BN38" s="58" t="s">
        <v>69</v>
      </c>
      <c r="BO38" s="58" t="s">
        <v>69</v>
      </c>
      <c r="BP38" s="58" t="s">
        <v>69</v>
      </c>
      <c r="BQ38" s="58" t="s">
        <v>69</v>
      </c>
      <c r="BR38" s="58" t="s">
        <v>69</v>
      </c>
      <c r="BS38" s="58" t="s">
        <v>69</v>
      </c>
      <c r="BT38" s="58" t="s">
        <v>69</v>
      </c>
      <c r="BU38" s="94">
        <v>2</v>
      </c>
      <c r="BV38" s="95">
        <f t="shared" si="0"/>
        <v>0.20512820512820512</v>
      </c>
      <c r="BW38" s="95">
        <f t="shared" si="1"/>
        <v>0.5</v>
      </c>
    </row>
    <row r="39" spans="1:75" ht="41.25" customHeight="1">
      <c r="A39" s="48" t="s">
        <v>173</v>
      </c>
      <c r="B39" s="48" t="s">
        <v>174</v>
      </c>
      <c r="C39" s="48" t="s">
        <v>214</v>
      </c>
      <c r="D39" s="48" t="s">
        <v>434</v>
      </c>
      <c r="E39" s="57" t="s">
        <v>69</v>
      </c>
      <c r="F39" s="58" t="s">
        <v>69</v>
      </c>
      <c r="G39" s="58">
        <v>2</v>
      </c>
      <c r="H39" s="58" t="s">
        <v>69</v>
      </c>
      <c r="I39" s="58" t="s">
        <v>69</v>
      </c>
      <c r="J39" s="58" t="s">
        <v>69</v>
      </c>
      <c r="K39" s="58" t="s">
        <v>69</v>
      </c>
      <c r="L39" s="58" t="s">
        <v>69</v>
      </c>
      <c r="M39" s="58" t="s">
        <v>69</v>
      </c>
      <c r="N39" s="58" t="s">
        <v>69</v>
      </c>
      <c r="O39" s="58">
        <v>3</v>
      </c>
      <c r="P39" s="58" t="s">
        <v>69</v>
      </c>
      <c r="Q39" s="58" t="s">
        <v>69</v>
      </c>
      <c r="R39" s="58">
        <v>3</v>
      </c>
      <c r="S39" s="58" t="s">
        <v>69</v>
      </c>
      <c r="T39" s="58" t="s">
        <v>69</v>
      </c>
      <c r="U39" s="58" t="s">
        <v>69</v>
      </c>
      <c r="V39" s="58">
        <v>3</v>
      </c>
      <c r="W39" s="58">
        <v>2</v>
      </c>
      <c r="X39" s="58" t="s">
        <v>69</v>
      </c>
      <c r="Y39" s="58" t="s">
        <v>69</v>
      </c>
      <c r="Z39" s="58" t="s">
        <v>69</v>
      </c>
      <c r="AA39" s="58" t="s">
        <v>69</v>
      </c>
      <c r="AB39" s="58" t="s">
        <v>69</v>
      </c>
      <c r="AC39" s="58">
        <v>2</v>
      </c>
      <c r="AD39" s="58" t="s">
        <v>69</v>
      </c>
      <c r="AE39" s="58" t="s">
        <v>69</v>
      </c>
      <c r="AF39" s="58" t="s">
        <v>69</v>
      </c>
      <c r="AG39" s="58" t="s">
        <v>69</v>
      </c>
      <c r="AH39" s="58" t="s">
        <v>69</v>
      </c>
      <c r="AI39" s="58" t="s">
        <v>69</v>
      </c>
      <c r="AJ39" s="58">
        <v>3</v>
      </c>
      <c r="AK39" s="58">
        <v>2</v>
      </c>
      <c r="AL39" s="58" t="s">
        <v>69</v>
      </c>
      <c r="AM39" s="58" t="s">
        <v>69</v>
      </c>
      <c r="AN39" s="58">
        <v>3</v>
      </c>
      <c r="AO39" s="58" t="s">
        <v>69</v>
      </c>
      <c r="AP39" s="58" t="s">
        <v>69</v>
      </c>
      <c r="AQ39" s="58" t="s">
        <v>69</v>
      </c>
      <c r="AR39" s="58">
        <v>2</v>
      </c>
      <c r="AS39" s="58">
        <v>2</v>
      </c>
      <c r="AT39" s="58" t="s">
        <v>69</v>
      </c>
      <c r="AU39" s="58" t="s">
        <v>69</v>
      </c>
      <c r="AV39" s="58">
        <v>2</v>
      </c>
      <c r="AW39" s="58">
        <v>2</v>
      </c>
      <c r="AX39" s="58" t="s">
        <v>69</v>
      </c>
      <c r="AY39" s="58">
        <v>3</v>
      </c>
      <c r="AZ39" s="58">
        <v>3</v>
      </c>
      <c r="BA39" s="58" t="s">
        <v>69</v>
      </c>
      <c r="BB39" s="58" t="s">
        <v>69</v>
      </c>
      <c r="BC39" s="58" t="s">
        <v>69</v>
      </c>
      <c r="BD39" s="58" t="s">
        <v>69</v>
      </c>
      <c r="BE39" s="58" t="s">
        <v>69</v>
      </c>
      <c r="BF39" s="58" t="s">
        <v>69</v>
      </c>
      <c r="BG39" s="58" t="s">
        <v>69</v>
      </c>
      <c r="BH39" s="58" t="s">
        <v>69</v>
      </c>
      <c r="BI39" s="58" t="s">
        <v>69</v>
      </c>
      <c r="BJ39" s="58" t="s">
        <v>69</v>
      </c>
      <c r="BK39" s="58" t="s">
        <v>69</v>
      </c>
      <c r="BL39" s="58">
        <v>2</v>
      </c>
      <c r="BM39" s="58">
        <v>2</v>
      </c>
      <c r="BN39" s="58">
        <v>2</v>
      </c>
      <c r="BO39" s="58" t="s">
        <v>69</v>
      </c>
      <c r="BP39" s="58" t="s">
        <v>69</v>
      </c>
      <c r="BQ39" s="58" t="s">
        <v>69</v>
      </c>
      <c r="BR39" s="58" t="s">
        <v>69</v>
      </c>
      <c r="BS39" s="58" t="s">
        <v>69</v>
      </c>
      <c r="BT39" s="58" t="s">
        <v>69</v>
      </c>
      <c r="BU39" s="94">
        <v>3</v>
      </c>
      <c r="BV39" s="95">
        <f t="shared" si="0"/>
        <v>0.48717948717948717</v>
      </c>
      <c r="BW39" s="95">
        <f t="shared" si="1"/>
        <v>0.42105263157894735</v>
      </c>
    </row>
    <row r="40" spans="1:75" ht="41.25" customHeight="1">
      <c r="A40" s="48" t="s">
        <v>337</v>
      </c>
      <c r="B40" s="48" t="s">
        <v>338</v>
      </c>
      <c r="C40" s="48" t="s">
        <v>214</v>
      </c>
      <c r="D40" s="48" t="s">
        <v>434</v>
      </c>
      <c r="E40" s="57">
        <v>2</v>
      </c>
      <c r="F40" s="58">
        <v>2</v>
      </c>
      <c r="G40" s="58" t="s">
        <v>69</v>
      </c>
      <c r="H40" s="58" t="s">
        <v>69</v>
      </c>
      <c r="I40" s="58" t="s">
        <v>69</v>
      </c>
      <c r="J40" s="58" t="s">
        <v>69</v>
      </c>
      <c r="K40" s="58" t="s">
        <v>69</v>
      </c>
      <c r="L40" s="58">
        <v>4</v>
      </c>
      <c r="M40" s="58">
        <v>4</v>
      </c>
      <c r="N40" s="58" t="s">
        <v>69</v>
      </c>
      <c r="O40" s="58">
        <v>3</v>
      </c>
      <c r="P40" s="58" t="s">
        <v>69</v>
      </c>
      <c r="Q40" s="58" t="s">
        <v>69</v>
      </c>
      <c r="R40" s="58" t="s">
        <v>69</v>
      </c>
      <c r="S40" s="58" t="s">
        <v>69</v>
      </c>
      <c r="T40" s="58" t="s">
        <v>69</v>
      </c>
      <c r="U40" s="58" t="s">
        <v>69</v>
      </c>
      <c r="V40" s="58" t="s">
        <v>69</v>
      </c>
      <c r="W40" s="58" t="s">
        <v>69</v>
      </c>
      <c r="X40" s="58" t="s">
        <v>69</v>
      </c>
      <c r="Y40" s="58" t="s">
        <v>69</v>
      </c>
      <c r="Z40" s="58" t="s">
        <v>69</v>
      </c>
      <c r="AA40" s="58" t="s">
        <v>69</v>
      </c>
      <c r="AB40" s="58" t="s">
        <v>69</v>
      </c>
      <c r="AC40" s="58" t="s">
        <v>69</v>
      </c>
      <c r="AD40" s="58" t="s">
        <v>69</v>
      </c>
      <c r="AE40" s="58" t="s">
        <v>69</v>
      </c>
      <c r="AF40" s="58" t="s">
        <v>69</v>
      </c>
      <c r="AG40" s="58" t="s">
        <v>69</v>
      </c>
      <c r="AH40" s="58" t="s">
        <v>69</v>
      </c>
      <c r="AI40" s="58" t="s">
        <v>69</v>
      </c>
      <c r="AJ40" s="58" t="s">
        <v>69</v>
      </c>
      <c r="AK40" s="58" t="s">
        <v>69</v>
      </c>
      <c r="AL40" s="58">
        <v>1</v>
      </c>
      <c r="AM40" s="58" t="s">
        <v>69</v>
      </c>
      <c r="AN40" s="58" t="s">
        <v>69</v>
      </c>
      <c r="AO40" s="58" t="s">
        <v>69</v>
      </c>
      <c r="AP40" s="58" t="s">
        <v>69</v>
      </c>
      <c r="AQ40" s="58" t="s">
        <v>69</v>
      </c>
      <c r="AR40" s="58">
        <v>3</v>
      </c>
      <c r="AS40" s="58" t="s">
        <v>69</v>
      </c>
      <c r="AT40" s="58" t="s">
        <v>69</v>
      </c>
      <c r="AU40" s="58">
        <v>3</v>
      </c>
      <c r="AV40" s="58">
        <v>3</v>
      </c>
      <c r="AW40" s="58">
        <v>3</v>
      </c>
      <c r="AX40" s="58" t="s">
        <v>69</v>
      </c>
      <c r="AY40" s="58">
        <v>3</v>
      </c>
      <c r="AZ40" s="58">
        <v>3</v>
      </c>
      <c r="BA40" s="58" t="s">
        <v>69</v>
      </c>
      <c r="BB40" s="58" t="s">
        <v>69</v>
      </c>
      <c r="BC40" s="58" t="s">
        <v>69</v>
      </c>
      <c r="BD40" s="58">
        <v>2</v>
      </c>
      <c r="BE40" s="58" t="s">
        <v>69</v>
      </c>
      <c r="BF40" s="58" t="s">
        <v>69</v>
      </c>
      <c r="BG40" s="58" t="s">
        <v>69</v>
      </c>
      <c r="BH40" s="58" t="s">
        <v>69</v>
      </c>
      <c r="BI40" s="58" t="s">
        <v>69</v>
      </c>
      <c r="BJ40" s="58" t="s">
        <v>69</v>
      </c>
      <c r="BK40" s="58" t="s">
        <v>69</v>
      </c>
      <c r="BL40" s="58" t="s">
        <v>69</v>
      </c>
      <c r="BM40" s="58" t="s">
        <v>69</v>
      </c>
      <c r="BN40" s="58" t="s">
        <v>69</v>
      </c>
      <c r="BO40" s="58" t="s">
        <v>69</v>
      </c>
      <c r="BP40" s="58" t="s">
        <v>69</v>
      </c>
      <c r="BQ40" s="58" t="s">
        <v>69</v>
      </c>
      <c r="BR40" s="58" t="s">
        <v>69</v>
      </c>
      <c r="BS40" s="58" t="s">
        <v>69</v>
      </c>
      <c r="BT40" s="58" t="s">
        <v>69</v>
      </c>
      <c r="BU40" s="94">
        <v>2</v>
      </c>
      <c r="BV40" s="95">
        <f t="shared" si="0"/>
        <v>0.35897435897435898</v>
      </c>
      <c r="BW40" s="95">
        <f t="shared" si="1"/>
        <v>0.69230769230769229</v>
      </c>
    </row>
    <row r="41" spans="1:75" ht="41.25" customHeight="1">
      <c r="A41" s="48" t="s">
        <v>339</v>
      </c>
      <c r="B41" s="48" t="s">
        <v>340</v>
      </c>
      <c r="C41" s="48" t="s">
        <v>216</v>
      </c>
      <c r="D41" s="48" t="s">
        <v>434</v>
      </c>
      <c r="E41" s="57">
        <v>4</v>
      </c>
      <c r="F41" s="58">
        <v>4</v>
      </c>
      <c r="G41" s="58" t="s">
        <v>69</v>
      </c>
      <c r="H41" s="58" t="s">
        <v>69</v>
      </c>
      <c r="I41" s="58" t="s">
        <v>69</v>
      </c>
      <c r="J41" s="58" t="s">
        <v>69</v>
      </c>
      <c r="K41" s="58" t="s">
        <v>69</v>
      </c>
      <c r="L41" s="58" t="s">
        <v>69</v>
      </c>
      <c r="M41" s="58" t="s">
        <v>69</v>
      </c>
      <c r="N41" s="58" t="s">
        <v>69</v>
      </c>
      <c r="O41" s="58">
        <v>4</v>
      </c>
      <c r="P41" s="58">
        <v>4</v>
      </c>
      <c r="Q41" s="58">
        <v>4</v>
      </c>
      <c r="R41" s="58" t="s">
        <v>69</v>
      </c>
      <c r="S41" s="58" t="s">
        <v>69</v>
      </c>
      <c r="T41" s="58" t="s">
        <v>69</v>
      </c>
      <c r="U41" s="58" t="s">
        <v>69</v>
      </c>
      <c r="V41" s="58" t="s">
        <v>69</v>
      </c>
      <c r="W41" s="58" t="s">
        <v>69</v>
      </c>
      <c r="X41" s="58" t="s">
        <v>69</v>
      </c>
      <c r="Y41" s="58" t="s">
        <v>69</v>
      </c>
      <c r="Z41" s="58" t="s">
        <v>69</v>
      </c>
      <c r="AA41" s="58" t="s">
        <v>69</v>
      </c>
      <c r="AB41" s="58" t="s">
        <v>69</v>
      </c>
      <c r="AC41" s="58" t="s">
        <v>69</v>
      </c>
      <c r="AD41" s="58" t="s">
        <v>69</v>
      </c>
      <c r="AE41" s="58" t="s">
        <v>69</v>
      </c>
      <c r="AF41" s="58" t="s">
        <v>69</v>
      </c>
      <c r="AG41" s="58" t="s">
        <v>69</v>
      </c>
      <c r="AH41" s="58" t="s">
        <v>69</v>
      </c>
      <c r="AI41" s="58" t="s">
        <v>69</v>
      </c>
      <c r="AJ41" s="58" t="s">
        <v>69</v>
      </c>
      <c r="AK41" s="58" t="s">
        <v>69</v>
      </c>
      <c r="AL41" s="58" t="s">
        <v>69</v>
      </c>
      <c r="AM41" s="58" t="s">
        <v>69</v>
      </c>
      <c r="AN41" s="58" t="s">
        <v>69</v>
      </c>
      <c r="AO41" s="58" t="s">
        <v>69</v>
      </c>
      <c r="AP41" s="58" t="s">
        <v>69</v>
      </c>
      <c r="AQ41" s="58" t="s">
        <v>69</v>
      </c>
      <c r="AR41" s="58" t="s">
        <v>69</v>
      </c>
      <c r="AS41" s="58">
        <v>2</v>
      </c>
      <c r="AT41" s="58">
        <v>2</v>
      </c>
      <c r="AU41" s="58">
        <v>2</v>
      </c>
      <c r="AV41" s="58">
        <v>2</v>
      </c>
      <c r="AW41" s="58">
        <v>2</v>
      </c>
      <c r="AX41" s="58" t="s">
        <v>69</v>
      </c>
      <c r="AY41" s="58" t="s">
        <v>69</v>
      </c>
      <c r="AZ41" s="58">
        <v>3</v>
      </c>
      <c r="BA41" s="58">
        <v>4</v>
      </c>
      <c r="BB41" s="58">
        <v>2</v>
      </c>
      <c r="BC41" s="58" t="s">
        <v>69</v>
      </c>
      <c r="BD41" s="58" t="s">
        <v>69</v>
      </c>
      <c r="BE41" s="58" t="s">
        <v>69</v>
      </c>
      <c r="BF41" s="58" t="s">
        <v>69</v>
      </c>
      <c r="BG41" s="58" t="s">
        <v>69</v>
      </c>
      <c r="BH41" s="58" t="s">
        <v>69</v>
      </c>
      <c r="BI41" s="58" t="s">
        <v>69</v>
      </c>
      <c r="BJ41" s="58" t="s">
        <v>69</v>
      </c>
      <c r="BK41" s="58" t="s">
        <v>69</v>
      </c>
      <c r="BL41" s="58">
        <v>2</v>
      </c>
      <c r="BM41" s="58">
        <v>2</v>
      </c>
      <c r="BN41" s="58">
        <v>2</v>
      </c>
      <c r="BO41" s="58" t="s">
        <v>69</v>
      </c>
      <c r="BP41" s="58" t="s">
        <v>69</v>
      </c>
      <c r="BQ41" s="58" t="s">
        <v>69</v>
      </c>
      <c r="BR41" s="58" t="s">
        <v>69</v>
      </c>
      <c r="BS41" s="58" t="s">
        <v>69</v>
      </c>
      <c r="BT41" s="58" t="s">
        <v>69</v>
      </c>
      <c r="BU41" s="94">
        <v>3</v>
      </c>
      <c r="BV41" s="95">
        <f t="shared" si="0"/>
        <v>0.4358974358974359</v>
      </c>
      <c r="BW41" s="95">
        <f t="shared" si="1"/>
        <v>0.47058823529411764</v>
      </c>
    </row>
    <row r="42" spans="1:75" ht="41.25" customHeight="1">
      <c r="A42" s="48" t="s">
        <v>341</v>
      </c>
      <c r="B42" s="48" t="s">
        <v>342</v>
      </c>
      <c r="C42" s="48" t="s">
        <v>216</v>
      </c>
      <c r="D42" s="48" t="s">
        <v>434</v>
      </c>
      <c r="E42" s="57">
        <v>4</v>
      </c>
      <c r="F42" s="58">
        <v>4</v>
      </c>
      <c r="G42" s="58">
        <v>4</v>
      </c>
      <c r="H42" s="58" t="s">
        <v>69</v>
      </c>
      <c r="I42" s="58" t="s">
        <v>69</v>
      </c>
      <c r="J42" s="58">
        <v>3</v>
      </c>
      <c r="K42" s="58">
        <v>3</v>
      </c>
      <c r="L42" s="58" t="s">
        <v>69</v>
      </c>
      <c r="M42" s="58">
        <v>3</v>
      </c>
      <c r="N42" s="58">
        <v>2</v>
      </c>
      <c r="O42" s="58">
        <v>4</v>
      </c>
      <c r="P42" s="58">
        <v>3</v>
      </c>
      <c r="Q42" s="58" t="s">
        <v>69</v>
      </c>
      <c r="R42" s="58" t="s">
        <v>69</v>
      </c>
      <c r="S42" s="58" t="s">
        <v>69</v>
      </c>
      <c r="T42" s="58" t="s">
        <v>69</v>
      </c>
      <c r="U42" s="58" t="s">
        <v>69</v>
      </c>
      <c r="V42" s="58" t="s">
        <v>69</v>
      </c>
      <c r="W42" s="58">
        <v>3</v>
      </c>
      <c r="X42" s="58" t="s">
        <v>69</v>
      </c>
      <c r="Y42" s="58" t="s">
        <v>69</v>
      </c>
      <c r="Z42" s="58" t="s">
        <v>69</v>
      </c>
      <c r="AA42" s="58" t="s">
        <v>69</v>
      </c>
      <c r="AB42" s="58" t="s">
        <v>69</v>
      </c>
      <c r="AC42" s="58" t="s">
        <v>69</v>
      </c>
      <c r="AD42" s="58" t="s">
        <v>69</v>
      </c>
      <c r="AE42" s="58" t="s">
        <v>69</v>
      </c>
      <c r="AF42" s="58" t="s">
        <v>69</v>
      </c>
      <c r="AG42" s="58" t="s">
        <v>69</v>
      </c>
      <c r="AH42" s="58" t="s">
        <v>69</v>
      </c>
      <c r="AI42" s="58" t="s">
        <v>69</v>
      </c>
      <c r="AJ42" s="58" t="s">
        <v>69</v>
      </c>
      <c r="AK42" s="58" t="s">
        <v>69</v>
      </c>
      <c r="AL42" s="58" t="s">
        <v>69</v>
      </c>
      <c r="AM42" s="58" t="s">
        <v>69</v>
      </c>
      <c r="AN42" s="58" t="s">
        <v>69</v>
      </c>
      <c r="AO42" s="58" t="s">
        <v>69</v>
      </c>
      <c r="AP42" s="58" t="s">
        <v>69</v>
      </c>
      <c r="AQ42" s="58" t="s">
        <v>69</v>
      </c>
      <c r="AR42" s="58" t="s">
        <v>69</v>
      </c>
      <c r="AS42" s="58" t="s">
        <v>69</v>
      </c>
      <c r="AT42" s="58" t="s">
        <v>69</v>
      </c>
      <c r="AU42" s="58">
        <v>2</v>
      </c>
      <c r="AV42" s="58" t="s">
        <v>69</v>
      </c>
      <c r="AW42" s="58">
        <v>2</v>
      </c>
      <c r="AX42" s="58" t="s">
        <v>69</v>
      </c>
      <c r="AY42" s="58">
        <v>2</v>
      </c>
      <c r="AZ42" s="58" t="s">
        <v>69</v>
      </c>
      <c r="BA42" s="58" t="s">
        <v>69</v>
      </c>
      <c r="BB42" s="58" t="s">
        <v>69</v>
      </c>
      <c r="BC42" s="58" t="s">
        <v>69</v>
      </c>
      <c r="BD42" s="58">
        <v>2</v>
      </c>
      <c r="BE42" s="58">
        <v>2</v>
      </c>
      <c r="BF42" s="58" t="s">
        <v>69</v>
      </c>
      <c r="BG42" s="58">
        <v>1</v>
      </c>
      <c r="BH42" s="58"/>
      <c r="BI42" s="58"/>
      <c r="BJ42" s="58" t="s">
        <v>69</v>
      </c>
      <c r="BK42" s="58" t="s">
        <v>69</v>
      </c>
      <c r="BL42" s="58" t="s">
        <v>69</v>
      </c>
      <c r="BM42" s="58" t="s">
        <v>69</v>
      </c>
      <c r="BN42" s="58">
        <v>3</v>
      </c>
      <c r="BO42" s="58" t="s">
        <v>69</v>
      </c>
      <c r="BP42" s="58" t="s">
        <v>69</v>
      </c>
      <c r="BQ42" s="58" t="s">
        <v>69</v>
      </c>
      <c r="BR42" s="58" t="s">
        <v>69</v>
      </c>
      <c r="BS42" s="58" t="s">
        <v>69</v>
      </c>
      <c r="BT42" s="58" t="s">
        <v>69</v>
      </c>
      <c r="BU42" s="94">
        <v>4</v>
      </c>
      <c r="BV42" s="95">
        <f t="shared" si="0"/>
        <v>0.46153846153846156</v>
      </c>
      <c r="BW42" s="95">
        <f t="shared" si="1"/>
        <v>0.6470588235294118</v>
      </c>
    </row>
    <row r="43" spans="1:75" ht="41.25" customHeight="1">
      <c r="A43" s="48" t="s">
        <v>343</v>
      </c>
      <c r="B43" s="48" t="s">
        <v>344</v>
      </c>
      <c r="C43" s="48" t="s">
        <v>217</v>
      </c>
      <c r="D43" s="48" t="s">
        <v>434</v>
      </c>
      <c r="E43" s="57">
        <v>2</v>
      </c>
      <c r="F43" s="58">
        <v>2</v>
      </c>
      <c r="G43" s="58">
        <v>2</v>
      </c>
      <c r="H43" s="58" t="s">
        <v>69</v>
      </c>
      <c r="I43" s="58" t="s">
        <v>69</v>
      </c>
      <c r="J43" s="58" t="s">
        <v>69</v>
      </c>
      <c r="K43" s="58" t="s">
        <v>69</v>
      </c>
      <c r="L43" s="58" t="s">
        <v>69</v>
      </c>
      <c r="M43" s="58" t="s">
        <v>69</v>
      </c>
      <c r="N43" s="58" t="s">
        <v>69</v>
      </c>
      <c r="O43" s="58">
        <v>2</v>
      </c>
      <c r="P43" s="58" t="s">
        <v>69</v>
      </c>
      <c r="Q43" s="58" t="s">
        <v>69</v>
      </c>
      <c r="R43" s="58" t="s">
        <v>69</v>
      </c>
      <c r="S43" s="58" t="s">
        <v>69</v>
      </c>
      <c r="T43" s="58" t="s">
        <v>69</v>
      </c>
      <c r="U43" s="58" t="s">
        <v>69</v>
      </c>
      <c r="V43" s="58" t="s">
        <v>69</v>
      </c>
      <c r="W43" s="58">
        <v>2</v>
      </c>
      <c r="X43" s="58" t="s">
        <v>69</v>
      </c>
      <c r="Y43" s="58" t="s">
        <v>69</v>
      </c>
      <c r="Z43" s="58" t="s">
        <v>69</v>
      </c>
      <c r="AA43" s="58" t="s">
        <v>69</v>
      </c>
      <c r="AB43" s="58" t="s">
        <v>69</v>
      </c>
      <c r="AC43" s="58" t="s">
        <v>69</v>
      </c>
      <c r="AD43" s="58" t="s">
        <v>69</v>
      </c>
      <c r="AE43" s="58" t="s">
        <v>69</v>
      </c>
      <c r="AF43" s="58" t="s">
        <v>69</v>
      </c>
      <c r="AG43" s="58" t="s">
        <v>69</v>
      </c>
      <c r="AH43" s="58" t="s">
        <v>69</v>
      </c>
      <c r="AI43" s="58" t="s">
        <v>69</v>
      </c>
      <c r="AJ43" s="58">
        <v>3</v>
      </c>
      <c r="AK43" s="58" t="s">
        <v>69</v>
      </c>
      <c r="AL43" s="58" t="s">
        <v>69</v>
      </c>
      <c r="AM43" s="58" t="s">
        <v>69</v>
      </c>
      <c r="AN43" s="58" t="s">
        <v>69</v>
      </c>
      <c r="AO43" s="58" t="s">
        <v>69</v>
      </c>
      <c r="AP43" s="58">
        <v>3</v>
      </c>
      <c r="AQ43" s="58">
        <v>3</v>
      </c>
      <c r="AR43" s="58" t="s">
        <v>69</v>
      </c>
      <c r="AS43" s="58" t="s">
        <v>69</v>
      </c>
      <c r="AT43" s="58" t="s">
        <v>69</v>
      </c>
      <c r="AU43" s="58" t="s">
        <v>69</v>
      </c>
      <c r="AV43" s="58" t="s">
        <v>69</v>
      </c>
      <c r="AW43" s="58" t="s">
        <v>69</v>
      </c>
      <c r="AX43" s="58" t="s">
        <v>69</v>
      </c>
      <c r="AY43" s="58" t="s">
        <v>69</v>
      </c>
      <c r="AZ43" s="58" t="s">
        <v>69</v>
      </c>
      <c r="BA43" s="58" t="s">
        <v>69</v>
      </c>
      <c r="BB43" s="58" t="s">
        <v>69</v>
      </c>
      <c r="BC43" s="58" t="s">
        <v>69</v>
      </c>
      <c r="BD43" s="58" t="s">
        <v>69</v>
      </c>
      <c r="BE43" s="58" t="s">
        <v>69</v>
      </c>
      <c r="BF43" s="58" t="s">
        <v>69</v>
      </c>
      <c r="BG43" s="58" t="s">
        <v>69</v>
      </c>
      <c r="BH43" s="58" t="s">
        <v>69</v>
      </c>
      <c r="BI43" s="58" t="s">
        <v>69</v>
      </c>
      <c r="BJ43" s="58" t="s">
        <v>69</v>
      </c>
      <c r="BK43" s="58" t="s">
        <v>69</v>
      </c>
      <c r="BL43" s="58" t="s">
        <v>69</v>
      </c>
      <c r="BM43" s="58" t="s">
        <v>69</v>
      </c>
      <c r="BN43" s="58" t="s">
        <v>69</v>
      </c>
      <c r="BO43" s="58" t="s">
        <v>69</v>
      </c>
      <c r="BP43" s="58" t="s">
        <v>69</v>
      </c>
      <c r="BQ43" s="58" t="s">
        <v>69</v>
      </c>
      <c r="BR43" s="58" t="s">
        <v>69</v>
      </c>
      <c r="BS43" s="58" t="s">
        <v>69</v>
      </c>
      <c r="BT43" s="58" t="s">
        <v>69</v>
      </c>
      <c r="BU43" s="94">
        <v>2</v>
      </c>
      <c r="BV43" s="95">
        <f t="shared" si="0"/>
        <v>0.23076923076923078</v>
      </c>
      <c r="BW43" s="95">
        <f t="shared" si="1"/>
        <v>0.33333333333333331</v>
      </c>
    </row>
    <row r="44" spans="1:75" ht="41.25" customHeight="1">
      <c r="A44" s="48" t="s">
        <v>345</v>
      </c>
      <c r="B44" s="48" t="s">
        <v>346</v>
      </c>
      <c r="C44" s="48" t="s">
        <v>217</v>
      </c>
      <c r="D44" s="48" t="s">
        <v>434</v>
      </c>
      <c r="E44" s="57">
        <v>3</v>
      </c>
      <c r="F44" s="58" t="s">
        <v>69</v>
      </c>
      <c r="G44" s="58" t="s">
        <v>69</v>
      </c>
      <c r="H44" s="58" t="s">
        <v>69</v>
      </c>
      <c r="I44" s="58" t="s">
        <v>69</v>
      </c>
      <c r="J44" s="58">
        <v>4</v>
      </c>
      <c r="K44" s="58">
        <v>4</v>
      </c>
      <c r="L44" s="58" t="s">
        <v>69</v>
      </c>
      <c r="M44" s="58">
        <v>2</v>
      </c>
      <c r="N44" s="58">
        <v>2</v>
      </c>
      <c r="O44" s="58">
        <v>3</v>
      </c>
      <c r="P44" s="58" t="s">
        <v>69</v>
      </c>
      <c r="Q44" s="58">
        <v>1</v>
      </c>
      <c r="R44" s="58">
        <v>4</v>
      </c>
      <c r="S44" s="58" t="s">
        <v>69</v>
      </c>
      <c r="T44" s="58" t="s">
        <v>69</v>
      </c>
      <c r="U44" s="58">
        <v>2</v>
      </c>
      <c r="V44" s="58" t="s">
        <v>69</v>
      </c>
      <c r="W44" s="58">
        <v>3</v>
      </c>
      <c r="X44" s="58" t="s">
        <v>69</v>
      </c>
      <c r="Y44" s="58" t="s">
        <v>69</v>
      </c>
      <c r="Z44" s="58" t="s">
        <v>69</v>
      </c>
      <c r="AA44" s="58" t="s">
        <v>69</v>
      </c>
      <c r="AB44" s="58" t="s">
        <v>69</v>
      </c>
      <c r="AC44" s="58" t="s">
        <v>69</v>
      </c>
      <c r="AD44" s="58" t="s">
        <v>69</v>
      </c>
      <c r="AE44" s="58" t="s">
        <v>69</v>
      </c>
      <c r="AF44" s="58" t="s">
        <v>69</v>
      </c>
      <c r="AG44" s="58" t="s">
        <v>69</v>
      </c>
      <c r="AH44" s="58" t="s">
        <v>69</v>
      </c>
      <c r="AI44" s="58" t="s">
        <v>69</v>
      </c>
      <c r="AJ44" s="58" t="s">
        <v>69</v>
      </c>
      <c r="AK44" s="58" t="s">
        <v>69</v>
      </c>
      <c r="AL44" s="58" t="s">
        <v>69</v>
      </c>
      <c r="AM44" s="58" t="s">
        <v>69</v>
      </c>
      <c r="AN44" s="58" t="s">
        <v>69</v>
      </c>
      <c r="AO44" s="58" t="s">
        <v>69</v>
      </c>
      <c r="AP44" s="58" t="s">
        <v>69</v>
      </c>
      <c r="AQ44" s="58" t="s">
        <v>69</v>
      </c>
      <c r="AR44" s="58" t="s">
        <v>69</v>
      </c>
      <c r="AS44" s="58" t="s">
        <v>69</v>
      </c>
      <c r="AT44" s="58" t="s">
        <v>69</v>
      </c>
      <c r="AU44" s="58" t="s">
        <v>69</v>
      </c>
      <c r="AV44" s="58" t="s">
        <v>69</v>
      </c>
      <c r="AW44" s="58" t="s">
        <v>69</v>
      </c>
      <c r="AX44" s="58" t="s">
        <v>69</v>
      </c>
      <c r="AY44" s="58">
        <v>2</v>
      </c>
      <c r="AZ44" s="58" t="s">
        <v>69</v>
      </c>
      <c r="BA44" s="58">
        <v>3</v>
      </c>
      <c r="BB44" s="58">
        <v>2</v>
      </c>
      <c r="BC44" s="58" t="s">
        <v>69</v>
      </c>
      <c r="BD44" s="58">
        <v>4</v>
      </c>
      <c r="BE44" s="58" t="s">
        <v>69</v>
      </c>
      <c r="BF44" s="58">
        <v>4</v>
      </c>
      <c r="BG44" s="58">
        <v>1</v>
      </c>
      <c r="BH44" s="58"/>
      <c r="BI44" s="58" t="s">
        <v>69</v>
      </c>
      <c r="BJ44" s="58" t="s">
        <v>69</v>
      </c>
      <c r="BK44" s="58" t="s">
        <v>69</v>
      </c>
      <c r="BL44" s="58" t="s">
        <v>69</v>
      </c>
      <c r="BM44" s="58" t="s">
        <v>69</v>
      </c>
      <c r="BN44" s="58" t="s">
        <v>69</v>
      </c>
      <c r="BO44" s="58" t="s">
        <v>69</v>
      </c>
      <c r="BP44" s="58" t="s">
        <v>69</v>
      </c>
      <c r="BQ44" s="58" t="s">
        <v>69</v>
      </c>
      <c r="BR44" s="58" t="s">
        <v>69</v>
      </c>
      <c r="BS44" s="58" t="s">
        <v>69</v>
      </c>
      <c r="BT44" s="58" t="s">
        <v>69</v>
      </c>
      <c r="BU44" s="94">
        <v>3</v>
      </c>
      <c r="BV44" s="95">
        <f t="shared" si="0"/>
        <v>0.4358974358974359</v>
      </c>
      <c r="BW44" s="95">
        <f t="shared" si="1"/>
        <v>0.66666666666666663</v>
      </c>
    </row>
    <row r="45" spans="1:75" ht="41.25" customHeight="1">
      <c r="A45" s="48" t="s">
        <v>347</v>
      </c>
      <c r="B45" s="48" t="s">
        <v>348</v>
      </c>
      <c r="C45" s="48" t="s">
        <v>216</v>
      </c>
      <c r="D45" s="48" t="s">
        <v>434</v>
      </c>
      <c r="E45" s="57" t="s">
        <v>69</v>
      </c>
      <c r="F45" s="58" t="s">
        <v>69</v>
      </c>
      <c r="G45" s="58">
        <v>3</v>
      </c>
      <c r="H45" s="58" t="s">
        <v>69</v>
      </c>
      <c r="I45" s="58" t="s">
        <v>69</v>
      </c>
      <c r="J45" s="58" t="s">
        <v>69</v>
      </c>
      <c r="K45" s="58" t="s">
        <v>69</v>
      </c>
      <c r="L45" s="58">
        <v>1</v>
      </c>
      <c r="M45" s="58" t="s">
        <v>69</v>
      </c>
      <c r="N45" s="58">
        <v>3</v>
      </c>
      <c r="O45" s="58" t="s">
        <v>69</v>
      </c>
      <c r="P45" s="58"/>
      <c r="Q45" s="58" t="s">
        <v>69</v>
      </c>
      <c r="R45" s="58" t="s">
        <v>69</v>
      </c>
      <c r="S45" s="58">
        <v>3</v>
      </c>
      <c r="T45" s="58" t="s">
        <v>69</v>
      </c>
      <c r="U45" s="58" t="s">
        <v>69</v>
      </c>
      <c r="V45" s="58" t="s">
        <v>69</v>
      </c>
      <c r="W45" s="58" t="s">
        <v>69</v>
      </c>
      <c r="X45" s="58" t="s">
        <v>69</v>
      </c>
      <c r="Y45" s="58" t="s">
        <v>69</v>
      </c>
      <c r="Z45" s="58" t="s">
        <v>69</v>
      </c>
      <c r="AA45" s="58" t="s">
        <v>69</v>
      </c>
      <c r="AB45" s="58" t="s">
        <v>69</v>
      </c>
      <c r="AC45" s="58">
        <v>3</v>
      </c>
      <c r="AD45" s="58" t="s">
        <v>69</v>
      </c>
      <c r="AE45" s="58" t="s">
        <v>69</v>
      </c>
      <c r="AF45" s="58" t="s">
        <v>69</v>
      </c>
      <c r="AG45" s="58" t="s">
        <v>69</v>
      </c>
      <c r="AH45" s="58" t="s">
        <v>69</v>
      </c>
      <c r="AI45" s="58" t="s">
        <v>69</v>
      </c>
      <c r="AJ45" s="58" t="s">
        <v>69</v>
      </c>
      <c r="AK45" s="58" t="s">
        <v>69</v>
      </c>
      <c r="AL45" s="58" t="s">
        <v>69</v>
      </c>
      <c r="AM45" s="58" t="s">
        <v>69</v>
      </c>
      <c r="AN45" s="58" t="s">
        <v>69</v>
      </c>
      <c r="AO45" s="58" t="s">
        <v>69</v>
      </c>
      <c r="AP45" s="58">
        <v>2</v>
      </c>
      <c r="AQ45" s="58" t="s">
        <v>69</v>
      </c>
      <c r="AR45" s="58" t="s">
        <v>69</v>
      </c>
      <c r="AS45" s="58">
        <v>2</v>
      </c>
      <c r="AT45" s="58">
        <v>2</v>
      </c>
      <c r="AU45" s="58">
        <v>2</v>
      </c>
      <c r="AV45" s="58">
        <v>2</v>
      </c>
      <c r="AW45" s="58">
        <v>2</v>
      </c>
      <c r="AX45" s="58">
        <v>2</v>
      </c>
      <c r="AY45" s="58">
        <v>2</v>
      </c>
      <c r="AZ45" s="58" t="s">
        <v>69</v>
      </c>
      <c r="BA45" s="58" t="s">
        <v>69</v>
      </c>
      <c r="BB45" s="58" t="s">
        <v>69</v>
      </c>
      <c r="BC45" s="58" t="s">
        <v>69</v>
      </c>
      <c r="BD45" s="58" t="s">
        <v>69</v>
      </c>
      <c r="BE45" s="58" t="s">
        <v>69</v>
      </c>
      <c r="BF45" s="58" t="s">
        <v>69</v>
      </c>
      <c r="BG45" s="58" t="s">
        <v>69</v>
      </c>
      <c r="BH45" s="58" t="s">
        <v>69</v>
      </c>
      <c r="BI45" s="58" t="s">
        <v>69</v>
      </c>
      <c r="BJ45" s="58" t="s">
        <v>69</v>
      </c>
      <c r="BK45" s="58" t="s">
        <v>69</v>
      </c>
      <c r="BL45" s="58" t="s">
        <v>69</v>
      </c>
      <c r="BM45" s="58" t="s">
        <v>69</v>
      </c>
      <c r="BN45" s="58" t="s">
        <v>69</v>
      </c>
      <c r="BO45" s="58" t="s">
        <v>69</v>
      </c>
      <c r="BP45" s="58" t="s">
        <v>69</v>
      </c>
      <c r="BQ45" s="58" t="s">
        <v>69</v>
      </c>
      <c r="BR45" s="58" t="s">
        <v>69</v>
      </c>
      <c r="BS45" s="58" t="s">
        <v>69</v>
      </c>
      <c r="BT45" s="58" t="s">
        <v>69</v>
      </c>
      <c r="BU45" s="94">
        <v>4</v>
      </c>
      <c r="BV45" s="95">
        <f t="shared" si="0"/>
        <v>0.35897435897435898</v>
      </c>
      <c r="BW45" s="95">
        <f t="shared" si="1"/>
        <v>0.38461538461538464</v>
      </c>
    </row>
    <row r="46" spans="1:75" ht="41.25" customHeight="1">
      <c r="A46" s="48" t="s">
        <v>349</v>
      </c>
      <c r="B46" s="48" t="s">
        <v>350</v>
      </c>
      <c r="C46" s="48" t="s">
        <v>214</v>
      </c>
      <c r="D46" s="48" t="s">
        <v>434</v>
      </c>
      <c r="E46" s="57">
        <v>3</v>
      </c>
      <c r="F46" s="58" t="s">
        <v>69</v>
      </c>
      <c r="G46" s="58" t="s">
        <v>69</v>
      </c>
      <c r="H46" s="58" t="s">
        <v>69</v>
      </c>
      <c r="I46" s="58" t="s">
        <v>69</v>
      </c>
      <c r="J46" s="58" t="s">
        <v>69</v>
      </c>
      <c r="K46" s="58" t="s">
        <v>69</v>
      </c>
      <c r="L46" s="58" t="s">
        <v>69</v>
      </c>
      <c r="M46" s="58" t="s">
        <v>69</v>
      </c>
      <c r="N46" s="58">
        <v>3</v>
      </c>
      <c r="O46" s="58">
        <v>3</v>
      </c>
      <c r="P46" s="58" t="s">
        <v>69</v>
      </c>
      <c r="Q46" s="58">
        <v>2</v>
      </c>
      <c r="R46" s="58" t="s">
        <v>69</v>
      </c>
      <c r="S46" s="58" t="s">
        <v>69</v>
      </c>
      <c r="T46" s="58" t="s">
        <v>69</v>
      </c>
      <c r="U46" s="58" t="s">
        <v>69</v>
      </c>
      <c r="V46" s="58" t="s">
        <v>69</v>
      </c>
      <c r="W46" s="58">
        <v>3</v>
      </c>
      <c r="X46" s="58" t="s">
        <v>69</v>
      </c>
      <c r="Y46" s="58" t="s">
        <v>69</v>
      </c>
      <c r="Z46" s="58" t="s">
        <v>69</v>
      </c>
      <c r="AA46" s="58" t="s">
        <v>69</v>
      </c>
      <c r="AB46" s="58" t="s">
        <v>69</v>
      </c>
      <c r="AC46" s="58" t="s">
        <v>69</v>
      </c>
      <c r="AD46" s="58" t="s">
        <v>69</v>
      </c>
      <c r="AE46" s="58" t="s">
        <v>69</v>
      </c>
      <c r="AF46" s="58" t="s">
        <v>69</v>
      </c>
      <c r="AG46" s="58" t="s">
        <v>69</v>
      </c>
      <c r="AH46" s="58" t="s">
        <v>69</v>
      </c>
      <c r="AI46" s="58" t="s">
        <v>69</v>
      </c>
      <c r="AJ46" s="58" t="s">
        <v>69</v>
      </c>
      <c r="AK46" s="58" t="s">
        <v>69</v>
      </c>
      <c r="AL46" s="58">
        <v>2</v>
      </c>
      <c r="AM46" s="58" t="s">
        <v>69</v>
      </c>
      <c r="AN46" s="58" t="s">
        <v>69</v>
      </c>
      <c r="AO46" s="58" t="s">
        <v>69</v>
      </c>
      <c r="AP46" s="58" t="s">
        <v>69</v>
      </c>
      <c r="AQ46" s="58" t="s">
        <v>69</v>
      </c>
      <c r="AR46" s="58" t="s">
        <v>69</v>
      </c>
      <c r="AS46" s="58">
        <v>2</v>
      </c>
      <c r="AT46" s="58">
        <v>2</v>
      </c>
      <c r="AU46" s="58">
        <v>2</v>
      </c>
      <c r="AV46" s="58">
        <v>2</v>
      </c>
      <c r="AW46" s="58">
        <v>2</v>
      </c>
      <c r="AX46" s="58">
        <v>2</v>
      </c>
      <c r="AY46" s="58">
        <v>2</v>
      </c>
      <c r="AZ46" s="58" t="s">
        <v>69</v>
      </c>
      <c r="BA46" s="58" t="s">
        <v>69</v>
      </c>
      <c r="BB46" s="58" t="s">
        <v>69</v>
      </c>
      <c r="BC46" s="58" t="s">
        <v>69</v>
      </c>
      <c r="BD46" s="58">
        <v>2</v>
      </c>
      <c r="BE46" s="58" t="s">
        <v>69</v>
      </c>
      <c r="BF46" s="58" t="s">
        <v>69</v>
      </c>
      <c r="BG46" s="58">
        <v>2</v>
      </c>
      <c r="BH46" s="58" t="s">
        <v>69</v>
      </c>
      <c r="BI46" s="58" t="s">
        <v>69</v>
      </c>
      <c r="BJ46" s="58" t="s">
        <v>69</v>
      </c>
      <c r="BK46" s="58" t="s">
        <v>69</v>
      </c>
      <c r="BL46" s="58" t="s">
        <v>69</v>
      </c>
      <c r="BM46" s="58" t="s">
        <v>69</v>
      </c>
      <c r="BN46" s="58" t="s">
        <v>69</v>
      </c>
      <c r="BO46" s="58" t="s">
        <v>69</v>
      </c>
      <c r="BP46" s="58" t="s">
        <v>69</v>
      </c>
      <c r="BQ46" s="58" t="s">
        <v>69</v>
      </c>
      <c r="BR46" s="58" t="s">
        <v>69</v>
      </c>
      <c r="BS46" s="58" t="s">
        <v>69</v>
      </c>
      <c r="BT46" s="58" t="s">
        <v>69</v>
      </c>
      <c r="BU46" s="94">
        <v>3</v>
      </c>
      <c r="BV46" s="95">
        <f t="shared" si="0"/>
        <v>0.41025641025641024</v>
      </c>
      <c r="BW46" s="95">
        <f t="shared" si="1"/>
        <v>0.3125</v>
      </c>
    </row>
    <row r="47" spans="1:75" ht="41.25" customHeight="1">
      <c r="A47" s="48" t="s">
        <v>353</v>
      </c>
      <c r="B47" s="48" t="s">
        <v>354</v>
      </c>
      <c r="C47" s="48" t="s">
        <v>215</v>
      </c>
      <c r="D47" s="48" t="s">
        <v>434</v>
      </c>
      <c r="E47" s="57">
        <v>4</v>
      </c>
      <c r="F47" s="58" t="s">
        <v>69</v>
      </c>
      <c r="G47" s="58" t="s">
        <v>69</v>
      </c>
      <c r="H47" s="58" t="s">
        <v>69</v>
      </c>
      <c r="I47" s="58" t="s">
        <v>69</v>
      </c>
      <c r="J47" s="58" t="s">
        <v>69</v>
      </c>
      <c r="K47" s="58" t="s">
        <v>69</v>
      </c>
      <c r="L47" s="58" t="s">
        <v>69</v>
      </c>
      <c r="M47" s="58" t="s">
        <v>69</v>
      </c>
      <c r="N47" s="58">
        <v>1</v>
      </c>
      <c r="O47" s="58" t="s">
        <v>69</v>
      </c>
      <c r="P47" s="58">
        <v>4</v>
      </c>
      <c r="Q47" s="58" t="s">
        <v>69</v>
      </c>
      <c r="R47" s="58" t="s">
        <v>69</v>
      </c>
      <c r="S47" s="58" t="s">
        <v>69</v>
      </c>
      <c r="T47" s="58" t="s">
        <v>69</v>
      </c>
      <c r="U47" s="58" t="s">
        <v>69</v>
      </c>
      <c r="V47" s="58" t="s">
        <v>69</v>
      </c>
      <c r="W47" s="58" t="s">
        <v>69</v>
      </c>
      <c r="X47" s="58" t="s">
        <v>69</v>
      </c>
      <c r="Y47" s="58" t="s">
        <v>69</v>
      </c>
      <c r="Z47" s="58" t="s">
        <v>69</v>
      </c>
      <c r="AA47" s="58" t="s">
        <v>69</v>
      </c>
      <c r="AB47" s="58" t="s">
        <v>69</v>
      </c>
      <c r="AC47" s="58" t="s">
        <v>69</v>
      </c>
      <c r="AD47" s="58" t="s">
        <v>69</v>
      </c>
      <c r="AE47" s="58" t="s">
        <v>69</v>
      </c>
      <c r="AF47" s="58" t="s">
        <v>69</v>
      </c>
      <c r="AG47" s="58" t="s">
        <v>69</v>
      </c>
      <c r="AH47" s="58" t="s">
        <v>69</v>
      </c>
      <c r="AI47" s="58" t="s">
        <v>69</v>
      </c>
      <c r="AJ47" s="58" t="s">
        <v>69</v>
      </c>
      <c r="AK47" s="58" t="s">
        <v>69</v>
      </c>
      <c r="AL47" s="58" t="s">
        <v>69</v>
      </c>
      <c r="AM47" s="58" t="s">
        <v>69</v>
      </c>
      <c r="AN47" s="58" t="s">
        <v>69</v>
      </c>
      <c r="AO47" s="58" t="s">
        <v>69</v>
      </c>
      <c r="AP47" s="58" t="s">
        <v>69</v>
      </c>
      <c r="AQ47" s="58" t="s">
        <v>69</v>
      </c>
      <c r="AR47" s="58">
        <v>2</v>
      </c>
      <c r="AS47" s="58">
        <v>2</v>
      </c>
      <c r="AT47" s="58">
        <v>2</v>
      </c>
      <c r="AU47" s="58" t="s">
        <v>69</v>
      </c>
      <c r="AV47" s="58" t="s">
        <v>69</v>
      </c>
      <c r="AW47" s="58" t="s">
        <v>69</v>
      </c>
      <c r="AX47" s="58" t="s">
        <v>69</v>
      </c>
      <c r="AY47" s="58" t="s">
        <v>69</v>
      </c>
      <c r="AZ47" s="58" t="s">
        <v>69</v>
      </c>
      <c r="BA47" s="58" t="s">
        <v>69</v>
      </c>
      <c r="BB47" s="58" t="s">
        <v>69</v>
      </c>
      <c r="BC47" s="58" t="s">
        <v>69</v>
      </c>
      <c r="BD47" s="58" t="s">
        <v>69</v>
      </c>
      <c r="BE47" s="58" t="s">
        <v>69</v>
      </c>
      <c r="BF47" s="58" t="s">
        <v>69</v>
      </c>
      <c r="BG47" s="58" t="s">
        <v>69</v>
      </c>
      <c r="BH47" s="58" t="s">
        <v>69</v>
      </c>
      <c r="BI47" s="58" t="s">
        <v>69</v>
      </c>
      <c r="BJ47" s="58" t="s">
        <v>69</v>
      </c>
      <c r="BK47" s="58" t="s">
        <v>69</v>
      </c>
      <c r="BL47" s="58" t="s">
        <v>69</v>
      </c>
      <c r="BM47" s="58" t="s">
        <v>69</v>
      </c>
      <c r="BN47" s="58" t="s">
        <v>69</v>
      </c>
      <c r="BO47" s="58" t="s">
        <v>69</v>
      </c>
      <c r="BP47" s="58" t="s">
        <v>69</v>
      </c>
      <c r="BQ47" s="58" t="s">
        <v>69</v>
      </c>
      <c r="BR47" s="58" t="s">
        <v>69</v>
      </c>
      <c r="BS47" s="58" t="s">
        <v>69</v>
      </c>
      <c r="BT47" s="58" t="s">
        <v>69</v>
      </c>
      <c r="BU47" s="94">
        <v>2</v>
      </c>
      <c r="BV47" s="95">
        <f t="shared" si="0"/>
        <v>0.17948717948717949</v>
      </c>
      <c r="BW47" s="95">
        <f t="shared" si="1"/>
        <v>0.33333333333333331</v>
      </c>
    </row>
    <row r="48" spans="1:75" ht="41.25" customHeight="1">
      <c r="A48" s="48" t="s">
        <v>355</v>
      </c>
      <c r="B48" s="48" t="s">
        <v>356</v>
      </c>
      <c r="C48" s="48" t="s">
        <v>214</v>
      </c>
      <c r="D48" s="48" t="s">
        <v>434</v>
      </c>
      <c r="E48" s="57">
        <v>3</v>
      </c>
      <c r="F48" s="58" t="s">
        <v>69</v>
      </c>
      <c r="G48" s="58" t="s">
        <v>69</v>
      </c>
      <c r="H48" s="58" t="s">
        <v>69</v>
      </c>
      <c r="I48" s="58" t="s">
        <v>69</v>
      </c>
      <c r="J48" s="58" t="s">
        <v>69</v>
      </c>
      <c r="K48" s="58" t="s">
        <v>69</v>
      </c>
      <c r="L48" s="58" t="s">
        <v>69</v>
      </c>
      <c r="M48" s="58" t="s">
        <v>69</v>
      </c>
      <c r="N48" s="58" t="s">
        <v>69</v>
      </c>
      <c r="O48" s="58" t="s">
        <v>69</v>
      </c>
      <c r="P48" s="58">
        <v>3</v>
      </c>
      <c r="Q48" s="58" t="s">
        <v>69</v>
      </c>
      <c r="R48" s="58" t="s">
        <v>69</v>
      </c>
      <c r="S48" s="58" t="s">
        <v>69</v>
      </c>
      <c r="T48" s="58" t="s">
        <v>69</v>
      </c>
      <c r="U48" s="58" t="s">
        <v>69</v>
      </c>
      <c r="V48" s="58" t="s">
        <v>69</v>
      </c>
      <c r="W48" s="58" t="s">
        <v>69</v>
      </c>
      <c r="X48" s="58" t="s">
        <v>69</v>
      </c>
      <c r="Y48" s="58" t="s">
        <v>69</v>
      </c>
      <c r="Z48" s="58" t="s">
        <v>69</v>
      </c>
      <c r="AA48" s="58" t="s">
        <v>69</v>
      </c>
      <c r="AB48" s="58" t="s">
        <v>69</v>
      </c>
      <c r="AC48" s="58" t="s">
        <v>69</v>
      </c>
      <c r="AD48" s="58" t="s">
        <v>69</v>
      </c>
      <c r="AE48" s="58" t="s">
        <v>69</v>
      </c>
      <c r="AF48" s="58" t="s">
        <v>69</v>
      </c>
      <c r="AG48" s="58" t="s">
        <v>69</v>
      </c>
      <c r="AH48" s="58" t="s">
        <v>69</v>
      </c>
      <c r="AI48" s="58" t="s">
        <v>69</v>
      </c>
      <c r="AJ48" s="58">
        <v>1</v>
      </c>
      <c r="AK48" s="58">
        <v>1</v>
      </c>
      <c r="AL48" s="58" t="s">
        <v>69</v>
      </c>
      <c r="AM48" s="58" t="s">
        <v>69</v>
      </c>
      <c r="AN48" s="58" t="s">
        <v>69</v>
      </c>
      <c r="AO48" s="58" t="s">
        <v>69</v>
      </c>
      <c r="AP48" s="58" t="s">
        <v>69</v>
      </c>
      <c r="AQ48" s="58" t="s">
        <v>69</v>
      </c>
      <c r="AR48" s="58" t="s">
        <v>69</v>
      </c>
      <c r="AS48" s="58">
        <v>2</v>
      </c>
      <c r="AT48" s="58">
        <v>3</v>
      </c>
      <c r="AU48" s="58">
        <v>3</v>
      </c>
      <c r="AV48" s="58">
        <v>3</v>
      </c>
      <c r="AW48" s="58">
        <v>3</v>
      </c>
      <c r="AX48" s="58">
        <v>4</v>
      </c>
      <c r="AY48" s="58" t="s">
        <v>69</v>
      </c>
      <c r="AZ48" s="58" t="s">
        <v>69</v>
      </c>
      <c r="BA48" s="58">
        <v>3</v>
      </c>
      <c r="BB48" s="58">
        <v>2</v>
      </c>
      <c r="BC48" s="58" t="s">
        <v>69</v>
      </c>
      <c r="BD48" s="58" t="s">
        <v>69</v>
      </c>
      <c r="BE48" s="58">
        <v>3</v>
      </c>
      <c r="BF48" s="58">
        <v>4</v>
      </c>
      <c r="BG48" s="58" t="s">
        <v>69</v>
      </c>
      <c r="BH48" s="58" t="s">
        <v>69</v>
      </c>
      <c r="BI48" s="58">
        <v>3</v>
      </c>
      <c r="BJ48" s="58" t="s">
        <v>69</v>
      </c>
      <c r="BK48" s="58" t="s">
        <v>69</v>
      </c>
      <c r="BL48" s="58" t="s">
        <v>69</v>
      </c>
      <c r="BM48" s="58" t="s">
        <v>69</v>
      </c>
      <c r="BN48" s="58" t="s">
        <v>69</v>
      </c>
      <c r="BO48" s="58" t="s">
        <v>69</v>
      </c>
      <c r="BP48" s="58" t="s">
        <v>69</v>
      </c>
      <c r="BQ48" s="58" t="s">
        <v>69</v>
      </c>
      <c r="BR48" s="58" t="s">
        <v>69</v>
      </c>
      <c r="BS48" s="58" t="s">
        <v>69</v>
      </c>
      <c r="BT48" s="58" t="s">
        <v>69</v>
      </c>
      <c r="BU48" s="94">
        <v>2</v>
      </c>
      <c r="BV48" s="95">
        <f t="shared" si="0"/>
        <v>0.41025641025641024</v>
      </c>
      <c r="BW48" s="95">
        <f t="shared" si="1"/>
        <v>0.7857142857142857</v>
      </c>
    </row>
    <row r="49" spans="1:75" ht="41.25" customHeight="1">
      <c r="A49" s="48" t="s">
        <v>103</v>
      </c>
      <c r="B49" s="48" t="s">
        <v>104</v>
      </c>
      <c r="C49" s="48" t="s">
        <v>214</v>
      </c>
      <c r="D49" s="48" t="s">
        <v>434</v>
      </c>
      <c r="E49" s="57">
        <v>3</v>
      </c>
      <c r="F49" s="58" t="s">
        <v>69</v>
      </c>
      <c r="G49" s="58" t="s">
        <v>69</v>
      </c>
      <c r="H49" s="58" t="s">
        <v>69</v>
      </c>
      <c r="I49" s="58" t="s">
        <v>69</v>
      </c>
      <c r="J49" s="58" t="s">
        <v>69</v>
      </c>
      <c r="K49" s="58" t="s">
        <v>69</v>
      </c>
      <c r="L49" s="58" t="s">
        <v>69</v>
      </c>
      <c r="M49" s="58" t="s">
        <v>69</v>
      </c>
      <c r="N49" s="58" t="s">
        <v>69</v>
      </c>
      <c r="O49" s="58" t="s">
        <v>69</v>
      </c>
      <c r="P49" s="58" t="s">
        <v>69</v>
      </c>
      <c r="Q49" s="58" t="s">
        <v>69</v>
      </c>
      <c r="R49" s="58" t="s">
        <v>69</v>
      </c>
      <c r="S49" s="58" t="s">
        <v>69</v>
      </c>
      <c r="T49" s="58" t="s">
        <v>69</v>
      </c>
      <c r="U49" s="58" t="s">
        <v>69</v>
      </c>
      <c r="V49" s="58" t="s">
        <v>69</v>
      </c>
      <c r="W49" s="58" t="s">
        <v>69</v>
      </c>
      <c r="X49" s="58" t="s">
        <v>69</v>
      </c>
      <c r="Y49" s="58" t="s">
        <v>69</v>
      </c>
      <c r="Z49" s="58" t="s">
        <v>69</v>
      </c>
      <c r="AA49" s="58" t="s">
        <v>69</v>
      </c>
      <c r="AB49" s="58" t="s">
        <v>69</v>
      </c>
      <c r="AC49" s="58" t="s">
        <v>69</v>
      </c>
      <c r="AD49" s="58" t="s">
        <v>69</v>
      </c>
      <c r="AE49" s="58" t="s">
        <v>69</v>
      </c>
      <c r="AF49" s="58" t="s">
        <v>69</v>
      </c>
      <c r="AG49" s="58" t="s">
        <v>69</v>
      </c>
      <c r="AH49" s="58" t="s">
        <v>69</v>
      </c>
      <c r="AI49" s="58" t="s">
        <v>69</v>
      </c>
      <c r="AJ49" s="58" t="s">
        <v>69</v>
      </c>
      <c r="AK49" s="58" t="s">
        <v>69</v>
      </c>
      <c r="AL49" s="58" t="s">
        <v>69</v>
      </c>
      <c r="AM49" s="58" t="s">
        <v>69</v>
      </c>
      <c r="AN49" s="58" t="s">
        <v>69</v>
      </c>
      <c r="AO49" s="58" t="s">
        <v>69</v>
      </c>
      <c r="AP49" s="58" t="s">
        <v>69</v>
      </c>
      <c r="AQ49" s="58" t="s">
        <v>69</v>
      </c>
      <c r="AR49" s="58" t="s">
        <v>69</v>
      </c>
      <c r="AS49" s="58" t="s">
        <v>69</v>
      </c>
      <c r="AT49" s="58" t="s">
        <v>69</v>
      </c>
      <c r="AU49" s="58" t="s">
        <v>69</v>
      </c>
      <c r="AV49" s="58" t="s">
        <v>69</v>
      </c>
      <c r="AW49" s="58" t="s">
        <v>69</v>
      </c>
      <c r="AX49" s="58" t="s">
        <v>69</v>
      </c>
      <c r="AY49" s="58" t="s">
        <v>69</v>
      </c>
      <c r="AZ49" s="58" t="s">
        <v>69</v>
      </c>
      <c r="BA49" s="58" t="s">
        <v>69</v>
      </c>
      <c r="BB49" s="58" t="s">
        <v>69</v>
      </c>
      <c r="BC49" s="58" t="s">
        <v>69</v>
      </c>
      <c r="BD49" s="58" t="s">
        <v>69</v>
      </c>
      <c r="BE49" s="58" t="s">
        <v>69</v>
      </c>
      <c r="BF49" s="58" t="s">
        <v>69</v>
      </c>
      <c r="BG49" s="58" t="s">
        <v>69</v>
      </c>
      <c r="BH49" s="58" t="s">
        <v>69</v>
      </c>
      <c r="BI49" s="58" t="s">
        <v>69</v>
      </c>
      <c r="BJ49" s="58" t="s">
        <v>69</v>
      </c>
      <c r="BK49" s="58" t="s">
        <v>69</v>
      </c>
      <c r="BL49" s="58" t="s">
        <v>69</v>
      </c>
      <c r="BM49" s="58" t="s">
        <v>69</v>
      </c>
      <c r="BN49" s="58" t="s">
        <v>69</v>
      </c>
      <c r="BO49" s="58" t="s">
        <v>69</v>
      </c>
      <c r="BP49" s="58" t="s">
        <v>69</v>
      </c>
      <c r="BQ49" s="58" t="s">
        <v>69</v>
      </c>
      <c r="BR49" s="58" t="s">
        <v>69</v>
      </c>
      <c r="BS49" s="58">
        <v>3</v>
      </c>
      <c r="BT49" s="58" t="s">
        <v>69</v>
      </c>
      <c r="BU49" s="94">
        <v>2</v>
      </c>
      <c r="BV49" s="95">
        <f t="shared" si="0"/>
        <v>7.6923076923076927E-2</v>
      </c>
      <c r="BW49" s="95">
        <f t="shared" si="1"/>
        <v>0.66666666666666663</v>
      </c>
    </row>
    <row r="50" spans="1:75" ht="41.25" customHeight="1">
      <c r="A50" s="48" t="s">
        <v>357</v>
      </c>
      <c r="B50" s="48" t="s">
        <v>358</v>
      </c>
      <c r="C50" s="48" t="s">
        <v>215</v>
      </c>
      <c r="D50" s="48" t="s">
        <v>434</v>
      </c>
      <c r="E50" s="57">
        <v>3</v>
      </c>
      <c r="F50" s="58" t="s">
        <v>69</v>
      </c>
      <c r="G50" s="58" t="s">
        <v>69</v>
      </c>
      <c r="H50" s="58" t="s">
        <v>69</v>
      </c>
      <c r="I50" s="58" t="s">
        <v>69</v>
      </c>
      <c r="J50" s="58">
        <v>4</v>
      </c>
      <c r="K50" s="58">
        <v>4</v>
      </c>
      <c r="L50" s="58" t="s">
        <v>69</v>
      </c>
      <c r="M50" s="58" t="s">
        <v>69</v>
      </c>
      <c r="N50" s="58">
        <v>4</v>
      </c>
      <c r="O50" s="58">
        <v>4</v>
      </c>
      <c r="P50" s="58">
        <v>1</v>
      </c>
      <c r="Q50" s="58" t="s">
        <v>69</v>
      </c>
      <c r="R50" s="58" t="s">
        <v>69</v>
      </c>
      <c r="S50" s="58" t="s">
        <v>69</v>
      </c>
      <c r="T50" s="58" t="s">
        <v>69</v>
      </c>
      <c r="U50" s="58" t="s">
        <v>69</v>
      </c>
      <c r="V50" s="58" t="s">
        <v>69</v>
      </c>
      <c r="W50" s="58">
        <v>2</v>
      </c>
      <c r="X50" s="58" t="s">
        <v>69</v>
      </c>
      <c r="Y50" s="58" t="s">
        <v>69</v>
      </c>
      <c r="Z50" s="58" t="s">
        <v>69</v>
      </c>
      <c r="AA50" s="58" t="s">
        <v>69</v>
      </c>
      <c r="AB50" s="58" t="s">
        <v>69</v>
      </c>
      <c r="AC50" s="58" t="s">
        <v>69</v>
      </c>
      <c r="AD50" s="58" t="s">
        <v>69</v>
      </c>
      <c r="AE50" s="58" t="s">
        <v>69</v>
      </c>
      <c r="AF50" s="58" t="s">
        <v>69</v>
      </c>
      <c r="AG50" s="58" t="s">
        <v>69</v>
      </c>
      <c r="AH50" s="58" t="s">
        <v>69</v>
      </c>
      <c r="AI50" s="58" t="s">
        <v>69</v>
      </c>
      <c r="AJ50" s="58" t="s">
        <v>69</v>
      </c>
      <c r="AK50" s="58" t="s">
        <v>69</v>
      </c>
      <c r="AL50" s="58" t="s">
        <v>69</v>
      </c>
      <c r="AM50" s="58" t="s">
        <v>69</v>
      </c>
      <c r="AN50" s="58" t="s">
        <v>69</v>
      </c>
      <c r="AO50" s="58" t="s">
        <v>69</v>
      </c>
      <c r="AP50" s="58">
        <v>2</v>
      </c>
      <c r="AQ50" s="58" t="s">
        <v>69</v>
      </c>
      <c r="AR50" s="58" t="s">
        <v>69</v>
      </c>
      <c r="AS50" s="58">
        <v>2</v>
      </c>
      <c r="AT50" s="58" t="s">
        <v>69</v>
      </c>
      <c r="AU50" s="58" t="s">
        <v>69</v>
      </c>
      <c r="AV50" s="58" t="s">
        <v>69</v>
      </c>
      <c r="AW50" s="58" t="s">
        <v>69</v>
      </c>
      <c r="AX50" s="58" t="s">
        <v>69</v>
      </c>
      <c r="AY50" s="58" t="s">
        <v>69</v>
      </c>
      <c r="AZ50" s="58" t="s">
        <v>69</v>
      </c>
      <c r="BA50" s="58" t="s">
        <v>69</v>
      </c>
      <c r="BB50" s="58" t="s">
        <v>69</v>
      </c>
      <c r="BC50" s="58" t="s">
        <v>69</v>
      </c>
      <c r="BD50" s="58">
        <v>3</v>
      </c>
      <c r="BE50" s="58">
        <v>3</v>
      </c>
      <c r="BF50" s="58" t="s">
        <v>69</v>
      </c>
      <c r="BG50" s="58" t="s">
        <v>69</v>
      </c>
      <c r="BH50" s="58">
        <v>4</v>
      </c>
      <c r="BI50" s="58">
        <v>4</v>
      </c>
      <c r="BJ50" s="58" t="s">
        <v>69</v>
      </c>
      <c r="BK50" s="58" t="s">
        <v>69</v>
      </c>
      <c r="BL50" s="58" t="s">
        <v>69</v>
      </c>
      <c r="BM50" s="58" t="s">
        <v>69</v>
      </c>
      <c r="BN50" s="58" t="s">
        <v>69</v>
      </c>
      <c r="BO50" s="58" t="s">
        <v>69</v>
      </c>
      <c r="BP50" s="58" t="s">
        <v>69</v>
      </c>
      <c r="BQ50" s="58" t="s">
        <v>69</v>
      </c>
      <c r="BR50" s="58" t="s">
        <v>69</v>
      </c>
      <c r="BS50" s="58" t="s">
        <v>69</v>
      </c>
      <c r="BT50" s="58" t="s">
        <v>69</v>
      </c>
      <c r="BU50" s="94">
        <v>2</v>
      </c>
      <c r="BV50" s="95">
        <f t="shared" si="0"/>
        <v>0.35897435897435898</v>
      </c>
      <c r="BW50" s="95">
        <f t="shared" si="1"/>
        <v>0.69230769230769229</v>
      </c>
    </row>
    <row r="51" spans="1:75" ht="41.25" customHeight="1">
      <c r="A51" s="48" t="s">
        <v>359</v>
      </c>
      <c r="B51" s="48" t="s">
        <v>360</v>
      </c>
      <c r="C51" s="48" t="s">
        <v>215</v>
      </c>
      <c r="D51" s="48" t="s">
        <v>434</v>
      </c>
      <c r="E51" s="57">
        <v>3</v>
      </c>
      <c r="F51" s="58">
        <v>3</v>
      </c>
      <c r="G51" s="58">
        <v>2</v>
      </c>
      <c r="H51" s="58">
        <v>2</v>
      </c>
      <c r="I51" s="58">
        <v>2</v>
      </c>
      <c r="J51" s="58">
        <v>3</v>
      </c>
      <c r="K51" s="58">
        <v>3</v>
      </c>
      <c r="L51" s="58">
        <v>2</v>
      </c>
      <c r="M51" s="58" t="s">
        <v>69</v>
      </c>
      <c r="N51" s="58" t="s">
        <v>69</v>
      </c>
      <c r="O51" s="58" t="s">
        <v>69</v>
      </c>
      <c r="P51" s="58" t="s">
        <v>69</v>
      </c>
      <c r="Q51" s="58" t="s">
        <v>69</v>
      </c>
      <c r="R51" s="58" t="s">
        <v>69</v>
      </c>
      <c r="S51" s="58" t="s">
        <v>69</v>
      </c>
      <c r="T51" s="58" t="s">
        <v>69</v>
      </c>
      <c r="U51" s="58" t="s">
        <v>69</v>
      </c>
      <c r="V51" s="58" t="s">
        <v>69</v>
      </c>
      <c r="W51" s="58" t="s">
        <v>69</v>
      </c>
      <c r="X51" s="58" t="s">
        <v>69</v>
      </c>
      <c r="Y51" s="58" t="s">
        <v>69</v>
      </c>
      <c r="Z51" s="58" t="s">
        <v>69</v>
      </c>
      <c r="AA51" s="58" t="s">
        <v>69</v>
      </c>
      <c r="AB51" s="58" t="s">
        <v>69</v>
      </c>
      <c r="AC51" s="58">
        <v>2</v>
      </c>
      <c r="AD51" s="58" t="s">
        <v>69</v>
      </c>
      <c r="AE51" s="58" t="s">
        <v>69</v>
      </c>
      <c r="AF51" s="58" t="s">
        <v>69</v>
      </c>
      <c r="AG51" s="58" t="s">
        <v>69</v>
      </c>
      <c r="AH51" s="58" t="s">
        <v>69</v>
      </c>
      <c r="AI51" s="58" t="s">
        <v>69</v>
      </c>
      <c r="AJ51" s="58" t="s">
        <v>69</v>
      </c>
      <c r="AK51" s="58" t="s">
        <v>69</v>
      </c>
      <c r="AL51" s="58" t="s">
        <v>69</v>
      </c>
      <c r="AM51" s="58" t="s">
        <v>69</v>
      </c>
      <c r="AN51" s="58" t="s">
        <v>69</v>
      </c>
      <c r="AO51" s="58" t="s">
        <v>69</v>
      </c>
      <c r="AP51" s="58" t="s">
        <v>69</v>
      </c>
      <c r="AQ51" s="58" t="s">
        <v>69</v>
      </c>
      <c r="AR51" s="58" t="s">
        <v>69</v>
      </c>
      <c r="AS51" s="58">
        <v>3</v>
      </c>
      <c r="AT51" s="58">
        <v>3</v>
      </c>
      <c r="AU51" s="58">
        <v>3</v>
      </c>
      <c r="AV51" s="58">
        <v>3</v>
      </c>
      <c r="AW51" s="58" t="s">
        <v>69</v>
      </c>
      <c r="AX51" s="58" t="s">
        <v>69</v>
      </c>
      <c r="AY51" s="58" t="s">
        <v>69</v>
      </c>
      <c r="AZ51" s="58" t="s">
        <v>69</v>
      </c>
      <c r="BA51" s="58" t="s">
        <v>69</v>
      </c>
      <c r="BB51" s="58" t="s">
        <v>69</v>
      </c>
      <c r="BC51" s="58" t="s">
        <v>69</v>
      </c>
      <c r="BD51" s="58" t="s">
        <v>69</v>
      </c>
      <c r="BE51" s="58">
        <v>3</v>
      </c>
      <c r="BF51" s="58" t="s">
        <v>69</v>
      </c>
      <c r="BG51" s="58" t="s">
        <v>69</v>
      </c>
      <c r="BH51" s="58" t="s">
        <v>69</v>
      </c>
      <c r="BI51" s="58">
        <v>3</v>
      </c>
      <c r="BJ51" s="58" t="s">
        <v>69</v>
      </c>
      <c r="BK51" s="58" t="s">
        <v>69</v>
      </c>
      <c r="BL51" s="58" t="s">
        <v>69</v>
      </c>
      <c r="BM51" s="58" t="s">
        <v>69</v>
      </c>
      <c r="BN51" s="58" t="s">
        <v>69</v>
      </c>
      <c r="BO51" s="58" t="s">
        <v>69</v>
      </c>
      <c r="BP51" s="58" t="s">
        <v>69</v>
      </c>
      <c r="BQ51" s="58" t="s">
        <v>69</v>
      </c>
      <c r="BR51" s="58" t="s">
        <v>69</v>
      </c>
      <c r="BS51" s="58" t="s">
        <v>69</v>
      </c>
      <c r="BT51" s="58" t="s">
        <v>69</v>
      </c>
      <c r="BU51" s="94">
        <v>2</v>
      </c>
      <c r="BV51" s="95">
        <f t="shared" si="0"/>
        <v>0.41025641025641024</v>
      </c>
      <c r="BW51" s="95">
        <f t="shared" si="1"/>
        <v>0.625</v>
      </c>
    </row>
    <row r="52" spans="1:75" ht="41.25" customHeight="1">
      <c r="A52" s="48" t="s">
        <v>105</v>
      </c>
      <c r="B52" s="48" t="s">
        <v>106</v>
      </c>
      <c r="C52" s="48" t="s">
        <v>216</v>
      </c>
      <c r="D52" s="48" t="s">
        <v>434</v>
      </c>
      <c r="E52" s="57">
        <v>2</v>
      </c>
      <c r="F52" s="58" t="s">
        <v>69</v>
      </c>
      <c r="G52" s="58">
        <v>2</v>
      </c>
      <c r="H52" s="58" t="s">
        <v>69</v>
      </c>
      <c r="I52" s="58" t="s">
        <v>69</v>
      </c>
      <c r="J52" s="58" t="s">
        <v>69</v>
      </c>
      <c r="K52" s="58" t="s">
        <v>69</v>
      </c>
      <c r="L52" s="58" t="s">
        <v>69</v>
      </c>
      <c r="M52" s="58" t="s">
        <v>69</v>
      </c>
      <c r="N52" s="58" t="s">
        <v>69</v>
      </c>
      <c r="O52" s="58">
        <v>1</v>
      </c>
      <c r="P52" s="58" t="s">
        <v>69</v>
      </c>
      <c r="Q52" s="58" t="s">
        <v>69</v>
      </c>
      <c r="R52" s="58" t="s">
        <v>69</v>
      </c>
      <c r="S52" s="58" t="s">
        <v>69</v>
      </c>
      <c r="T52" s="58" t="s">
        <v>69</v>
      </c>
      <c r="U52" s="58" t="s">
        <v>69</v>
      </c>
      <c r="V52" s="58" t="s">
        <v>69</v>
      </c>
      <c r="W52" s="58" t="s">
        <v>69</v>
      </c>
      <c r="X52" s="58" t="s">
        <v>69</v>
      </c>
      <c r="Y52" s="58" t="s">
        <v>69</v>
      </c>
      <c r="Z52" s="58" t="s">
        <v>69</v>
      </c>
      <c r="AA52" s="58" t="s">
        <v>69</v>
      </c>
      <c r="AB52" s="58" t="s">
        <v>69</v>
      </c>
      <c r="AC52" s="58" t="s">
        <v>69</v>
      </c>
      <c r="AD52" s="58" t="s">
        <v>69</v>
      </c>
      <c r="AE52" s="58" t="s">
        <v>69</v>
      </c>
      <c r="AF52" s="58" t="s">
        <v>69</v>
      </c>
      <c r="AG52" s="58" t="s">
        <v>69</v>
      </c>
      <c r="AH52" s="58" t="s">
        <v>69</v>
      </c>
      <c r="AI52" s="58" t="s">
        <v>69</v>
      </c>
      <c r="AJ52" s="58" t="s">
        <v>69</v>
      </c>
      <c r="AK52" s="58" t="s">
        <v>69</v>
      </c>
      <c r="AL52" s="58" t="s">
        <v>69</v>
      </c>
      <c r="AM52" s="58" t="s">
        <v>69</v>
      </c>
      <c r="AN52" s="58" t="s">
        <v>69</v>
      </c>
      <c r="AO52" s="58" t="s">
        <v>69</v>
      </c>
      <c r="AP52" s="58" t="s">
        <v>69</v>
      </c>
      <c r="AQ52" s="58" t="s">
        <v>69</v>
      </c>
      <c r="AR52" s="58" t="s">
        <v>69</v>
      </c>
      <c r="AS52" s="58" t="s">
        <v>69</v>
      </c>
      <c r="AT52" s="58" t="s">
        <v>69</v>
      </c>
      <c r="AU52" s="58" t="s">
        <v>69</v>
      </c>
      <c r="AV52" s="58" t="s">
        <v>69</v>
      </c>
      <c r="AW52" s="58">
        <v>1</v>
      </c>
      <c r="AX52" s="58" t="s">
        <v>69</v>
      </c>
      <c r="AY52" s="58" t="s">
        <v>69</v>
      </c>
      <c r="AZ52" s="58" t="s">
        <v>69</v>
      </c>
      <c r="BA52" s="58" t="s">
        <v>69</v>
      </c>
      <c r="BB52" s="58" t="s">
        <v>69</v>
      </c>
      <c r="BC52" s="58" t="s">
        <v>69</v>
      </c>
      <c r="BD52" s="58" t="s">
        <v>69</v>
      </c>
      <c r="BE52" s="58" t="s">
        <v>69</v>
      </c>
      <c r="BF52" s="58" t="s">
        <v>69</v>
      </c>
      <c r="BG52" s="58" t="s">
        <v>69</v>
      </c>
      <c r="BH52" s="58" t="s">
        <v>69</v>
      </c>
      <c r="BI52" s="58" t="s">
        <v>69</v>
      </c>
      <c r="BJ52" s="58" t="s">
        <v>69</v>
      </c>
      <c r="BK52" s="58" t="s">
        <v>69</v>
      </c>
      <c r="BL52" s="58" t="s">
        <v>69</v>
      </c>
      <c r="BM52" s="58" t="s">
        <v>69</v>
      </c>
      <c r="BN52" s="58" t="s">
        <v>69</v>
      </c>
      <c r="BO52" s="58" t="s">
        <v>69</v>
      </c>
      <c r="BP52" s="58" t="s">
        <v>69</v>
      </c>
      <c r="BQ52" s="58" t="s">
        <v>69</v>
      </c>
      <c r="BR52" s="58" t="s">
        <v>69</v>
      </c>
      <c r="BS52" s="58">
        <v>3</v>
      </c>
      <c r="BT52" s="58" t="s">
        <v>69</v>
      </c>
      <c r="BU52" s="94">
        <v>2</v>
      </c>
      <c r="BV52" s="95">
        <f t="shared" si="0"/>
        <v>0.15384615384615385</v>
      </c>
      <c r="BW52" s="95">
        <f t="shared" si="1"/>
        <v>0.25</v>
      </c>
    </row>
    <row r="53" spans="1:75" ht="41.25" customHeight="1">
      <c r="A53" s="48" t="s">
        <v>363</v>
      </c>
      <c r="B53" s="48" t="s">
        <v>364</v>
      </c>
      <c r="C53" s="48" t="s">
        <v>214</v>
      </c>
      <c r="D53" s="48" t="s">
        <v>434</v>
      </c>
      <c r="E53" s="57">
        <v>3</v>
      </c>
      <c r="F53" s="58" t="s">
        <v>69</v>
      </c>
      <c r="G53" s="58" t="s">
        <v>69</v>
      </c>
      <c r="H53" s="58" t="s">
        <v>69</v>
      </c>
      <c r="I53" s="58" t="s">
        <v>69</v>
      </c>
      <c r="J53" s="58" t="s">
        <v>69</v>
      </c>
      <c r="K53" s="58" t="s">
        <v>69</v>
      </c>
      <c r="L53" s="58" t="s">
        <v>69</v>
      </c>
      <c r="M53" s="58" t="s">
        <v>69</v>
      </c>
      <c r="N53" s="58">
        <v>3</v>
      </c>
      <c r="O53" s="58" t="s">
        <v>69</v>
      </c>
      <c r="P53" s="58" t="s">
        <v>69</v>
      </c>
      <c r="Q53" s="58" t="s">
        <v>69</v>
      </c>
      <c r="R53" s="58" t="s">
        <v>69</v>
      </c>
      <c r="S53" s="58">
        <v>3</v>
      </c>
      <c r="T53" s="58" t="s">
        <v>69</v>
      </c>
      <c r="U53" s="58" t="s">
        <v>69</v>
      </c>
      <c r="V53" s="58" t="s">
        <v>69</v>
      </c>
      <c r="W53" s="58">
        <v>2</v>
      </c>
      <c r="X53" s="58" t="s">
        <v>69</v>
      </c>
      <c r="Y53" s="58" t="s">
        <v>69</v>
      </c>
      <c r="Z53" s="58" t="s">
        <v>69</v>
      </c>
      <c r="AA53" s="58" t="s">
        <v>69</v>
      </c>
      <c r="AB53" s="58" t="s">
        <v>69</v>
      </c>
      <c r="AC53" s="58" t="s">
        <v>69</v>
      </c>
      <c r="AD53" s="58" t="s">
        <v>69</v>
      </c>
      <c r="AE53" s="58" t="s">
        <v>69</v>
      </c>
      <c r="AF53" s="58" t="s">
        <v>69</v>
      </c>
      <c r="AG53" s="58" t="s">
        <v>69</v>
      </c>
      <c r="AH53" s="58" t="s">
        <v>69</v>
      </c>
      <c r="AI53" s="58" t="s">
        <v>69</v>
      </c>
      <c r="AJ53" s="58" t="s">
        <v>69</v>
      </c>
      <c r="AK53" s="58" t="s">
        <v>69</v>
      </c>
      <c r="AL53" s="58" t="s">
        <v>69</v>
      </c>
      <c r="AM53" s="58" t="s">
        <v>69</v>
      </c>
      <c r="AN53" s="58" t="s">
        <v>69</v>
      </c>
      <c r="AO53" s="58" t="s">
        <v>69</v>
      </c>
      <c r="AP53" s="58" t="s">
        <v>69</v>
      </c>
      <c r="AQ53" s="58" t="s">
        <v>69</v>
      </c>
      <c r="AR53" s="58" t="s">
        <v>69</v>
      </c>
      <c r="AS53" s="58" t="s">
        <v>69</v>
      </c>
      <c r="AT53" s="58" t="s">
        <v>69</v>
      </c>
      <c r="AU53" s="58" t="s">
        <v>69</v>
      </c>
      <c r="AV53" s="58" t="s">
        <v>69</v>
      </c>
      <c r="AW53" s="58" t="s">
        <v>69</v>
      </c>
      <c r="AX53" s="58" t="s">
        <v>69</v>
      </c>
      <c r="AY53" s="58">
        <v>2</v>
      </c>
      <c r="AZ53" s="58" t="s">
        <v>69</v>
      </c>
      <c r="BA53" s="58">
        <v>3</v>
      </c>
      <c r="BB53" s="58">
        <v>2</v>
      </c>
      <c r="BC53" s="58" t="s">
        <v>69</v>
      </c>
      <c r="BD53" s="58" t="s">
        <v>69</v>
      </c>
      <c r="BE53" s="58" t="s">
        <v>69</v>
      </c>
      <c r="BF53" s="58" t="s">
        <v>69</v>
      </c>
      <c r="BG53" s="58" t="s">
        <v>69</v>
      </c>
      <c r="BH53" s="58" t="s">
        <v>69</v>
      </c>
      <c r="BI53" s="58" t="s">
        <v>69</v>
      </c>
      <c r="BJ53" s="58">
        <v>3</v>
      </c>
      <c r="BK53" s="58" t="s">
        <v>69</v>
      </c>
      <c r="BL53" s="58" t="s">
        <v>69</v>
      </c>
      <c r="BM53" s="58" t="s">
        <v>69</v>
      </c>
      <c r="BN53" s="58" t="s">
        <v>69</v>
      </c>
      <c r="BO53" s="58" t="s">
        <v>69</v>
      </c>
      <c r="BP53" s="58" t="s">
        <v>69</v>
      </c>
      <c r="BQ53" s="58" t="s">
        <v>69</v>
      </c>
      <c r="BR53" s="58" t="s">
        <v>69</v>
      </c>
      <c r="BS53" s="58" t="s">
        <v>69</v>
      </c>
      <c r="BT53" s="58" t="s">
        <v>69</v>
      </c>
      <c r="BU53" s="94">
        <v>3</v>
      </c>
      <c r="BV53" s="95">
        <f t="shared" si="0"/>
        <v>0.23076923076923078</v>
      </c>
      <c r="BW53" s="95">
        <f t="shared" si="1"/>
        <v>0.66666666666666663</v>
      </c>
    </row>
    <row r="54" spans="1:75" ht="41.25" customHeight="1">
      <c r="A54" s="48" t="s">
        <v>365</v>
      </c>
      <c r="B54" s="48" t="s">
        <v>366</v>
      </c>
      <c r="C54" s="48" t="s">
        <v>214</v>
      </c>
      <c r="D54" s="48" t="s">
        <v>434</v>
      </c>
      <c r="E54" s="57">
        <v>3</v>
      </c>
      <c r="F54" s="58">
        <v>3</v>
      </c>
      <c r="G54" s="58">
        <v>3</v>
      </c>
      <c r="H54" s="58">
        <v>3</v>
      </c>
      <c r="I54" s="58" t="s">
        <v>69</v>
      </c>
      <c r="J54" s="58" t="s">
        <v>69</v>
      </c>
      <c r="K54" s="58" t="s">
        <v>69</v>
      </c>
      <c r="L54" s="58" t="s">
        <v>69</v>
      </c>
      <c r="M54" s="58" t="s">
        <v>69</v>
      </c>
      <c r="N54" s="58" t="s">
        <v>69</v>
      </c>
      <c r="O54" s="58" t="s">
        <v>69</v>
      </c>
      <c r="P54" s="58" t="s">
        <v>69</v>
      </c>
      <c r="Q54" s="58" t="s">
        <v>69</v>
      </c>
      <c r="R54" s="58" t="s">
        <v>69</v>
      </c>
      <c r="S54" s="58">
        <v>2</v>
      </c>
      <c r="T54" s="58" t="s">
        <v>69</v>
      </c>
      <c r="U54" s="58" t="s">
        <v>69</v>
      </c>
      <c r="V54" s="58" t="s">
        <v>69</v>
      </c>
      <c r="W54" s="58" t="s">
        <v>69</v>
      </c>
      <c r="X54" s="58" t="s">
        <v>69</v>
      </c>
      <c r="Y54" s="58" t="s">
        <v>69</v>
      </c>
      <c r="Z54" s="58" t="s">
        <v>69</v>
      </c>
      <c r="AA54" s="58" t="s">
        <v>69</v>
      </c>
      <c r="AB54" s="58" t="s">
        <v>69</v>
      </c>
      <c r="AC54" s="58" t="s">
        <v>69</v>
      </c>
      <c r="AD54" s="58" t="s">
        <v>69</v>
      </c>
      <c r="AE54" s="58" t="s">
        <v>69</v>
      </c>
      <c r="AF54" s="58" t="s">
        <v>69</v>
      </c>
      <c r="AG54" s="58" t="s">
        <v>69</v>
      </c>
      <c r="AH54" s="58">
        <v>3</v>
      </c>
      <c r="AI54" s="58" t="s">
        <v>69</v>
      </c>
      <c r="AJ54" s="58" t="s">
        <v>69</v>
      </c>
      <c r="AK54" s="58" t="s">
        <v>69</v>
      </c>
      <c r="AL54" s="58" t="s">
        <v>69</v>
      </c>
      <c r="AM54" s="58" t="s">
        <v>69</v>
      </c>
      <c r="AN54" s="58" t="s">
        <v>69</v>
      </c>
      <c r="AO54" s="58" t="s">
        <v>69</v>
      </c>
      <c r="AP54" s="58" t="s">
        <v>69</v>
      </c>
      <c r="AQ54" s="58" t="s">
        <v>69</v>
      </c>
      <c r="AR54" s="58" t="s">
        <v>69</v>
      </c>
      <c r="AS54" s="58">
        <v>1</v>
      </c>
      <c r="AT54" s="58" t="s">
        <v>69</v>
      </c>
      <c r="AU54" s="58" t="s">
        <v>69</v>
      </c>
      <c r="AV54" s="58" t="s">
        <v>69</v>
      </c>
      <c r="AW54" s="58" t="s">
        <v>69</v>
      </c>
      <c r="AX54" s="58" t="s">
        <v>69</v>
      </c>
      <c r="AY54" s="58" t="s">
        <v>69</v>
      </c>
      <c r="AZ54" s="58" t="s">
        <v>69</v>
      </c>
      <c r="BA54" s="58" t="s">
        <v>69</v>
      </c>
      <c r="BB54" s="58" t="s">
        <v>69</v>
      </c>
      <c r="BC54" s="58" t="s">
        <v>69</v>
      </c>
      <c r="BD54" s="58" t="s">
        <v>69</v>
      </c>
      <c r="BE54" s="58" t="s">
        <v>69</v>
      </c>
      <c r="BF54" s="58">
        <v>4</v>
      </c>
      <c r="BG54" s="58" t="s">
        <v>69</v>
      </c>
      <c r="BH54" s="58" t="s">
        <v>69</v>
      </c>
      <c r="BI54" s="58" t="s">
        <v>69</v>
      </c>
      <c r="BJ54" s="58" t="s">
        <v>69</v>
      </c>
      <c r="BK54" s="58" t="s">
        <v>69</v>
      </c>
      <c r="BL54" s="58" t="s">
        <v>69</v>
      </c>
      <c r="BM54" s="58" t="s">
        <v>69</v>
      </c>
      <c r="BN54" s="58" t="s">
        <v>69</v>
      </c>
      <c r="BO54" s="58" t="s">
        <v>69</v>
      </c>
      <c r="BP54" s="58" t="s">
        <v>69</v>
      </c>
      <c r="BQ54" s="58" t="s">
        <v>69</v>
      </c>
      <c r="BR54" s="58" t="s">
        <v>69</v>
      </c>
      <c r="BS54" s="58" t="s">
        <v>69</v>
      </c>
      <c r="BT54" s="58" t="s">
        <v>69</v>
      </c>
      <c r="BU54" s="94">
        <v>2</v>
      </c>
      <c r="BV54" s="95">
        <f t="shared" si="0"/>
        <v>0.23076923076923078</v>
      </c>
      <c r="BW54" s="95">
        <f t="shared" si="1"/>
        <v>0.75</v>
      </c>
    </row>
    <row r="55" spans="1:75" ht="41.25" customHeight="1">
      <c r="A55" s="48" t="s">
        <v>113</v>
      </c>
      <c r="B55" s="48" t="s">
        <v>114</v>
      </c>
      <c r="C55" s="48" t="s">
        <v>217</v>
      </c>
      <c r="D55" s="48" t="s">
        <v>434</v>
      </c>
      <c r="E55" s="57" t="s">
        <v>69</v>
      </c>
      <c r="F55" s="58" t="s">
        <v>69</v>
      </c>
      <c r="G55" s="58" t="s">
        <v>69</v>
      </c>
      <c r="H55" s="58" t="s">
        <v>69</v>
      </c>
      <c r="I55" s="58" t="s">
        <v>69</v>
      </c>
      <c r="J55" s="58">
        <v>3</v>
      </c>
      <c r="K55" s="58">
        <v>3</v>
      </c>
      <c r="L55" s="58" t="s">
        <v>69</v>
      </c>
      <c r="M55" s="58" t="s">
        <v>69</v>
      </c>
      <c r="N55" s="58" t="s">
        <v>69</v>
      </c>
      <c r="O55" s="58">
        <v>3</v>
      </c>
      <c r="P55" s="58">
        <v>2</v>
      </c>
      <c r="Q55" s="58" t="s">
        <v>69</v>
      </c>
      <c r="R55" s="58" t="s">
        <v>69</v>
      </c>
      <c r="S55" s="58" t="s">
        <v>69</v>
      </c>
      <c r="T55" s="58" t="s">
        <v>69</v>
      </c>
      <c r="U55" s="58" t="s">
        <v>69</v>
      </c>
      <c r="V55" s="58" t="s">
        <v>69</v>
      </c>
      <c r="W55" s="58" t="s">
        <v>69</v>
      </c>
      <c r="X55" s="58" t="s">
        <v>69</v>
      </c>
      <c r="Y55" s="58" t="s">
        <v>69</v>
      </c>
      <c r="Z55" s="58" t="s">
        <v>69</v>
      </c>
      <c r="AA55" s="58" t="s">
        <v>69</v>
      </c>
      <c r="AB55" s="58" t="s">
        <v>69</v>
      </c>
      <c r="AC55" s="58" t="s">
        <v>69</v>
      </c>
      <c r="AD55" s="58" t="s">
        <v>69</v>
      </c>
      <c r="AE55" s="58" t="s">
        <v>69</v>
      </c>
      <c r="AF55" s="58" t="s">
        <v>69</v>
      </c>
      <c r="AG55" s="58" t="s">
        <v>69</v>
      </c>
      <c r="AH55" s="58" t="s">
        <v>69</v>
      </c>
      <c r="AI55" s="58" t="s">
        <v>69</v>
      </c>
      <c r="AJ55" s="58" t="s">
        <v>69</v>
      </c>
      <c r="AK55" s="58" t="s">
        <v>69</v>
      </c>
      <c r="AL55" s="58">
        <v>4</v>
      </c>
      <c r="AM55" s="58" t="s">
        <v>69</v>
      </c>
      <c r="AN55" s="58" t="s">
        <v>69</v>
      </c>
      <c r="AO55" s="58" t="s">
        <v>69</v>
      </c>
      <c r="AP55" s="58" t="s">
        <v>69</v>
      </c>
      <c r="AQ55" s="58" t="s">
        <v>69</v>
      </c>
      <c r="AR55" s="58" t="s">
        <v>69</v>
      </c>
      <c r="AS55" s="58">
        <v>3</v>
      </c>
      <c r="AT55" s="58">
        <v>3</v>
      </c>
      <c r="AU55" s="58" t="s">
        <v>69</v>
      </c>
      <c r="AV55" s="58" t="s">
        <v>69</v>
      </c>
      <c r="AW55" s="58">
        <v>3</v>
      </c>
      <c r="AX55" s="58" t="s">
        <v>69</v>
      </c>
      <c r="AY55" s="58" t="s">
        <v>69</v>
      </c>
      <c r="AZ55" s="58" t="s">
        <v>69</v>
      </c>
      <c r="BA55" s="58" t="s">
        <v>69</v>
      </c>
      <c r="BB55" s="58" t="s">
        <v>69</v>
      </c>
      <c r="BC55" s="58" t="s">
        <v>69</v>
      </c>
      <c r="BD55" s="58">
        <v>4</v>
      </c>
      <c r="BE55" s="58" t="s">
        <v>69</v>
      </c>
      <c r="BF55" s="58" t="s">
        <v>69</v>
      </c>
      <c r="BG55" s="58" t="s">
        <v>69</v>
      </c>
      <c r="BH55" s="58" t="s">
        <v>69</v>
      </c>
      <c r="BI55" s="58" t="s">
        <v>69</v>
      </c>
      <c r="BJ55" s="58" t="s">
        <v>69</v>
      </c>
      <c r="BK55" s="58" t="s">
        <v>69</v>
      </c>
      <c r="BL55" s="58" t="s">
        <v>69</v>
      </c>
      <c r="BM55" s="58" t="s">
        <v>69</v>
      </c>
      <c r="BN55" s="58" t="s">
        <v>69</v>
      </c>
      <c r="BO55" s="58" t="s">
        <v>69</v>
      </c>
      <c r="BP55" s="58" t="s">
        <v>69</v>
      </c>
      <c r="BQ55" s="58" t="s">
        <v>69</v>
      </c>
      <c r="BR55" s="58" t="s">
        <v>69</v>
      </c>
      <c r="BS55" s="58">
        <v>3</v>
      </c>
      <c r="BT55" s="58" t="s">
        <v>69</v>
      </c>
      <c r="BU55" s="94">
        <v>3</v>
      </c>
      <c r="BV55" s="95">
        <f t="shared" si="0"/>
        <v>0.28205128205128205</v>
      </c>
      <c r="BW55" s="95">
        <f t="shared" si="1"/>
        <v>0.90909090909090906</v>
      </c>
    </row>
    <row r="56" spans="1:75" ht="41.25" customHeight="1">
      <c r="A56" s="48" t="s">
        <v>101</v>
      </c>
      <c r="B56" s="48" t="s">
        <v>102</v>
      </c>
      <c r="C56" s="48" t="s">
        <v>214</v>
      </c>
      <c r="D56" s="48" t="s">
        <v>434</v>
      </c>
      <c r="E56" s="57">
        <v>3</v>
      </c>
      <c r="F56" s="58" t="s">
        <v>69</v>
      </c>
      <c r="G56" s="58" t="s">
        <v>69</v>
      </c>
      <c r="H56" s="58">
        <v>2</v>
      </c>
      <c r="I56" s="58" t="s">
        <v>69</v>
      </c>
      <c r="J56" s="58" t="s">
        <v>69</v>
      </c>
      <c r="K56" s="58" t="s">
        <v>69</v>
      </c>
      <c r="L56" s="58" t="s">
        <v>69</v>
      </c>
      <c r="M56" s="58" t="s">
        <v>69</v>
      </c>
      <c r="N56" s="58" t="s">
        <v>69</v>
      </c>
      <c r="O56" s="58">
        <v>4</v>
      </c>
      <c r="P56" s="58" t="s">
        <v>69</v>
      </c>
      <c r="Q56" s="58" t="s">
        <v>69</v>
      </c>
      <c r="R56" s="58">
        <v>2</v>
      </c>
      <c r="S56" s="58" t="s">
        <v>69</v>
      </c>
      <c r="T56" s="58" t="s">
        <v>69</v>
      </c>
      <c r="U56" s="58" t="s">
        <v>69</v>
      </c>
      <c r="V56" s="58" t="s">
        <v>69</v>
      </c>
      <c r="W56" s="58" t="s">
        <v>69</v>
      </c>
      <c r="X56" s="58" t="s">
        <v>69</v>
      </c>
      <c r="Y56" s="58" t="s">
        <v>69</v>
      </c>
      <c r="Z56" s="58" t="s">
        <v>69</v>
      </c>
      <c r="AA56" s="58" t="s">
        <v>69</v>
      </c>
      <c r="AB56" s="58" t="s">
        <v>69</v>
      </c>
      <c r="AC56" s="58" t="s">
        <v>69</v>
      </c>
      <c r="AD56" s="58" t="s">
        <v>69</v>
      </c>
      <c r="AE56" s="58" t="s">
        <v>69</v>
      </c>
      <c r="AF56" s="58" t="s">
        <v>69</v>
      </c>
      <c r="AG56" s="58" t="s">
        <v>69</v>
      </c>
      <c r="AH56" s="58" t="s">
        <v>69</v>
      </c>
      <c r="AI56" s="58" t="s">
        <v>69</v>
      </c>
      <c r="AJ56" s="58" t="s">
        <v>69</v>
      </c>
      <c r="AK56" s="58" t="s">
        <v>69</v>
      </c>
      <c r="AL56" s="58" t="s">
        <v>69</v>
      </c>
      <c r="AM56" s="58" t="s">
        <v>69</v>
      </c>
      <c r="AN56" s="58" t="s">
        <v>69</v>
      </c>
      <c r="AO56" s="58" t="s">
        <v>69</v>
      </c>
      <c r="AP56" s="58" t="s">
        <v>69</v>
      </c>
      <c r="AQ56" s="58" t="s">
        <v>69</v>
      </c>
      <c r="AR56" s="58" t="s">
        <v>69</v>
      </c>
      <c r="AS56" s="58">
        <v>3</v>
      </c>
      <c r="AT56" s="58">
        <v>3</v>
      </c>
      <c r="AU56" s="58">
        <v>3</v>
      </c>
      <c r="AV56" s="58">
        <v>3</v>
      </c>
      <c r="AW56" s="58">
        <v>3</v>
      </c>
      <c r="AX56" s="58" t="s">
        <v>69</v>
      </c>
      <c r="AY56" s="58" t="s">
        <v>69</v>
      </c>
      <c r="AZ56" s="58" t="s">
        <v>69</v>
      </c>
      <c r="BA56" s="58" t="s">
        <v>69</v>
      </c>
      <c r="BB56" s="58" t="s">
        <v>69</v>
      </c>
      <c r="BC56" s="58" t="s">
        <v>69</v>
      </c>
      <c r="BD56" s="58" t="s">
        <v>69</v>
      </c>
      <c r="BE56" s="58" t="s">
        <v>69</v>
      </c>
      <c r="BF56" s="58" t="s">
        <v>69</v>
      </c>
      <c r="BG56" s="58" t="s">
        <v>69</v>
      </c>
      <c r="BH56" s="58" t="s">
        <v>69</v>
      </c>
      <c r="BI56" s="58" t="s">
        <v>69</v>
      </c>
      <c r="BJ56" s="58" t="s">
        <v>69</v>
      </c>
      <c r="BK56" s="58" t="s">
        <v>69</v>
      </c>
      <c r="BL56" s="58" t="s">
        <v>69</v>
      </c>
      <c r="BM56" s="58" t="s">
        <v>69</v>
      </c>
      <c r="BN56" s="58" t="s">
        <v>69</v>
      </c>
      <c r="BO56" s="58" t="s">
        <v>69</v>
      </c>
      <c r="BP56" s="58" t="s">
        <v>69</v>
      </c>
      <c r="BQ56" s="58" t="s">
        <v>69</v>
      </c>
      <c r="BR56" s="58" t="s">
        <v>69</v>
      </c>
      <c r="BS56" s="58">
        <v>3</v>
      </c>
      <c r="BT56" s="58" t="s">
        <v>69</v>
      </c>
      <c r="BU56" s="94">
        <v>3</v>
      </c>
      <c r="BV56" s="95">
        <f t="shared" si="0"/>
        <v>0.28205128205128205</v>
      </c>
      <c r="BW56" s="95">
        <f t="shared" si="1"/>
        <v>0.81818181818181823</v>
      </c>
    </row>
    <row r="57" spans="1:75" ht="41.25" customHeight="1">
      <c r="A57" s="48" t="s">
        <v>368</v>
      </c>
      <c r="B57" s="48" t="s">
        <v>369</v>
      </c>
      <c r="C57" s="48" t="s">
        <v>214</v>
      </c>
      <c r="D57" s="48" t="s">
        <v>434</v>
      </c>
      <c r="E57" s="57">
        <v>2</v>
      </c>
      <c r="F57" s="58">
        <v>3</v>
      </c>
      <c r="G57" s="58">
        <v>2</v>
      </c>
      <c r="H57" s="58" t="s">
        <v>69</v>
      </c>
      <c r="I57" s="58" t="s">
        <v>69</v>
      </c>
      <c r="J57" s="58">
        <v>3</v>
      </c>
      <c r="K57" s="58" t="s">
        <v>69</v>
      </c>
      <c r="L57" s="58" t="s">
        <v>69</v>
      </c>
      <c r="M57" s="58" t="s">
        <v>69</v>
      </c>
      <c r="N57" s="58">
        <v>3</v>
      </c>
      <c r="O57" s="58">
        <v>4</v>
      </c>
      <c r="P57" s="58">
        <v>4</v>
      </c>
      <c r="Q57" s="58" t="s">
        <v>69</v>
      </c>
      <c r="R57" s="58" t="s">
        <v>69</v>
      </c>
      <c r="S57" s="58" t="s">
        <v>69</v>
      </c>
      <c r="T57" s="58" t="s">
        <v>69</v>
      </c>
      <c r="U57" s="58" t="s">
        <v>69</v>
      </c>
      <c r="V57" s="58" t="s">
        <v>69</v>
      </c>
      <c r="W57" s="58">
        <v>2</v>
      </c>
      <c r="X57" s="58" t="s">
        <v>69</v>
      </c>
      <c r="Y57" s="58" t="s">
        <v>69</v>
      </c>
      <c r="Z57" s="58" t="s">
        <v>69</v>
      </c>
      <c r="AA57" s="58" t="s">
        <v>69</v>
      </c>
      <c r="AB57" s="58" t="s">
        <v>69</v>
      </c>
      <c r="AC57" s="58" t="s">
        <v>69</v>
      </c>
      <c r="AD57" s="58" t="s">
        <v>69</v>
      </c>
      <c r="AE57" s="58" t="s">
        <v>69</v>
      </c>
      <c r="AF57" s="58" t="s">
        <v>69</v>
      </c>
      <c r="AG57" s="58" t="s">
        <v>69</v>
      </c>
      <c r="AH57" s="58" t="s">
        <v>69</v>
      </c>
      <c r="AI57" s="58" t="s">
        <v>69</v>
      </c>
      <c r="AJ57" s="58" t="s">
        <v>69</v>
      </c>
      <c r="AK57" s="58" t="s">
        <v>69</v>
      </c>
      <c r="AL57" s="58" t="s">
        <v>69</v>
      </c>
      <c r="AM57" s="58" t="s">
        <v>69</v>
      </c>
      <c r="AN57" s="58" t="s">
        <v>69</v>
      </c>
      <c r="AO57" s="58" t="s">
        <v>69</v>
      </c>
      <c r="AP57" s="58">
        <v>3</v>
      </c>
      <c r="AQ57" s="58">
        <v>3</v>
      </c>
      <c r="AR57" s="58" t="s">
        <v>69</v>
      </c>
      <c r="AS57" s="58" t="s">
        <v>69</v>
      </c>
      <c r="AT57" s="58" t="s">
        <v>69</v>
      </c>
      <c r="AU57" s="58" t="s">
        <v>69</v>
      </c>
      <c r="AV57" s="58" t="s">
        <v>69</v>
      </c>
      <c r="AW57" s="58">
        <v>2</v>
      </c>
      <c r="AX57" s="58" t="s">
        <v>69</v>
      </c>
      <c r="AY57" s="58" t="s">
        <v>69</v>
      </c>
      <c r="AZ57" s="58" t="s">
        <v>69</v>
      </c>
      <c r="BA57" s="58" t="s">
        <v>69</v>
      </c>
      <c r="BB57" s="58" t="s">
        <v>69</v>
      </c>
      <c r="BC57" s="58" t="s">
        <v>69</v>
      </c>
      <c r="BD57" s="58" t="s">
        <v>69</v>
      </c>
      <c r="BE57" s="58" t="s">
        <v>69</v>
      </c>
      <c r="BF57" s="58" t="s">
        <v>69</v>
      </c>
      <c r="BG57" s="58" t="s">
        <v>69</v>
      </c>
      <c r="BH57" s="58" t="s">
        <v>69</v>
      </c>
      <c r="BI57" s="58" t="s">
        <v>69</v>
      </c>
      <c r="BJ57" s="58" t="s">
        <v>69</v>
      </c>
      <c r="BK57" s="58" t="s">
        <v>69</v>
      </c>
      <c r="BL57" s="58" t="s">
        <v>69</v>
      </c>
      <c r="BM57" s="58" t="s">
        <v>69</v>
      </c>
      <c r="BN57" s="58" t="s">
        <v>69</v>
      </c>
      <c r="BO57" s="58" t="s">
        <v>69</v>
      </c>
      <c r="BP57" s="58" t="s">
        <v>69</v>
      </c>
      <c r="BQ57" s="58" t="s">
        <v>69</v>
      </c>
      <c r="BR57" s="58" t="s">
        <v>69</v>
      </c>
      <c r="BS57" s="58" t="s">
        <v>69</v>
      </c>
      <c r="BT57" s="58" t="s">
        <v>69</v>
      </c>
      <c r="BU57" s="94">
        <v>3</v>
      </c>
      <c r="BV57" s="95">
        <f t="shared" si="0"/>
        <v>0.30769230769230771</v>
      </c>
      <c r="BW57" s="95">
        <f t="shared" si="1"/>
        <v>0.66666666666666663</v>
      </c>
    </row>
    <row r="58" spans="1:75" ht="41.25" customHeight="1">
      <c r="A58" s="48" t="s">
        <v>371</v>
      </c>
      <c r="B58" s="48" t="s">
        <v>372</v>
      </c>
      <c r="C58" s="48" t="s">
        <v>217</v>
      </c>
      <c r="D58" s="48" t="s">
        <v>434</v>
      </c>
      <c r="E58" s="57">
        <v>3</v>
      </c>
      <c r="F58" s="58" t="s">
        <v>69</v>
      </c>
      <c r="G58" s="58" t="s">
        <v>69</v>
      </c>
      <c r="H58" s="58">
        <v>2</v>
      </c>
      <c r="I58" s="58" t="s">
        <v>69</v>
      </c>
      <c r="J58" s="58" t="s">
        <v>69</v>
      </c>
      <c r="K58" s="58" t="s">
        <v>69</v>
      </c>
      <c r="L58" s="58" t="s">
        <v>69</v>
      </c>
      <c r="M58" s="58" t="s">
        <v>69</v>
      </c>
      <c r="N58" s="58">
        <v>1</v>
      </c>
      <c r="O58" s="58" t="s">
        <v>69</v>
      </c>
      <c r="P58" s="58" t="s">
        <v>69</v>
      </c>
      <c r="Q58" s="58" t="s">
        <v>69</v>
      </c>
      <c r="R58" s="58">
        <v>3</v>
      </c>
      <c r="S58" s="58">
        <v>3</v>
      </c>
      <c r="T58" s="58" t="s">
        <v>69</v>
      </c>
      <c r="U58" s="58" t="s">
        <v>69</v>
      </c>
      <c r="V58" s="58" t="s">
        <v>69</v>
      </c>
      <c r="W58" s="58" t="s">
        <v>69</v>
      </c>
      <c r="X58" s="58" t="s">
        <v>69</v>
      </c>
      <c r="Y58" s="58" t="s">
        <v>69</v>
      </c>
      <c r="Z58" s="58" t="s">
        <v>69</v>
      </c>
      <c r="AA58" s="58" t="s">
        <v>69</v>
      </c>
      <c r="AB58" s="58" t="s">
        <v>69</v>
      </c>
      <c r="AC58" s="58">
        <v>3</v>
      </c>
      <c r="AD58" s="58" t="s">
        <v>69</v>
      </c>
      <c r="AE58" s="58" t="s">
        <v>69</v>
      </c>
      <c r="AF58" s="58" t="s">
        <v>69</v>
      </c>
      <c r="AG58" s="58" t="s">
        <v>69</v>
      </c>
      <c r="AH58" s="58" t="s">
        <v>69</v>
      </c>
      <c r="AI58" s="58" t="s">
        <v>69</v>
      </c>
      <c r="AJ58" s="58" t="s">
        <v>69</v>
      </c>
      <c r="AK58" s="58" t="s">
        <v>69</v>
      </c>
      <c r="AL58" s="58" t="s">
        <v>69</v>
      </c>
      <c r="AM58" s="58" t="s">
        <v>69</v>
      </c>
      <c r="AN58" s="58" t="s">
        <v>69</v>
      </c>
      <c r="AO58" s="58" t="s">
        <v>69</v>
      </c>
      <c r="AP58" s="58" t="s">
        <v>69</v>
      </c>
      <c r="AQ58" s="58" t="s">
        <v>69</v>
      </c>
      <c r="AR58" s="58" t="s">
        <v>69</v>
      </c>
      <c r="AS58" s="58">
        <v>3</v>
      </c>
      <c r="AT58" s="58">
        <v>3</v>
      </c>
      <c r="AU58" s="58">
        <v>3</v>
      </c>
      <c r="AV58" s="58">
        <v>3</v>
      </c>
      <c r="AW58" s="58">
        <v>3</v>
      </c>
      <c r="AX58" s="58" t="s">
        <v>69</v>
      </c>
      <c r="AY58" s="58" t="s">
        <v>69</v>
      </c>
      <c r="AZ58" s="58" t="s">
        <v>69</v>
      </c>
      <c r="BA58" s="58" t="s">
        <v>69</v>
      </c>
      <c r="BB58" s="58" t="s">
        <v>69</v>
      </c>
      <c r="BC58" s="58" t="s">
        <v>69</v>
      </c>
      <c r="BD58" s="58" t="s">
        <v>69</v>
      </c>
      <c r="BE58" s="58" t="s">
        <v>69</v>
      </c>
      <c r="BF58" s="58" t="s">
        <v>69</v>
      </c>
      <c r="BG58" s="58" t="s">
        <v>69</v>
      </c>
      <c r="BH58" s="58" t="s">
        <v>69</v>
      </c>
      <c r="BI58" s="58" t="s">
        <v>69</v>
      </c>
      <c r="BJ58" s="58" t="s">
        <v>69</v>
      </c>
      <c r="BK58" s="58" t="s">
        <v>69</v>
      </c>
      <c r="BL58" s="58" t="s">
        <v>69</v>
      </c>
      <c r="BM58" s="58" t="s">
        <v>69</v>
      </c>
      <c r="BN58" s="58" t="s">
        <v>69</v>
      </c>
      <c r="BO58" s="58" t="s">
        <v>69</v>
      </c>
      <c r="BP58" s="58" t="s">
        <v>69</v>
      </c>
      <c r="BQ58" s="58" t="s">
        <v>69</v>
      </c>
      <c r="BR58" s="58" t="s">
        <v>69</v>
      </c>
      <c r="BS58" s="58" t="s">
        <v>69</v>
      </c>
      <c r="BT58" s="58" t="s">
        <v>69</v>
      </c>
      <c r="BU58" s="94">
        <v>3</v>
      </c>
      <c r="BV58" s="95">
        <f t="shared" si="0"/>
        <v>0.30769230769230771</v>
      </c>
      <c r="BW58" s="95">
        <f t="shared" si="1"/>
        <v>0.90909090909090906</v>
      </c>
    </row>
    <row r="59" spans="1:75" ht="41.25" customHeight="1">
      <c r="A59" s="48" t="s">
        <v>375</v>
      </c>
      <c r="B59" s="48" t="s">
        <v>376</v>
      </c>
      <c r="C59" s="48" t="s">
        <v>214</v>
      </c>
      <c r="D59" s="48" t="s">
        <v>434</v>
      </c>
      <c r="E59" s="57">
        <v>3</v>
      </c>
      <c r="F59" s="58" t="s">
        <v>69</v>
      </c>
      <c r="G59" s="58" t="s">
        <v>69</v>
      </c>
      <c r="H59" s="58" t="s">
        <v>69</v>
      </c>
      <c r="I59" s="58" t="s">
        <v>69</v>
      </c>
      <c r="J59" s="58">
        <v>3</v>
      </c>
      <c r="K59" s="58" t="s">
        <v>69</v>
      </c>
      <c r="L59" s="58" t="s">
        <v>69</v>
      </c>
      <c r="M59" s="58" t="s">
        <v>69</v>
      </c>
      <c r="N59" s="58">
        <v>3</v>
      </c>
      <c r="O59" s="58">
        <v>3</v>
      </c>
      <c r="P59" s="58" t="s">
        <v>69</v>
      </c>
      <c r="Q59" s="58" t="s">
        <v>69</v>
      </c>
      <c r="R59" s="58" t="s">
        <v>69</v>
      </c>
      <c r="S59" s="58" t="s">
        <v>69</v>
      </c>
      <c r="T59" s="58" t="s">
        <v>69</v>
      </c>
      <c r="U59" s="58" t="s">
        <v>69</v>
      </c>
      <c r="V59" s="58" t="s">
        <v>69</v>
      </c>
      <c r="W59" s="58">
        <v>2</v>
      </c>
      <c r="X59" s="58" t="s">
        <v>69</v>
      </c>
      <c r="Y59" s="58" t="s">
        <v>69</v>
      </c>
      <c r="Z59" s="58" t="s">
        <v>69</v>
      </c>
      <c r="AA59" s="58" t="s">
        <v>69</v>
      </c>
      <c r="AB59" s="58" t="s">
        <v>69</v>
      </c>
      <c r="AC59" s="58" t="s">
        <v>69</v>
      </c>
      <c r="AD59" s="58" t="s">
        <v>69</v>
      </c>
      <c r="AE59" s="58" t="s">
        <v>69</v>
      </c>
      <c r="AF59" s="58" t="s">
        <v>69</v>
      </c>
      <c r="AG59" s="58" t="s">
        <v>69</v>
      </c>
      <c r="AH59" s="58" t="s">
        <v>69</v>
      </c>
      <c r="AI59" s="58" t="s">
        <v>69</v>
      </c>
      <c r="AJ59" s="58" t="s">
        <v>69</v>
      </c>
      <c r="AK59" s="58" t="s">
        <v>69</v>
      </c>
      <c r="AL59" s="58" t="s">
        <v>69</v>
      </c>
      <c r="AM59" s="58" t="s">
        <v>69</v>
      </c>
      <c r="AN59" s="58" t="s">
        <v>69</v>
      </c>
      <c r="AO59" s="58" t="s">
        <v>69</v>
      </c>
      <c r="AP59" s="58" t="s">
        <v>69</v>
      </c>
      <c r="AQ59" s="58" t="s">
        <v>69</v>
      </c>
      <c r="AR59" s="58" t="s">
        <v>69</v>
      </c>
      <c r="AS59" s="58" t="s">
        <v>69</v>
      </c>
      <c r="AT59" s="58" t="s">
        <v>69</v>
      </c>
      <c r="AU59" s="58"/>
      <c r="AV59" s="58" t="s">
        <v>69</v>
      </c>
      <c r="AW59" s="58">
        <v>3</v>
      </c>
      <c r="AX59" s="58" t="s">
        <v>69</v>
      </c>
      <c r="AY59" s="58">
        <v>2</v>
      </c>
      <c r="AZ59" s="58" t="s">
        <v>69</v>
      </c>
      <c r="BA59" s="58">
        <v>3</v>
      </c>
      <c r="BB59" s="58">
        <v>2</v>
      </c>
      <c r="BC59" s="58" t="s">
        <v>69</v>
      </c>
      <c r="BD59" s="58" t="s">
        <v>69</v>
      </c>
      <c r="BE59" s="58" t="s">
        <v>69</v>
      </c>
      <c r="BF59" s="58" t="s">
        <v>69</v>
      </c>
      <c r="BG59" s="58" t="s">
        <v>69</v>
      </c>
      <c r="BH59" s="58" t="s">
        <v>69</v>
      </c>
      <c r="BI59" s="58" t="s">
        <v>69</v>
      </c>
      <c r="BJ59" s="58" t="s">
        <v>69</v>
      </c>
      <c r="BK59" s="58" t="s">
        <v>69</v>
      </c>
      <c r="BL59" s="58">
        <v>3</v>
      </c>
      <c r="BM59" s="58" t="s">
        <v>69</v>
      </c>
      <c r="BN59" s="58" t="s">
        <v>69</v>
      </c>
      <c r="BO59" s="58" t="s">
        <v>69</v>
      </c>
      <c r="BP59" s="58" t="s">
        <v>69</v>
      </c>
      <c r="BQ59" s="58" t="s">
        <v>69</v>
      </c>
      <c r="BR59" s="58" t="s">
        <v>69</v>
      </c>
      <c r="BS59" s="58" t="s">
        <v>69</v>
      </c>
      <c r="BT59" s="58" t="s">
        <v>69</v>
      </c>
      <c r="BU59" s="94">
        <v>2</v>
      </c>
      <c r="BV59" s="95">
        <f t="shared" si="0"/>
        <v>0.28205128205128205</v>
      </c>
      <c r="BW59" s="95">
        <f t="shared" si="1"/>
        <v>0.63636363636363635</v>
      </c>
    </row>
    <row r="60" spans="1:75" ht="41.25" customHeight="1">
      <c r="A60" s="48" t="s">
        <v>377</v>
      </c>
      <c r="B60" s="48" t="s">
        <v>378</v>
      </c>
      <c r="C60" s="48" t="s">
        <v>217</v>
      </c>
      <c r="D60" s="48" t="s">
        <v>434</v>
      </c>
      <c r="E60" s="57" t="s">
        <v>69</v>
      </c>
      <c r="F60" s="58">
        <v>2</v>
      </c>
      <c r="G60" s="58" t="s">
        <v>69</v>
      </c>
      <c r="H60" s="58" t="s">
        <v>69</v>
      </c>
      <c r="I60" s="58" t="s">
        <v>69</v>
      </c>
      <c r="J60" s="58">
        <v>3</v>
      </c>
      <c r="K60" s="58">
        <v>3</v>
      </c>
      <c r="L60" s="58">
        <v>2</v>
      </c>
      <c r="M60" s="58" t="s">
        <v>69</v>
      </c>
      <c r="N60" s="58">
        <v>1</v>
      </c>
      <c r="O60" s="58" t="s">
        <v>69</v>
      </c>
      <c r="P60" s="58" t="s">
        <v>69</v>
      </c>
      <c r="Q60" s="58" t="s">
        <v>69</v>
      </c>
      <c r="R60" s="58" t="s">
        <v>69</v>
      </c>
      <c r="S60" s="58">
        <v>2</v>
      </c>
      <c r="T60" s="58" t="s">
        <v>69</v>
      </c>
      <c r="U60" s="58" t="s">
        <v>69</v>
      </c>
      <c r="V60" s="58" t="s">
        <v>69</v>
      </c>
      <c r="W60" s="58" t="s">
        <v>69</v>
      </c>
      <c r="X60" s="58" t="s">
        <v>69</v>
      </c>
      <c r="Y60" s="58" t="s">
        <v>69</v>
      </c>
      <c r="Z60" s="58" t="s">
        <v>69</v>
      </c>
      <c r="AA60" s="58" t="s">
        <v>69</v>
      </c>
      <c r="AB60" s="58" t="s">
        <v>69</v>
      </c>
      <c r="AC60" s="58" t="s">
        <v>69</v>
      </c>
      <c r="AD60" s="58" t="s">
        <v>69</v>
      </c>
      <c r="AE60" s="58" t="s">
        <v>69</v>
      </c>
      <c r="AF60" s="58" t="s">
        <v>69</v>
      </c>
      <c r="AG60" s="58" t="s">
        <v>69</v>
      </c>
      <c r="AH60" s="58" t="s">
        <v>69</v>
      </c>
      <c r="AI60" s="58" t="s">
        <v>69</v>
      </c>
      <c r="AJ60" s="58" t="s">
        <v>69</v>
      </c>
      <c r="AK60" s="58" t="s">
        <v>69</v>
      </c>
      <c r="AL60" s="58">
        <v>3</v>
      </c>
      <c r="AM60" s="58" t="s">
        <v>69</v>
      </c>
      <c r="AN60" s="58" t="s">
        <v>69</v>
      </c>
      <c r="AO60" s="58" t="s">
        <v>69</v>
      </c>
      <c r="AP60" s="58" t="s">
        <v>69</v>
      </c>
      <c r="AQ60" s="58" t="s">
        <v>69</v>
      </c>
      <c r="AR60" s="58" t="s">
        <v>69</v>
      </c>
      <c r="AS60" s="58" t="s">
        <v>69</v>
      </c>
      <c r="AT60" s="58" t="s">
        <v>69</v>
      </c>
      <c r="AU60" s="58" t="s">
        <v>69</v>
      </c>
      <c r="AV60" s="58" t="s">
        <v>69</v>
      </c>
      <c r="AW60" s="58">
        <v>2</v>
      </c>
      <c r="AX60" s="58" t="s">
        <v>69</v>
      </c>
      <c r="AY60" s="58" t="s">
        <v>69</v>
      </c>
      <c r="AZ60" s="58" t="s">
        <v>69</v>
      </c>
      <c r="BA60" s="58">
        <v>3</v>
      </c>
      <c r="BB60" s="58">
        <v>2</v>
      </c>
      <c r="BC60" s="58" t="s">
        <v>69</v>
      </c>
      <c r="BD60" s="58">
        <v>3</v>
      </c>
      <c r="BE60" s="58">
        <v>3</v>
      </c>
      <c r="BF60" s="58" t="s">
        <v>69</v>
      </c>
      <c r="BG60" s="58" t="s">
        <v>69</v>
      </c>
      <c r="BH60" s="58" t="s">
        <v>69</v>
      </c>
      <c r="BI60" s="58">
        <v>3</v>
      </c>
      <c r="BJ60" s="58" t="s">
        <v>69</v>
      </c>
      <c r="BK60" s="58" t="s">
        <v>69</v>
      </c>
      <c r="BL60" s="58" t="s">
        <v>69</v>
      </c>
      <c r="BM60" s="58" t="s">
        <v>69</v>
      </c>
      <c r="BN60" s="58" t="s">
        <v>69</v>
      </c>
      <c r="BO60" s="58" t="s">
        <v>69</v>
      </c>
      <c r="BP60" s="58" t="s">
        <v>69</v>
      </c>
      <c r="BQ60" s="58" t="s">
        <v>69</v>
      </c>
      <c r="BR60" s="58" t="s">
        <v>69</v>
      </c>
      <c r="BS60" s="58" t="s">
        <v>69</v>
      </c>
      <c r="BT60" s="58" t="s">
        <v>69</v>
      </c>
      <c r="BU60" s="94">
        <v>2</v>
      </c>
      <c r="BV60" s="95">
        <f t="shared" si="0"/>
        <v>0.35897435897435898</v>
      </c>
      <c r="BW60" s="95">
        <f t="shared" si="1"/>
        <v>0.53846153846153844</v>
      </c>
    </row>
    <row r="61" spans="1:75" ht="41.25" customHeight="1">
      <c r="A61" s="48" t="s">
        <v>379</v>
      </c>
      <c r="B61" s="48" t="s">
        <v>380</v>
      </c>
      <c r="C61" s="48" t="s">
        <v>214</v>
      </c>
      <c r="D61" s="48" t="s">
        <v>434</v>
      </c>
      <c r="E61" s="57">
        <v>2</v>
      </c>
      <c r="F61" s="58" t="s">
        <v>69</v>
      </c>
      <c r="G61" s="58" t="s">
        <v>69</v>
      </c>
      <c r="H61" s="58">
        <v>2</v>
      </c>
      <c r="I61" s="58" t="s">
        <v>69</v>
      </c>
      <c r="J61" s="58"/>
      <c r="K61" s="58"/>
      <c r="L61" s="58" t="s">
        <v>69</v>
      </c>
      <c r="M61" s="58" t="s">
        <v>69</v>
      </c>
      <c r="N61" s="58">
        <v>3</v>
      </c>
      <c r="O61" s="58">
        <v>3</v>
      </c>
      <c r="P61" s="58">
        <v>3</v>
      </c>
      <c r="Q61" s="58" t="s">
        <v>69</v>
      </c>
      <c r="R61" s="58">
        <v>2</v>
      </c>
      <c r="S61" s="58" t="s">
        <v>69</v>
      </c>
      <c r="T61" s="58" t="s">
        <v>69</v>
      </c>
      <c r="U61" s="58" t="s">
        <v>69</v>
      </c>
      <c r="V61" s="58" t="s">
        <v>69</v>
      </c>
      <c r="W61" s="58">
        <v>2</v>
      </c>
      <c r="X61" s="58" t="s">
        <v>69</v>
      </c>
      <c r="Y61" s="58" t="s">
        <v>69</v>
      </c>
      <c r="Z61" s="58" t="s">
        <v>69</v>
      </c>
      <c r="AA61" s="58" t="s">
        <v>69</v>
      </c>
      <c r="AB61" s="58" t="s">
        <v>69</v>
      </c>
      <c r="AC61" s="58" t="s">
        <v>69</v>
      </c>
      <c r="AD61" s="58" t="s">
        <v>69</v>
      </c>
      <c r="AE61" s="58" t="s">
        <v>69</v>
      </c>
      <c r="AF61" s="58" t="s">
        <v>69</v>
      </c>
      <c r="AG61" s="58" t="s">
        <v>69</v>
      </c>
      <c r="AH61" s="58" t="s">
        <v>69</v>
      </c>
      <c r="AI61" s="58" t="s">
        <v>69</v>
      </c>
      <c r="AJ61" s="58" t="s">
        <v>69</v>
      </c>
      <c r="AK61" s="58" t="s">
        <v>69</v>
      </c>
      <c r="AL61" s="58" t="s">
        <v>69</v>
      </c>
      <c r="AM61" s="58" t="s">
        <v>69</v>
      </c>
      <c r="AN61" s="58" t="s">
        <v>69</v>
      </c>
      <c r="AO61" s="58" t="s">
        <v>69</v>
      </c>
      <c r="AP61" s="58">
        <v>2</v>
      </c>
      <c r="AQ61" s="58" t="s">
        <v>69</v>
      </c>
      <c r="AR61" s="58" t="s">
        <v>69</v>
      </c>
      <c r="AS61" s="58" t="s">
        <v>69</v>
      </c>
      <c r="AT61" s="58" t="s">
        <v>69</v>
      </c>
      <c r="AU61" s="58">
        <v>3</v>
      </c>
      <c r="AV61" s="58">
        <v>3</v>
      </c>
      <c r="AW61" s="58" t="s">
        <v>69</v>
      </c>
      <c r="AX61" s="58" t="s">
        <v>69</v>
      </c>
      <c r="AY61" s="58" t="s">
        <v>69</v>
      </c>
      <c r="AZ61" s="58" t="s">
        <v>69</v>
      </c>
      <c r="BA61" s="58">
        <v>3</v>
      </c>
      <c r="BB61" s="58">
        <v>2</v>
      </c>
      <c r="BC61" s="58" t="s">
        <v>69</v>
      </c>
      <c r="BD61" s="58">
        <v>1</v>
      </c>
      <c r="BE61" s="58">
        <v>3</v>
      </c>
      <c r="BF61" s="58" t="s">
        <v>69</v>
      </c>
      <c r="BG61" s="58" t="s">
        <v>69</v>
      </c>
      <c r="BH61" s="58">
        <v>1</v>
      </c>
      <c r="BI61" s="58" t="s">
        <v>69</v>
      </c>
      <c r="BJ61" s="58" t="s">
        <v>69</v>
      </c>
      <c r="BK61" s="58" t="s">
        <v>69</v>
      </c>
      <c r="BL61" s="58" t="s">
        <v>69</v>
      </c>
      <c r="BM61" s="58" t="s">
        <v>69</v>
      </c>
      <c r="BN61" s="58" t="s">
        <v>69</v>
      </c>
      <c r="BO61" s="58" t="s">
        <v>69</v>
      </c>
      <c r="BP61" s="58" t="s">
        <v>69</v>
      </c>
      <c r="BQ61" s="58" t="s">
        <v>69</v>
      </c>
      <c r="BR61" s="58" t="s">
        <v>69</v>
      </c>
      <c r="BS61" s="58" t="s">
        <v>69</v>
      </c>
      <c r="BT61" s="58" t="s">
        <v>69</v>
      </c>
      <c r="BU61" s="94">
        <v>2</v>
      </c>
      <c r="BV61" s="95">
        <f t="shared" si="0"/>
        <v>0.41025641025641024</v>
      </c>
      <c r="BW61" s="95">
        <f t="shared" si="1"/>
        <v>0.5</v>
      </c>
    </row>
    <row r="62" spans="1:75" ht="41.25" customHeight="1">
      <c r="A62" s="48" t="s">
        <v>381</v>
      </c>
      <c r="B62" s="48" t="s">
        <v>382</v>
      </c>
      <c r="C62" s="48" t="s">
        <v>214</v>
      </c>
      <c r="D62" s="48" t="s">
        <v>434</v>
      </c>
      <c r="E62" s="57">
        <v>3</v>
      </c>
      <c r="F62" s="58" t="s">
        <v>69</v>
      </c>
      <c r="G62" s="58">
        <v>2</v>
      </c>
      <c r="H62" s="58" t="s">
        <v>69</v>
      </c>
      <c r="I62" s="58" t="s">
        <v>69</v>
      </c>
      <c r="J62" s="58" t="s">
        <v>69</v>
      </c>
      <c r="K62" s="58" t="s">
        <v>69</v>
      </c>
      <c r="L62" s="58" t="s">
        <v>69</v>
      </c>
      <c r="M62" s="58" t="s">
        <v>69</v>
      </c>
      <c r="N62" s="58" t="s">
        <v>69</v>
      </c>
      <c r="O62" s="58">
        <v>3</v>
      </c>
      <c r="P62" s="58">
        <v>3</v>
      </c>
      <c r="Q62" s="58" t="s">
        <v>69</v>
      </c>
      <c r="R62" s="58">
        <v>3</v>
      </c>
      <c r="S62" s="58" t="s">
        <v>69</v>
      </c>
      <c r="T62" s="58">
        <v>2</v>
      </c>
      <c r="U62" s="58" t="s">
        <v>69</v>
      </c>
      <c r="V62" s="58" t="s">
        <v>69</v>
      </c>
      <c r="W62" s="58" t="s">
        <v>69</v>
      </c>
      <c r="X62" s="58" t="s">
        <v>69</v>
      </c>
      <c r="Y62" s="58" t="s">
        <v>69</v>
      </c>
      <c r="Z62" s="58" t="s">
        <v>69</v>
      </c>
      <c r="AA62" s="58" t="s">
        <v>69</v>
      </c>
      <c r="AB62" s="58" t="s">
        <v>69</v>
      </c>
      <c r="AC62" s="58" t="s">
        <v>69</v>
      </c>
      <c r="AD62" s="58" t="s">
        <v>69</v>
      </c>
      <c r="AE62" s="58" t="s">
        <v>69</v>
      </c>
      <c r="AF62" s="58" t="s">
        <v>69</v>
      </c>
      <c r="AG62" s="58" t="s">
        <v>69</v>
      </c>
      <c r="AH62" s="58" t="s">
        <v>69</v>
      </c>
      <c r="AI62" s="58" t="s">
        <v>69</v>
      </c>
      <c r="AJ62" s="58">
        <v>2</v>
      </c>
      <c r="AK62" s="58" t="s">
        <v>69</v>
      </c>
      <c r="AL62" s="58" t="s">
        <v>69</v>
      </c>
      <c r="AM62" s="58" t="s">
        <v>69</v>
      </c>
      <c r="AN62" s="58" t="s">
        <v>69</v>
      </c>
      <c r="AO62" s="58" t="s">
        <v>69</v>
      </c>
      <c r="AP62" s="58" t="s">
        <v>69</v>
      </c>
      <c r="AQ62" s="58" t="s">
        <v>69</v>
      </c>
      <c r="AR62" s="58" t="s">
        <v>69</v>
      </c>
      <c r="AS62" s="58">
        <v>1</v>
      </c>
      <c r="AT62" s="58">
        <v>2</v>
      </c>
      <c r="AU62" s="58">
        <v>2</v>
      </c>
      <c r="AV62" s="58">
        <v>2</v>
      </c>
      <c r="AW62" s="58">
        <v>2</v>
      </c>
      <c r="AX62" s="58" t="s">
        <v>69</v>
      </c>
      <c r="AY62" s="58" t="s">
        <v>69</v>
      </c>
      <c r="AZ62" s="58" t="s">
        <v>69</v>
      </c>
      <c r="BA62" s="58" t="s">
        <v>69</v>
      </c>
      <c r="BB62" s="58" t="s">
        <v>69</v>
      </c>
      <c r="BC62" s="58" t="s">
        <v>69</v>
      </c>
      <c r="BD62" s="58" t="s">
        <v>69</v>
      </c>
      <c r="BE62" s="58" t="s">
        <v>69</v>
      </c>
      <c r="BF62" s="58" t="s">
        <v>69</v>
      </c>
      <c r="BG62" s="58" t="s">
        <v>69</v>
      </c>
      <c r="BH62" s="58" t="s">
        <v>69</v>
      </c>
      <c r="BI62" s="58" t="s">
        <v>69</v>
      </c>
      <c r="BJ62" s="58" t="s">
        <v>69</v>
      </c>
      <c r="BK62" s="58" t="s">
        <v>69</v>
      </c>
      <c r="BL62" s="58">
        <v>1</v>
      </c>
      <c r="BM62" s="58" t="s">
        <v>69</v>
      </c>
      <c r="BN62" s="58" t="s">
        <v>69</v>
      </c>
      <c r="BO62" s="58" t="s">
        <v>69</v>
      </c>
      <c r="BP62" s="58" t="s">
        <v>69</v>
      </c>
      <c r="BQ62" s="58" t="s">
        <v>69</v>
      </c>
      <c r="BR62" s="58" t="s">
        <v>69</v>
      </c>
      <c r="BS62" s="58" t="s">
        <v>69</v>
      </c>
      <c r="BT62" s="58" t="s">
        <v>69</v>
      </c>
      <c r="BU62" s="94">
        <v>2</v>
      </c>
      <c r="BV62" s="95">
        <f t="shared" si="0"/>
        <v>0.35897435897435898</v>
      </c>
      <c r="BW62" s="95">
        <f t="shared" si="1"/>
        <v>0.33333333333333331</v>
      </c>
    </row>
    <row r="63" spans="1:75" ht="41.25" customHeight="1">
      <c r="A63" s="48" t="s">
        <v>383</v>
      </c>
      <c r="B63" s="48" t="s">
        <v>384</v>
      </c>
      <c r="C63" s="48" t="s">
        <v>214</v>
      </c>
      <c r="D63" s="48" t="s">
        <v>434</v>
      </c>
      <c r="E63" s="57">
        <v>2</v>
      </c>
      <c r="F63" s="58" t="s">
        <v>69</v>
      </c>
      <c r="G63" s="58">
        <v>2</v>
      </c>
      <c r="H63" s="58">
        <v>3</v>
      </c>
      <c r="I63" s="58">
        <v>3</v>
      </c>
      <c r="J63" s="58">
        <v>1</v>
      </c>
      <c r="K63" s="58" t="s">
        <v>69</v>
      </c>
      <c r="L63" s="58" t="s">
        <v>69</v>
      </c>
      <c r="M63" s="58" t="s">
        <v>69</v>
      </c>
      <c r="N63" s="58" t="s">
        <v>69</v>
      </c>
      <c r="O63" s="58" t="s">
        <v>69</v>
      </c>
      <c r="P63" s="58" t="s">
        <v>69</v>
      </c>
      <c r="Q63" s="58" t="s">
        <v>69</v>
      </c>
      <c r="R63" s="58" t="s">
        <v>69</v>
      </c>
      <c r="S63" s="58" t="s">
        <v>69</v>
      </c>
      <c r="T63" s="58" t="s">
        <v>69</v>
      </c>
      <c r="U63" s="58" t="s">
        <v>69</v>
      </c>
      <c r="V63" s="58" t="s">
        <v>69</v>
      </c>
      <c r="W63" s="58" t="s">
        <v>69</v>
      </c>
      <c r="X63" s="58" t="s">
        <v>69</v>
      </c>
      <c r="Y63" s="58" t="s">
        <v>69</v>
      </c>
      <c r="Z63" s="58" t="s">
        <v>69</v>
      </c>
      <c r="AA63" s="58" t="s">
        <v>69</v>
      </c>
      <c r="AB63" s="58" t="s">
        <v>69</v>
      </c>
      <c r="AC63" s="58">
        <v>3</v>
      </c>
      <c r="AD63" s="58">
        <v>2</v>
      </c>
      <c r="AE63" s="58" t="s">
        <v>69</v>
      </c>
      <c r="AF63" s="58">
        <v>2</v>
      </c>
      <c r="AG63" s="58" t="s">
        <v>69</v>
      </c>
      <c r="AH63" s="58" t="s">
        <v>69</v>
      </c>
      <c r="AI63" s="58" t="s">
        <v>69</v>
      </c>
      <c r="AJ63" s="58" t="s">
        <v>69</v>
      </c>
      <c r="AK63" s="58" t="s">
        <v>69</v>
      </c>
      <c r="AL63" s="58">
        <v>2</v>
      </c>
      <c r="AM63" s="58">
        <v>2</v>
      </c>
      <c r="AN63" s="58" t="s">
        <v>69</v>
      </c>
      <c r="AO63" s="58" t="s">
        <v>69</v>
      </c>
      <c r="AP63" s="58" t="s">
        <v>69</v>
      </c>
      <c r="AQ63" s="58" t="s">
        <v>69</v>
      </c>
      <c r="AR63" s="58" t="s">
        <v>69</v>
      </c>
      <c r="AS63" s="58">
        <v>2</v>
      </c>
      <c r="AT63" s="58">
        <v>2</v>
      </c>
      <c r="AU63" s="58">
        <v>2</v>
      </c>
      <c r="AV63" s="58">
        <v>2</v>
      </c>
      <c r="AW63" s="58">
        <v>2</v>
      </c>
      <c r="AX63" s="58" t="s">
        <v>69</v>
      </c>
      <c r="AY63" s="58" t="s">
        <v>69</v>
      </c>
      <c r="AZ63" s="58" t="s">
        <v>69</v>
      </c>
      <c r="BA63" s="58" t="s">
        <v>69</v>
      </c>
      <c r="BB63" s="58" t="s">
        <v>69</v>
      </c>
      <c r="BC63" s="58" t="s">
        <v>69</v>
      </c>
      <c r="BD63" s="58">
        <v>2</v>
      </c>
      <c r="BE63" s="58">
        <v>2</v>
      </c>
      <c r="BF63" s="58">
        <v>3</v>
      </c>
      <c r="BG63" s="58">
        <v>3</v>
      </c>
      <c r="BH63" s="58" t="s">
        <v>69</v>
      </c>
      <c r="BI63" s="58" t="s">
        <v>69</v>
      </c>
      <c r="BJ63" s="58" t="s">
        <v>69</v>
      </c>
      <c r="BK63" s="58" t="s">
        <v>69</v>
      </c>
      <c r="BL63" s="58">
        <v>2</v>
      </c>
      <c r="BM63" s="58" t="s">
        <v>69</v>
      </c>
      <c r="BN63" s="58" t="s">
        <v>69</v>
      </c>
      <c r="BO63" s="58" t="s">
        <v>69</v>
      </c>
      <c r="BP63" s="58" t="s">
        <v>69</v>
      </c>
      <c r="BQ63" s="58" t="s">
        <v>69</v>
      </c>
      <c r="BR63" s="58" t="s">
        <v>69</v>
      </c>
      <c r="BS63" s="58" t="s">
        <v>69</v>
      </c>
      <c r="BT63" s="58" t="s">
        <v>69</v>
      </c>
      <c r="BU63" s="94">
        <v>2</v>
      </c>
      <c r="BV63" s="95">
        <f t="shared" si="0"/>
        <v>0.53846153846153844</v>
      </c>
      <c r="BW63" s="95">
        <f t="shared" si="1"/>
        <v>0.25</v>
      </c>
    </row>
    <row r="64" spans="1:75" ht="41.25" customHeight="1">
      <c r="A64" s="48" t="s">
        <v>387</v>
      </c>
      <c r="B64" s="48" t="s">
        <v>388</v>
      </c>
      <c r="C64" s="48" t="s">
        <v>214</v>
      </c>
      <c r="D64" s="48" t="s">
        <v>434</v>
      </c>
      <c r="E64" s="57">
        <v>3</v>
      </c>
      <c r="F64" s="58" t="s">
        <v>69</v>
      </c>
      <c r="G64" s="58">
        <v>2</v>
      </c>
      <c r="H64" s="58" t="s">
        <v>69</v>
      </c>
      <c r="I64" s="58" t="s">
        <v>69</v>
      </c>
      <c r="J64" s="58">
        <v>3</v>
      </c>
      <c r="K64" s="58">
        <v>3</v>
      </c>
      <c r="L64" s="58" t="s">
        <v>69</v>
      </c>
      <c r="M64" s="58" t="s">
        <v>69</v>
      </c>
      <c r="N64" s="58">
        <v>4</v>
      </c>
      <c r="O64" s="58">
        <v>3</v>
      </c>
      <c r="P64" s="58" t="s">
        <v>69</v>
      </c>
      <c r="Q64" s="58" t="s">
        <v>69</v>
      </c>
      <c r="R64" s="58" t="s">
        <v>69</v>
      </c>
      <c r="S64" s="58" t="s">
        <v>69</v>
      </c>
      <c r="T64" s="58" t="s">
        <v>69</v>
      </c>
      <c r="U64" s="58" t="s">
        <v>69</v>
      </c>
      <c r="V64" s="58" t="s">
        <v>69</v>
      </c>
      <c r="W64" s="58">
        <v>2</v>
      </c>
      <c r="X64" s="58" t="s">
        <v>69</v>
      </c>
      <c r="Y64" s="58" t="s">
        <v>69</v>
      </c>
      <c r="Z64" s="58" t="s">
        <v>69</v>
      </c>
      <c r="AA64" s="58" t="s">
        <v>69</v>
      </c>
      <c r="AB64" s="58" t="s">
        <v>69</v>
      </c>
      <c r="AC64" s="58">
        <v>2</v>
      </c>
      <c r="AD64" s="58" t="s">
        <v>69</v>
      </c>
      <c r="AE64" s="58" t="s">
        <v>69</v>
      </c>
      <c r="AF64" s="58" t="s">
        <v>69</v>
      </c>
      <c r="AG64" s="58" t="s">
        <v>69</v>
      </c>
      <c r="AH64" s="58" t="s">
        <v>69</v>
      </c>
      <c r="AI64" s="58" t="s">
        <v>69</v>
      </c>
      <c r="AJ64" s="58">
        <v>2</v>
      </c>
      <c r="AK64" s="58" t="s">
        <v>69</v>
      </c>
      <c r="AL64" s="58" t="s">
        <v>69</v>
      </c>
      <c r="AM64" s="58" t="s">
        <v>69</v>
      </c>
      <c r="AN64" s="58" t="s">
        <v>69</v>
      </c>
      <c r="AO64" s="58" t="s">
        <v>69</v>
      </c>
      <c r="AP64" s="58" t="s">
        <v>69</v>
      </c>
      <c r="AQ64" s="58" t="s">
        <v>69</v>
      </c>
      <c r="AR64" s="58">
        <v>3</v>
      </c>
      <c r="AS64" s="58">
        <v>2</v>
      </c>
      <c r="AT64" s="58">
        <v>2</v>
      </c>
      <c r="AU64" s="58">
        <v>2</v>
      </c>
      <c r="AV64" s="58" t="s">
        <v>69</v>
      </c>
      <c r="AW64" s="58">
        <v>3</v>
      </c>
      <c r="AX64" s="58" t="s">
        <v>69</v>
      </c>
      <c r="AY64" s="58" t="s">
        <v>69</v>
      </c>
      <c r="AZ64" s="58" t="s">
        <v>69</v>
      </c>
      <c r="BA64" s="58">
        <v>3</v>
      </c>
      <c r="BB64" s="58">
        <v>2</v>
      </c>
      <c r="BC64" s="58" t="s">
        <v>69</v>
      </c>
      <c r="BD64" s="58" t="s">
        <v>69</v>
      </c>
      <c r="BE64" s="58" t="s">
        <v>69</v>
      </c>
      <c r="BF64" s="58" t="s">
        <v>69</v>
      </c>
      <c r="BG64" s="58" t="s">
        <v>69</v>
      </c>
      <c r="BH64" s="58" t="s">
        <v>69</v>
      </c>
      <c r="BI64" s="58" t="s">
        <v>69</v>
      </c>
      <c r="BJ64" s="58">
        <v>3</v>
      </c>
      <c r="BK64" s="58" t="s">
        <v>69</v>
      </c>
      <c r="BL64" s="58">
        <v>2</v>
      </c>
      <c r="BM64" s="58" t="s">
        <v>69</v>
      </c>
      <c r="BN64" s="58" t="s">
        <v>69</v>
      </c>
      <c r="BO64" s="58" t="s">
        <v>69</v>
      </c>
      <c r="BP64" s="58" t="s">
        <v>69</v>
      </c>
      <c r="BQ64" s="58" t="s">
        <v>69</v>
      </c>
      <c r="BR64" s="58" t="s">
        <v>69</v>
      </c>
      <c r="BS64" s="58" t="s">
        <v>69</v>
      </c>
      <c r="BT64" s="58" t="s">
        <v>69</v>
      </c>
      <c r="BU64" s="94">
        <v>2</v>
      </c>
      <c r="BV64" s="95">
        <f t="shared" si="0"/>
        <v>0.48717948717948717</v>
      </c>
      <c r="BW64" s="95">
        <f t="shared" si="1"/>
        <v>0.47368421052631576</v>
      </c>
    </row>
    <row r="65" spans="1:75" ht="41.25" customHeight="1">
      <c r="A65" s="48" t="s">
        <v>389</v>
      </c>
      <c r="B65" s="48" t="s">
        <v>390</v>
      </c>
      <c r="C65" s="48" t="s">
        <v>217</v>
      </c>
      <c r="D65" s="48" t="s">
        <v>434</v>
      </c>
      <c r="E65" s="57" t="s">
        <v>69</v>
      </c>
      <c r="F65" s="58" t="s">
        <v>69</v>
      </c>
      <c r="G65" s="58" t="s">
        <v>69</v>
      </c>
      <c r="H65" s="58" t="s">
        <v>69</v>
      </c>
      <c r="I65" s="58" t="s">
        <v>69</v>
      </c>
      <c r="J65" s="58">
        <v>3</v>
      </c>
      <c r="K65" s="58" t="s">
        <v>69</v>
      </c>
      <c r="L65" s="58">
        <v>2</v>
      </c>
      <c r="M65" s="58" t="s">
        <v>69</v>
      </c>
      <c r="N65" s="58" t="s">
        <v>69</v>
      </c>
      <c r="O65" s="58" t="s">
        <v>69</v>
      </c>
      <c r="P65" s="58">
        <v>2</v>
      </c>
      <c r="Q65" s="58" t="s">
        <v>69</v>
      </c>
      <c r="R65" s="58" t="s">
        <v>69</v>
      </c>
      <c r="S65" s="58">
        <v>2</v>
      </c>
      <c r="T65" s="58">
        <v>3</v>
      </c>
      <c r="U65" s="58" t="s">
        <v>69</v>
      </c>
      <c r="V65" s="58" t="s">
        <v>69</v>
      </c>
      <c r="W65" s="58" t="s">
        <v>69</v>
      </c>
      <c r="X65" s="58" t="s">
        <v>69</v>
      </c>
      <c r="Y65" s="58" t="s">
        <v>69</v>
      </c>
      <c r="Z65" s="58" t="s">
        <v>69</v>
      </c>
      <c r="AA65" s="58" t="s">
        <v>69</v>
      </c>
      <c r="AB65" s="58" t="s">
        <v>69</v>
      </c>
      <c r="AC65" s="58" t="s">
        <v>69</v>
      </c>
      <c r="AD65" s="58">
        <v>2</v>
      </c>
      <c r="AE65" s="58" t="s">
        <v>69</v>
      </c>
      <c r="AF65" s="58">
        <v>2</v>
      </c>
      <c r="AG65" s="58" t="s">
        <v>69</v>
      </c>
      <c r="AH65" s="58" t="s">
        <v>69</v>
      </c>
      <c r="AI65" s="58" t="s">
        <v>69</v>
      </c>
      <c r="AJ65" s="58">
        <v>1</v>
      </c>
      <c r="AK65" s="58" t="s">
        <v>69</v>
      </c>
      <c r="AL65" s="58">
        <v>2</v>
      </c>
      <c r="AM65" s="58" t="s">
        <v>69</v>
      </c>
      <c r="AN65" s="58" t="s">
        <v>69</v>
      </c>
      <c r="AO65" s="58" t="s">
        <v>69</v>
      </c>
      <c r="AP65" s="58" t="s">
        <v>69</v>
      </c>
      <c r="AQ65" s="58" t="s">
        <v>69</v>
      </c>
      <c r="AR65" s="58" t="s">
        <v>69</v>
      </c>
      <c r="AS65" s="58">
        <v>3</v>
      </c>
      <c r="AT65" s="58">
        <v>3</v>
      </c>
      <c r="AU65" s="58">
        <v>3</v>
      </c>
      <c r="AV65" s="58">
        <v>3</v>
      </c>
      <c r="AW65" s="58">
        <v>3</v>
      </c>
      <c r="AX65" s="58" t="s">
        <v>69</v>
      </c>
      <c r="AY65" s="58" t="s">
        <v>69</v>
      </c>
      <c r="AZ65" s="58" t="s">
        <v>69</v>
      </c>
      <c r="BA65" s="58" t="s">
        <v>69</v>
      </c>
      <c r="BB65" s="58" t="s">
        <v>69</v>
      </c>
      <c r="BC65" s="58" t="s">
        <v>69</v>
      </c>
      <c r="BD65" s="58">
        <v>2</v>
      </c>
      <c r="BE65" s="58" t="s">
        <v>69</v>
      </c>
      <c r="BF65" s="58" t="s">
        <v>69</v>
      </c>
      <c r="BG65" s="58">
        <v>2</v>
      </c>
      <c r="BH65" s="58" t="s">
        <v>69</v>
      </c>
      <c r="BI65" s="58" t="s">
        <v>69</v>
      </c>
      <c r="BJ65" s="58">
        <v>2</v>
      </c>
      <c r="BK65" s="58" t="s">
        <v>69</v>
      </c>
      <c r="BL65" s="58" t="s">
        <v>69</v>
      </c>
      <c r="BM65" s="58" t="s">
        <v>69</v>
      </c>
      <c r="BN65" s="58" t="s">
        <v>69</v>
      </c>
      <c r="BO65" s="58" t="s">
        <v>69</v>
      </c>
      <c r="BP65" s="58" t="s">
        <v>69</v>
      </c>
      <c r="BQ65" s="58" t="s">
        <v>69</v>
      </c>
      <c r="BR65" s="58" t="s">
        <v>69</v>
      </c>
      <c r="BS65" s="58" t="s">
        <v>69</v>
      </c>
      <c r="BT65" s="58" t="s">
        <v>69</v>
      </c>
      <c r="BU65" s="94">
        <v>2</v>
      </c>
      <c r="BV65" s="95">
        <f t="shared" si="0"/>
        <v>0.46153846153846156</v>
      </c>
      <c r="BW65" s="95">
        <f t="shared" si="1"/>
        <v>0.41176470588235292</v>
      </c>
    </row>
    <row r="66" spans="1:75" ht="41.25" customHeight="1">
      <c r="A66" s="48" t="s">
        <v>391</v>
      </c>
      <c r="B66" s="48" t="s">
        <v>392</v>
      </c>
      <c r="C66" s="48" t="s">
        <v>214</v>
      </c>
      <c r="D66" s="48" t="s">
        <v>434</v>
      </c>
      <c r="E66" s="57" t="s">
        <v>69</v>
      </c>
      <c r="F66" s="58" t="s">
        <v>69</v>
      </c>
      <c r="G66" s="58" t="s">
        <v>69</v>
      </c>
      <c r="H66" s="58" t="s">
        <v>69</v>
      </c>
      <c r="I66" s="58" t="s">
        <v>69</v>
      </c>
      <c r="J66" s="58" t="s">
        <v>69</v>
      </c>
      <c r="K66" s="58" t="s">
        <v>69</v>
      </c>
      <c r="L66" s="58" t="s">
        <v>69</v>
      </c>
      <c r="M66" s="58" t="s">
        <v>69</v>
      </c>
      <c r="N66" s="58" t="s">
        <v>69</v>
      </c>
      <c r="O66" s="58" t="s">
        <v>69</v>
      </c>
      <c r="P66" s="58" t="s">
        <v>69</v>
      </c>
      <c r="Q66" s="58" t="s">
        <v>69</v>
      </c>
      <c r="R66" s="58" t="s">
        <v>69</v>
      </c>
      <c r="S66" s="58" t="s">
        <v>69</v>
      </c>
      <c r="T66" s="58" t="s">
        <v>69</v>
      </c>
      <c r="U66" s="58" t="s">
        <v>69</v>
      </c>
      <c r="V66" s="58" t="s">
        <v>69</v>
      </c>
      <c r="W66" s="58" t="s">
        <v>69</v>
      </c>
      <c r="X66" s="58" t="s">
        <v>69</v>
      </c>
      <c r="Y66" s="58" t="s">
        <v>69</v>
      </c>
      <c r="Z66" s="58" t="s">
        <v>69</v>
      </c>
      <c r="AA66" s="58" t="s">
        <v>69</v>
      </c>
      <c r="AB66" s="58" t="s">
        <v>69</v>
      </c>
      <c r="AC66" s="58" t="s">
        <v>69</v>
      </c>
      <c r="AD66" s="58" t="s">
        <v>69</v>
      </c>
      <c r="AE66" s="58" t="s">
        <v>69</v>
      </c>
      <c r="AF66" s="58" t="s">
        <v>69</v>
      </c>
      <c r="AG66" s="58" t="s">
        <v>69</v>
      </c>
      <c r="AH66" s="58" t="s">
        <v>69</v>
      </c>
      <c r="AI66" s="58" t="s">
        <v>69</v>
      </c>
      <c r="AJ66" s="58" t="s">
        <v>69</v>
      </c>
      <c r="AK66" s="58" t="s">
        <v>69</v>
      </c>
      <c r="AL66" s="58" t="s">
        <v>69</v>
      </c>
      <c r="AM66" s="58" t="s">
        <v>69</v>
      </c>
      <c r="AN66" s="58" t="s">
        <v>69</v>
      </c>
      <c r="AO66" s="58" t="s">
        <v>69</v>
      </c>
      <c r="AP66" s="58" t="s">
        <v>69</v>
      </c>
      <c r="AQ66" s="58" t="s">
        <v>69</v>
      </c>
      <c r="AR66" s="58" t="s">
        <v>69</v>
      </c>
      <c r="AS66" s="58">
        <v>3</v>
      </c>
      <c r="AT66" s="58">
        <v>3</v>
      </c>
      <c r="AU66" s="58">
        <v>3</v>
      </c>
      <c r="AV66" s="58">
        <v>3</v>
      </c>
      <c r="AW66" s="58">
        <v>3</v>
      </c>
      <c r="AX66" s="58">
        <v>3</v>
      </c>
      <c r="AY66" s="58" t="s">
        <v>69</v>
      </c>
      <c r="AZ66" s="58" t="s">
        <v>69</v>
      </c>
      <c r="BA66" s="58" t="s">
        <v>69</v>
      </c>
      <c r="BB66" s="58" t="s">
        <v>69</v>
      </c>
      <c r="BC66" s="58" t="s">
        <v>69</v>
      </c>
      <c r="BD66" s="58" t="s">
        <v>69</v>
      </c>
      <c r="BE66" s="58" t="s">
        <v>69</v>
      </c>
      <c r="BF66" s="58" t="s">
        <v>69</v>
      </c>
      <c r="BG66" s="58" t="s">
        <v>69</v>
      </c>
      <c r="BH66" s="58" t="s">
        <v>69</v>
      </c>
      <c r="BI66" s="58" t="s">
        <v>69</v>
      </c>
      <c r="BJ66" s="58">
        <v>3</v>
      </c>
      <c r="BK66" s="58" t="s">
        <v>69</v>
      </c>
      <c r="BL66" s="58" t="s">
        <v>69</v>
      </c>
      <c r="BM66" s="58" t="s">
        <v>69</v>
      </c>
      <c r="BN66" s="58" t="s">
        <v>69</v>
      </c>
      <c r="BO66" s="58" t="s">
        <v>69</v>
      </c>
      <c r="BP66" s="58" t="s">
        <v>69</v>
      </c>
      <c r="BQ66" s="58" t="s">
        <v>69</v>
      </c>
      <c r="BR66" s="58" t="s">
        <v>69</v>
      </c>
      <c r="BS66" s="58" t="s">
        <v>69</v>
      </c>
      <c r="BT66" s="58" t="s">
        <v>69</v>
      </c>
      <c r="BU66" s="94">
        <v>2</v>
      </c>
      <c r="BV66" s="95">
        <f t="shared" si="0"/>
        <v>0.20512820512820512</v>
      </c>
      <c r="BW66" s="95">
        <f t="shared" si="1"/>
        <v>0.875</v>
      </c>
    </row>
    <row r="67" spans="1:75" ht="41.25" customHeight="1">
      <c r="A67" s="48" t="s">
        <v>393</v>
      </c>
      <c r="B67" s="48" t="s">
        <v>394</v>
      </c>
      <c r="C67" s="48" t="s">
        <v>217</v>
      </c>
      <c r="D67" s="48" t="s">
        <v>434</v>
      </c>
      <c r="E67" s="57" t="s">
        <v>69</v>
      </c>
      <c r="F67" s="58" t="s">
        <v>69</v>
      </c>
      <c r="G67" s="58" t="s">
        <v>69</v>
      </c>
      <c r="H67" s="58" t="s">
        <v>69</v>
      </c>
      <c r="I67" s="58" t="s">
        <v>69</v>
      </c>
      <c r="J67" s="58">
        <v>2</v>
      </c>
      <c r="K67" s="58" t="s">
        <v>69</v>
      </c>
      <c r="L67" s="58">
        <v>2</v>
      </c>
      <c r="M67" s="58" t="s">
        <v>69</v>
      </c>
      <c r="N67" s="58" t="s">
        <v>69</v>
      </c>
      <c r="O67" s="58" t="s">
        <v>69</v>
      </c>
      <c r="P67" s="58">
        <v>2</v>
      </c>
      <c r="Q67" s="58" t="s">
        <v>69</v>
      </c>
      <c r="R67" s="58" t="s">
        <v>69</v>
      </c>
      <c r="S67" s="58" t="s">
        <v>69</v>
      </c>
      <c r="T67" s="58" t="s">
        <v>69</v>
      </c>
      <c r="U67" s="58"/>
      <c r="V67" s="58" t="s">
        <v>69</v>
      </c>
      <c r="W67" s="58" t="s">
        <v>69</v>
      </c>
      <c r="X67" s="58" t="s">
        <v>69</v>
      </c>
      <c r="Y67" s="58" t="s">
        <v>69</v>
      </c>
      <c r="Z67" s="58" t="s">
        <v>69</v>
      </c>
      <c r="AA67" s="58" t="s">
        <v>69</v>
      </c>
      <c r="AB67" s="58" t="s">
        <v>69</v>
      </c>
      <c r="AC67" s="58">
        <v>3</v>
      </c>
      <c r="AD67" s="58" t="s">
        <v>69</v>
      </c>
      <c r="AE67" s="58" t="s">
        <v>69</v>
      </c>
      <c r="AF67" s="58" t="s">
        <v>69</v>
      </c>
      <c r="AG67" s="58" t="s">
        <v>69</v>
      </c>
      <c r="AH67" s="58" t="s">
        <v>69</v>
      </c>
      <c r="AI67" s="58" t="s">
        <v>69</v>
      </c>
      <c r="AJ67" s="58" t="s">
        <v>69</v>
      </c>
      <c r="AK67" s="58" t="s">
        <v>69</v>
      </c>
      <c r="AL67" s="58">
        <v>2</v>
      </c>
      <c r="AM67" s="58" t="s">
        <v>69</v>
      </c>
      <c r="AN67" s="58" t="s">
        <v>69</v>
      </c>
      <c r="AO67" s="58" t="s">
        <v>69</v>
      </c>
      <c r="AP67" s="58" t="s">
        <v>69</v>
      </c>
      <c r="AQ67" s="58" t="s">
        <v>69</v>
      </c>
      <c r="AR67" s="58">
        <v>2</v>
      </c>
      <c r="AS67" s="58" t="s">
        <v>69</v>
      </c>
      <c r="AT67" s="58">
        <v>3</v>
      </c>
      <c r="AU67" s="58">
        <v>3</v>
      </c>
      <c r="AV67" s="58">
        <v>3</v>
      </c>
      <c r="AW67" s="58">
        <v>3</v>
      </c>
      <c r="AX67" s="58" t="s">
        <v>69</v>
      </c>
      <c r="AY67" s="58" t="s">
        <v>69</v>
      </c>
      <c r="AZ67" s="58" t="s">
        <v>69</v>
      </c>
      <c r="BA67" s="58" t="s">
        <v>69</v>
      </c>
      <c r="BB67" s="58" t="s">
        <v>69</v>
      </c>
      <c r="BC67" s="58" t="s">
        <v>69</v>
      </c>
      <c r="BD67" s="58">
        <v>2</v>
      </c>
      <c r="BE67" s="58" t="s">
        <v>69</v>
      </c>
      <c r="BF67" s="58" t="s">
        <v>69</v>
      </c>
      <c r="BG67" s="58" t="s">
        <v>69</v>
      </c>
      <c r="BH67" s="58">
        <v>2</v>
      </c>
      <c r="BI67" s="58" t="s">
        <v>69</v>
      </c>
      <c r="BJ67" s="58" t="s">
        <v>69</v>
      </c>
      <c r="BK67" s="58" t="s">
        <v>69</v>
      </c>
      <c r="BL67" s="58" t="s">
        <v>69</v>
      </c>
      <c r="BM67" s="58" t="s">
        <v>69</v>
      </c>
      <c r="BN67" s="58" t="s">
        <v>69</v>
      </c>
      <c r="BO67" s="58" t="s">
        <v>69</v>
      </c>
      <c r="BP67" s="58" t="s">
        <v>69</v>
      </c>
      <c r="BQ67" s="58" t="s">
        <v>69</v>
      </c>
      <c r="BR67" s="58" t="s">
        <v>69</v>
      </c>
      <c r="BS67" s="58" t="s">
        <v>69</v>
      </c>
      <c r="BT67" s="58" t="s">
        <v>69</v>
      </c>
      <c r="BU67" s="94">
        <v>2</v>
      </c>
      <c r="BV67" s="95">
        <f t="shared" si="0"/>
        <v>0.33333333333333331</v>
      </c>
      <c r="BW67" s="95">
        <f t="shared" si="1"/>
        <v>0.38461538461538464</v>
      </c>
    </row>
    <row r="68" spans="1:75" ht="41.25" customHeight="1">
      <c r="A68" s="48" t="s">
        <v>395</v>
      </c>
      <c r="B68" s="48" t="s">
        <v>396</v>
      </c>
      <c r="C68" s="48" t="s">
        <v>214</v>
      </c>
      <c r="D68" s="48" t="s">
        <v>434</v>
      </c>
      <c r="E68" s="57">
        <v>3</v>
      </c>
      <c r="F68" s="58" t="s">
        <v>69</v>
      </c>
      <c r="G68" s="58">
        <v>3</v>
      </c>
      <c r="H68" s="58">
        <v>2</v>
      </c>
      <c r="I68" s="58" t="s">
        <v>69</v>
      </c>
      <c r="J68" s="58">
        <v>3</v>
      </c>
      <c r="K68" s="58">
        <v>3</v>
      </c>
      <c r="L68" s="58" t="s">
        <v>69</v>
      </c>
      <c r="M68" s="58" t="s">
        <v>69</v>
      </c>
      <c r="N68" s="58" t="s">
        <v>69</v>
      </c>
      <c r="O68" s="58" t="s">
        <v>69</v>
      </c>
      <c r="P68" s="58" t="s">
        <v>69</v>
      </c>
      <c r="Q68" s="58" t="s">
        <v>69</v>
      </c>
      <c r="R68" s="58" t="s">
        <v>69</v>
      </c>
      <c r="S68" s="58" t="s">
        <v>69</v>
      </c>
      <c r="T68" s="58" t="s">
        <v>69</v>
      </c>
      <c r="U68" s="58" t="s">
        <v>69</v>
      </c>
      <c r="V68" s="58">
        <v>3</v>
      </c>
      <c r="W68" s="58" t="s">
        <v>69</v>
      </c>
      <c r="X68" s="58" t="s">
        <v>69</v>
      </c>
      <c r="Y68" s="58" t="s">
        <v>69</v>
      </c>
      <c r="Z68" s="58" t="s">
        <v>69</v>
      </c>
      <c r="AA68" s="58" t="s">
        <v>69</v>
      </c>
      <c r="AB68" s="58" t="s">
        <v>69</v>
      </c>
      <c r="AC68" s="58" t="s">
        <v>69</v>
      </c>
      <c r="AD68" s="58" t="s">
        <v>69</v>
      </c>
      <c r="AE68" s="58" t="s">
        <v>69</v>
      </c>
      <c r="AF68" s="58" t="s">
        <v>69</v>
      </c>
      <c r="AG68" s="58" t="s">
        <v>69</v>
      </c>
      <c r="AH68" s="58" t="s">
        <v>69</v>
      </c>
      <c r="AI68" s="58" t="s">
        <v>69</v>
      </c>
      <c r="AJ68" s="58" t="s">
        <v>69</v>
      </c>
      <c r="AK68" s="58" t="s">
        <v>69</v>
      </c>
      <c r="AL68" s="58">
        <v>2</v>
      </c>
      <c r="AM68" s="58" t="s">
        <v>69</v>
      </c>
      <c r="AN68" s="58" t="s">
        <v>69</v>
      </c>
      <c r="AO68" s="58" t="s">
        <v>69</v>
      </c>
      <c r="AP68" s="58" t="s">
        <v>69</v>
      </c>
      <c r="AQ68" s="58" t="s">
        <v>69</v>
      </c>
      <c r="AR68" s="58" t="s">
        <v>69</v>
      </c>
      <c r="AS68" s="58" t="s">
        <v>69</v>
      </c>
      <c r="AT68" s="58" t="s">
        <v>69</v>
      </c>
      <c r="AU68" s="58" t="s">
        <v>69</v>
      </c>
      <c r="AV68" s="58" t="s">
        <v>69</v>
      </c>
      <c r="AW68" s="58" t="s">
        <v>69</v>
      </c>
      <c r="AX68" s="58" t="s">
        <v>69</v>
      </c>
      <c r="AY68" s="58" t="s">
        <v>69</v>
      </c>
      <c r="AZ68" s="58" t="s">
        <v>69</v>
      </c>
      <c r="BA68" s="58" t="s">
        <v>69</v>
      </c>
      <c r="BB68" s="58" t="s">
        <v>69</v>
      </c>
      <c r="BC68" s="58" t="s">
        <v>69</v>
      </c>
      <c r="BD68" s="58">
        <v>3</v>
      </c>
      <c r="BE68" s="58" t="s">
        <v>69</v>
      </c>
      <c r="BF68" s="58" t="s">
        <v>69</v>
      </c>
      <c r="BG68" s="58" t="s">
        <v>69</v>
      </c>
      <c r="BH68" s="58"/>
      <c r="BI68" s="58" t="s">
        <v>69</v>
      </c>
      <c r="BJ68" s="58" t="s">
        <v>69</v>
      </c>
      <c r="BK68" s="58">
        <v>3</v>
      </c>
      <c r="BL68" s="58" t="s">
        <v>69</v>
      </c>
      <c r="BM68" s="58">
        <v>2</v>
      </c>
      <c r="BN68" s="58" t="s">
        <v>69</v>
      </c>
      <c r="BO68" s="58" t="s">
        <v>69</v>
      </c>
      <c r="BP68" s="58" t="s">
        <v>69</v>
      </c>
      <c r="BQ68" s="58" t="s">
        <v>69</v>
      </c>
      <c r="BR68" s="58" t="s">
        <v>69</v>
      </c>
      <c r="BS68" s="58" t="s">
        <v>69</v>
      </c>
      <c r="BT68" s="58" t="s">
        <v>69</v>
      </c>
      <c r="BU68" s="94">
        <v>2</v>
      </c>
      <c r="BV68" s="95">
        <f t="shared" si="0"/>
        <v>0.28205128205128205</v>
      </c>
      <c r="BW68" s="95">
        <f t="shared" si="1"/>
        <v>0.63636363636363635</v>
      </c>
    </row>
    <row r="69" spans="1:75" ht="41.25" customHeight="1">
      <c r="A69" s="48" t="s">
        <v>397</v>
      </c>
      <c r="B69" s="48" t="s">
        <v>398</v>
      </c>
      <c r="C69" s="48" t="s">
        <v>214</v>
      </c>
      <c r="D69" s="48" t="s">
        <v>434</v>
      </c>
      <c r="E69" s="57" t="s">
        <v>69</v>
      </c>
      <c r="F69" s="58">
        <v>2</v>
      </c>
      <c r="G69" s="58" t="s">
        <v>69</v>
      </c>
      <c r="H69" s="58" t="s">
        <v>69</v>
      </c>
      <c r="I69" s="58" t="s">
        <v>69</v>
      </c>
      <c r="J69" s="58">
        <v>2</v>
      </c>
      <c r="K69" s="58">
        <v>3</v>
      </c>
      <c r="L69" s="58">
        <v>3</v>
      </c>
      <c r="M69" s="58">
        <v>3</v>
      </c>
      <c r="N69" s="58" t="s">
        <v>69</v>
      </c>
      <c r="O69" s="58" t="s">
        <v>69</v>
      </c>
      <c r="P69" s="58" t="s">
        <v>69</v>
      </c>
      <c r="Q69" s="58" t="s">
        <v>69</v>
      </c>
      <c r="R69" s="58" t="s">
        <v>69</v>
      </c>
      <c r="S69" s="58" t="s">
        <v>69</v>
      </c>
      <c r="T69" s="58">
        <v>3</v>
      </c>
      <c r="U69" s="58">
        <v>3</v>
      </c>
      <c r="V69" s="58" t="s">
        <v>69</v>
      </c>
      <c r="W69" s="58" t="s">
        <v>69</v>
      </c>
      <c r="X69" s="58" t="s">
        <v>69</v>
      </c>
      <c r="Y69" s="58" t="s">
        <v>69</v>
      </c>
      <c r="Z69" s="58" t="s">
        <v>69</v>
      </c>
      <c r="AA69" s="58" t="s">
        <v>69</v>
      </c>
      <c r="AB69" s="58" t="s">
        <v>69</v>
      </c>
      <c r="AC69" s="58" t="s">
        <v>69</v>
      </c>
      <c r="AD69" s="58" t="s">
        <v>69</v>
      </c>
      <c r="AE69" s="58" t="s">
        <v>69</v>
      </c>
      <c r="AF69" s="58" t="s">
        <v>69</v>
      </c>
      <c r="AG69" s="58" t="s">
        <v>69</v>
      </c>
      <c r="AH69" s="58" t="s">
        <v>69</v>
      </c>
      <c r="AI69" s="58" t="s">
        <v>69</v>
      </c>
      <c r="AJ69" s="58">
        <v>2</v>
      </c>
      <c r="AK69" s="58" t="s">
        <v>69</v>
      </c>
      <c r="AL69" s="58" t="s">
        <v>69</v>
      </c>
      <c r="AM69" s="58" t="s">
        <v>69</v>
      </c>
      <c r="AN69" s="58" t="s">
        <v>69</v>
      </c>
      <c r="AO69" s="58" t="s">
        <v>69</v>
      </c>
      <c r="AP69" s="58" t="s">
        <v>69</v>
      </c>
      <c r="AQ69" s="58" t="s">
        <v>69</v>
      </c>
      <c r="AR69" s="58" t="s">
        <v>69</v>
      </c>
      <c r="AS69" s="58" t="s">
        <v>69</v>
      </c>
      <c r="AT69" s="58">
        <v>3</v>
      </c>
      <c r="AU69" s="58">
        <v>3</v>
      </c>
      <c r="AV69" s="58">
        <v>3</v>
      </c>
      <c r="AW69" s="58">
        <v>1</v>
      </c>
      <c r="AX69" s="58" t="s">
        <v>69</v>
      </c>
      <c r="AY69" s="58" t="s">
        <v>69</v>
      </c>
      <c r="AZ69" s="58" t="s">
        <v>69</v>
      </c>
      <c r="BA69" s="58">
        <v>3</v>
      </c>
      <c r="BB69" s="58">
        <v>2</v>
      </c>
      <c r="BC69" s="58" t="s">
        <v>69</v>
      </c>
      <c r="BD69" s="58" t="s">
        <v>69</v>
      </c>
      <c r="BE69" s="58" t="s">
        <v>69</v>
      </c>
      <c r="BF69" s="58" t="s">
        <v>69</v>
      </c>
      <c r="BG69" s="58" t="s">
        <v>69</v>
      </c>
      <c r="BH69" s="58" t="s">
        <v>69</v>
      </c>
      <c r="BI69" s="58" t="s">
        <v>69</v>
      </c>
      <c r="BJ69" s="58">
        <v>2</v>
      </c>
      <c r="BK69" s="58" t="s">
        <v>69</v>
      </c>
      <c r="BL69" s="58" t="s">
        <v>69</v>
      </c>
      <c r="BM69" s="58" t="s">
        <v>69</v>
      </c>
      <c r="BN69" s="58" t="s">
        <v>69</v>
      </c>
      <c r="BO69" s="58" t="s">
        <v>69</v>
      </c>
      <c r="BP69" s="58" t="s">
        <v>69</v>
      </c>
      <c r="BQ69" s="58" t="s">
        <v>69</v>
      </c>
      <c r="BR69" s="58" t="s">
        <v>69</v>
      </c>
      <c r="BS69" s="58" t="s">
        <v>69</v>
      </c>
      <c r="BT69" s="58" t="s">
        <v>69</v>
      </c>
      <c r="BU69" s="94">
        <v>2</v>
      </c>
      <c r="BV69" s="95">
        <f t="shared" si="0"/>
        <v>0.41025641025641024</v>
      </c>
      <c r="BW69" s="95">
        <f t="shared" si="1"/>
        <v>0.6</v>
      </c>
    </row>
    <row r="70" spans="1:75" ht="41.25" customHeight="1">
      <c r="A70" s="48" t="s">
        <v>399</v>
      </c>
      <c r="B70" s="48" t="s">
        <v>400</v>
      </c>
      <c r="C70" s="48" t="s">
        <v>214</v>
      </c>
      <c r="D70" s="48" t="s">
        <v>434</v>
      </c>
      <c r="E70" s="57">
        <v>4</v>
      </c>
      <c r="F70" s="58">
        <v>2</v>
      </c>
      <c r="G70" s="58" t="s">
        <v>69</v>
      </c>
      <c r="H70" s="58">
        <v>3</v>
      </c>
      <c r="I70" s="58">
        <v>3</v>
      </c>
      <c r="J70" s="58" t="s">
        <v>69</v>
      </c>
      <c r="K70" s="58" t="s">
        <v>69</v>
      </c>
      <c r="L70" s="58" t="s">
        <v>69</v>
      </c>
      <c r="M70" s="58" t="s">
        <v>69</v>
      </c>
      <c r="N70" s="58">
        <v>4</v>
      </c>
      <c r="O70" s="58" t="s">
        <v>69</v>
      </c>
      <c r="P70" s="58" t="s">
        <v>69</v>
      </c>
      <c r="Q70" s="58" t="s">
        <v>69</v>
      </c>
      <c r="R70" s="58" t="s">
        <v>69</v>
      </c>
      <c r="S70" s="58" t="s">
        <v>69</v>
      </c>
      <c r="T70" s="58" t="s">
        <v>69</v>
      </c>
      <c r="U70" s="58">
        <v>3</v>
      </c>
      <c r="V70" s="58" t="s">
        <v>69</v>
      </c>
      <c r="W70" s="58" t="s">
        <v>69</v>
      </c>
      <c r="X70" s="58" t="s">
        <v>69</v>
      </c>
      <c r="Y70" s="58" t="s">
        <v>69</v>
      </c>
      <c r="Z70" s="58" t="s">
        <v>69</v>
      </c>
      <c r="AA70" s="58" t="s">
        <v>69</v>
      </c>
      <c r="AB70" s="58" t="s">
        <v>69</v>
      </c>
      <c r="AC70" s="58" t="s">
        <v>69</v>
      </c>
      <c r="AD70" s="58" t="s">
        <v>69</v>
      </c>
      <c r="AE70" s="58" t="s">
        <v>69</v>
      </c>
      <c r="AF70" s="58" t="s">
        <v>69</v>
      </c>
      <c r="AG70" s="58" t="s">
        <v>69</v>
      </c>
      <c r="AH70" s="58" t="s">
        <v>69</v>
      </c>
      <c r="AI70" s="58" t="s">
        <v>69</v>
      </c>
      <c r="AJ70" s="58" t="s">
        <v>69</v>
      </c>
      <c r="AK70" s="58" t="s">
        <v>69</v>
      </c>
      <c r="AL70" s="58" t="s">
        <v>69</v>
      </c>
      <c r="AM70" s="58" t="s">
        <v>69</v>
      </c>
      <c r="AN70" s="58">
        <v>2</v>
      </c>
      <c r="AO70" s="58">
        <v>2</v>
      </c>
      <c r="AP70" s="58" t="s">
        <v>69</v>
      </c>
      <c r="AQ70" s="58" t="s">
        <v>69</v>
      </c>
      <c r="AR70" s="58" t="s">
        <v>69</v>
      </c>
      <c r="AS70" s="58" t="s">
        <v>69</v>
      </c>
      <c r="AT70" s="58" t="s">
        <v>69</v>
      </c>
      <c r="AU70" s="58" t="s">
        <v>69</v>
      </c>
      <c r="AV70" s="58" t="s">
        <v>69</v>
      </c>
      <c r="AW70" s="58" t="s">
        <v>69</v>
      </c>
      <c r="AX70" s="58" t="s">
        <v>69</v>
      </c>
      <c r="AY70" s="58" t="s">
        <v>69</v>
      </c>
      <c r="AZ70" s="58" t="s">
        <v>69</v>
      </c>
      <c r="BA70" s="58" t="s">
        <v>69</v>
      </c>
      <c r="BB70" s="58" t="s">
        <v>69</v>
      </c>
      <c r="BC70" s="58" t="s">
        <v>69</v>
      </c>
      <c r="BD70" s="58" t="s">
        <v>69</v>
      </c>
      <c r="BE70" s="58" t="s">
        <v>69</v>
      </c>
      <c r="BF70" s="58" t="s">
        <v>69</v>
      </c>
      <c r="BG70" s="58" t="s">
        <v>69</v>
      </c>
      <c r="BH70" s="58" t="s">
        <v>69</v>
      </c>
      <c r="BI70" s="58" t="s">
        <v>69</v>
      </c>
      <c r="BJ70" s="58" t="s">
        <v>69</v>
      </c>
      <c r="BK70" s="58" t="s">
        <v>69</v>
      </c>
      <c r="BL70" s="58" t="s">
        <v>69</v>
      </c>
      <c r="BM70" s="58" t="s">
        <v>69</v>
      </c>
      <c r="BN70" s="58" t="s">
        <v>69</v>
      </c>
      <c r="BO70" s="58" t="s">
        <v>69</v>
      </c>
      <c r="BP70" s="58" t="s">
        <v>69</v>
      </c>
      <c r="BQ70" s="58" t="s">
        <v>69</v>
      </c>
      <c r="BR70" s="58" t="s">
        <v>69</v>
      </c>
      <c r="BS70" s="58" t="s">
        <v>69</v>
      </c>
      <c r="BT70" s="58" t="s">
        <v>69</v>
      </c>
      <c r="BU70" s="94">
        <v>2</v>
      </c>
      <c r="BV70" s="95">
        <f t="shared" si="0"/>
        <v>0.23076923076923078</v>
      </c>
      <c r="BW70" s="95">
        <f t="shared" si="1"/>
        <v>0.55555555555555558</v>
      </c>
    </row>
    <row r="71" spans="1:75" ht="41.25" customHeight="1">
      <c r="A71" s="48" t="s">
        <v>401</v>
      </c>
      <c r="B71" s="48" t="s">
        <v>402</v>
      </c>
      <c r="C71" s="48" t="s">
        <v>214</v>
      </c>
      <c r="D71" s="48" t="s">
        <v>434</v>
      </c>
      <c r="E71" s="57" t="s">
        <v>69</v>
      </c>
      <c r="F71" s="58" t="s">
        <v>69</v>
      </c>
      <c r="G71" s="58" t="s">
        <v>69</v>
      </c>
      <c r="H71" s="58" t="s">
        <v>69</v>
      </c>
      <c r="I71" s="58" t="s">
        <v>69</v>
      </c>
      <c r="J71" s="58" t="s">
        <v>69</v>
      </c>
      <c r="K71" s="58" t="s">
        <v>69</v>
      </c>
      <c r="L71" s="58">
        <v>3</v>
      </c>
      <c r="M71" s="58">
        <v>3</v>
      </c>
      <c r="N71" s="58" t="s">
        <v>69</v>
      </c>
      <c r="O71" s="58" t="s">
        <v>69</v>
      </c>
      <c r="P71" s="58" t="s">
        <v>69</v>
      </c>
      <c r="Q71" s="58" t="s">
        <v>69</v>
      </c>
      <c r="R71" s="58">
        <v>3</v>
      </c>
      <c r="S71" s="58" t="s">
        <v>69</v>
      </c>
      <c r="T71" s="58" t="s">
        <v>69</v>
      </c>
      <c r="U71" s="58" t="s">
        <v>69</v>
      </c>
      <c r="V71" s="58" t="s">
        <v>69</v>
      </c>
      <c r="W71" s="58" t="s">
        <v>69</v>
      </c>
      <c r="X71" s="58" t="s">
        <v>69</v>
      </c>
      <c r="Y71" s="58" t="s">
        <v>69</v>
      </c>
      <c r="Z71" s="58" t="s">
        <v>69</v>
      </c>
      <c r="AA71" s="58" t="s">
        <v>69</v>
      </c>
      <c r="AB71" s="58" t="s">
        <v>69</v>
      </c>
      <c r="AC71" s="58" t="s">
        <v>69</v>
      </c>
      <c r="AD71" s="58" t="s">
        <v>69</v>
      </c>
      <c r="AE71" s="58" t="s">
        <v>69</v>
      </c>
      <c r="AF71" s="58" t="s">
        <v>69</v>
      </c>
      <c r="AG71" s="58" t="s">
        <v>69</v>
      </c>
      <c r="AH71" s="58" t="s">
        <v>69</v>
      </c>
      <c r="AI71" s="58" t="s">
        <v>69</v>
      </c>
      <c r="AJ71" s="58" t="s">
        <v>69</v>
      </c>
      <c r="AK71" s="58" t="s">
        <v>69</v>
      </c>
      <c r="AL71" s="58" t="s">
        <v>69</v>
      </c>
      <c r="AM71" s="58" t="s">
        <v>69</v>
      </c>
      <c r="AN71" s="58" t="s">
        <v>69</v>
      </c>
      <c r="AO71" s="58" t="s">
        <v>69</v>
      </c>
      <c r="AP71" s="58" t="s">
        <v>69</v>
      </c>
      <c r="AQ71" s="58" t="s">
        <v>69</v>
      </c>
      <c r="AR71" s="58" t="s">
        <v>69</v>
      </c>
      <c r="AS71" s="58" t="s">
        <v>69</v>
      </c>
      <c r="AT71" s="58" t="s">
        <v>69</v>
      </c>
      <c r="AU71" s="58">
        <v>3</v>
      </c>
      <c r="AV71" s="58">
        <v>3</v>
      </c>
      <c r="AW71" s="58">
        <v>3</v>
      </c>
      <c r="AX71" s="58">
        <v>3</v>
      </c>
      <c r="AY71" s="58" t="s">
        <v>69</v>
      </c>
      <c r="AZ71" s="58" t="s">
        <v>69</v>
      </c>
      <c r="BA71" s="58" t="s">
        <v>69</v>
      </c>
      <c r="BB71" s="58" t="s">
        <v>69</v>
      </c>
      <c r="BC71" s="58" t="s">
        <v>69</v>
      </c>
      <c r="BD71" s="58" t="s">
        <v>69</v>
      </c>
      <c r="BE71" s="58" t="s">
        <v>69</v>
      </c>
      <c r="BF71" s="58" t="s">
        <v>69</v>
      </c>
      <c r="BG71" s="58" t="s">
        <v>69</v>
      </c>
      <c r="BH71" s="58" t="s">
        <v>69</v>
      </c>
      <c r="BI71" s="58" t="s">
        <v>69</v>
      </c>
      <c r="BJ71" s="58">
        <v>3</v>
      </c>
      <c r="BK71" s="58" t="s">
        <v>69</v>
      </c>
      <c r="BL71" s="58" t="s">
        <v>69</v>
      </c>
      <c r="BM71" s="58" t="s">
        <v>69</v>
      </c>
      <c r="BN71" s="58" t="s">
        <v>69</v>
      </c>
      <c r="BO71" s="58" t="s">
        <v>69</v>
      </c>
      <c r="BP71" s="58" t="s">
        <v>69</v>
      </c>
      <c r="BQ71" s="58" t="s">
        <v>69</v>
      </c>
      <c r="BR71" s="58" t="s">
        <v>69</v>
      </c>
      <c r="BS71" s="58" t="s">
        <v>69</v>
      </c>
      <c r="BT71" s="58" t="s">
        <v>69</v>
      </c>
      <c r="BU71" s="94">
        <v>2</v>
      </c>
      <c r="BV71" s="95">
        <f t="shared" si="0"/>
        <v>0.23076923076923078</v>
      </c>
      <c r="BW71" s="95">
        <f t="shared" si="1"/>
        <v>0.88888888888888884</v>
      </c>
    </row>
    <row r="72" spans="1:75" ht="41.25" customHeight="1">
      <c r="A72" s="48" t="s">
        <v>403</v>
      </c>
      <c r="B72" s="48" t="s">
        <v>404</v>
      </c>
      <c r="C72" s="48" t="s">
        <v>214</v>
      </c>
      <c r="D72" s="48" t="s">
        <v>434</v>
      </c>
      <c r="E72" s="57" t="s">
        <v>69</v>
      </c>
      <c r="F72" s="58" t="s">
        <v>69</v>
      </c>
      <c r="G72" s="58" t="s">
        <v>69</v>
      </c>
      <c r="H72" s="58" t="s">
        <v>69</v>
      </c>
      <c r="I72" s="58" t="s">
        <v>69</v>
      </c>
      <c r="J72" s="58" t="s">
        <v>69</v>
      </c>
      <c r="K72" s="58" t="s">
        <v>69</v>
      </c>
      <c r="L72" s="58" t="s">
        <v>69</v>
      </c>
      <c r="M72" s="58" t="s">
        <v>69</v>
      </c>
      <c r="N72" s="58" t="s">
        <v>69</v>
      </c>
      <c r="O72" s="58" t="s">
        <v>69</v>
      </c>
      <c r="P72" s="58" t="s">
        <v>69</v>
      </c>
      <c r="Q72" s="58" t="s">
        <v>69</v>
      </c>
      <c r="R72" s="58" t="s">
        <v>69</v>
      </c>
      <c r="S72" s="58" t="s">
        <v>69</v>
      </c>
      <c r="T72" s="58" t="s">
        <v>69</v>
      </c>
      <c r="U72" s="58" t="s">
        <v>69</v>
      </c>
      <c r="V72" s="58" t="s">
        <v>69</v>
      </c>
      <c r="W72" s="58" t="s">
        <v>69</v>
      </c>
      <c r="X72" s="58" t="s">
        <v>69</v>
      </c>
      <c r="Y72" s="58" t="s">
        <v>69</v>
      </c>
      <c r="Z72" s="58" t="s">
        <v>69</v>
      </c>
      <c r="AA72" s="58" t="s">
        <v>69</v>
      </c>
      <c r="AB72" s="58" t="s">
        <v>69</v>
      </c>
      <c r="AC72" s="58" t="s">
        <v>69</v>
      </c>
      <c r="AD72" s="58" t="s">
        <v>69</v>
      </c>
      <c r="AE72" s="58" t="s">
        <v>69</v>
      </c>
      <c r="AF72" s="58" t="s">
        <v>69</v>
      </c>
      <c r="AG72" s="58" t="s">
        <v>69</v>
      </c>
      <c r="AH72" s="58" t="s">
        <v>69</v>
      </c>
      <c r="AI72" s="58" t="s">
        <v>69</v>
      </c>
      <c r="AJ72" s="58" t="s">
        <v>69</v>
      </c>
      <c r="AK72" s="58" t="s">
        <v>69</v>
      </c>
      <c r="AL72" s="58" t="s">
        <v>69</v>
      </c>
      <c r="AM72" s="58" t="s">
        <v>69</v>
      </c>
      <c r="AN72" s="58" t="s">
        <v>69</v>
      </c>
      <c r="AO72" s="58" t="s">
        <v>69</v>
      </c>
      <c r="AP72" s="58" t="s">
        <v>69</v>
      </c>
      <c r="AQ72" s="58" t="s">
        <v>69</v>
      </c>
      <c r="AR72" s="58" t="s">
        <v>69</v>
      </c>
      <c r="AS72" s="58">
        <v>1</v>
      </c>
      <c r="AT72" s="58">
        <v>3</v>
      </c>
      <c r="AU72" s="58">
        <v>3</v>
      </c>
      <c r="AV72" s="58">
        <v>3</v>
      </c>
      <c r="AW72" s="58">
        <v>3</v>
      </c>
      <c r="AX72" s="58">
        <v>3</v>
      </c>
      <c r="AY72" s="58" t="s">
        <v>69</v>
      </c>
      <c r="AZ72" s="58" t="s">
        <v>69</v>
      </c>
      <c r="BA72" s="58" t="s">
        <v>69</v>
      </c>
      <c r="BB72" s="58" t="s">
        <v>69</v>
      </c>
      <c r="BC72" s="58" t="s">
        <v>69</v>
      </c>
      <c r="BD72" s="58" t="s">
        <v>69</v>
      </c>
      <c r="BE72" s="58" t="s">
        <v>69</v>
      </c>
      <c r="BF72" s="58" t="s">
        <v>69</v>
      </c>
      <c r="BG72" s="58" t="s">
        <v>69</v>
      </c>
      <c r="BH72" s="58" t="s">
        <v>69</v>
      </c>
      <c r="BI72" s="58" t="s">
        <v>69</v>
      </c>
      <c r="BJ72" s="58" t="s">
        <v>69</v>
      </c>
      <c r="BK72" s="58" t="s">
        <v>69</v>
      </c>
      <c r="BL72" s="58" t="s">
        <v>69</v>
      </c>
      <c r="BM72" s="58" t="s">
        <v>69</v>
      </c>
      <c r="BN72" s="58" t="s">
        <v>69</v>
      </c>
      <c r="BO72" s="58" t="s">
        <v>69</v>
      </c>
      <c r="BP72" s="58" t="s">
        <v>69</v>
      </c>
      <c r="BQ72" s="58" t="s">
        <v>69</v>
      </c>
      <c r="BR72" s="58" t="s">
        <v>69</v>
      </c>
      <c r="BS72" s="58" t="s">
        <v>69</v>
      </c>
      <c r="BT72" s="58" t="s">
        <v>69</v>
      </c>
      <c r="BU72" s="94">
        <v>2</v>
      </c>
      <c r="BV72" s="95">
        <f t="shared" si="0"/>
        <v>0.17948717948717949</v>
      </c>
      <c r="BW72" s="95">
        <f t="shared" si="1"/>
        <v>0.83333333333333337</v>
      </c>
    </row>
    <row r="73" spans="1:75" ht="41.25" customHeight="1">
      <c r="A73" s="48" t="s">
        <v>405</v>
      </c>
      <c r="B73" s="48" t="s">
        <v>406</v>
      </c>
      <c r="C73" s="48" t="s">
        <v>214</v>
      </c>
      <c r="D73" s="48" t="s">
        <v>434</v>
      </c>
      <c r="E73" s="57" t="s">
        <v>69</v>
      </c>
      <c r="F73" s="58" t="s">
        <v>69</v>
      </c>
      <c r="G73" s="58" t="s">
        <v>69</v>
      </c>
      <c r="H73" s="58" t="s">
        <v>69</v>
      </c>
      <c r="I73" s="58" t="s">
        <v>69</v>
      </c>
      <c r="J73" s="58">
        <v>3</v>
      </c>
      <c r="K73" s="58" t="s">
        <v>69</v>
      </c>
      <c r="L73" s="58">
        <v>3</v>
      </c>
      <c r="M73" s="58">
        <v>3</v>
      </c>
      <c r="N73" s="58" t="s">
        <v>69</v>
      </c>
      <c r="O73" s="58" t="s">
        <v>69</v>
      </c>
      <c r="P73" s="58" t="s">
        <v>69</v>
      </c>
      <c r="Q73" s="58" t="s">
        <v>69</v>
      </c>
      <c r="R73" s="58" t="s">
        <v>69</v>
      </c>
      <c r="S73" s="58" t="s">
        <v>69</v>
      </c>
      <c r="T73" s="58" t="s">
        <v>69</v>
      </c>
      <c r="U73" s="58" t="s">
        <v>69</v>
      </c>
      <c r="V73" s="58" t="s">
        <v>69</v>
      </c>
      <c r="W73" s="58" t="s">
        <v>69</v>
      </c>
      <c r="X73" s="58" t="s">
        <v>69</v>
      </c>
      <c r="Y73" s="58" t="s">
        <v>69</v>
      </c>
      <c r="Z73" s="58" t="s">
        <v>69</v>
      </c>
      <c r="AA73" s="58" t="s">
        <v>69</v>
      </c>
      <c r="AB73" s="58" t="s">
        <v>69</v>
      </c>
      <c r="AC73" s="58" t="s">
        <v>69</v>
      </c>
      <c r="AD73" s="58" t="s">
        <v>69</v>
      </c>
      <c r="AE73" s="58" t="s">
        <v>69</v>
      </c>
      <c r="AF73" s="58" t="s">
        <v>69</v>
      </c>
      <c r="AG73" s="58" t="s">
        <v>69</v>
      </c>
      <c r="AH73" s="58" t="s">
        <v>69</v>
      </c>
      <c r="AI73" s="58" t="s">
        <v>69</v>
      </c>
      <c r="AJ73" s="58" t="s">
        <v>69</v>
      </c>
      <c r="AK73" s="58" t="s">
        <v>69</v>
      </c>
      <c r="AL73" s="58" t="s">
        <v>69</v>
      </c>
      <c r="AM73" s="58" t="s">
        <v>69</v>
      </c>
      <c r="AN73" s="58" t="s">
        <v>69</v>
      </c>
      <c r="AO73" s="58" t="s">
        <v>69</v>
      </c>
      <c r="AP73" s="58" t="s">
        <v>69</v>
      </c>
      <c r="AQ73" s="58" t="s">
        <v>69</v>
      </c>
      <c r="AR73" s="58" t="s">
        <v>69</v>
      </c>
      <c r="AS73" s="58">
        <v>1</v>
      </c>
      <c r="AT73" s="58">
        <v>3</v>
      </c>
      <c r="AU73" s="58">
        <v>3</v>
      </c>
      <c r="AV73" s="58">
        <v>3</v>
      </c>
      <c r="AW73" s="58">
        <v>3</v>
      </c>
      <c r="AX73" s="58">
        <v>1</v>
      </c>
      <c r="AY73" s="58" t="s">
        <v>69</v>
      </c>
      <c r="AZ73" s="58" t="s">
        <v>69</v>
      </c>
      <c r="BA73" s="58" t="s">
        <v>69</v>
      </c>
      <c r="BB73" s="58" t="s">
        <v>69</v>
      </c>
      <c r="BC73" s="58" t="s">
        <v>69</v>
      </c>
      <c r="BD73" s="58" t="s">
        <v>69</v>
      </c>
      <c r="BE73" s="58" t="s">
        <v>69</v>
      </c>
      <c r="BF73" s="58" t="s">
        <v>69</v>
      </c>
      <c r="BG73" s="58" t="s">
        <v>69</v>
      </c>
      <c r="BH73" s="58" t="s">
        <v>69</v>
      </c>
      <c r="BI73" s="58" t="s">
        <v>69</v>
      </c>
      <c r="BJ73" s="58" t="s">
        <v>69</v>
      </c>
      <c r="BK73" s="58" t="s">
        <v>69</v>
      </c>
      <c r="BL73" s="58" t="s">
        <v>69</v>
      </c>
      <c r="BM73" s="58" t="s">
        <v>69</v>
      </c>
      <c r="BN73" s="58" t="s">
        <v>69</v>
      </c>
      <c r="BO73" s="58" t="s">
        <v>69</v>
      </c>
      <c r="BP73" s="58" t="s">
        <v>69</v>
      </c>
      <c r="BQ73" s="58" t="s">
        <v>69</v>
      </c>
      <c r="BR73" s="58" t="s">
        <v>69</v>
      </c>
      <c r="BS73" s="58" t="s">
        <v>69</v>
      </c>
      <c r="BT73" s="58" t="s">
        <v>69</v>
      </c>
      <c r="BU73" s="94">
        <v>2</v>
      </c>
      <c r="BV73" s="95">
        <f t="shared" si="0"/>
        <v>0.25641025641025639</v>
      </c>
      <c r="BW73" s="95">
        <f t="shared" si="1"/>
        <v>0.875</v>
      </c>
    </row>
    <row r="74" spans="1:75" ht="41.25" customHeight="1">
      <c r="A74" s="48" t="s">
        <v>407</v>
      </c>
      <c r="B74" s="48" t="s">
        <v>408</v>
      </c>
      <c r="C74" s="48" t="s">
        <v>214</v>
      </c>
      <c r="D74" s="48" t="s">
        <v>434</v>
      </c>
      <c r="E74" s="57">
        <v>2</v>
      </c>
      <c r="F74" s="58">
        <v>2</v>
      </c>
      <c r="G74" s="58" t="s">
        <v>69</v>
      </c>
      <c r="H74" s="58" t="s">
        <v>69</v>
      </c>
      <c r="I74" s="58" t="s">
        <v>69</v>
      </c>
      <c r="J74" s="58" t="s">
        <v>69</v>
      </c>
      <c r="K74" s="58"/>
      <c r="L74" s="58" t="s">
        <v>69</v>
      </c>
      <c r="M74" s="58" t="s">
        <v>69</v>
      </c>
      <c r="N74" s="58" t="s">
        <v>69</v>
      </c>
      <c r="O74" s="58">
        <v>3</v>
      </c>
      <c r="P74" s="58">
        <v>3</v>
      </c>
      <c r="Q74" s="58">
        <v>3</v>
      </c>
      <c r="R74" s="58" t="s">
        <v>69</v>
      </c>
      <c r="S74" s="58">
        <v>2</v>
      </c>
      <c r="T74" s="58" t="s">
        <v>69</v>
      </c>
      <c r="U74" s="58" t="s">
        <v>69</v>
      </c>
      <c r="V74" s="58" t="s">
        <v>69</v>
      </c>
      <c r="W74" s="58">
        <v>3</v>
      </c>
      <c r="X74" s="58" t="s">
        <v>69</v>
      </c>
      <c r="Y74" s="58" t="s">
        <v>69</v>
      </c>
      <c r="Z74" s="58" t="s">
        <v>69</v>
      </c>
      <c r="AA74" s="58" t="s">
        <v>69</v>
      </c>
      <c r="AB74" s="58" t="s">
        <v>69</v>
      </c>
      <c r="AC74" s="58" t="s">
        <v>69</v>
      </c>
      <c r="AD74" s="58" t="s">
        <v>69</v>
      </c>
      <c r="AE74" s="58" t="s">
        <v>69</v>
      </c>
      <c r="AF74" s="58" t="s">
        <v>69</v>
      </c>
      <c r="AG74" s="58" t="s">
        <v>69</v>
      </c>
      <c r="AH74" s="58" t="s">
        <v>69</v>
      </c>
      <c r="AI74" s="58" t="s">
        <v>69</v>
      </c>
      <c r="AJ74" s="58" t="s">
        <v>69</v>
      </c>
      <c r="AK74" s="58" t="s">
        <v>69</v>
      </c>
      <c r="AL74" s="58" t="s">
        <v>69</v>
      </c>
      <c r="AM74" s="58" t="s">
        <v>69</v>
      </c>
      <c r="AN74" s="58" t="s">
        <v>69</v>
      </c>
      <c r="AO74" s="58" t="s">
        <v>69</v>
      </c>
      <c r="AP74" s="58">
        <v>3</v>
      </c>
      <c r="AQ74" s="58">
        <v>2</v>
      </c>
      <c r="AR74" s="58" t="s">
        <v>69</v>
      </c>
      <c r="AS74" s="58" t="s">
        <v>69</v>
      </c>
      <c r="AT74" s="58" t="s">
        <v>69</v>
      </c>
      <c r="AU74" s="58" t="s">
        <v>69</v>
      </c>
      <c r="AV74" s="58" t="s">
        <v>69</v>
      </c>
      <c r="AW74" s="58">
        <v>2</v>
      </c>
      <c r="AX74" s="58" t="s">
        <v>69</v>
      </c>
      <c r="AY74" s="58" t="s">
        <v>69</v>
      </c>
      <c r="AZ74" s="58" t="s">
        <v>69</v>
      </c>
      <c r="BA74" s="58" t="s">
        <v>69</v>
      </c>
      <c r="BB74" s="58" t="s">
        <v>69</v>
      </c>
      <c r="BC74" s="58" t="s">
        <v>69</v>
      </c>
      <c r="BD74" s="58" t="s">
        <v>69</v>
      </c>
      <c r="BE74" s="58" t="s">
        <v>69</v>
      </c>
      <c r="BF74" s="58">
        <v>2</v>
      </c>
      <c r="BG74" s="58" t="s">
        <v>69</v>
      </c>
      <c r="BH74" s="58" t="s">
        <v>69</v>
      </c>
      <c r="BI74" s="58" t="s">
        <v>69</v>
      </c>
      <c r="BJ74" s="58" t="s">
        <v>69</v>
      </c>
      <c r="BK74" s="58" t="s">
        <v>69</v>
      </c>
      <c r="BL74" s="58" t="s">
        <v>69</v>
      </c>
      <c r="BM74" s="58">
        <v>3</v>
      </c>
      <c r="BN74" s="58" t="s">
        <v>69</v>
      </c>
      <c r="BO74" s="58" t="s">
        <v>69</v>
      </c>
      <c r="BP74" s="58" t="s">
        <v>69</v>
      </c>
      <c r="BQ74" s="58" t="s">
        <v>69</v>
      </c>
      <c r="BR74" s="58" t="s">
        <v>69</v>
      </c>
      <c r="BS74" s="58" t="s">
        <v>69</v>
      </c>
      <c r="BT74" s="58" t="s">
        <v>69</v>
      </c>
      <c r="BU74" s="94">
        <v>2</v>
      </c>
      <c r="BV74" s="95">
        <f t="shared" si="0"/>
        <v>0.33333333333333331</v>
      </c>
      <c r="BW74" s="95">
        <f t="shared" si="1"/>
        <v>0.46153846153846156</v>
      </c>
    </row>
    <row r="75" spans="1:75" ht="41.25" customHeight="1">
      <c r="A75" s="48" t="s">
        <v>409</v>
      </c>
      <c r="B75" s="48" t="s">
        <v>410</v>
      </c>
      <c r="C75" s="48" t="s">
        <v>214</v>
      </c>
      <c r="D75" s="48" t="s">
        <v>434</v>
      </c>
      <c r="E75" s="57" t="s">
        <v>69</v>
      </c>
      <c r="F75" s="58" t="s">
        <v>69</v>
      </c>
      <c r="G75" s="58" t="s">
        <v>69</v>
      </c>
      <c r="H75" s="58" t="s">
        <v>69</v>
      </c>
      <c r="I75" s="58" t="s">
        <v>69</v>
      </c>
      <c r="J75" s="58" t="s">
        <v>69</v>
      </c>
      <c r="K75" s="58" t="s">
        <v>69</v>
      </c>
      <c r="L75" s="58" t="s">
        <v>69</v>
      </c>
      <c r="M75" s="58" t="s">
        <v>69</v>
      </c>
      <c r="N75" s="58">
        <v>2</v>
      </c>
      <c r="O75" s="58" t="s">
        <v>69</v>
      </c>
      <c r="P75" s="58" t="s">
        <v>69</v>
      </c>
      <c r="Q75" s="58" t="s">
        <v>69</v>
      </c>
      <c r="R75" s="58" t="s">
        <v>69</v>
      </c>
      <c r="S75" s="58" t="s">
        <v>69</v>
      </c>
      <c r="T75" s="58" t="s">
        <v>69</v>
      </c>
      <c r="U75" s="58" t="s">
        <v>69</v>
      </c>
      <c r="V75" s="58" t="s">
        <v>69</v>
      </c>
      <c r="W75" s="58" t="s">
        <v>69</v>
      </c>
      <c r="X75" s="58" t="s">
        <v>69</v>
      </c>
      <c r="Y75" s="58" t="s">
        <v>69</v>
      </c>
      <c r="Z75" s="58" t="s">
        <v>69</v>
      </c>
      <c r="AA75" s="58" t="s">
        <v>69</v>
      </c>
      <c r="AB75" s="58" t="s">
        <v>69</v>
      </c>
      <c r="AC75" s="58" t="s">
        <v>69</v>
      </c>
      <c r="AD75" s="58" t="s">
        <v>69</v>
      </c>
      <c r="AE75" s="58" t="s">
        <v>69</v>
      </c>
      <c r="AF75" s="58" t="s">
        <v>69</v>
      </c>
      <c r="AG75" s="58" t="s">
        <v>69</v>
      </c>
      <c r="AH75" s="58" t="s">
        <v>69</v>
      </c>
      <c r="AI75" s="58" t="s">
        <v>69</v>
      </c>
      <c r="AJ75" s="58" t="s">
        <v>69</v>
      </c>
      <c r="AK75" s="58" t="s">
        <v>69</v>
      </c>
      <c r="AL75" s="58" t="s">
        <v>69</v>
      </c>
      <c r="AM75" s="58" t="s">
        <v>69</v>
      </c>
      <c r="AN75" s="58" t="s">
        <v>69</v>
      </c>
      <c r="AO75" s="58" t="s">
        <v>69</v>
      </c>
      <c r="AP75" s="58" t="s">
        <v>69</v>
      </c>
      <c r="AQ75" s="58" t="s">
        <v>69</v>
      </c>
      <c r="AR75" s="58" t="s">
        <v>69</v>
      </c>
      <c r="AS75" s="58">
        <v>3</v>
      </c>
      <c r="AT75" s="58">
        <v>3</v>
      </c>
      <c r="AU75" s="58">
        <v>3</v>
      </c>
      <c r="AV75" s="58">
        <v>3</v>
      </c>
      <c r="AW75" s="58">
        <v>3</v>
      </c>
      <c r="AX75" s="58" t="s">
        <v>69</v>
      </c>
      <c r="AY75" s="58" t="s">
        <v>69</v>
      </c>
      <c r="AZ75" s="58" t="s">
        <v>69</v>
      </c>
      <c r="BA75" s="58" t="s">
        <v>69</v>
      </c>
      <c r="BB75" s="58" t="s">
        <v>69</v>
      </c>
      <c r="BC75" s="58" t="s">
        <v>69</v>
      </c>
      <c r="BD75" s="58" t="s">
        <v>69</v>
      </c>
      <c r="BE75" s="58" t="s">
        <v>69</v>
      </c>
      <c r="BF75" s="58" t="s">
        <v>69</v>
      </c>
      <c r="BG75" s="58" t="s">
        <v>69</v>
      </c>
      <c r="BH75" s="58" t="s">
        <v>69</v>
      </c>
      <c r="BI75" s="58" t="s">
        <v>69</v>
      </c>
      <c r="BJ75" s="58" t="s">
        <v>69</v>
      </c>
      <c r="BK75" s="58" t="s">
        <v>69</v>
      </c>
      <c r="BL75" s="58" t="s">
        <v>69</v>
      </c>
      <c r="BM75" s="58" t="s">
        <v>69</v>
      </c>
      <c r="BN75" s="58" t="s">
        <v>69</v>
      </c>
      <c r="BO75" s="58" t="s">
        <v>69</v>
      </c>
      <c r="BP75" s="58" t="s">
        <v>69</v>
      </c>
      <c r="BQ75" s="58" t="s">
        <v>69</v>
      </c>
      <c r="BR75" s="58" t="s">
        <v>69</v>
      </c>
      <c r="BS75" s="58" t="s">
        <v>69</v>
      </c>
      <c r="BT75" s="58" t="s">
        <v>69</v>
      </c>
      <c r="BU75" s="94">
        <v>2</v>
      </c>
      <c r="BV75" s="95">
        <f t="shared" si="0"/>
        <v>0.17948717948717949</v>
      </c>
      <c r="BW75" s="95">
        <f t="shared" si="1"/>
        <v>0.7142857142857143</v>
      </c>
    </row>
    <row r="76" spans="1:75" ht="41.25" customHeight="1">
      <c r="A76" s="48" t="s">
        <v>411</v>
      </c>
      <c r="B76" s="48" t="s">
        <v>412</v>
      </c>
      <c r="C76" s="48" t="s">
        <v>215</v>
      </c>
      <c r="D76" s="48" t="s">
        <v>434</v>
      </c>
      <c r="E76" s="57" t="s">
        <v>69</v>
      </c>
      <c r="F76" s="58" t="s">
        <v>69</v>
      </c>
      <c r="G76" s="58">
        <v>3</v>
      </c>
      <c r="H76" s="58" t="s">
        <v>69</v>
      </c>
      <c r="I76" s="58">
        <v>3</v>
      </c>
      <c r="J76" s="58">
        <v>3</v>
      </c>
      <c r="K76" s="58">
        <v>2</v>
      </c>
      <c r="L76" s="58">
        <v>3</v>
      </c>
      <c r="M76" s="58">
        <v>3</v>
      </c>
      <c r="N76" s="58">
        <v>3</v>
      </c>
      <c r="O76" s="58" t="s">
        <v>69</v>
      </c>
      <c r="P76" s="58" t="s">
        <v>69</v>
      </c>
      <c r="Q76" s="58" t="s">
        <v>69</v>
      </c>
      <c r="R76" s="58">
        <v>2</v>
      </c>
      <c r="S76" s="58" t="s">
        <v>69</v>
      </c>
      <c r="T76" s="58" t="s">
        <v>69</v>
      </c>
      <c r="U76" s="58" t="s">
        <v>69</v>
      </c>
      <c r="V76" s="58" t="s">
        <v>69</v>
      </c>
      <c r="W76" s="58" t="s">
        <v>69</v>
      </c>
      <c r="X76" s="58" t="s">
        <v>69</v>
      </c>
      <c r="Y76" s="58" t="s">
        <v>69</v>
      </c>
      <c r="Z76" s="58" t="s">
        <v>69</v>
      </c>
      <c r="AA76" s="58" t="s">
        <v>69</v>
      </c>
      <c r="AB76" s="58" t="s">
        <v>69</v>
      </c>
      <c r="AC76" s="58">
        <v>1</v>
      </c>
      <c r="AD76" s="58" t="s">
        <v>69</v>
      </c>
      <c r="AE76" s="58" t="s">
        <v>69</v>
      </c>
      <c r="AF76" s="58" t="s">
        <v>69</v>
      </c>
      <c r="AG76" s="58" t="s">
        <v>69</v>
      </c>
      <c r="AH76" s="58" t="s">
        <v>69</v>
      </c>
      <c r="AI76" s="58" t="s">
        <v>69</v>
      </c>
      <c r="AJ76" s="58" t="s">
        <v>69</v>
      </c>
      <c r="AK76" s="58" t="s">
        <v>69</v>
      </c>
      <c r="AL76" s="58">
        <v>3</v>
      </c>
      <c r="AM76" s="58" t="s">
        <v>69</v>
      </c>
      <c r="AN76" s="58" t="s">
        <v>69</v>
      </c>
      <c r="AO76" s="58" t="s">
        <v>69</v>
      </c>
      <c r="AP76" s="58" t="s">
        <v>69</v>
      </c>
      <c r="AQ76" s="58" t="s">
        <v>69</v>
      </c>
      <c r="AR76" s="58" t="s">
        <v>69</v>
      </c>
      <c r="AS76" s="58" t="s">
        <v>69</v>
      </c>
      <c r="AT76" s="58" t="s">
        <v>69</v>
      </c>
      <c r="AU76" s="58">
        <v>3</v>
      </c>
      <c r="AV76" s="58">
        <v>3</v>
      </c>
      <c r="AW76" s="58">
        <v>3</v>
      </c>
      <c r="AX76" s="58" t="s">
        <v>69</v>
      </c>
      <c r="AY76" s="58" t="s">
        <v>69</v>
      </c>
      <c r="AZ76" s="58" t="s">
        <v>69</v>
      </c>
      <c r="BA76" s="58" t="s">
        <v>69</v>
      </c>
      <c r="BB76" s="58" t="s">
        <v>69</v>
      </c>
      <c r="BC76" s="58" t="s">
        <v>69</v>
      </c>
      <c r="BD76" s="58" t="s">
        <v>69</v>
      </c>
      <c r="BE76" s="58" t="s">
        <v>69</v>
      </c>
      <c r="BF76" s="58">
        <v>2</v>
      </c>
      <c r="BG76" s="58" t="s">
        <v>69</v>
      </c>
      <c r="BH76" s="58" t="s">
        <v>69</v>
      </c>
      <c r="BI76" s="58" t="s">
        <v>69</v>
      </c>
      <c r="BJ76" s="58" t="s">
        <v>69</v>
      </c>
      <c r="BK76" s="58" t="s">
        <v>69</v>
      </c>
      <c r="BL76" s="58" t="s">
        <v>69</v>
      </c>
      <c r="BM76" s="58" t="s">
        <v>69</v>
      </c>
      <c r="BN76" s="58" t="s">
        <v>69</v>
      </c>
      <c r="BO76" s="58" t="s">
        <v>69</v>
      </c>
      <c r="BP76" s="58" t="s">
        <v>69</v>
      </c>
      <c r="BQ76" s="58" t="s">
        <v>69</v>
      </c>
      <c r="BR76" s="58" t="s">
        <v>69</v>
      </c>
      <c r="BS76" s="58" t="s">
        <v>69</v>
      </c>
      <c r="BT76" s="58" t="s">
        <v>69</v>
      </c>
      <c r="BU76" s="94">
        <v>2</v>
      </c>
      <c r="BV76" s="95">
        <f t="shared" si="0"/>
        <v>0.38461538461538464</v>
      </c>
      <c r="BW76" s="95">
        <f t="shared" si="1"/>
        <v>0.7142857142857143</v>
      </c>
    </row>
    <row r="77" spans="1:75" ht="41.25" customHeight="1">
      <c r="A77" s="48" t="s">
        <v>413</v>
      </c>
      <c r="B77" s="48" t="s">
        <v>414</v>
      </c>
      <c r="C77" s="48" t="s">
        <v>215</v>
      </c>
      <c r="D77" s="48" t="s">
        <v>434</v>
      </c>
      <c r="E77" s="57">
        <v>3</v>
      </c>
      <c r="F77" s="58">
        <v>3</v>
      </c>
      <c r="G77" s="58" t="s">
        <v>69</v>
      </c>
      <c r="H77" s="58" t="s">
        <v>69</v>
      </c>
      <c r="I77" s="58" t="s">
        <v>69</v>
      </c>
      <c r="J77" s="58" t="s">
        <v>69</v>
      </c>
      <c r="K77" s="58">
        <v>3</v>
      </c>
      <c r="L77" s="58">
        <v>3</v>
      </c>
      <c r="M77" s="58">
        <v>3</v>
      </c>
      <c r="N77" s="58" t="s">
        <v>69</v>
      </c>
      <c r="O77" s="58" t="s">
        <v>69</v>
      </c>
      <c r="P77" s="58" t="s">
        <v>69</v>
      </c>
      <c r="Q77" s="58">
        <v>2</v>
      </c>
      <c r="R77" s="58" t="s">
        <v>69</v>
      </c>
      <c r="S77" s="58" t="s">
        <v>69</v>
      </c>
      <c r="T77" s="58" t="s">
        <v>69</v>
      </c>
      <c r="U77" s="58" t="s">
        <v>69</v>
      </c>
      <c r="V77" s="58">
        <v>2</v>
      </c>
      <c r="W77" s="58" t="s">
        <v>69</v>
      </c>
      <c r="X77" s="58" t="s">
        <v>69</v>
      </c>
      <c r="Y77" s="58" t="s">
        <v>69</v>
      </c>
      <c r="Z77" s="58" t="s">
        <v>69</v>
      </c>
      <c r="AA77" s="58" t="s">
        <v>69</v>
      </c>
      <c r="AB77" s="58" t="s">
        <v>69</v>
      </c>
      <c r="AC77" s="58" t="s">
        <v>69</v>
      </c>
      <c r="AD77" s="58" t="s">
        <v>69</v>
      </c>
      <c r="AE77" s="58" t="s">
        <v>69</v>
      </c>
      <c r="AF77" s="58" t="s">
        <v>69</v>
      </c>
      <c r="AG77" s="58" t="s">
        <v>69</v>
      </c>
      <c r="AH77" s="58" t="s">
        <v>69</v>
      </c>
      <c r="AI77" s="58" t="s">
        <v>69</v>
      </c>
      <c r="AJ77" s="58" t="s">
        <v>69</v>
      </c>
      <c r="AK77" s="58" t="s">
        <v>69</v>
      </c>
      <c r="AL77" s="58" t="s">
        <v>69</v>
      </c>
      <c r="AM77" s="58" t="s">
        <v>69</v>
      </c>
      <c r="AN77" s="58" t="s">
        <v>69</v>
      </c>
      <c r="AO77" s="58" t="s">
        <v>69</v>
      </c>
      <c r="AP77" s="58" t="s">
        <v>69</v>
      </c>
      <c r="AQ77" s="58" t="s">
        <v>69</v>
      </c>
      <c r="AR77" s="58" t="s">
        <v>69</v>
      </c>
      <c r="AS77" s="58" t="s">
        <v>69</v>
      </c>
      <c r="AT77" s="58" t="s">
        <v>69</v>
      </c>
      <c r="AU77" s="58" t="s">
        <v>69</v>
      </c>
      <c r="AV77" s="58" t="s">
        <v>69</v>
      </c>
      <c r="AW77" s="58" t="s">
        <v>69</v>
      </c>
      <c r="AX77" s="58" t="s">
        <v>69</v>
      </c>
      <c r="AY77" s="58" t="s">
        <v>69</v>
      </c>
      <c r="AZ77" s="58" t="s">
        <v>69</v>
      </c>
      <c r="BA77" s="58" t="s">
        <v>69</v>
      </c>
      <c r="BB77" s="58" t="s">
        <v>69</v>
      </c>
      <c r="BC77" s="58" t="s">
        <v>69</v>
      </c>
      <c r="BD77" s="58" t="s">
        <v>69</v>
      </c>
      <c r="BE77" s="58" t="s">
        <v>69</v>
      </c>
      <c r="BF77" s="58" t="s">
        <v>69</v>
      </c>
      <c r="BG77" s="58" t="s">
        <v>69</v>
      </c>
      <c r="BH77" s="58" t="s">
        <v>69</v>
      </c>
      <c r="BI77" s="58" t="s">
        <v>69</v>
      </c>
      <c r="BJ77" s="58" t="s">
        <v>69</v>
      </c>
      <c r="BK77" s="58" t="s">
        <v>69</v>
      </c>
      <c r="BL77" s="58" t="s">
        <v>69</v>
      </c>
      <c r="BM77" s="58" t="s">
        <v>69</v>
      </c>
      <c r="BN77" s="58" t="s">
        <v>69</v>
      </c>
      <c r="BO77" s="58" t="s">
        <v>69</v>
      </c>
      <c r="BP77" s="58" t="s">
        <v>69</v>
      </c>
      <c r="BQ77" s="58" t="s">
        <v>69</v>
      </c>
      <c r="BR77" s="58" t="s">
        <v>69</v>
      </c>
      <c r="BS77" s="58" t="s">
        <v>69</v>
      </c>
      <c r="BT77" s="58" t="s">
        <v>69</v>
      </c>
      <c r="BU77" s="94">
        <v>2</v>
      </c>
      <c r="BV77" s="95">
        <f t="shared" si="0"/>
        <v>0.20512820512820512</v>
      </c>
      <c r="BW77" s="95">
        <f t="shared" si="1"/>
        <v>0.625</v>
      </c>
    </row>
    <row r="78" spans="1:75" ht="41.25" customHeight="1">
      <c r="A78" s="48" t="s">
        <v>415</v>
      </c>
      <c r="B78" s="48" t="s">
        <v>416</v>
      </c>
      <c r="C78" s="48" t="s">
        <v>215</v>
      </c>
      <c r="D78" s="48" t="s">
        <v>434</v>
      </c>
      <c r="E78" s="57">
        <v>4</v>
      </c>
      <c r="F78" s="58">
        <v>1</v>
      </c>
      <c r="G78" s="58" t="s">
        <v>69</v>
      </c>
      <c r="H78" s="58" t="s">
        <v>69</v>
      </c>
      <c r="I78" s="58" t="s">
        <v>69</v>
      </c>
      <c r="J78" s="58">
        <v>4</v>
      </c>
      <c r="K78" s="58" t="s">
        <v>69</v>
      </c>
      <c r="L78" s="58">
        <v>2</v>
      </c>
      <c r="M78" s="58" t="s">
        <v>69</v>
      </c>
      <c r="N78" s="58">
        <v>1</v>
      </c>
      <c r="O78" s="58" t="s">
        <v>69</v>
      </c>
      <c r="P78" s="58" t="s">
        <v>69</v>
      </c>
      <c r="Q78" s="58" t="s">
        <v>69</v>
      </c>
      <c r="R78" s="58" t="s">
        <v>69</v>
      </c>
      <c r="S78" s="58">
        <v>2</v>
      </c>
      <c r="T78" s="58">
        <v>3</v>
      </c>
      <c r="U78" s="58" t="s">
        <v>69</v>
      </c>
      <c r="V78" s="58" t="s">
        <v>69</v>
      </c>
      <c r="W78" s="58">
        <v>2</v>
      </c>
      <c r="X78" s="58" t="s">
        <v>69</v>
      </c>
      <c r="Y78" s="58" t="s">
        <v>69</v>
      </c>
      <c r="Z78" s="58" t="s">
        <v>69</v>
      </c>
      <c r="AA78" s="58" t="s">
        <v>69</v>
      </c>
      <c r="AB78" s="58" t="s">
        <v>69</v>
      </c>
      <c r="AC78" s="58" t="s">
        <v>69</v>
      </c>
      <c r="AD78" s="58" t="s">
        <v>69</v>
      </c>
      <c r="AE78" s="58" t="s">
        <v>69</v>
      </c>
      <c r="AF78" s="58" t="s">
        <v>69</v>
      </c>
      <c r="AG78" s="58" t="s">
        <v>69</v>
      </c>
      <c r="AH78" s="58" t="s">
        <v>69</v>
      </c>
      <c r="AI78" s="58" t="s">
        <v>69</v>
      </c>
      <c r="AJ78" s="58" t="s">
        <v>69</v>
      </c>
      <c r="AK78" s="58" t="s">
        <v>69</v>
      </c>
      <c r="AL78" s="58" t="s">
        <v>69</v>
      </c>
      <c r="AM78" s="58" t="s">
        <v>69</v>
      </c>
      <c r="AN78" s="58" t="s">
        <v>69</v>
      </c>
      <c r="AO78" s="58" t="s">
        <v>69</v>
      </c>
      <c r="AP78" s="58" t="s">
        <v>69</v>
      </c>
      <c r="AQ78" s="58" t="s">
        <v>69</v>
      </c>
      <c r="AR78" s="58" t="s">
        <v>69</v>
      </c>
      <c r="AS78" s="58" t="s">
        <v>69</v>
      </c>
      <c r="AT78" s="58" t="s">
        <v>69</v>
      </c>
      <c r="AU78" s="58" t="s">
        <v>69</v>
      </c>
      <c r="AV78" s="58" t="s">
        <v>69</v>
      </c>
      <c r="AW78" s="58" t="s">
        <v>69</v>
      </c>
      <c r="AX78" s="58" t="s">
        <v>69</v>
      </c>
      <c r="AY78" s="58" t="s">
        <v>69</v>
      </c>
      <c r="AZ78" s="58" t="s">
        <v>69</v>
      </c>
      <c r="BA78" s="58" t="s">
        <v>69</v>
      </c>
      <c r="BB78" s="58" t="s">
        <v>69</v>
      </c>
      <c r="BC78" s="58" t="s">
        <v>69</v>
      </c>
      <c r="BD78" s="58" t="s">
        <v>69</v>
      </c>
      <c r="BE78" s="58" t="s">
        <v>69</v>
      </c>
      <c r="BF78" s="58" t="s">
        <v>69</v>
      </c>
      <c r="BG78" s="58" t="s">
        <v>69</v>
      </c>
      <c r="BH78" s="58" t="s">
        <v>69</v>
      </c>
      <c r="BI78" s="58" t="s">
        <v>69</v>
      </c>
      <c r="BJ78" s="58" t="s">
        <v>69</v>
      </c>
      <c r="BK78" s="58" t="s">
        <v>69</v>
      </c>
      <c r="BL78" s="58">
        <v>1</v>
      </c>
      <c r="BM78" s="58" t="s">
        <v>69</v>
      </c>
      <c r="BN78" s="58" t="s">
        <v>69</v>
      </c>
      <c r="BO78" s="58" t="s">
        <v>69</v>
      </c>
      <c r="BP78" s="58" t="s">
        <v>69</v>
      </c>
      <c r="BQ78" s="58" t="s">
        <v>69</v>
      </c>
      <c r="BR78" s="58" t="s">
        <v>69</v>
      </c>
      <c r="BS78" s="58" t="s">
        <v>69</v>
      </c>
      <c r="BT78" s="58" t="s">
        <v>69</v>
      </c>
      <c r="BU78" s="94">
        <v>2</v>
      </c>
      <c r="BV78" s="95">
        <f t="shared" si="0"/>
        <v>0.25641025641025639</v>
      </c>
      <c r="BW78" s="95">
        <f t="shared" si="1"/>
        <v>0.42857142857142855</v>
      </c>
    </row>
    <row r="79" spans="1:75" ht="41.25" customHeight="1">
      <c r="A79" s="48" t="s">
        <v>417</v>
      </c>
      <c r="B79" s="48" t="s">
        <v>418</v>
      </c>
      <c r="C79" s="48" t="s">
        <v>216</v>
      </c>
      <c r="D79" s="48" t="s">
        <v>434</v>
      </c>
      <c r="E79" s="57">
        <v>3</v>
      </c>
      <c r="F79" s="58" t="s">
        <v>69</v>
      </c>
      <c r="G79" s="58" t="s">
        <v>69</v>
      </c>
      <c r="H79" s="58" t="s">
        <v>69</v>
      </c>
      <c r="I79" s="58" t="s">
        <v>69</v>
      </c>
      <c r="J79" s="58">
        <v>4</v>
      </c>
      <c r="K79" s="58" t="s">
        <v>69</v>
      </c>
      <c r="L79" s="58">
        <v>4</v>
      </c>
      <c r="M79" s="58">
        <v>4</v>
      </c>
      <c r="N79" s="58" t="s">
        <v>69</v>
      </c>
      <c r="O79" s="58" t="s">
        <v>69</v>
      </c>
      <c r="P79" s="58" t="s">
        <v>69</v>
      </c>
      <c r="Q79" s="58" t="s">
        <v>69</v>
      </c>
      <c r="R79" s="58" t="s">
        <v>69</v>
      </c>
      <c r="S79" s="58" t="s">
        <v>69</v>
      </c>
      <c r="T79" s="58" t="s">
        <v>69</v>
      </c>
      <c r="U79" s="58" t="s">
        <v>69</v>
      </c>
      <c r="V79" s="58" t="s">
        <v>69</v>
      </c>
      <c r="W79" s="58" t="s">
        <v>69</v>
      </c>
      <c r="X79" s="58" t="s">
        <v>69</v>
      </c>
      <c r="Y79" s="58" t="s">
        <v>69</v>
      </c>
      <c r="Z79" s="58" t="s">
        <v>69</v>
      </c>
      <c r="AA79" s="58" t="s">
        <v>69</v>
      </c>
      <c r="AB79" s="58" t="s">
        <v>69</v>
      </c>
      <c r="AC79" s="58" t="s">
        <v>69</v>
      </c>
      <c r="AD79" s="58" t="s">
        <v>69</v>
      </c>
      <c r="AE79" s="58" t="s">
        <v>69</v>
      </c>
      <c r="AF79" s="58" t="s">
        <v>69</v>
      </c>
      <c r="AG79" s="58" t="s">
        <v>69</v>
      </c>
      <c r="AH79" s="58" t="s">
        <v>69</v>
      </c>
      <c r="AI79" s="58" t="s">
        <v>69</v>
      </c>
      <c r="AJ79" s="58">
        <v>2</v>
      </c>
      <c r="AK79" s="58" t="s">
        <v>69</v>
      </c>
      <c r="AL79" s="58">
        <v>3</v>
      </c>
      <c r="AM79" s="58">
        <v>3</v>
      </c>
      <c r="AN79" s="58" t="s">
        <v>69</v>
      </c>
      <c r="AO79" s="58" t="s">
        <v>69</v>
      </c>
      <c r="AP79" s="58" t="s">
        <v>69</v>
      </c>
      <c r="AQ79" s="58" t="s">
        <v>69</v>
      </c>
      <c r="AR79" s="58" t="s">
        <v>69</v>
      </c>
      <c r="AS79" s="58" t="s">
        <v>69</v>
      </c>
      <c r="AT79" s="58" t="s">
        <v>69</v>
      </c>
      <c r="AU79" s="58" t="s">
        <v>69</v>
      </c>
      <c r="AV79" s="58" t="s">
        <v>69</v>
      </c>
      <c r="AW79" s="58" t="s">
        <v>69</v>
      </c>
      <c r="AX79" s="58" t="s">
        <v>69</v>
      </c>
      <c r="AY79" s="58" t="s">
        <v>69</v>
      </c>
      <c r="AZ79" s="58" t="s">
        <v>69</v>
      </c>
      <c r="BA79" s="58" t="s">
        <v>69</v>
      </c>
      <c r="BB79" s="58">
        <v>3</v>
      </c>
      <c r="BC79" s="58" t="s">
        <v>69</v>
      </c>
      <c r="BD79" s="58">
        <v>3</v>
      </c>
      <c r="BE79" s="58">
        <v>3</v>
      </c>
      <c r="BF79" s="58">
        <v>3</v>
      </c>
      <c r="BG79" s="58" t="s">
        <v>69</v>
      </c>
      <c r="BH79" s="58" t="s">
        <v>69</v>
      </c>
      <c r="BI79" s="58" t="s">
        <v>69</v>
      </c>
      <c r="BJ79" s="58" t="s">
        <v>69</v>
      </c>
      <c r="BK79" s="58" t="s">
        <v>69</v>
      </c>
      <c r="BL79" s="58" t="s">
        <v>69</v>
      </c>
      <c r="BM79" s="58" t="s">
        <v>69</v>
      </c>
      <c r="BN79" s="58" t="s">
        <v>69</v>
      </c>
      <c r="BO79" s="58" t="s">
        <v>69</v>
      </c>
      <c r="BP79" s="58" t="s">
        <v>69</v>
      </c>
      <c r="BQ79" s="58" t="s">
        <v>69</v>
      </c>
      <c r="BR79" s="58" t="s">
        <v>69</v>
      </c>
      <c r="BS79" s="58" t="s">
        <v>69</v>
      </c>
      <c r="BT79" s="58" t="s">
        <v>69</v>
      </c>
      <c r="BU79" s="94">
        <v>4</v>
      </c>
      <c r="BV79" s="95">
        <f t="shared" si="0"/>
        <v>0.30769230769230771</v>
      </c>
      <c r="BW79" s="95">
        <f t="shared" si="1"/>
        <v>0.91666666666666663</v>
      </c>
    </row>
    <row r="80" spans="1:75" ht="41.25" customHeight="1">
      <c r="A80" s="48" t="s">
        <v>419</v>
      </c>
      <c r="B80" s="48" t="s">
        <v>420</v>
      </c>
      <c r="C80" s="48" t="s">
        <v>215</v>
      </c>
      <c r="D80" s="48" t="s">
        <v>434</v>
      </c>
      <c r="E80" s="57">
        <v>3</v>
      </c>
      <c r="F80" s="58" t="s">
        <v>69</v>
      </c>
      <c r="G80" s="58">
        <v>2</v>
      </c>
      <c r="H80" s="58" t="s">
        <v>69</v>
      </c>
      <c r="I80" s="58" t="s">
        <v>69</v>
      </c>
      <c r="J80" s="58" t="s">
        <v>69</v>
      </c>
      <c r="K80" s="58" t="s">
        <v>69</v>
      </c>
      <c r="L80" s="58" t="s">
        <v>69</v>
      </c>
      <c r="M80" s="58" t="s">
        <v>69</v>
      </c>
      <c r="N80" s="58" t="s">
        <v>69</v>
      </c>
      <c r="O80" s="58">
        <v>4</v>
      </c>
      <c r="P80" s="58" t="s">
        <v>69</v>
      </c>
      <c r="Q80" s="58" t="s">
        <v>69</v>
      </c>
      <c r="R80" s="58" t="s">
        <v>69</v>
      </c>
      <c r="S80" s="58" t="s">
        <v>69</v>
      </c>
      <c r="T80" s="58">
        <v>2</v>
      </c>
      <c r="U80" s="58" t="s">
        <v>69</v>
      </c>
      <c r="V80" s="58" t="s">
        <v>69</v>
      </c>
      <c r="W80" s="58">
        <v>4</v>
      </c>
      <c r="X80" s="58" t="s">
        <v>69</v>
      </c>
      <c r="Y80" s="58" t="s">
        <v>69</v>
      </c>
      <c r="Z80" s="58" t="s">
        <v>69</v>
      </c>
      <c r="AA80" s="58" t="s">
        <v>69</v>
      </c>
      <c r="AB80" s="58" t="s">
        <v>69</v>
      </c>
      <c r="AC80" s="58">
        <v>4</v>
      </c>
      <c r="AD80" s="58" t="s">
        <v>69</v>
      </c>
      <c r="AE80" s="58" t="s">
        <v>69</v>
      </c>
      <c r="AF80" s="58" t="s">
        <v>69</v>
      </c>
      <c r="AG80" s="58" t="s">
        <v>69</v>
      </c>
      <c r="AH80" s="58" t="s">
        <v>69</v>
      </c>
      <c r="AI80" s="58" t="s">
        <v>69</v>
      </c>
      <c r="AJ80" s="58">
        <v>4</v>
      </c>
      <c r="AK80" s="58" t="s">
        <v>69</v>
      </c>
      <c r="AL80" s="58">
        <v>4</v>
      </c>
      <c r="AM80" s="58">
        <v>4</v>
      </c>
      <c r="AN80" s="58">
        <v>2</v>
      </c>
      <c r="AO80" s="58" t="s">
        <v>69</v>
      </c>
      <c r="AP80" s="58" t="s">
        <v>69</v>
      </c>
      <c r="AQ80" s="58" t="s">
        <v>69</v>
      </c>
      <c r="AR80" s="58" t="s">
        <v>69</v>
      </c>
      <c r="AS80" s="58" t="s">
        <v>69</v>
      </c>
      <c r="AT80" s="58" t="s">
        <v>69</v>
      </c>
      <c r="AU80" s="58" t="s">
        <v>69</v>
      </c>
      <c r="AV80" s="58" t="s">
        <v>69</v>
      </c>
      <c r="AW80" s="58" t="s">
        <v>69</v>
      </c>
      <c r="AX80" s="58" t="s">
        <v>69</v>
      </c>
      <c r="AY80" s="58">
        <v>3</v>
      </c>
      <c r="AZ80" s="58" t="s">
        <v>69</v>
      </c>
      <c r="BA80" s="58" t="s">
        <v>69</v>
      </c>
      <c r="BB80" s="58" t="s">
        <v>69</v>
      </c>
      <c r="BC80" s="58" t="s">
        <v>69</v>
      </c>
      <c r="BD80" s="58">
        <v>4</v>
      </c>
      <c r="BE80" s="58">
        <v>4</v>
      </c>
      <c r="BF80" s="58">
        <v>4</v>
      </c>
      <c r="BG80" s="58" t="s">
        <v>69</v>
      </c>
      <c r="BH80" s="58" t="s">
        <v>69</v>
      </c>
      <c r="BI80" s="58" t="s">
        <v>69</v>
      </c>
      <c r="BJ80" s="58" t="s">
        <v>69</v>
      </c>
      <c r="BK80" s="58" t="s">
        <v>69</v>
      </c>
      <c r="BL80" s="58" t="s">
        <v>69</v>
      </c>
      <c r="BM80" s="58" t="s">
        <v>69</v>
      </c>
      <c r="BN80" s="58" t="s">
        <v>69</v>
      </c>
      <c r="BO80" s="58" t="s">
        <v>69</v>
      </c>
      <c r="BP80" s="58" t="s">
        <v>69</v>
      </c>
      <c r="BQ80" s="58" t="s">
        <v>69</v>
      </c>
      <c r="BR80" s="58" t="s">
        <v>69</v>
      </c>
      <c r="BS80" s="58" t="s">
        <v>69</v>
      </c>
      <c r="BT80" s="58" t="s">
        <v>69</v>
      </c>
      <c r="BU80" s="94">
        <v>3</v>
      </c>
      <c r="BV80" s="95">
        <f t="shared" si="0"/>
        <v>0.38461538461538464</v>
      </c>
      <c r="BW80" s="95">
        <f t="shared" si="1"/>
        <v>0.8</v>
      </c>
    </row>
    <row r="81" spans="1:75" ht="41.25" customHeight="1">
      <c r="A81" s="48" t="s">
        <v>421</v>
      </c>
      <c r="B81" s="48" t="s">
        <v>422</v>
      </c>
      <c r="C81" s="48" t="s">
        <v>215</v>
      </c>
      <c r="D81" s="48" t="s">
        <v>434</v>
      </c>
      <c r="E81" s="57">
        <v>3</v>
      </c>
      <c r="F81" s="58" t="s">
        <v>69</v>
      </c>
      <c r="G81" s="58" t="s">
        <v>69</v>
      </c>
      <c r="H81" s="58" t="s">
        <v>69</v>
      </c>
      <c r="I81" s="58" t="s">
        <v>69</v>
      </c>
      <c r="J81" s="58">
        <v>4</v>
      </c>
      <c r="K81" s="58" t="s">
        <v>69</v>
      </c>
      <c r="L81" s="58" t="s">
        <v>69</v>
      </c>
      <c r="M81" s="58" t="s">
        <v>69</v>
      </c>
      <c r="N81" s="58">
        <v>4</v>
      </c>
      <c r="O81" s="58" t="s">
        <v>69</v>
      </c>
      <c r="P81" s="58" t="s">
        <v>69</v>
      </c>
      <c r="Q81" s="58" t="s">
        <v>69</v>
      </c>
      <c r="R81" s="58" t="s">
        <v>69</v>
      </c>
      <c r="S81" s="58">
        <v>4</v>
      </c>
      <c r="T81" s="58">
        <v>2</v>
      </c>
      <c r="U81" s="58" t="s">
        <v>69</v>
      </c>
      <c r="V81" s="58" t="s">
        <v>69</v>
      </c>
      <c r="W81" s="58">
        <v>4</v>
      </c>
      <c r="X81" s="58" t="s">
        <v>69</v>
      </c>
      <c r="Y81" s="58" t="s">
        <v>69</v>
      </c>
      <c r="Z81" s="58" t="s">
        <v>69</v>
      </c>
      <c r="AA81" s="58" t="s">
        <v>69</v>
      </c>
      <c r="AB81" s="58" t="s">
        <v>69</v>
      </c>
      <c r="AC81" s="58" t="s">
        <v>69</v>
      </c>
      <c r="AD81" s="58" t="s">
        <v>69</v>
      </c>
      <c r="AE81" s="58" t="s">
        <v>69</v>
      </c>
      <c r="AF81" s="58" t="s">
        <v>69</v>
      </c>
      <c r="AG81" s="58" t="s">
        <v>69</v>
      </c>
      <c r="AH81" s="58" t="s">
        <v>69</v>
      </c>
      <c r="AI81" s="58" t="s">
        <v>69</v>
      </c>
      <c r="AJ81" s="58">
        <v>4</v>
      </c>
      <c r="AK81" s="58" t="s">
        <v>69</v>
      </c>
      <c r="AL81" s="58" t="s">
        <v>69</v>
      </c>
      <c r="AM81" s="58" t="s">
        <v>69</v>
      </c>
      <c r="AN81" s="58" t="s">
        <v>69</v>
      </c>
      <c r="AO81" s="58" t="s">
        <v>69</v>
      </c>
      <c r="AP81" s="58" t="s">
        <v>69</v>
      </c>
      <c r="AQ81" s="58" t="s">
        <v>69</v>
      </c>
      <c r="AR81" s="58" t="s">
        <v>69</v>
      </c>
      <c r="AS81" s="58" t="s">
        <v>69</v>
      </c>
      <c r="AT81" s="58">
        <v>2</v>
      </c>
      <c r="AU81" s="58">
        <v>2</v>
      </c>
      <c r="AV81" s="58">
        <v>2</v>
      </c>
      <c r="AW81" s="58">
        <v>2</v>
      </c>
      <c r="AX81" s="58" t="s">
        <v>69</v>
      </c>
      <c r="AY81" s="58">
        <v>2</v>
      </c>
      <c r="AZ81" s="58" t="s">
        <v>69</v>
      </c>
      <c r="BA81" s="58" t="s">
        <v>69</v>
      </c>
      <c r="BB81" s="58" t="s">
        <v>69</v>
      </c>
      <c r="BC81" s="58" t="s">
        <v>69</v>
      </c>
      <c r="BD81" s="58" t="s">
        <v>69</v>
      </c>
      <c r="BE81" s="58" t="s">
        <v>69</v>
      </c>
      <c r="BF81" s="58" t="s">
        <v>69</v>
      </c>
      <c r="BG81" s="58" t="s">
        <v>69</v>
      </c>
      <c r="BH81" s="58" t="s">
        <v>69</v>
      </c>
      <c r="BI81" s="58" t="s">
        <v>69</v>
      </c>
      <c r="BJ81" s="58" t="s">
        <v>69</v>
      </c>
      <c r="BK81" s="58" t="s">
        <v>69</v>
      </c>
      <c r="BL81" s="58" t="s">
        <v>69</v>
      </c>
      <c r="BM81" s="58" t="s">
        <v>69</v>
      </c>
      <c r="BN81" s="58" t="s">
        <v>69</v>
      </c>
      <c r="BO81" s="58" t="s">
        <v>69</v>
      </c>
      <c r="BP81" s="58" t="s">
        <v>69</v>
      </c>
      <c r="BQ81" s="58" t="s">
        <v>69</v>
      </c>
      <c r="BR81" s="58" t="s">
        <v>69</v>
      </c>
      <c r="BS81" s="58" t="s">
        <v>69</v>
      </c>
      <c r="BT81" s="58" t="s">
        <v>69</v>
      </c>
      <c r="BU81" s="94">
        <v>3</v>
      </c>
      <c r="BV81" s="95">
        <f t="shared" ref="BV81:BV109" si="2">COUNTIF(E81:BU81,"&gt;0")/39</f>
        <v>0.33333333333333331</v>
      </c>
      <c r="BW81" s="95">
        <f t="shared" ref="BW81:BW109" si="3">+COUNTIF(E81:BU81,"&gt;2")/COUNTIF(E81:BU81,"&gt;1")</f>
        <v>0.53846153846153844</v>
      </c>
    </row>
    <row r="82" spans="1:75" ht="41.25" customHeight="1">
      <c r="A82" s="48" t="s">
        <v>423</v>
      </c>
      <c r="B82" s="48" t="s">
        <v>424</v>
      </c>
      <c r="C82" s="48" t="s">
        <v>215</v>
      </c>
      <c r="D82" s="48" t="s">
        <v>434</v>
      </c>
      <c r="E82" s="57" t="s">
        <v>69</v>
      </c>
      <c r="F82" s="58" t="s">
        <v>69</v>
      </c>
      <c r="G82" s="58">
        <v>2</v>
      </c>
      <c r="H82" s="58">
        <v>2</v>
      </c>
      <c r="I82" s="58" t="s">
        <v>69</v>
      </c>
      <c r="J82" s="58" t="s">
        <v>69</v>
      </c>
      <c r="K82" s="58" t="s">
        <v>69</v>
      </c>
      <c r="L82" s="58">
        <v>4</v>
      </c>
      <c r="M82" s="58">
        <v>4</v>
      </c>
      <c r="N82" s="58" t="s">
        <v>69</v>
      </c>
      <c r="O82" s="58" t="s">
        <v>69</v>
      </c>
      <c r="P82" s="58" t="s">
        <v>69</v>
      </c>
      <c r="Q82" s="58" t="s">
        <v>69</v>
      </c>
      <c r="R82" s="58">
        <v>2</v>
      </c>
      <c r="S82" s="58" t="s">
        <v>69</v>
      </c>
      <c r="T82" s="58" t="s">
        <v>69</v>
      </c>
      <c r="U82" s="58" t="s">
        <v>69</v>
      </c>
      <c r="V82" s="58" t="s">
        <v>69</v>
      </c>
      <c r="W82" s="58" t="s">
        <v>69</v>
      </c>
      <c r="X82" s="58" t="s">
        <v>69</v>
      </c>
      <c r="Y82" s="58" t="s">
        <v>69</v>
      </c>
      <c r="Z82" s="58" t="s">
        <v>69</v>
      </c>
      <c r="AA82" s="58" t="s">
        <v>69</v>
      </c>
      <c r="AB82" s="58" t="s">
        <v>69</v>
      </c>
      <c r="AC82" s="58" t="s">
        <v>69</v>
      </c>
      <c r="AD82" s="58" t="s">
        <v>69</v>
      </c>
      <c r="AE82" s="58" t="s">
        <v>69</v>
      </c>
      <c r="AF82" s="58" t="s">
        <v>69</v>
      </c>
      <c r="AG82" s="58" t="s">
        <v>69</v>
      </c>
      <c r="AH82" s="58" t="s">
        <v>69</v>
      </c>
      <c r="AI82" s="58" t="s">
        <v>69</v>
      </c>
      <c r="AJ82" s="58" t="s">
        <v>69</v>
      </c>
      <c r="AK82" s="58" t="s">
        <v>69</v>
      </c>
      <c r="AL82" s="58" t="s">
        <v>69</v>
      </c>
      <c r="AM82" s="58" t="s">
        <v>69</v>
      </c>
      <c r="AN82" s="58" t="s">
        <v>69</v>
      </c>
      <c r="AO82" s="58" t="s">
        <v>69</v>
      </c>
      <c r="AP82" s="58" t="s">
        <v>69</v>
      </c>
      <c r="AQ82" s="58" t="s">
        <v>69</v>
      </c>
      <c r="AR82" s="58" t="s">
        <v>69</v>
      </c>
      <c r="AS82" s="58" t="s">
        <v>69</v>
      </c>
      <c r="AT82" s="58" t="s">
        <v>69</v>
      </c>
      <c r="AU82" s="58" t="s">
        <v>69</v>
      </c>
      <c r="AV82" s="58" t="s">
        <v>69</v>
      </c>
      <c r="AW82" s="58" t="s">
        <v>69</v>
      </c>
      <c r="AX82" s="58" t="s">
        <v>69</v>
      </c>
      <c r="AY82" s="58">
        <v>3</v>
      </c>
      <c r="AZ82" s="58" t="s">
        <v>69</v>
      </c>
      <c r="BA82" s="58" t="s">
        <v>69</v>
      </c>
      <c r="BB82" s="58" t="s">
        <v>69</v>
      </c>
      <c r="BC82" s="58" t="s">
        <v>69</v>
      </c>
      <c r="BD82" s="58" t="s">
        <v>69</v>
      </c>
      <c r="BE82" s="58" t="s">
        <v>69</v>
      </c>
      <c r="BF82" s="58" t="s">
        <v>69</v>
      </c>
      <c r="BG82" s="58">
        <v>3</v>
      </c>
      <c r="BH82" s="58" t="s">
        <v>69</v>
      </c>
      <c r="BI82" s="58" t="s">
        <v>69</v>
      </c>
      <c r="BJ82" s="58" t="s">
        <v>69</v>
      </c>
      <c r="BK82" s="58" t="s">
        <v>69</v>
      </c>
      <c r="BL82" s="58" t="s">
        <v>69</v>
      </c>
      <c r="BM82" s="58" t="s">
        <v>69</v>
      </c>
      <c r="BN82" s="58" t="s">
        <v>69</v>
      </c>
      <c r="BO82" s="58" t="s">
        <v>69</v>
      </c>
      <c r="BP82" s="58" t="s">
        <v>69</v>
      </c>
      <c r="BQ82" s="58" t="s">
        <v>69</v>
      </c>
      <c r="BR82" s="58" t="s">
        <v>69</v>
      </c>
      <c r="BS82" s="58" t="s">
        <v>69</v>
      </c>
      <c r="BT82" s="58" t="s">
        <v>69</v>
      </c>
      <c r="BU82" s="94">
        <v>3</v>
      </c>
      <c r="BV82" s="95">
        <f t="shared" si="2"/>
        <v>0.20512820512820512</v>
      </c>
      <c r="BW82" s="95">
        <f t="shared" si="3"/>
        <v>0.625</v>
      </c>
    </row>
    <row r="83" spans="1:75" ht="41.25" customHeight="1">
      <c r="A83" s="48" t="s">
        <v>425</v>
      </c>
      <c r="B83" s="48" t="s">
        <v>426</v>
      </c>
      <c r="C83" s="48" t="s">
        <v>215</v>
      </c>
      <c r="D83" s="48" t="s">
        <v>434</v>
      </c>
      <c r="E83" s="57">
        <v>4</v>
      </c>
      <c r="F83" s="58" t="s">
        <v>69</v>
      </c>
      <c r="G83" s="58" t="s">
        <v>69</v>
      </c>
      <c r="H83" s="58" t="s">
        <v>69</v>
      </c>
      <c r="I83" s="58" t="s">
        <v>69</v>
      </c>
      <c r="J83" s="58">
        <v>4</v>
      </c>
      <c r="K83" s="58">
        <v>4</v>
      </c>
      <c r="L83" s="58" t="s">
        <v>69</v>
      </c>
      <c r="M83" s="58" t="s">
        <v>69</v>
      </c>
      <c r="N83" s="58" t="s">
        <v>69</v>
      </c>
      <c r="O83" s="58" t="s">
        <v>69</v>
      </c>
      <c r="P83" s="58" t="s">
        <v>69</v>
      </c>
      <c r="Q83" s="58" t="s">
        <v>69</v>
      </c>
      <c r="R83" s="58" t="s">
        <v>69</v>
      </c>
      <c r="S83" s="58" t="s">
        <v>69</v>
      </c>
      <c r="T83" s="58" t="s">
        <v>69</v>
      </c>
      <c r="U83" s="58" t="s">
        <v>69</v>
      </c>
      <c r="V83" s="58" t="s">
        <v>69</v>
      </c>
      <c r="W83" s="58">
        <v>4</v>
      </c>
      <c r="X83" s="58" t="s">
        <v>69</v>
      </c>
      <c r="Y83" s="58" t="s">
        <v>69</v>
      </c>
      <c r="Z83" s="58" t="s">
        <v>69</v>
      </c>
      <c r="AA83" s="58" t="s">
        <v>69</v>
      </c>
      <c r="AB83" s="58" t="s">
        <v>69</v>
      </c>
      <c r="AC83" s="58">
        <v>2</v>
      </c>
      <c r="AD83" s="58" t="s">
        <v>69</v>
      </c>
      <c r="AE83" s="58" t="s">
        <v>69</v>
      </c>
      <c r="AF83" s="58" t="s">
        <v>69</v>
      </c>
      <c r="AG83" s="58" t="s">
        <v>69</v>
      </c>
      <c r="AH83" s="58" t="s">
        <v>69</v>
      </c>
      <c r="AI83" s="58" t="s">
        <v>69</v>
      </c>
      <c r="AJ83" s="58">
        <v>4</v>
      </c>
      <c r="AK83" s="58" t="s">
        <v>69</v>
      </c>
      <c r="AL83" s="58">
        <v>2</v>
      </c>
      <c r="AM83" s="58">
        <v>2</v>
      </c>
      <c r="AN83" s="58" t="s">
        <v>69</v>
      </c>
      <c r="AO83" s="58" t="s">
        <v>69</v>
      </c>
      <c r="AP83" s="58" t="s">
        <v>69</v>
      </c>
      <c r="AQ83" s="58" t="s">
        <v>69</v>
      </c>
      <c r="AR83" s="58" t="s">
        <v>69</v>
      </c>
      <c r="AS83" s="58" t="s">
        <v>69</v>
      </c>
      <c r="AT83" s="58" t="s">
        <v>69</v>
      </c>
      <c r="AU83" s="58" t="s">
        <v>69</v>
      </c>
      <c r="AV83" s="58" t="s">
        <v>69</v>
      </c>
      <c r="AW83" s="58">
        <v>2</v>
      </c>
      <c r="AX83" s="58" t="s">
        <v>69</v>
      </c>
      <c r="AY83" s="58" t="s">
        <v>69</v>
      </c>
      <c r="AZ83" s="58" t="s">
        <v>69</v>
      </c>
      <c r="BA83" s="58" t="s">
        <v>69</v>
      </c>
      <c r="BB83" s="58" t="s">
        <v>69</v>
      </c>
      <c r="BC83" s="58" t="s">
        <v>69</v>
      </c>
      <c r="BD83" s="58">
        <v>2</v>
      </c>
      <c r="BE83" s="58">
        <v>2</v>
      </c>
      <c r="BF83" s="58">
        <v>2</v>
      </c>
      <c r="BG83" s="58" t="s">
        <v>69</v>
      </c>
      <c r="BH83" s="58" t="s">
        <v>69</v>
      </c>
      <c r="BI83" s="58" t="s">
        <v>69</v>
      </c>
      <c r="BJ83" s="58" t="s">
        <v>69</v>
      </c>
      <c r="BK83" s="58" t="s">
        <v>69</v>
      </c>
      <c r="BL83" s="58" t="s">
        <v>69</v>
      </c>
      <c r="BM83" s="58" t="s">
        <v>69</v>
      </c>
      <c r="BN83" s="58" t="s">
        <v>69</v>
      </c>
      <c r="BO83" s="58" t="s">
        <v>69</v>
      </c>
      <c r="BP83" s="58" t="s">
        <v>69</v>
      </c>
      <c r="BQ83" s="58" t="s">
        <v>69</v>
      </c>
      <c r="BR83" s="58" t="s">
        <v>69</v>
      </c>
      <c r="BS83" s="58" t="s">
        <v>69</v>
      </c>
      <c r="BT83" s="58">
        <v>3</v>
      </c>
      <c r="BU83" s="94">
        <v>3</v>
      </c>
      <c r="BV83" s="95">
        <f t="shared" si="2"/>
        <v>0.35897435897435898</v>
      </c>
      <c r="BW83" s="95">
        <f t="shared" si="3"/>
        <v>0.5</v>
      </c>
    </row>
    <row r="84" spans="1:75" ht="41.25" customHeight="1">
      <c r="A84" s="48" t="s">
        <v>427</v>
      </c>
      <c r="B84" s="48" t="s">
        <v>428</v>
      </c>
      <c r="C84" s="48" t="s">
        <v>215</v>
      </c>
      <c r="D84" s="48" t="s">
        <v>434</v>
      </c>
      <c r="E84" s="57">
        <v>2</v>
      </c>
      <c r="F84" s="58" t="s">
        <v>69</v>
      </c>
      <c r="G84" s="58">
        <v>2</v>
      </c>
      <c r="H84" s="58" t="s">
        <v>69</v>
      </c>
      <c r="I84" s="58" t="s">
        <v>69</v>
      </c>
      <c r="J84" s="58" t="s">
        <v>69</v>
      </c>
      <c r="K84" s="58" t="s">
        <v>69</v>
      </c>
      <c r="L84" s="58">
        <v>4</v>
      </c>
      <c r="M84" s="58">
        <v>4</v>
      </c>
      <c r="N84" s="58">
        <v>2</v>
      </c>
      <c r="O84" s="58" t="s">
        <v>69</v>
      </c>
      <c r="P84" s="58">
        <v>3</v>
      </c>
      <c r="Q84" s="58">
        <v>2</v>
      </c>
      <c r="R84" s="58" t="s">
        <v>69</v>
      </c>
      <c r="S84" s="58" t="s">
        <v>69</v>
      </c>
      <c r="T84" s="58" t="s">
        <v>69</v>
      </c>
      <c r="U84" s="58" t="s">
        <v>69</v>
      </c>
      <c r="V84" s="58" t="s">
        <v>69</v>
      </c>
      <c r="W84" s="58">
        <v>2</v>
      </c>
      <c r="X84" s="58" t="s">
        <v>69</v>
      </c>
      <c r="Y84" s="58" t="s">
        <v>69</v>
      </c>
      <c r="Z84" s="58" t="s">
        <v>69</v>
      </c>
      <c r="AA84" s="58">
        <v>2</v>
      </c>
      <c r="AB84" s="58" t="s">
        <v>69</v>
      </c>
      <c r="AC84" s="58">
        <v>2</v>
      </c>
      <c r="AD84" s="58" t="s">
        <v>69</v>
      </c>
      <c r="AE84" s="58" t="s">
        <v>69</v>
      </c>
      <c r="AF84" s="58" t="s">
        <v>69</v>
      </c>
      <c r="AG84" s="58" t="s">
        <v>69</v>
      </c>
      <c r="AH84" s="58" t="s">
        <v>69</v>
      </c>
      <c r="AI84" s="58" t="s">
        <v>69</v>
      </c>
      <c r="AJ84" s="58">
        <v>2</v>
      </c>
      <c r="AK84" s="58" t="s">
        <v>69</v>
      </c>
      <c r="AL84" s="58">
        <v>3</v>
      </c>
      <c r="AM84" s="58" t="s">
        <v>69</v>
      </c>
      <c r="AN84" s="58" t="s">
        <v>69</v>
      </c>
      <c r="AO84" s="58" t="s">
        <v>69</v>
      </c>
      <c r="AP84" s="58">
        <v>3</v>
      </c>
      <c r="AQ84" s="58" t="s">
        <v>69</v>
      </c>
      <c r="AR84" s="58" t="s">
        <v>69</v>
      </c>
      <c r="AS84" s="58" t="s">
        <v>69</v>
      </c>
      <c r="AT84" s="58" t="s">
        <v>69</v>
      </c>
      <c r="AU84" s="58" t="s">
        <v>69</v>
      </c>
      <c r="AV84" s="58" t="s">
        <v>69</v>
      </c>
      <c r="AW84" s="58" t="s">
        <v>69</v>
      </c>
      <c r="AX84" s="58" t="s">
        <v>69</v>
      </c>
      <c r="AY84" s="58">
        <v>2</v>
      </c>
      <c r="AZ84" s="58" t="s">
        <v>69</v>
      </c>
      <c r="BA84" s="58">
        <v>2</v>
      </c>
      <c r="BB84" s="58"/>
      <c r="BC84" s="58" t="s">
        <v>69</v>
      </c>
      <c r="BD84" s="58">
        <v>3</v>
      </c>
      <c r="BE84" s="58" t="s">
        <v>69</v>
      </c>
      <c r="BF84" s="58" t="s">
        <v>69</v>
      </c>
      <c r="BG84" s="58" t="s">
        <v>69</v>
      </c>
      <c r="BH84" s="58" t="s">
        <v>69</v>
      </c>
      <c r="BI84" s="58" t="s">
        <v>69</v>
      </c>
      <c r="BJ84" s="58" t="s">
        <v>69</v>
      </c>
      <c r="BK84" s="58" t="s">
        <v>69</v>
      </c>
      <c r="BL84" s="58" t="s">
        <v>69</v>
      </c>
      <c r="BM84" s="58" t="s">
        <v>69</v>
      </c>
      <c r="BN84" s="58" t="s">
        <v>69</v>
      </c>
      <c r="BO84" s="58" t="s">
        <v>69</v>
      </c>
      <c r="BP84" s="58" t="s">
        <v>69</v>
      </c>
      <c r="BQ84" s="58" t="s">
        <v>69</v>
      </c>
      <c r="BR84" s="58" t="s">
        <v>69</v>
      </c>
      <c r="BS84" s="58" t="s">
        <v>69</v>
      </c>
      <c r="BT84" s="58" t="s">
        <v>69</v>
      </c>
      <c r="BU84" s="94">
        <v>3</v>
      </c>
      <c r="BV84" s="95">
        <f t="shared" si="2"/>
        <v>0.4358974358974359</v>
      </c>
      <c r="BW84" s="95">
        <f t="shared" si="3"/>
        <v>0.41176470588235292</v>
      </c>
    </row>
    <row r="85" spans="1:75" ht="41.25" customHeight="1">
      <c r="A85" s="48" t="s">
        <v>429</v>
      </c>
      <c r="B85" s="48" t="s">
        <v>430</v>
      </c>
      <c r="C85" s="48" t="s">
        <v>214</v>
      </c>
      <c r="D85" s="48" t="s">
        <v>434</v>
      </c>
      <c r="E85" s="57">
        <v>4</v>
      </c>
      <c r="F85" s="58" t="s">
        <v>69</v>
      </c>
      <c r="G85" s="58">
        <v>2</v>
      </c>
      <c r="H85" s="58" t="s">
        <v>69</v>
      </c>
      <c r="I85" s="58" t="s">
        <v>69</v>
      </c>
      <c r="J85" s="58" t="s">
        <v>69</v>
      </c>
      <c r="K85" s="58" t="s">
        <v>69</v>
      </c>
      <c r="L85" s="58">
        <v>2</v>
      </c>
      <c r="M85" s="58" t="s">
        <v>69</v>
      </c>
      <c r="N85" s="58">
        <v>3</v>
      </c>
      <c r="O85" s="58">
        <v>2</v>
      </c>
      <c r="P85" s="58" t="s">
        <v>69</v>
      </c>
      <c r="Q85" s="58" t="s">
        <v>69</v>
      </c>
      <c r="R85" s="58" t="s">
        <v>69</v>
      </c>
      <c r="S85" s="58">
        <v>3</v>
      </c>
      <c r="T85" s="58" t="s">
        <v>69</v>
      </c>
      <c r="U85" s="58" t="s">
        <v>69</v>
      </c>
      <c r="V85" s="58" t="s">
        <v>69</v>
      </c>
      <c r="W85" s="58" t="s">
        <v>69</v>
      </c>
      <c r="X85" s="58" t="s">
        <v>69</v>
      </c>
      <c r="Y85" s="58" t="s">
        <v>69</v>
      </c>
      <c r="Z85" s="58" t="s">
        <v>69</v>
      </c>
      <c r="AA85" s="58" t="s">
        <v>69</v>
      </c>
      <c r="AB85" s="58" t="s">
        <v>69</v>
      </c>
      <c r="AC85" s="58" t="s">
        <v>69</v>
      </c>
      <c r="AD85" s="58" t="s">
        <v>69</v>
      </c>
      <c r="AE85" s="58" t="s">
        <v>69</v>
      </c>
      <c r="AF85" s="58" t="s">
        <v>69</v>
      </c>
      <c r="AG85" s="58" t="s">
        <v>69</v>
      </c>
      <c r="AH85" s="58" t="s">
        <v>69</v>
      </c>
      <c r="AI85" s="58" t="s">
        <v>69</v>
      </c>
      <c r="AJ85" s="58" t="s">
        <v>69</v>
      </c>
      <c r="AK85" s="58" t="s">
        <v>69</v>
      </c>
      <c r="AL85" s="58">
        <v>2</v>
      </c>
      <c r="AM85" s="58" t="s">
        <v>69</v>
      </c>
      <c r="AN85" s="58" t="s">
        <v>69</v>
      </c>
      <c r="AO85" s="58" t="s">
        <v>69</v>
      </c>
      <c r="AP85" s="58" t="s">
        <v>69</v>
      </c>
      <c r="AQ85" s="58" t="s">
        <v>69</v>
      </c>
      <c r="AR85" s="58" t="s">
        <v>69</v>
      </c>
      <c r="AS85" s="58" t="s">
        <v>69</v>
      </c>
      <c r="AT85" s="58" t="s">
        <v>69</v>
      </c>
      <c r="AU85" s="58" t="s">
        <v>69</v>
      </c>
      <c r="AV85" s="58" t="s">
        <v>69</v>
      </c>
      <c r="AW85" s="58" t="s">
        <v>69</v>
      </c>
      <c r="AX85" s="58" t="s">
        <v>69</v>
      </c>
      <c r="AY85" s="58" t="s">
        <v>69</v>
      </c>
      <c r="AZ85" s="58" t="s">
        <v>69</v>
      </c>
      <c r="BA85" s="58" t="s">
        <v>69</v>
      </c>
      <c r="BB85" s="58" t="s">
        <v>69</v>
      </c>
      <c r="BC85" s="58" t="s">
        <v>69</v>
      </c>
      <c r="BD85" s="58">
        <v>2</v>
      </c>
      <c r="BE85" s="58" t="s">
        <v>69</v>
      </c>
      <c r="BF85" s="58" t="s">
        <v>69</v>
      </c>
      <c r="BG85" s="58" t="s">
        <v>69</v>
      </c>
      <c r="BH85" s="58" t="s">
        <v>69</v>
      </c>
      <c r="BI85" s="58" t="s">
        <v>69</v>
      </c>
      <c r="BJ85" s="58" t="s">
        <v>69</v>
      </c>
      <c r="BK85" s="58" t="s">
        <v>69</v>
      </c>
      <c r="BL85" s="58" t="s">
        <v>69</v>
      </c>
      <c r="BM85" s="58" t="s">
        <v>69</v>
      </c>
      <c r="BN85" s="58" t="s">
        <v>69</v>
      </c>
      <c r="BO85" s="58" t="s">
        <v>69</v>
      </c>
      <c r="BP85" s="58" t="s">
        <v>69</v>
      </c>
      <c r="BQ85" s="58" t="s">
        <v>69</v>
      </c>
      <c r="BR85" s="58" t="s">
        <v>69</v>
      </c>
      <c r="BS85" s="58" t="s">
        <v>69</v>
      </c>
      <c r="BT85" s="58" t="s">
        <v>69</v>
      </c>
      <c r="BU85" s="94">
        <v>3</v>
      </c>
      <c r="BV85" s="95">
        <f t="shared" si="2"/>
        <v>0.23076923076923078</v>
      </c>
      <c r="BW85" s="95">
        <f t="shared" si="3"/>
        <v>0.44444444444444442</v>
      </c>
    </row>
    <row r="86" spans="1:75" ht="41.25" customHeight="1">
      <c r="A86" s="48" t="s">
        <v>432</v>
      </c>
      <c r="B86" s="48" t="s">
        <v>165</v>
      </c>
      <c r="C86" s="48" t="s">
        <v>215</v>
      </c>
      <c r="D86" s="48" t="s">
        <v>434</v>
      </c>
      <c r="E86" s="57" t="s">
        <v>69</v>
      </c>
      <c r="F86" s="58" t="s">
        <v>69</v>
      </c>
      <c r="G86" s="58" t="s">
        <v>69</v>
      </c>
      <c r="H86" s="58" t="s">
        <v>69</v>
      </c>
      <c r="I86" s="58" t="s">
        <v>69</v>
      </c>
      <c r="J86" s="58">
        <v>2</v>
      </c>
      <c r="K86" s="58" t="s">
        <v>69</v>
      </c>
      <c r="L86" s="58" t="s">
        <v>69</v>
      </c>
      <c r="M86" s="58" t="s">
        <v>69</v>
      </c>
      <c r="N86" s="58" t="s">
        <v>69</v>
      </c>
      <c r="O86" s="58" t="s">
        <v>69</v>
      </c>
      <c r="P86" s="58" t="s">
        <v>69</v>
      </c>
      <c r="Q86" s="58">
        <v>2</v>
      </c>
      <c r="R86" s="58" t="s">
        <v>69</v>
      </c>
      <c r="S86" s="58" t="s">
        <v>69</v>
      </c>
      <c r="T86" s="58" t="s">
        <v>69</v>
      </c>
      <c r="U86" s="58" t="s">
        <v>69</v>
      </c>
      <c r="V86" s="58" t="s">
        <v>69</v>
      </c>
      <c r="W86" s="58" t="s">
        <v>69</v>
      </c>
      <c r="X86" s="58" t="s">
        <v>69</v>
      </c>
      <c r="Y86" s="58" t="s">
        <v>69</v>
      </c>
      <c r="Z86" s="58" t="s">
        <v>69</v>
      </c>
      <c r="AA86" s="58" t="s">
        <v>69</v>
      </c>
      <c r="AB86" s="58" t="s">
        <v>69</v>
      </c>
      <c r="AC86" s="58" t="s">
        <v>69</v>
      </c>
      <c r="AD86" s="58" t="s">
        <v>69</v>
      </c>
      <c r="AE86" s="58" t="s">
        <v>69</v>
      </c>
      <c r="AF86" s="58" t="s">
        <v>69</v>
      </c>
      <c r="AG86" s="58" t="s">
        <v>69</v>
      </c>
      <c r="AH86" s="58" t="s">
        <v>69</v>
      </c>
      <c r="AI86" s="58" t="s">
        <v>69</v>
      </c>
      <c r="AJ86" s="58" t="s">
        <v>69</v>
      </c>
      <c r="AK86" s="58" t="s">
        <v>69</v>
      </c>
      <c r="AL86" s="58">
        <v>2</v>
      </c>
      <c r="AM86" s="58" t="s">
        <v>69</v>
      </c>
      <c r="AN86" s="58" t="s">
        <v>69</v>
      </c>
      <c r="AO86" s="58" t="s">
        <v>69</v>
      </c>
      <c r="AP86" s="58" t="s">
        <v>69</v>
      </c>
      <c r="AQ86" s="58" t="s">
        <v>69</v>
      </c>
      <c r="AR86" s="58" t="s">
        <v>69</v>
      </c>
      <c r="AS86" s="58" t="s">
        <v>69</v>
      </c>
      <c r="AT86" s="58" t="s">
        <v>69</v>
      </c>
      <c r="AU86" s="58" t="s">
        <v>69</v>
      </c>
      <c r="AV86" s="58" t="s">
        <v>69</v>
      </c>
      <c r="AW86" s="58" t="s">
        <v>69</v>
      </c>
      <c r="AX86" s="58" t="s">
        <v>69</v>
      </c>
      <c r="AY86" s="58">
        <v>2</v>
      </c>
      <c r="AZ86" s="58" t="s">
        <v>69</v>
      </c>
      <c r="BA86" s="58" t="s">
        <v>69</v>
      </c>
      <c r="BB86" s="58" t="s">
        <v>69</v>
      </c>
      <c r="BC86" s="58" t="s">
        <v>69</v>
      </c>
      <c r="BD86" s="58">
        <v>2</v>
      </c>
      <c r="BE86" s="58" t="s">
        <v>69</v>
      </c>
      <c r="BF86" s="58" t="s">
        <v>69</v>
      </c>
      <c r="BG86" s="58" t="s">
        <v>69</v>
      </c>
      <c r="BH86" s="58">
        <v>3</v>
      </c>
      <c r="BI86" s="58" t="s">
        <v>69</v>
      </c>
      <c r="BJ86" s="58" t="s">
        <v>69</v>
      </c>
      <c r="BK86" s="58" t="s">
        <v>69</v>
      </c>
      <c r="BL86" s="58" t="s">
        <v>69</v>
      </c>
      <c r="BM86" s="58" t="s">
        <v>69</v>
      </c>
      <c r="BN86" s="58" t="s">
        <v>69</v>
      </c>
      <c r="BO86" s="58" t="s">
        <v>69</v>
      </c>
      <c r="BP86" s="58" t="s">
        <v>69</v>
      </c>
      <c r="BQ86" s="58" t="s">
        <v>69</v>
      </c>
      <c r="BR86" s="58" t="s">
        <v>69</v>
      </c>
      <c r="BS86" s="58" t="s">
        <v>69</v>
      </c>
      <c r="BT86" s="58" t="s">
        <v>69</v>
      </c>
      <c r="BU86" s="94" t="s">
        <v>69</v>
      </c>
      <c r="BV86" s="95">
        <f t="shared" si="2"/>
        <v>0.15384615384615385</v>
      </c>
      <c r="BW86" s="95">
        <f t="shared" si="3"/>
        <v>0.16666666666666666</v>
      </c>
    </row>
    <row r="87" spans="1:75" ht="41.25" customHeight="1">
      <c r="A87" s="48" t="s">
        <v>250</v>
      </c>
      <c r="B87" s="48" t="s">
        <v>433</v>
      </c>
      <c r="C87" s="48" t="s">
        <v>216</v>
      </c>
      <c r="D87" s="48" t="s">
        <v>434</v>
      </c>
      <c r="E87" s="57" t="s">
        <v>69</v>
      </c>
      <c r="F87" s="58" t="s">
        <v>69</v>
      </c>
      <c r="G87" s="58" t="s">
        <v>69</v>
      </c>
      <c r="H87" s="58" t="s">
        <v>69</v>
      </c>
      <c r="I87" s="58" t="s">
        <v>69</v>
      </c>
      <c r="J87" s="58" t="s">
        <v>69</v>
      </c>
      <c r="K87" s="58" t="s">
        <v>69</v>
      </c>
      <c r="L87" s="58" t="s">
        <v>69</v>
      </c>
      <c r="M87" s="58" t="s">
        <v>69</v>
      </c>
      <c r="N87" s="58" t="s">
        <v>69</v>
      </c>
      <c r="O87" s="58" t="s">
        <v>69</v>
      </c>
      <c r="P87" s="58" t="s">
        <v>69</v>
      </c>
      <c r="Q87" s="58" t="s">
        <v>69</v>
      </c>
      <c r="R87" s="58" t="s">
        <v>69</v>
      </c>
      <c r="S87" s="58" t="s">
        <v>69</v>
      </c>
      <c r="T87" s="58" t="s">
        <v>69</v>
      </c>
      <c r="U87" s="58" t="s">
        <v>69</v>
      </c>
      <c r="V87" s="58" t="s">
        <v>69</v>
      </c>
      <c r="W87" s="58" t="s">
        <v>69</v>
      </c>
      <c r="X87" s="58" t="s">
        <v>69</v>
      </c>
      <c r="Y87" s="58" t="s">
        <v>69</v>
      </c>
      <c r="Z87" s="58" t="s">
        <v>69</v>
      </c>
      <c r="AA87" s="58" t="s">
        <v>69</v>
      </c>
      <c r="AB87" s="58" t="s">
        <v>69</v>
      </c>
      <c r="AC87" s="58" t="s">
        <v>69</v>
      </c>
      <c r="AD87" s="58" t="s">
        <v>69</v>
      </c>
      <c r="AE87" s="58" t="s">
        <v>69</v>
      </c>
      <c r="AF87" s="58" t="s">
        <v>69</v>
      </c>
      <c r="AG87" s="58" t="s">
        <v>69</v>
      </c>
      <c r="AH87" s="58" t="s">
        <v>69</v>
      </c>
      <c r="AI87" s="58" t="s">
        <v>69</v>
      </c>
      <c r="AJ87" s="58" t="s">
        <v>69</v>
      </c>
      <c r="AK87" s="58" t="s">
        <v>69</v>
      </c>
      <c r="AL87" s="58">
        <v>4</v>
      </c>
      <c r="AM87" s="58">
        <v>3</v>
      </c>
      <c r="AN87" s="58" t="s">
        <v>69</v>
      </c>
      <c r="AO87" s="58" t="s">
        <v>69</v>
      </c>
      <c r="AP87" s="58" t="s">
        <v>69</v>
      </c>
      <c r="AQ87" s="58" t="s">
        <v>69</v>
      </c>
      <c r="AR87" s="58" t="s">
        <v>69</v>
      </c>
      <c r="AS87" s="58">
        <v>3</v>
      </c>
      <c r="AT87" s="58">
        <v>3</v>
      </c>
      <c r="AU87" s="58" t="s">
        <v>69</v>
      </c>
      <c r="AV87" s="58" t="s">
        <v>69</v>
      </c>
      <c r="AW87" s="58" t="s">
        <v>69</v>
      </c>
      <c r="AX87" s="58" t="s">
        <v>69</v>
      </c>
      <c r="AY87" s="58" t="s">
        <v>69</v>
      </c>
      <c r="AZ87" s="58" t="s">
        <v>69</v>
      </c>
      <c r="BA87" s="58" t="s">
        <v>69</v>
      </c>
      <c r="BB87" s="58" t="s">
        <v>69</v>
      </c>
      <c r="BC87" s="58" t="s">
        <v>69</v>
      </c>
      <c r="BD87" s="58" t="s">
        <v>69</v>
      </c>
      <c r="BE87" s="58" t="s">
        <v>69</v>
      </c>
      <c r="BF87" s="58" t="s">
        <v>69</v>
      </c>
      <c r="BG87" s="58" t="s">
        <v>69</v>
      </c>
      <c r="BH87" s="58" t="s">
        <v>69</v>
      </c>
      <c r="BI87" s="58" t="s">
        <v>69</v>
      </c>
      <c r="BJ87" s="58">
        <v>2</v>
      </c>
      <c r="BK87" s="58" t="s">
        <v>69</v>
      </c>
      <c r="BL87" s="58" t="s">
        <v>69</v>
      </c>
      <c r="BM87" s="58" t="s">
        <v>69</v>
      </c>
      <c r="BN87" s="58" t="s">
        <v>69</v>
      </c>
      <c r="BO87" s="58" t="s">
        <v>69</v>
      </c>
      <c r="BP87" s="58" t="s">
        <v>69</v>
      </c>
      <c r="BQ87" s="58" t="s">
        <v>69</v>
      </c>
      <c r="BR87" s="58" t="s">
        <v>69</v>
      </c>
      <c r="BS87" s="58" t="s">
        <v>69</v>
      </c>
      <c r="BT87" s="58" t="s">
        <v>69</v>
      </c>
      <c r="BU87" s="94">
        <v>3</v>
      </c>
      <c r="BV87" s="95">
        <f t="shared" si="2"/>
        <v>0.15384615384615385</v>
      </c>
      <c r="BW87" s="95">
        <f t="shared" si="3"/>
        <v>0.83333333333333337</v>
      </c>
    </row>
    <row r="88" spans="1:75" ht="41.25" customHeight="1">
      <c r="A88" s="48" t="s">
        <v>287</v>
      </c>
      <c r="B88" s="48" t="s">
        <v>288</v>
      </c>
      <c r="C88" s="48" t="s">
        <v>214</v>
      </c>
      <c r="D88" s="48" t="s">
        <v>434</v>
      </c>
      <c r="E88" s="57">
        <v>3</v>
      </c>
      <c r="F88" s="58" t="s">
        <v>69</v>
      </c>
      <c r="G88" s="58">
        <v>4</v>
      </c>
      <c r="H88" s="58" t="s">
        <v>69</v>
      </c>
      <c r="I88" s="58" t="s">
        <v>69</v>
      </c>
      <c r="J88" s="58">
        <v>3</v>
      </c>
      <c r="K88" s="58" t="s">
        <v>69</v>
      </c>
      <c r="L88" s="58">
        <v>3</v>
      </c>
      <c r="M88" s="58" t="s">
        <v>69</v>
      </c>
      <c r="N88" s="58" t="s">
        <v>69</v>
      </c>
      <c r="O88" s="58">
        <v>3</v>
      </c>
      <c r="P88" s="58" t="s">
        <v>69</v>
      </c>
      <c r="Q88" s="58" t="s">
        <v>69</v>
      </c>
      <c r="R88" s="58">
        <v>4</v>
      </c>
      <c r="S88" s="58" t="s">
        <v>69</v>
      </c>
      <c r="T88" s="58">
        <v>2</v>
      </c>
      <c r="U88" s="58" t="s">
        <v>69</v>
      </c>
      <c r="V88" s="58" t="s">
        <v>69</v>
      </c>
      <c r="W88" s="58">
        <v>4</v>
      </c>
      <c r="X88" s="58" t="s">
        <v>69</v>
      </c>
      <c r="Y88" s="58" t="s">
        <v>69</v>
      </c>
      <c r="Z88" s="58" t="s">
        <v>69</v>
      </c>
      <c r="AA88" s="58" t="s">
        <v>69</v>
      </c>
      <c r="AB88" s="58" t="s">
        <v>69</v>
      </c>
      <c r="AC88" s="58">
        <v>3</v>
      </c>
      <c r="AD88" s="58" t="s">
        <v>69</v>
      </c>
      <c r="AE88" s="58" t="s">
        <v>69</v>
      </c>
      <c r="AF88" s="58" t="s">
        <v>69</v>
      </c>
      <c r="AG88" s="58" t="s">
        <v>69</v>
      </c>
      <c r="AH88" s="58" t="s">
        <v>69</v>
      </c>
      <c r="AI88" s="58" t="s">
        <v>69</v>
      </c>
      <c r="AJ88" s="58">
        <v>4</v>
      </c>
      <c r="AK88" s="58" t="s">
        <v>69</v>
      </c>
      <c r="AL88" s="58" t="s">
        <v>69</v>
      </c>
      <c r="AM88" s="58" t="s">
        <v>69</v>
      </c>
      <c r="AN88" s="58" t="s">
        <v>69</v>
      </c>
      <c r="AO88" s="58" t="s">
        <v>69</v>
      </c>
      <c r="AP88" s="58" t="s">
        <v>69</v>
      </c>
      <c r="AQ88" s="58" t="s">
        <v>69</v>
      </c>
      <c r="AR88" s="58">
        <v>2</v>
      </c>
      <c r="AS88" s="58">
        <v>2</v>
      </c>
      <c r="AT88" s="58" t="s">
        <v>69</v>
      </c>
      <c r="AU88" s="58" t="s">
        <v>69</v>
      </c>
      <c r="AV88" s="58" t="s">
        <v>69</v>
      </c>
      <c r="AW88" s="58" t="s">
        <v>69</v>
      </c>
      <c r="AX88" s="58" t="s">
        <v>69</v>
      </c>
      <c r="AY88" s="58">
        <v>2</v>
      </c>
      <c r="AZ88" s="58" t="s">
        <v>69</v>
      </c>
      <c r="BA88" s="58">
        <v>3</v>
      </c>
      <c r="BB88" s="58">
        <v>3</v>
      </c>
      <c r="BC88" s="58" t="s">
        <v>69</v>
      </c>
      <c r="BD88" s="58" t="s">
        <v>69</v>
      </c>
      <c r="BE88" s="58" t="s">
        <v>69</v>
      </c>
      <c r="BF88" s="58" t="s">
        <v>69</v>
      </c>
      <c r="BG88" s="58" t="s">
        <v>69</v>
      </c>
      <c r="BH88" s="58" t="s">
        <v>69</v>
      </c>
      <c r="BI88" s="58" t="s">
        <v>69</v>
      </c>
      <c r="BJ88" s="58" t="s">
        <v>69</v>
      </c>
      <c r="BK88" s="58" t="s">
        <v>69</v>
      </c>
      <c r="BL88" s="58">
        <v>2</v>
      </c>
      <c r="BM88" s="58" t="s">
        <v>69</v>
      </c>
      <c r="BN88" s="58" t="s">
        <v>69</v>
      </c>
      <c r="BO88" s="58" t="s">
        <v>69</v>
      </c>
      <c r="BP88" s="58" t="s">
        <v>69</v>
      </c>
      <c r="BQ88" s="58" t="s">
        <v>69</v>
      </c>
      <c r="BR88" s="58" t="s">
        <v>69</v>
      </c>
      <c r="BS88" s="58" t="s">
        <v>69</v>
      </c>
      <c r="BT88" s="58">
        <v>2</v>
      </c>
      <c r="BU88" s="94">
        <v>4</v>
      </c>
      <c r="BV88" s="95">
        <f t="shared" si="2"/>
        <v>0.46153846153846156</v>
      </c>
      <c r="BW88" s="95">
        <f t="shared" si="3"/>
        <v>0.66666666666666663</v>
      </c>
    </row>
    <row r="89" spans="1:75" ht="41.25" customHeight="1">
      <c r="A89" s="48" t="s">
        <v>302</v>
      </c>
      <c r="B89" s="48" t="s">
        <v>303</v>
      </c>
      <c r="C89" s="48" t="s">
        <v>217</v>
      </c>
      <c r="D89" s="48" t="s">
        <v>434</v>
      </c>
      <c r="E89" s="57">
        <v>4</v>
      </c>
      <c r="F89" s="58">
        <v>4</v>
      </c>
      <c r="G89" s="58">
        <v>4</v>
      </c>
      <c r="H89" s="58">
        <v>4</v>
      </c>
      <c r="I89" s="58" t="s">
        <v>69</v>
      </c>
      <c r="J89" s="58" t="s">
        <v>69</v>
      </c>
      <c r="K89" s="58">
        <v>4</v>
      </c>
      <c r="L89" s="58">
        <v>4</v>
      </c>
      <c r="M89" s="58">
        <v>4</v>
      </c>
      <c r="N89" s="58">
        <v>4</v>
      </c>
      <c r="O89" s="58">
        <v>4</v>
      </c>
      <c r="P89" s="58">
        <v>4</v>
      </c>
      <c r="Q89" s="58" t="s">
        <v>69</v>
      </c>
      <c r="R89" s="58">
        <v>4</v>
      </c>
      <c r="S89" s="58">
        <v>4</v>
      </c>
      <c r="T89" s="58" t="s">
        <v>69</v>
      </c>
      <c r="U89" s="58" t="s">
        <v>69</v>
      </c>
      <c r="V89" s="58">
        <v>3</v>
      </c>
      <c r="W89" s="58">
        <v>4</v>
      </c>
      <c r="X89" s="58" t="s">
        <v>69</v>
      </c>
      <c r="Y89" s="58" t="s">
        <v>69</v>
      </c>
      <c r="Z89" s="58">
        <v>4</v>
      </c>
      <c r="AA89" s="58">
        <v>4</v>
      </c>
      <c r="AB89" s="58" t="s">
        <v>69</v>
      </c>
      <c r="AC89" s="58">
        <v>4</v>
      </c>
      <c r="AD89" s="58" t="s">
        <v>69</v>
      </c>
      <c r="AE89" s="58" t="s">
        <v>69</v>
      </c>
      <c r="AF89" s="58" t="s">
        <v>69</v>
      </c>
      <c r="AG89" s="58" t="s">
        <v>69</v>
      </c>
      <c r="AH89" s="58" t="s">
        <v>69</v>
      </c>
      <c r="AI89" s="58" t="s">
        <v>69</v>
      </c>
      <c r="AJ89" s="58">
        <v>4</v>
      </c>
      <c r="AK89" s="58" t="s">
        <v>69</v>
      </c>
      <c r="AL89" s="58">
        <v>4</v>
      </c>
      <c r="AM89" s="58" t="s">
        <v>69</v>
      </c>
      <c r="AN89" s="58" t="s">
        <v>69</v>
      </c>
      <c r="AO89" s="58" t="s">
        <v>69</v>
      </c>
      <c r="AP89" s="58" t="s">
        <v>69</v>
      </c>
      <c r="AQ89" s="58" t="s">
        <v>69</v>
      </c>
      <c r="AR89" s="58">
        <v>3</v>
      </c>
      <c r="AS89" s="58">
        <v>3</v>
      </c>
      <c r="AT89" s="58">
        <v>3</v>
      </c>
      <c r="AU89" s="58">
        <v>3</v>
      </c>
      <c r="AV89" s="58">
        <v>3</v>
      </c>
      <c r="AW89" s="58">
        <v>3</v>
      </c>
      <c r="AX89" s="58">
        <v>3</v>
      </c>
      <c r="AY89" s="58" t="s">
        <v>69</v>
      </c>
      <c r="AZ89" s="58" t="s">
        <v>69</v>
      </c>
      <c r="BA89" s="58" t="s">
        <v>69</v>
      </c>
      <c r="BB89" s="58" t="s">
        <v>69</v>
      </c>
      <c r="BC89" s="58">
        <v>4</v>
      </c>
      <c r="BD89" s="58">
        <v>4</v>
      </c>
      <c r="BE89" s="58" t="s">
        <v>69</v>
      </c>
      <c r="BF89" s="58" t="s">
        <v>69</v>
      </c>
      <c r="BG89" s="58">
        <v>4</v>
      </c>
      <c r="BH89" s="58" t="s">
        <v>69</v>
      </c>
      <c r="BI89" s="58" t="s">
        <v>69</v>
      </c>
      <c r="BJ89" s="58" t="s">
        <v>69</v>
      </c>
      <c r="BK89" s="58" t="s">
        <v>69</v>
      </c>
      <c r="BL89" s="58" t="s">
        <v>69</v>
      </c>
      <c r="BM89" s="58" t="s">
        <v>69</v>
      </c>
      <c r="BN89" s="58" t="s">
        <v>69</v>
      </c>
      <c r="BO89" s="58" t="s">
        <v>69</v>
      </c>
      <c r="BP89" s="58" t="s">
        <v>69</v>
      </c>
      <c r="BQ89" s="58" t="s">
        <v>69</v>
      </c>
      <c r="BR89" s="58" t="s">
        <v>69</v>
      </c>
      <c r="BS89" s="58" t="s">
        <v>69</v>
      </c>
      <c r="BT89" s="58">
        <v>4</v>
      </c>
      <c r="BU89" s="94">
        <v>4</v>
      </c>
      <c r="BV89" s="95">
        <f t="shared" si="2"/>
        <v>0.79487179487179482</v>
      </c>
      <c r="BW89" s="95">
        <f t="shared" si="3"/>
        <v>1</v>
      </c>
    </row>
    <row r="90" spans="1:75" ht="41.25" customHeight="1">
      <c r="A90" s="48" t="s">
        <v>309</v>
      </c>
      <c r="B90" s="48" t="s">
        <v>310</v>
      </c>
      <c r="C90" s="48" t="s">
        <v>214</v>
      </c>
      <c r="D90" s="48" t="s">
        <v>434</v>
      </c>
      <c r="E90" s="57">
        <v>4</v>
      </c>
      <c r="F90" s="58">
        <v>4</v>
      </c>
      <c r="G90" s="58">
        <v>4</v>
      </c>
      <c r="H90" s="58">
        <v>4</v>
      </c>
      <c r="I90" s="58">
        <v>4</v>
      </c>
      <c r="J90" s="58">
        <v>3</v>
      </c>
      <c r="K90" s="58">
        <v>2</v>
      </c>
      <c r="L90" s="58" t="s">
        <v>69</v>
      </c>
      <c r="M90" s="58">
        <v>4</v>
      </c>
      <c r="N90" s="58">
        <v>3</v>
      </c>
      <c r="O90" s="58" t="s">
        <v>69</v>
      </c>
      <c r="P90" s="58">
        <v>4</v>
      </c>
      <c r="Q90" s="58" t="s">
        <v>69</v>
      </c>
      <c r="R90" s="58" t="s">
        <v>69</v>
      </c>
      <c r="S90" s="58">
        <v>4</v>
      </c>
      <c r="T90" s="58" t="s">
        <v>69</v>
      </c>
      <c r="U90" s="58" t="s">
        <v>69</v>
      </c>
      <c r="V90" s="58" t="s">
        <v>69</v>
      </c>
      <c r="W90" s="58">
        <v>4</v>
      </c>
      <c r="X90" s="58" t="s">
        <v>69</v>
      </c>
      <c r="Y90" s="58" t="s">
        <v>69</v>
      </c>
      <c r="Z90" s="58" t="s">
        <v>69</v>
      </c>
      <c r="AA90" s="58" t="s">
        <v>69</v>
      </c>
      <c r="AB90" s="58" t="s">
        <v>69</v>
      </c>
      <c r="AC90" s="58">
        <v>3</v>
      </c>
      <c r="AD90" s="58" t="s">
        <v>69</v>
      </c>
      <c r="AE90" s="58" t="s">
        <v>69</v>
      </c>
      <c r="AF90" s="58" t="s">
        <v>69</v>
      </c>
      <c r="AG90" s="58" t="s">
        <v>69</v>
      </c>
      <c r="AH90" s="58" t="s">
        <v>69</v>
      </c>
      <c r="AI90" s="58" t="s">
        <v>69</v>
      </c>
      <c r="AJ90" s="58">
        <v>4</v>
      </c>
      <c r="AK90" s="58" t="s">
        <v>69</v>
      </c>
      <c r="AL90" s="58" t="s">
        <v>69</v>
      </c>
      <c r="AM90" s="58" t="s">
        <v>69</v>
      </c>
      <c r="AN90" s="58" t="s">
        <v>69</v>
      </c>
      <c r="AO90" s="58" t="s">
        <v>69</v>
      </c>
      <c r="AP90" s="58" t="s">
        <v>69</v>
      </c>
      <c r="AQ90" s="58" t="s">
        <v>69</v>
      </c>
      <c r="AR90" s="58" t="s">
        <v>69</v>
      </c>
      <c r="AS90" s="58" t="s">
        <v>69</v>
      </c>
      <c r="AT90" s="58" t="s">
        <v>69</v>
      </c>
      <c r="AU90" s="58" t="s">
        <v>69</v>
      </c>
      <c r="AV90" s="58" t="s">
        <v>69</v>
      </c>
      <c r="AW90" s="58" t="s">
        <v>69</v>
      </c>
      <c r="AX90" s="58" t="s">
        <v>69</v>
      </c>
      <c r="AY90" s="58">
        <v>4</v>
      </c>
      <c r="AZ90" s="58">
        <v>4</v>
      </c>
      <c r="BA90" s="58" t="s">
        <v>69</v>
      </c>
      <c r="BB90" s="58">
        <v>2</v>
      </c>
      <c r="BC90" s="58" t="s">
        <v>69</v>
      </c>
      <c r="BD90" s="58" t="s">
        <v>69</v>
      </c>
      <c r="BE90" s="58" t="s">
        <v>69</v>
      </c>
      <c r="BF90" s="58" t="s">
        <v>69</v>
      </c>
      <c r="BG90" s="58" t="s">
        <v>69</v>
      </c>
      <c r="BH90" s="58" t="s">
        <v>69</v>
      </c>
      <c r="BI90" s="58" t="s">
        <v>69</v>
      </c>
      <c r="BJ90" s="58" t="s">
        <v>69</v>
      </c>
      <c r="BK90" s="58" t="s">
        <v>69</v>
      </c>
      <c r="BL90" s="58" t="s">
        <v>69</v>
      </c>
      <c r="BM90" s="58" t="s">
        <v>69</v>
      </c>
      <c r="BN90" s="58" t="s">
        <v>69</v>
      </c>
      <c r="BO90" s="58" t="s">
        <v>69</v>
      </c>
      <c r="BP90" s="58" t="s">
        <v>69</v>
      </c>
      <c r="BQ90" s="58" t="s">
        <v>69</v>
      </c>
      <c r="BR90" s="58" t="s">
        <v>69</v>
      </c>
      <c r="BS90" s="58" t="s">
        <v>69</v>
      </c>
      <c r="BT90" s="58">
        <v>4</v>
      </c>
      <c r="BU90" s="94">
        <v>3</v>
      </c>
      <c r="BV90" s="95">
        <f t="shared" si="2"/>
        <v>0.48717948717948717</v>
      </c>
      <c r="BW90" s="95">
        <f t="shared" si="3"/>
        <v>0.89473684210526316</v>
      </c>
    </row>
    <row r="91" spans="1:75" ht="41.25" customHeight="1">
      <c r="A91" s="48" t="s">
        <v>327</v>
      </c>
      <c r="B91" s="48" t="s">
        <v>328</v>
      </c>
      <c r="C91" s="48" t="s">
        <v>217</v>
      </c>
      <c r="D91" s="48" t="s">
        <v>434</v>
      </c>
      <c r="E91" s="57" t="s">
        <v>69</v>
      </c>
      <c r="F91" s="58" t="s">
        <v>69</v>
      </c>
      <c r="G91" s="58" t="s">
        <v>69</v>
      </c>
      <c r="H91" s="58" t="s">
        <v>69</v>
      </c>
      <c r="I91" s="58" t="s">
        <v>69</v>
      </c>
      <c r="J91" s="58" t="s">
        <v>69</v>
      </c>
      <c r="K91" s="58" t="s">
        <v>69</v>
      </c>
      <c r="L91" s="58" t="s">
        <v>69</v>
      </c>
      <c r="M91" s="58" t="s">
        <v>69</v>
      </c>
      <c r="N91" s="58" t="s">
        <v>69</v>
      </c>
      <c r="O91" s="58">
        <v>4</v>
      </c>
      <c r="P91" s="58">
        <v>3</v>
      </c>
      <c r="Q91" s="58">
        <v>4</v>
      </c>
      <c r="R91" s="58" t="s">
        <v>69</v>
      </c>
      <c r="S91" s="58" t="s">
        <v>69</v>
      </c>
      <c r="T91" s="58">
        <v>2</v>
      </c>
      <c r="U91" s="58" t="s">
        <v>69</v>
      </c>
      <c r="V91" s="58" t="s">
        <v>69</v>
      </c>
      <c r="W91" s="58" t="s">
        <v>69</v>
      </c>
      <c r="X91" s="58" t="s">
        <v>69</v>
      </c>
      <c r="Y91" s="58" t="s">
        <v>69</v>
      </c>
      <c r="Z91" s="58" t="s">
        <v>69</v>
      </c>
      <c r="AA91" s="58" t="s">
        <v>69</v>
      </c>
      <c r="AB91" s="58" t="s">
        <v>69</v>
      </c>
      <c r="AC91" s="58">
        <v>1</v>
      </c>
      <c r="AD91" s="58" t="s">
        <v>69</v>
      </c>
      <c r="AE91" s="58" t="s">
        <v>69</v>
      </c>
      <c r="AF91" s="58" t="s">
        <v>69</v>
      </c>
      <c r="AG91" s="58" t="s">
        <v>69</v>
      </c>
      <c r="AH91" s="58" t="s">
        <v>69</v>
      </c>
      <c r="AI91" s="58" t="s">
        <v>69</v>
      </c>
      <c r="AJ91" s="58" t="s">
        <v>69</v>
      </c>
      <c r="AK91" s="58" t="s">
        <v>69</v>
      </c>
      <c r="AL91" s="58" t="s">
        <v>69</v>
      </c>
      <c r="AM91" s="58" t="s">
        <v>69</v>
      </c>
      <c r="AN91" s="58" t="s">
        <v>69</v>
      </c>
      <c r="AO91" s="58" t="s">
        <v>69</v>
      </c>
      <c r="AP91" s="58" t="s">
        <v>69</v>
      </c>
      <c r="AQ91" s="58" t="s">
        <v>69</v>
      </c>
      <c r="AR91" s="58">
        <v>2</v>
      </c>
      <c r="AS91" s="58">
        <v>2</v>
      </c>
      <c r="AT91" s="58">
        <v>2</v>
      </c>
      <c r="AU91" s="58">
        <v>2</v>
      </c>
      <c r="AV91" s="58">
        <v>2</v>
      </c>
      <c r="AW91" s="58">
        <v>2</v>
      </c>
      <c r="AX91" s="58" t="s">
        <v>69</v>
      </c>
      <c r="AY91" s="58" t="s">
        <v>69</v>
      </c>
      <c r="AZ91" s="58" t="s">
        <v>69</v>
      </c>
      <c r="BA91" s="58" t="s">
        <v>69</v>
      </c>
      <c r="BB91" s="58" t="s">
        <v>69</v>
      </c>
      <c r="BC91" s="58" t="s">
        <v>69</v>
      </c>
      <c r="BD91" s="58" t="s">
        <v>69</v>
      </c>
      <c r="BE91" s="58">
        <v>4</v>
      </c>
      <c r="BF91" s="58" t="s">
        <v>69</v>
      </c>
      <c r="BG91" s="58" t="s">
        <v>69</v>
      </c>
      <c r="BH91" s="58" t="s">
        <v>69</v>
      </c>
      <c r="BI91" s="58">
        <v>4</v>
      </c>
      <c r="BJ91" s="58" t="s">
        <v>69</v>
      </c>
      <c r="BK91" s="58" t="s">
        <v>69</v>
      </c>
      <c r="BL91" s="58" t="s">
        <v>69</v>
      </c>
      <c r="BM91" s="58" t="s">
        <v>69</v>
      </c>
      <c r="BN91" s="58" t="s">
        <v>69</v>
      </c>
      <c r="BO91" s="58" t="s">
        <v>69</v>
      </c>
      <c r="BP91" s="58" t="s">
        <v>69</v>
      </c>
      <c r="BQ91" s="58" t="s">
        <v>69</v>
      </c>
      <c r="BR91" s="58" t="s">
        <v>69</v>
      </c>
      <c r="BS91" s="58" t="s">
        <v>69</v>
      </c>
      <c r="BT91" s="58">
        <v>4</v>
      </c>
      <c r="BU91" s="94">
        <v>4</v>
      </c>
      <c r="BV91" s="95">
        <f t="shared" si="2"/>
        <v>0.38461538461538464</v>
      </c>
      <c r="BW91" s="95">
        <f t="shared" si="3"/>
        <v>0.5</v>
      </c>
    </row>
    <row r="92" spans="1:75" ht="41.25" customHeight="1">
      <c r="A92" s="48" t="s">
        <v>117</v>
      </c>
      <c r="B92" s="48" t="s">
        <v>118</v>
      </c>
      <c r="C92" s="48" t="s">
        <v>217</v>
      </c>
      <c r="D92" s="48" t="s">
        <v>434</v>
      </c>
      <c r="E92" s="57">
        <v>3</v>
      </c>
      <c r="F92" s="58" t="s">
        <v>69</v>
      </c>
      <c r="G92" s="58">
        <v>3</v>
      </c>
      <c r="H92" s="58" t="s">
        <v>69</v>
      </c>
      <c r="I92" s="58" t="s">
        <v>69</v>
      </c>
      <c r="J92" s="58" t="s">
        <v>69</v>
      </c>
      <c r="K92" s="58" t="s">
        <v>69</v>
      </c>
      <c r="L92" s="58" t="s">
        <v>69</v>
      </c>
      <c r="M92" s="58" t="s">
        <v>69</v>
      </c>
      <c r="N92" s="58">
        <v>3</v>
      </c>
      <c r="O92" s="58">
        <v>2</v>
      </c>
      <c r="P92" s="58" t="s">
        <v>69</v>
      </c>
      <c r="Q92" s="58">
        <v>2</v>
      </c>
      <c r="R92" s="58" t="s">
        <v>69</v>
      </c>
      <c r="S92" s="58" t="s">
        <v>69</v>
      </c>
      <c r="T92" s="58" t="s">
        <v>69</v>
      </c>
      <c r="U92" s="58" t="s">
        <v>69</v>
      </c>
      <c r="V92" s="58" t="s">
        <v>69</v>
      </c>
      <c r="W92" s="58">
        <v>3</v>
      </c>
      <c r="X92" s="58" t="s">
        <v>69</v>
      </c>
      <c r="Y92" s="58" t="s">
        <v>69</v>
      </c>
      <c r="Z92" s="58" t="s">
        <v>69</v>
      </c>
      <c r="AA92" s="58" t="s">
        <v>69</v>
      </c>
      <c r="AB92" s="58" t="s">
        <v>69</v>
      </c>
      <c r="AC92" s="58" t="s">
        <v>69</v>
      </c>
      <c r="AD92" s="58" t="s">
        <v>69</v>
      </c>
      <c r="AE92" s="58" t="s">
        <v>69</v>
      </c>
      <c r="AF92" s="58" t="s">
        <v>69</v>
      </c>
      <c r="AG92" s="58" t="s">
        <v>69</v>
      </c>
      <c r="AH92" s="58" t="s">
        <v>69</v>
      </c>
      <c r="AI92" s="58" t="s">
        <v>69</v>
      </c>
      <c r="AJ92" s="58" t="s">
        <v>69</v>
      </c>
      <c r="AK92" s="58" t="s">
        <v>69</v>
      </c>
      <c r="AL92" s="58">
        <v>1</v>
      </c>
      <c r="AM92" s="58" t="s">
        <v>69</v>
      </c>
      <c r="AN92" s="58" t="s">
        <v>69</v>
      </c>
      <c r="AO92" s="58" t="s">
        <v>69</v>
      </c>
      <c r="AP92" s="58" t="s">
        <v>69</v>
      </c>
      <c r="AQ92" s="58" t="s">
        <v>69</v>
      </c>
      <c r="AR92" s="58" t="s">
        <v>69</v>
      </c>
      <c r="AS92" s="58" t="s">
        <v>69</v>
      </c>
      <c r="AT92" s="58">
        <v>2</v>
      </c>
      <c r="AU92" s="58">
        <v>2</v>
      </c>
      <c r="AV92" s="58">
        <v>2</v>
      </c>
      <c r="AW92" s="58">
        <v>2</v>
      </c>
      <c r="AX92" s="58" t="s">
        <v>69</v>
      </c>
      <c r="AY92" s="58" t="s">
        <v>69</v>
      </c>
      <c r="AZ92" s="58" t="s">
        <v>69</v>
      </c>
      <c r="BA92" s="58" t="s">
        <v>69</v>
      </c>
      <c r="BB92" s="58" t="s">
        <v>69</v>
      </c>
      <c r="BC92" s="58" t="s">
        <v>69</v>
      </c>
      <c r="BD92" s="58">
        <v>3</v>
      </c>
      <c r="BE92" s="58">
        <v>2</v>
      </c>
      <c r="BF92" s="58" t="s">
        <v>69</v>
      </c>
      <c r="BG92" s="58" t="s">
        <v>69</v>
      </c>
      <c r="BH92" s="58">
        <v>3</v>
      </c>
      <c r="BI92" s="58">
        <v>2</v>
      </c>
      <c r="BJ92" s="58" t="s">
        <v>69</v>
      </c>
      <c r="BK92" s="58" t="s">
        <v>69</v>
      </c>
      <c r="BL92" s="58">
        <v>2</v>
      </c>
      <c r="BM92" s="58">
        <v>2</v>
      </c>
      <c r="BN92" s="58">
        <v>2</v>
      </c>
      <c r="BO92" s="58" t="s">
        <v>69</v>
      </c>
      <c r="BP92" s="58" t="s">
        <v>69</v>
      </c>
      <c r="BQ92" s="58" t="s">
        <v>69</v>
      </c>
      <c r="BR92" s="58" t="s">
        <v>69</v>
      </c>
      <c r="BS92" s="58" t="s">
        <v>69</v>
      </c>
      <c r="BT92" s="58">
        <v>4</v>
      </c>
      <c r="BU92" s="94">
        <v>2</v>
      </c>
      <c r="BV92" s="95">
        <f t="shared" si="2"/>
        <v>0.51282051282051277</v>
      </c>
      <c r="BW92" s="95">
        <f t="shared" si="3"/>
        <v>0.36842105263157893</v>
      </c>
    </row>
    <row r="93" spans="1:75" ht="41.25" customHeight="1">
      <c r="A93" s="48" t="s">
        <v>115</v>
      </c>
      <c r="B93" s="48" t="s">
        <v>116</v>
      </c>
      <c r="C93" s="48" t="s">
        <v>214</v>
      </c>
      <c r="D93" s="48" t="s">
        <v>434</v>
      </c>
      <c r="E93" s="57">
        <v>3</v>
      </c>
      <c r="F93" s="58" t="s">
        <v>69</v>
      </c>
      <c r="G93" s="58" t="s">
        <v>69</v>
      </c>
      <c r="H93" s="58" t="s">
        <v>69</v>
      </c>
      <c r="I93" s="58" t="s">
        <v>69</v>
      </c>
      <c r="J93" s="58">
        <v>4</v>
      </c>
      <c r="K93" s="58">
        <v>4</v>
      </c>
      <c r="L93" s="58">
        <v>4</v>
      </c>
      <c r="M93" s="58" t="s">
        <v>69</v>
      </c>
      <c r="N93" s="58">
        <v>3</v>
      </c>
      <c r="O93" s="58">
        <v>2</v>
      </c>
      <c r="P93" s="58">
        <v>3</v>
      </c>
      <c r="Q93" s="58" t="s">
        <v>69</v>
      </c>
      <c r="R93" s="58" t="s">
        <v>69</v>
      </c>
      <c r="S93" s="58" t="s">
        <v>69</v>
      </c>
      <c r="T93" s="58" t="s">
        <v>69</v>
      </c>
      <c r="U93" s="58" t="s">
        <v>69</v>
      </c>
      <c r="V93" s="58" t="s">
        <v>69</v>
      </c>
      <c r="W93" s="58" t="s">
        <v>69</v>
      </c>
      <c r="X93" s="58" t="s">
        <v>69</v>
      </c>
      <c r="Y93" s="58" t="s">
        <v>69</v>
      </c>
      <c r="Z93" s="58" t="s">
        <v>69</v>
      </c>
      <c r="AA93" s="58" t="s">
        <v>69</v>
      </c>
      <c r="AB93" s="58" t="s">
        <v>69</v>
      </c>
      <c r="AC93" s="58" t="s">
        <v>69</v>
      </c>
      <c r="AD93" s="58" t="s">
        <v>69</v>
      </c>
      <c r="AE93" s="58" t="s">
        <v>69</v>
      </c>
      <c r="AF93" s="58">
        <v>3</v>
      </c>
      <c r="AG93" s="58" t="s">
        <v>69</v>
      </c>
      <c r="AH93" s="58" t="s">
        <v>69</v>
      </c>
      <c r="AI93" s="58" t="s">
        <v>69</v>
      </c>
      <c r="AJ93" s="58" t="s">
        <v>69</v>
      </c>
      <c r="AK93" s="58" t="s">
        <v>69</v>
      </c>
      <c r="AL93" s="58" t="s">
        <v>69</v>
      </c>
      <c r="AM93" s="58">
        <v>4</v>
      </c>
      <c r="AN93" s="58" t="s">
        <v>69</v>
      </c>
      <c r="AO93" s="58" t="s">
        <v>69</v>
      </c>
      <c r="AP93" s="58" t="s">
        <v>69</v>
      </c>
      <c r="AQ93" s="58" t="s">
        <v>69</v>
      </c>
      <c r="AR93" s="58" t="s">
        <v>69</v>
      </c>
      <c r="AS93" s="58" t="s">
        <v>69</v>
      </c>
      <c r="AT93" s="58" t="s">
        <v>69</v>
      </c>
      <c r="AU93" s="58" t="s">
        <v>69</v>
      </c>
      <c r="AV93" s="58" t="s">
        <v>69</v>
      </c>
      <c r="AW93" s="58" t="s">
        <v>69</v>
      </c>
      <c r="AX93" s="58" t="s">
        <v>69</v>
      </c>
      <c r="AY93" s="58" t="s">
        <v>69</v>
      </c>
      <c r="AZ93" s="58" t="s">
        <v>69</v>
      </c>
      <c r="BA93" s="58">
        <v>2</v>
      </c>
      <c r="BB93" s="58">
        <v>2</v>
      </c>
      <c r="BC93" s="58" t="s">
        <v>69</v>
      </c>
      <c r="BD93" s="58" t="s">
        <v>69</v>
      </c>
      <c r="BE93" s="58">
        <v>4</v>
      </c>
      <c r="BF93" s="58">
        <v>4</v>
      </c>
      <c r="BG93" s="58" t="s">
        <v>69</v>
      </c>
      <c r="BH93" s="58" t="s">
        <v>69</v>
      </c>
      <c r="BI93" s="58" t="s">
        <v>69</v>
      </c>
      <c r="BJ93" s="58" t="s">
        <v>69</v>
      </c>
      <c r="BK93" s="58" t="s">
        <v>69</v>
      </c>
      <c r="BL93" s="58" t="s">
        <v>69</v>
      </c>
      <c r="BM93" s="58" t="s">
        <v>69</v>
      </c>
      <c r="BN93" s="58" t="s">
        <v>69</v>
      </c>
      <c r="BO93" s="58" t="s">
        <v>69</v>
      </c>
      <c r="BP93" s="58" t="s">
        <v>69</v>
      </c>
      <c r="BQ93" s="58" t="s">
        <v>69</v>
      </c>
      <c r="BR93" s="58" t="s">
        <v>69</v>
      </c>
      <c r="BS93" s="58" t="s">
        <v>69</v>
      </c>
      <c r="BT93" s="58">
        <v>4</v>
      </c>
      <c r="BU93" s="94">
        <v>4</v>
      </c>
      <c r="BV93" s="95">
        <f t="shared" si="2"/>
        <v>0.38461538461538464</v>
      </c>
      <c r="BW93" s="95">
        <f t="shared" si="3"/>
        <v>0.8</v>
      </c>
    </row>
    <row r="94" spans="1:75" ht="41.25" customHeight="1">
      <c r="A94" s="48" t="s">
        <v>351</v>
      </c>
      <c r="B94" s="48" t="s">
        <v>352</v>
      </c>
      <c r="C94" s="48" t="s">
        <v>214</v>
      </c>
      <c r="D94" s="48" t="s">
        <v>434</v>
      </c>
      <c r="E94" s="57">
        <v>3</v>
      </c>
      <c r="F94" s="58">
        <v>2</v>
      </c>
      <c r="G94" s="58" t="s">
        <v>69</v>
      </c>
      <c r="H94" s="58" t="s">
        <v>69</v>
      </c>
      <c r="I94" s="58" t="s">
        <v>69</v>
      </c>
      <c r="J94" s="58">
        <v>2</v>
      </c>
      <c r="K94" s="58" t="s">
        <v>69</v>
      </c>
      <c r="L94" s="58" t="s">
        <v>69</v>
      </c>
      <c r="M94" s="58" t="s">
        <v>69</v>
      </c>
      <c r="N94" s="58">
        <v>2</v>
      </c>
      <c r="O94" s="58">
        <v>2</v>
      </c>
      <c r="P94" s="58">
        <v>2</v>
      </c>
      <c r="Q94" s="58">
        <v>2</v>
      </c>
      <c r="R94" s="58">
        <v>3</v>
      </c>
      <c r="S94" s="58" t="s">
        <v>69</v>
      </c>
      <c r="T94" s="58" t="s">
        <v>69</v>
      </c>
      <c r="U94" s="58" t="s">
        <v>69</v>
      </c>
      <c r="V94" s="58" t="s">
        <v>69</v>
      </c>
      <c r="W94" s="58" t="s">
        <v>69</v>
      </c>
      <c r="X94" s="58" t="s">
        <v>69</v>
      </c>
      <c r="Y94" s="58" t="s">
        <v>69</v>
      </c>
      <c r="Z94" s="58" t="s">
        <v>69</v>
      </c>
      <c r="AA94" s="58" t="s">
        <v>69</v>
      </c>
      <c r="AB94" s="58" t="s">
        <v>69</v>
      </c>
      <c r="AC94" s="58" t="s">
        <v>69</v>
      </c>
      <c r="AD94" s="58" t="s">
        <v>69</v>
      </c>
      <c r="AE94" s="58" t="s">
        <v>69</v>
      </c>
      <c r="AF94" s="58" t="s">
        <v>69</v>
      </c>
      <c r="AG94" s="58" t="s">
        <v>69</v>
      </c>
      <c r="AH94" s="58" t="s">
        <v>69</v>
      </c>
      <c r="AI94" s="58" t="s">
        <v>69</v>
      </c>
      <c r="AJ94" s="58" t="s">
        <v>69</v>
      </c>
      <c r="AK94" s="58" t="s">
        <v>69</v>
      </c>
      <c r="AL94" s="58" t="s">
        <v>69</v>
      </c>
      <c r="AM94" s="58" t="s">
        <v>69</v>
      </c>
      <c r="AN94" s="58" t="s">
        <v>69</v>
      </c>
      <c r="AO94" s="58" t="s">
        <v>69</v>
      </c>
      <c r="AP94" s="58" t="s">
        <v>69</v>
      </c>
      <c r="AQ94" s="58" t="s">
        <v>69</v>
      </c>
      <c r="AR94" s="58" t="s">
        <v>69</v>
      </c>
      <c r="AS94" s="58" t="s">
        <v>69</v>
      </c>
      <c r="AT94" s="58" t="s">
        <v>69</v>
      </c>
      <c r="AU94" s="58" t="s">
        <v>69</v>
      </c>
      <c r="AV94" s="58" t="s">
        <v>69</v>
      </c>
      <c r="AW94" s="58" t="s">
        <v>69</v>
      </c>
      <c r="AX94" s="58" t="s">
        <v>69</v>
      </c>
      <c r="AY94" s="58" t="s">
        <v>69</v>
      </c>
      <c r="AZ94" s="58" t="s">
        <v>69</v>
      </c>
      <c r="BA94" s="58" t="s">
        <v>69</v>
      </c>
      <c r="BB94" s="58" t="s">
        <v>69</v>
      </c>
      <c r="BC94" s="58" t="s">
        <v>69</v>
      </c>
      <c r="BD94" s="58" t="s">
        <v>69</v>
      </c>
      <c r="BE94" s="58" t="s">
        <v>69</v>
      </c>
      <c r="BF94" s="58">
        <v>3</v>
      </c>
      <c r="BG94" s="58" t="s">
        <v>69</v>
      </c>
      <c r="BH94" s="58" t="s">
        <v>69</v>
      </c>
      <c r="BI94" s="58" t="s">
        <v>69</v>
      </c>
      <c r="BJ94" s="58" t="s">
        <v>69</v>
      </c>
      <c r="BK94" s="58" t="s">
        <v>69</v>
      </c>
      <c r="BL94" s="58" t="s">
        <v>69</v>
      </c>
      <c r="BM94" s="58" t="s">
        <v>69</v>
      </c>
      <c r="BN94" s="58" t="s">
        <v>69</v>
      </c>
      <c r="BO94" s="58" t="s">
        <v>69</v>
      </c>
      <c r="BP94" s="58" t="s">
        <v>69</v>
      </c>
      <c r="BQ94" s="58" t="s">
        <v>69</v>
      </c>
      <c r="BR94" s="58" t="s">
        <v>69</v>
      </c>
      <c r="BS94" s="58" t="s">
        <v>69</v>
      </c>
      <c r="BT94" s="58">
        <v>2</v>
      </c>
      <c r="BU94" s="94">
        <v>2</v>
      </c>
      <c r="BV94" s="95">
        <f t="shared" si="2"/>
        <v>0.28205128205128205</v>
      </c>
      <c r="BW94" s="95">
        <f t="shared" si="3"/>
        <v>0.27272727272727271</v>
      </c>
    </row>
    <row r="95" spans="1:75" ht="41.25" customHeight="1">
      <c r="A95" s="48" t="s">
        <v>361</v>
      </c>
      <c r="B95" s="48" t="s">
        <v>362</v>
      </c>
      <c r="C95" s="48" t="s">
        <v>216</v>
      </c>
      <c r="D95" s="48" t="s">
        <v>434</v>
      </c>
      <c r="E95" s="57">
        <v>4</v>
      </c>
      <c r="F95" s="58" t="s">
        <v>69</v>
      </c>
      <c r="G95" s="58">
        <v>2</v>
      </c>
      <c r="H95" s="58" t="s">
        <v>69</v>
      </c>
      <c r="I95" s="58" t="s">
        <v>69</v>
      </c>
      <c r="J95" s="58" t="s">
        <v>69</v>
      </c>
      <c r="K95" s="58" t="s">
        <v>69</v>
      </c>
      <c r="L95" s="58" t="s">
        <v>69</v>
      </c>
      <c r="M95" s="58" t="s">
        <v>69</v>
      </c>
      <c r="N95" s="58" t="s">
        <v>69</v>
      </c>
      <c r="O95" s="58">
        <v>4</v>
      </c>
      <c r="P95" s="58">
        <v>4</v>
      </c>
      <c r="Q95" s="58" t="s">
        <v>69</v>
      </c>
      <c r="R95" s="58" t="s">
        <v>69</v>
      </c>
      <c r="S95" s="58" t="s">
        <v>69</v>
      </c>
      <c r="T95" s="58" t="s">
        <v>69</v>
      </c>
      <c r="U95" s="58" t="s">
        <v>69</v>
      </c>
      <c r="V95" s="58" t="s">
        <v>69</v>
      </c>
      <c r="W95" s="58" t="s">
        <v>69</v>
      </c>
      <c r="X95" s="58" t="s">
        <v>69</v>
      </c>
      <c r="Y95" s="58" t="s">
        <v>69</v>
      </c>
      <c r="Z95" s="58" t="s">
        <v>69</v>
      </c>
      <c r="AA95" s="58" t="s">
        <v>69</v>
      </c>
      <c r="AB95" s="58" t="s">
        <v>69</v>
      </c>
      <c r="AC95" s="58" t="s">
        <v>69</v>
      </c>
      <c r="AD95" s="58" t="s">
        <v>69</v>
      </c>
      <c r="AE95" s="58" t="s">
        <v>69</v>
      </c>
      <c r="AF95" s="58" t="s">
        <v>69</v>
      </c>
      <c r="AG95" s="58" t="s">
        <v>69</v>
      </c>
      <c r="AH95" s="58" t="s">
        <v>69</v>
      </c>
      <c r="AI95" s="58" t="s">
        <v>69</v>
      </c>
      <c r="AJ95" s="58" t="s">
        <v>69</v>
      </c>
      <c r="AK95" s="58" t="s">
        <v>69</v>
      </c>
      <c r="AL95" s="58" t="s">
        <v>69</v>
      </c>
      <c r="AM95" s="58" t="s">
        <v>69</v>
      </c>
      <c r="AN95" s="58" t="s">
        <v>69</v>
      </c>
      <c r="AO95" s="58" t="s">
        <v>69</v>
      </c>
      <c r="AP95" s="58">
        <v>4</v>
      </c>
      <c r="AQ95" s="58">
        <v>4</v>
      </c>
      <c r="AR95" s="58" t="s">
        <v>69</v>
      </c>
      <c r="AS95" s="58" t="s">
        <v>69</v>
      </c>
      <c r="AT95" s="58" t="s">
        <v>69</v>
      </c>
      <c r="AU95" s="58">
        <v>1</v>
      </c>
      <c r="AV95" s="58" t="s">
        <v>69</v>
      </c>
      <c r="AW95" s="58" t="s">
        <v>69</v>
      </c>
      <c r="AX95" s="58" t="s">
        <v>69</v>
      </c>
      <c r="AY95" s="58" t="s">
        <v>69</v>
      </c>
      <c r="AZ95" s="58" t="s">
        <v>69</v>
      </c>
      <c r="BA95" s="58" t="s">
        <v>69</v>
      </c>
      <c r="BB95" s="58" t="s">
        <v>69</v>
      </c>
      <c r="BC95" s="58" t="s">
        <v>69</v>
      </c>
      <c r="BD95" s="58" t="s">
        <v>69</v>
      </c>
      <c r="BE95" s="58" t="s">
        <v>69</v>
      </c>
      <c r="BF95" s="58" t="s">
        <v>69</v>
      </c>
      <c r="BG95" s="58">
        <v>1</v>
      </c>
      <c r="BH95" s="58" t="s">
        <v>69</v>
      </c>
      <c r="BI95" s="58" t="s">
        <v>69</v>
      </c>
      <c r="BJ95" s="58" t="s">
        <v>69</v>
      </c>
      <c r="BK95" s="58" t="s">
        <v>69</v>
      </c>
      <c r="BL95" s="58" t="s">
        <v>69</v>
      </c>
      <c r="BM95" s="58" t="s">
        <v>69</v>
      </c>
      <c r="BN95" s="58" t="s">
        <v>69</v>
      </c>
      <c r="BO95" s="58" t="s">
        <v>69</v>
      </c>
      <c r="BP95" s="58" t="s">
        <v>69</v>
      </c>
      <c r="BQ95" s="58" t="s">
        <v>69</v>
      </c>
      <c r="BR95" s="58" t="s">
        <v>69</v>
      </c>
      <c r="BS95" s="58" t="s">
        <v>69</v>
      </c>
      <c r="BT95" s="58">
        <v>4</v>
      </c>
      <c r="BU95" s="94">
        <v>3</v>
      </c>
      <c r="BV95" s="95">
        <f t="shared" si="2"/>
        <v>0.25641025641025639</v>
      </c>
      <c r="BW95" s="95">
        <f t="shared" si="3"/>
        <v>0.875</v>
      </c>
    </row>
    <row r="96" spans="1:75" ht="41.25" customHeight="1">
      <c r="A96" s="48" t="s">
        <v>469</v>
      </c>
      <c r="B96" s="48" t="s">
        <v>367</v>
      </c>
      <c r="C96" s="48" t="s">
        <v>214</v>
      </c>
      <c r="D96" s="48" t="s">
        <v>434</v>
      </c>
      <c r="E96" s="57">
        <v>3</v>
      </c>
      <c r="F96" s="58">
        <v>4</v>
      </c>
      <c r="G96" s="58" t="s">
        <v>69</v>
      </c>
      <c r="H96" s="58" t="s">
        <v>69</v>
      </c>
      <c r="I96" s="58" t="s">
        <v>69</v>
      </c>
      <c r="J96" s="58" t="s">
        <v>69</v>
      </c>
      <c r="K96" s="58" t="s">
        <v>69</v>
      </c>
      <c r="L96" s="58" t="s">
        <v>69</v>
      </c>
      <c r="M96" s="58" t="s">
        <v>69</v>
      </c>
      <c r="N96" s="58">
        <v>3</v>
      </c>
      <c r="O96" s="58">
        <v>4</v>
      </c>
      <c r="P96" s="58">
        <v>4</v>
      </c>
      <c r="Q96" s="58" t="s">
        <v>69</v>
      </c>
      <c r="R96" s="58" t="s">
        <v>69</v>
      </c>
      <c r="S96" s="58">
        <v>2</v>
      </c>
      <c r="T96" s="58" t="s">
        <v>69</v>
      </c>
      <c r="U96" s="58" t="s">
        <v>69</v>
      </c>
      <c r="V96" s="58" t="s">
        <v>69</v>
      </c>
      <c r="W96" s="58">
        <v>1</v>
      </c>
      <c r="X96" s="58" t="s">
        <v>69</v>
      </c>
      <c r="Y96" s="58" t="s">
        <v>69</v>
      </c>
      <c r="Z96" s="58" t="s">
        <v>69</v>
      </c>
      <c r="AA96" s="58" t="s">
        <v>69</v>
      </c>
      <c r="AB96" s="58" t="s">
        <v>69</v>
      </c>
      <c r="AC96" s="58" t="s">
        <v>69</v>
      </c>
      <c r="AD96" s="58" t="s">
        <v>69</v>
      </c>
      <c r="AE96" s="58" t="s">
        <v>69</v>
      </c>
      <c r="AF96" s="58" t="s">
        <v>69</v>
      </c>
      <c r="AG96" s="58">
        <v>3</v>
      </c>
      <c r="AH96" s="58" t="s">
        <v>69</v>
      </c>
      <c r="AI96" s="58" t="s">
        <v>69</v>
      </c>
      <c r="AJ96" s="58" t="s">
        <v>69</v>
      </c>
      <c r="AK96" s="58" t="s">
        <v>69</v>
      </c>
      <c r="AL96" s="58" t="s">
        <v>69</v>
      </c>
      <c r="AM96" s="58" t="s">
        <v>69</v>
      </c>
      <c r="AN96" s="58" t="s">
        <v>69</v>
      </c>
      <c r="AO96" s="58" t="s">
        <v>69</v>
      </c>
      <c r="AP96" s="58" t="s">
        <v>69</v>
      </c>
      <c r="AQ96" s="58" t="s">
        <v>69</v>
      </c>
      <c r="AR96" s="58" t="s">
        <v>69</v>
      </c>
      <c r="AS96" s="58"/>
      <c r="AT96" s="58"/>
      <c r="AU96" s="58"/>
      <c r="AV96" s="58"/>
      <c r="AW96" s="58"/>
      <c r="AX96" s="58" t="s">
        <v>69</v>
      </c>
      <c r="AY96" s="58" t="s">
        <v>69</v>
      </c>
      <c r="AZ96" s="58" t="s">
        <v>69</v>
      </c>
      <c r="BA96" s="58" t="s">
        <v>69</v>
      </c>
      <c r="BB96" s="58" t="s">
        <v>69</v>
      </c>
      <c r="BC96" s="58" t="s">
        <v>69</v>
      </c>
      <c r="BD96" s="58" t="s">
        <v>69</v>
      </c>
      <c r="BE96" s="58" t="s">
        <v>69</v>
      </c>
      <c r="BF96" s="58" t="s">
        <v>69</v>
      </c>
      <c r="BG96" s="58" t="s">
        <v>69</v>
      </c>
      <c r="BH96" s="58" t="s">
        <v>69</v>
      </c>
      <c r="BI96" s="58" t="s">
        <v>69</v>
      </c>
      <c r="BJ96" s="58" t="s">
        <v>69</v>
      </c>
      <c r="BK96" s="58" t="s">
        <v>69</v>
      </c>
      <c r="BL96" s="58" t="s">
        <v>69</v>
      </c>
      <c r="BM96" s="58" t="s">
        <v>69</v>
      </c>
      <c r="BN96" s="58" t="s">
        <v>69</v>
      </c>
      <c r="BO96" s="58" t="s">
        <v>69</v>
      </c>
      <c r="BP96" s="58" t="s">
        <v>69</v>
      </c>
      <c r="BQ96" s="58" t="s">
        <v>69</v>
      </c>
      <c r="BR96" s="58" t="s">
        <v>69</v>
      </c>
      <c r="BS96" s="58" t="s">
        <v>69</v>
      </c>
      <c r="BT96" s="58">
        <v>2</v>
      </c>
      <c r="BU96" s="94">
        <v>3</v>
      </c>
      <c r="BV96" s="95">
        <f t="shared" si="2"/>
        <v>0.25641025641025639</v>
      </c>
      <c r="BW96" s="95">
        <f t="shared" si="3"/>
        <v>0.77777777777777779</v>
      </c>
    </row>
    <row r="97" spans="1:75" ht="41.25" customHeight="1">
      <c r="A97" s="48" t="s">
        <v>470</v>
      </c>
      <c r="B97" s="48" t="s">
        <v>385</v>
      </c>
      <c r="C97" s="48" t="s">
        <v>214</v>
      </c>
      <c r="D97" s="48" t="s">
        <v>434</v>
      </c>
      <c r="E97" s="57" t="s">
        <v>69</v>
      </c>
      <c r="F97" s="58" t="s">
        <v>69</v>
      </c>
      <c r="G97" s="58">
        <v>2</v>
      </c>
      <c r="H97" s="58">
        <v>2</v>
      </c>
      <c r="I97" s="58">
        <v>2</v>
      </c>
      <c r="J97" s="58" t="s">
        <v>69</v>
      </c>
      <c r="K97" s="58" t="s">
        <v>69</v>
      </c>
      <c r="L97" s="58">
        <v>3</v>
      </c>
      <c r="M97" s="58">
        <v>3</v>
      </c>
      <c r="N97" s="58" t="s">
        <v>69</v>
      </c>
      <c r="O97" s="58" t="s">
        <v>69</v>
      </c>
      <c r="P97" s="58" t="s">
        <v>69</v>
      </c>
      <c r="Q97" s="58" t="s">
        <v>69</v>
      </c>
      <c r="R97" s="58" t="s">
        <v>69</v>
      </c>
      <c r="S97" s="58" t="s">
        <v>69</v>
      </c>
      <c r="T97" s="58" t="s">
        <v>69</v>
      </c>
      <c r="U97" s="58" t="s">
        <v>69</v>
      </c>
      <c r="V97" s="58" t="s">
        <v>69</v>
      </c>
      <c r="W97" s="58" t="s">
        <v>69</v>
      </c>
      <c r="X97" s="58" t="s">
        <v>69</v>
      </c>
      <c r="Y97" s="58" t="s">
        <v>69</v>
      </c>
      <c r="Z97" s="58" t="s">
        <v>69</v>
      </c>
      <c r="AA97" s="58" t="s">
        <v>69</v>
      </c>
      <c r="AB97" s="58" t="s">
        <v>69</v>
      </c>
      <c r="AC97" s="58" t="s">
        <v>69</v>
      </c>
      <c r="AD97" s="58" t="s">
        <v>69</v>
      </c>
      <c r="AE97" s="58" t="s">
        <v>69</v>
      </c>
      <c r="AF97" s="58" t="s">
        <v>69</v>
      </c>
      <c r="AG97" s="58" t="s">
        <v>69</v>
      </c>
      <c r="AH97" s="58" t="s">
        <v>69</v>
      </c>
      <c r="AI97" s="58" t="s">
        <v>69</v>
      </c>
      <c r="AJ97" s="58" t="s">
        <v>69</v>
      </c>
      <c r="AK97" s="58" t="s">
        <v>69</v>
      </c>
      <c r="AL97" s="58" t="s">
        <v>69</v>
      </c>
      <c r="AM97" s="58" t="s">
        <v>69</v>
      </c>
      <c r="AN97" s="58" t="s">
        <v>69</v>
      </c>
      <c r="AO97" s="58" t="s">
        <v>69</v>
      </c>
      <c r="AP97" s="58" t="s">
        <v>69</v>
      </c>
      <c r="AQ97" s="58" t="s">
        <v>69</v>
      </c>
      <c r="AR97" s="58" t="s">
        <v>69</v>
      </c>
      <c r="AS97" s="58" t="s">
        <v>69</v>
      </c>
      <c r="AT97" s="58" t="s">
        <v>69</v>
      </c>
      <c r="AU97" s="58" t="s">
        <v>69</v>
      </c>
      <c r="AV97" s="58" t="s">
        <v>69</v>
      </c>
      <c r="AW97" s="58" t="s">
        <v>69</v>
      </c>
      <c r="AX97" s="58" t="s">
        <v>69</v>
      </c>
      <c r="AY97" s="58" t="s">
        <v>69</v>
      </c>
      <c r="AZ97" s="58" t="s">
        <v>69</v>
      </c>
      <c r="BA97" s="58" t="s">
        <v>69</v>
      </c>
      <c r="BB97" s="58" t="s">
        <v>69</v>
      </c>
      <c r="BC97" s="58" t="s">
        <v>69</v>
      </c>
      <c r="BD97" s="58">
        <v>3</v>
      </c>
      <c r="BE97" s="58" t="s">
        <v>69</v>
      </c>
      <c r="BF97" s="58">
        <v>3</v>
      </c>
      <c r="BG97" s="58">
        <v>3</v>
      </c>
      <c r="BH97" s="58">
        <v>3</v>
      </c>
      <c r="BI97" s="58">
        <v>3</v>
      </c>
      <c r="BJ97" s="58" t="s">
        <v>69</v>
      </c>
      <c r="BK97" s="58" t="s">
        <v>69</v>
      </c>
      <c r="BL97" s="58" t="s">
        <v>69</v>
      </c>
      <c r="BM97" s="58" t="s">
        <v>69</v>
      </c>
      <c r="BN97" s="58" t="s">
        <v>69</v>
      </c>
      <c r="BO97" s="58" t="s">
        <v>69</v>
      </c>
      <c r="BP97" s="58" t="s">
        <v>69</v>
      </c>
      <c r="BQ97" s="58" t="s">
        <v>69</v>
      </c>
      <c r="BR97" s="58" t="s">
        <v>69</v>
      </c>
      <c r="BS97" s="58" t="s">
        <v>69</v>
      </c>
      <c r="BT97" s="58">
        <v>2</v>
      </c>
      <c r="BU97" s="94">
        <v>2</v>
      </c>
      <c r="BV97" s="95">
        <f t="shared" si="2"/>
        <v>0.30769230769230771</v>
      </c>
      <c r="BW97" s="95">
        <f t="shared" si="3"/>
        <v>0.58333333333333337</v>
      </c>
    </row>
    <row r="98" spans="1:75" ht="41.25" customHeight="1">
      <c r="A98" s="48" t="s">
        <v>373</v>
      </c>
      <c r="B98" s="48" t="s">
        <v>374</v>
      </c>
      <c r="C98" s="48" t="s">
        <v>217</v>
      </c>
      <c r="D98" s="48" t="s">
        <v>434</v>
      </c>
      <c r="E98" s="57">
        <v>4</v>
      </c>
      <c r="F98" s="58" t="s">
        <v>69</v>
      </c>
      <c r="G98" s="58">
        <v>2</v>
      </c>
      <c r="H98" s="58" t="s">
        <v>69</v>
      </c>
      <c r="I98" s="58" t="s">
        <v>69</v>
      </c>
      <c r="J98" s="58" t="s">
        <v>69</v>
      </c>
      <c r="K98" s="58" t="s">
        <v>69</v>
      </c>
      <c r="L98" s="58" t="s">
        <v>69</v>
      </c>
      <c r="M98" s="58" t="s">
        <v>69</v>
      </c>
      <c r="N98" s="58">
        <v>1</v>
      </c>
      <c r="O98" s="58">
        <v>4</v>
      </c>
      <c r="P98" s="58" t="s">
        <v>69</v>
      </c>
      <c r="Q98" s="58" t="s">
        <v>69</v>
      </c>
      <c r="R98" s="58" t="s">
        <v>69</v>
      </c>
      <c r="S98" s="58" t="s">
        <v>69</v>
      </c>
      <c r="T98" s="58" t="s">
        <v>69</v>
      </c>
      <c r="U98" s="58" t="s">
        <v>69</v>
      </c>
      <c r="V98" s="58" t="s">
        <v>69</v>
      </c>
      <c r="W98" s="58" t="s">
        <v>69</v>
      </c>
      <c r="X98" s="58" t="s">
        <v>69</v>
      </c>
      <c r="Y98" s="58" t="s">
        <v>69</v>
      </c>
      <c r="Z98" s="58" t="s">
        <v>69</v>
      </c>
      <c r="AA98" s="58" t="s">
        <v>69</v>
      </c>
      <c r="AB98" s="58" t="s">
        <v>69</v>
      </c>
      <c r="AC98" s="58" t="s">
        <v>69</v>
      </c>
      <c r="AD98" s="58" t="s">
        <v>69</v>
      </c>
      <c r="AE98" s="58" t="s">
        <v>69</v>
      </c>
      <c r="AF98" s="58" t="s">
        <v>69</v>
      </c>
      <c r="AG98" s="58" t="s">
        <v>69</v>
      </c>
      <c r="AH98" s="58" t="s">
        <v>69</v>
      </c>
      <c r="AI98" s="58" t="s">
        <v>69</v>
      </c>
      <c r="AJ98" s="58" t="s">
        <v>69</v>
      </c>
      <c r="AK98" s="58" t="s">
        <v>69</v>
      </c>
      <c r="AL98" s="58" t="s">
        <v>69</v>
      </c>
      <c r="AM98" s="58" t="s">
        <v>69</v>
      </c>
      <c r="AN98" s="58" t="s">
        <v>69</v>
      </c>
      <c r="AO98" s="58" t="s">
        <v>69</v>
      </c>
      <c r="AP98" s="58" t="s">
        <v>69</v>
      </c>
      <c r="AQ98" s="58" t="s">
        <v>69</v>
      </c>
      <c r="AR98" s="58" t="s">
        <v>69</v>
      </c>
      <c r="AS98" s="58" t="s">
        <v>69</v>
      </c>
      <c r="AT98" s="58" t="s">
        <v>69</v>
      </c>
      <c r="AU98" s="58" t="s">
        <v>69</v>
      </c>
      <c r="AV98" s="58" t="s">
        <v>69</v>
      </c>
      <c r="AW98" s="58" t="s">
        <v>69</v>
      </c>
      <c r="AX98" s="58" t="s">
        <v>69</v>
      </c>
      <c r="AY98" s="58" t="s">
        <v>69</v>
      </c>
      <c r="AZ98" s="58" t="s">
        <v>69</v>
      </c>
      <c r="BA98" s="58" t="s">
        <v>69</v>
      </c>
      <c r="BB98" s="58" t="s">
        <v>69</v>
      </c>
      <c r="BC98" s="58" t="s">
        <v>69</v>
      </c>
      <c r="BD98" s="58" t="s">
        <v>69</v>
      </c>
      <c r="BE98" s="58" t="s">
        <v>69</v>
      </c>
      <c r="BF98" s="58" t="s">
        <v>69</v>
      </c>
      <c r="BG98" s="58" t="s">
        <v>69</v>
      </c>
      <c r="BH98" s="58" t="s">
        <v>69</v>
      </c>
      <c r="BI98" s="58" t="s">
        <v>69</v>
      </c>
      <c r="BJ98" s="58" t="s">
        <v>69</v>
      </c>
      <c r="BK98" s="58" t="s">
        <v>69</v>
      </c>
      <c r="BL98" s="58" t="s">
        <v>69</v>
      </c>
      <c r="BM98" s="58" t="s">
        <v>69</v>
      </c>
      <c r="BN98" s="58" t="s">
        <v>69</v>
      </c>
      <c r="BO98" s="58" t="s">
        <v>69</v>
      </c>
      <c r="BP98" s="58" t="s">
        <v>69</v>
      </c>
      <c r="BQ98" s="58" t="s">
        <v>69</v>
      </c>
      <c r="BR98" s="58" t="s">
        <v>69</v>
      </c>
      <c r="BS98" s="58" t="s">
        <v>69</v>
      </c>
      <c r="BT98" s="58">
        <v>3</v>
      </c>
      <c r="BU98" s="94">
        <v>3</v>
      </c>
      <c r="BV98" s="95">
        <f t="shared" si="2"/>
        <v>0.15384615384615385</v>
      </c>
      <c r="BW98" s="95">
        <f t="shared" si="3"/>
        <v>0.8</v>
      </c>
    </row>
    <row r="99" spans="1:75" ht="41.25" customHeight="1">
      <c r="A99" s="48" t="s">
        <v>111</v>
      </c>
      <c r="B99" s="48" t="s">
        <v>112</v>
      </c>
      <c r="C99" s="48" t="s">
        <v>214</v>
      </c>
      <c r="D99" s="48" t="s">
        <v>434</v>
      </c>
      <c r="E99" s="57">
        <v>4</v>
      </c>
      <c r="F99" s="58" t="s">
        <v>69</v>
      </c>
      <c r="G99" s="58">
        <v>4</v>
      </c>
      <c r="H99" s="58">
        <v>4</v>
      </c>
      <c r="I99" s="58">
        <v>4</v>
      </c>
      <c r="J99" s="58" t="s">
        <v>69</v>
      </c>
      <c r="K99" s="58" t="s">
        <v>69</v>
      </c>
      <c r="L99" s="58" t="s">
        <v>69</v>
      </c>
      <c r="M99" s="58" t="s">
        <v>69</v>
      </c>
      <c r="N99" s="58">
        <v>2</v>
      </c>
      <c r="O99" s="58">
        <v>4</v>
      </c>
      <c r="P99" s="58">
        <v>4</v>
      </c>
      <c r="Q99" s="58" t="s">
        <v>69</v>
      </c>
      <c r="R99" s="58" t="s">
        <v>69</v>
      </c>
      <c r="S99" s="58" t="s">
        <v>69</v>
      </c>
      <c r="T99" s="58" t="s">
        <v>69</v>
      </c>
      <c r="U99" s="58" t="s">
        <v>69</v>
      </c>
      <c r="V99" s="58" t="s">
        <v>69</v>
      </c>
      <c r="W99" s="58" t="s">
        <v>69</v>
      </c>
      <c r="X99" s="58" t="s">
        <v>69</v>
      </c>
      <c r="Y99" s="58" t="s">
        <v>69</v>
      </c>
      <c r="Z99" s="58" t="s">
        <v>69</v>
      </c>
      <c r="AA99" s="58" t="s">
        <v>69</v>
      </c>
      <c r="AB99" s="58" t="s">
        <v>69</v>
      </c>
      <c r="AC99" s="58" t="s">
        <v>69</v>
      </c>
      <c r="AD99" s="58" t="s">
        <v>69</v>
      </c>
      <c r="AE99" s="58" t="s">
        <v>69</v>
      </c>
      <c r="AF99" s="58" t="s">
        <v>69</v>
      </c>
      <c r="AG99" s="58" t="s">
        <v>69</v>
      </c>
      <c r="AH99" s="58" t="s">
        <v>69</v>
      </c>
      <c r="AI99" s="58" t="s">
        <v>69</v>
      </c>
      <c r="AJ99" s="58" t="s">
        <v>69</v>
      </c>
      <c r="AK99" s="58" t="s">
        <v>69</v>
      </c>
      <c r="AL99" s="58" t="s">
        <v>69</v>
      </c>
      <c r="AM99" s="58" t="s">
        <v>69</v>
      </c>
      <c r="AN99" s="58" t="s">
        <v>69</v>
      </c>
      <c r="AO99" s="58" t="s">
        <v>69</v>
      </c>
      <c r="AP99" s="58" t="s">
        <v>69</v>
      </c>
      <c r="AQ99" s="58" t="s">
        <v>69</v>
      </c>
      <c r="AR99" s="58" t="s">
        <v>69</v>
      </c>
      <c r="AS99" s="58">
        <v>3</v>
      </c>
      <c r="AT99" s="58">
        <v>3</v>
      </c>
      <c r="AU99" s="58">
        <v>3</v>
      </c>
      <c r="AV99" s="58">
        <v>3</v>
      </c>
      <c r="AW99" s="58">
        <v>3</v>
      </c>
      <c r="AX99" s="58" t="s">
        <v>69</v>
      </c>
      <c r="AY99" s="58" t="s">
        <v>69</v>
      </c>
      <c r="AZ99" s="58" t="s">
        <v>69</v>
      </c>
      <c r="BA99" s="58" t="s">
        <v>69</v>
      </c>
      <c r="BB99" s="58" t="s">
        <v>69</v>
      </c>
      <c r="BC99" s="58" t="s">
        <v>69</v>
      </c>
      <c r="BD99" s="58">
        <v>4</v>
      </c>
      <c r="BE99" s="58">
        <v>4</v>
      </c>
      <c r="BF99" s="58" t="s">
        <v>69</v>
      </c>
      <c r="BG99" s="58" t="s">
        <v>69</v>
      </c>
      <c r="BH99" s="58"/>
      <c r="BI99" s="58"/>
      <c r="BJ99" s="58" t="s">
        <v>69</v>
      </c>
      <c r="BK99" s="58" t="s">
        <v>69</v>
      </c>
      <c r="BL99" s="58" t="s">
        <v>69</v>
      </c>
      <c r="BM99" s="58" t="s">
        <v>69</v>
      </c>
      <c r="BN99" s="58" t="s">
        <v>69</v>
      </c>
      <c r="BO99" s="58" t="s">
        <v>69</v>
      </c>
      <c r="BP99" s="58" t="s">
        <v>69</v>
      </c>
      <c r="BQ99" s="58" t="s">
        <v>69</v>
      </c>
      <c r="BR99" s="58" t="s">
        <v>69</v>
      </c>
      <c r="BS99" s="58" t="s">
        <v>69</v>
      </c>
      <c r="BT99" s="58" t="s">
        <v>69</v>
      </c>
      <c r="BU99" s="94">
        <v>4</v>
      </c>
      <c r="BV99" s="95">
        <f t="shared" si="2"/>
        <v>0.38461538461538464</v>
      </c>
      <c r="BW99" s="95">
        <f t="shared" si="3"/>
        <v>0.93333333333333335</v>
      </c>
    </row>
    <row r="100" spans="1:75" ht="41.25" customHeight="1">
      <c r="A100" s="48" t="s">
        <v>119</v>
      </c>
      <c r="B100" s="48" t="s">
        <v>386</v>
      </c>
      <c r="C100" s="48" t="s">
        <v>214</v>
      </c>
      <c r="D100" s="48" t="s">
        <v>434</v>
      </c>
      <c r="E100" s="57">
        <v>3</v>
      </c>
      <c r="F100" s="58" t="s">
        <v>69</v>
      </c>
      <c r="G100" s="58" t="s">
        <v>69</v>
      </c>
      <c r="H100" s="58" t="s">
        <v>69</v>
      </c>
      <c r="I100" s="58" t="s">
        <v>69</v>
      </c>
      <c r="J100" s="58">
        <v>3</v>
      </c>
      <c r="K100" s="58" t="s">
        <v>69</v>
      </c>
      <c r="L100" s="58" t="s">
        <v>69</v>
      </c>
      <c r="M100" s="58" t="s">
        <v>69</v>
      </c>
      <c r="N100" s="58">
        <v>3</v>
      </c>
      <c r="O100" s="58" t="s">
        <v>69</v>
      </c>
      <c r="P100" s="58" t="s">
        <v>69</v>
      </c>
      <c r="Q100" s="58" t="s">
        <v>69</v>
      </c>
      <c r="R100" s="58">
        <v>3</v>
      </c>
      <c r="S100" s="58" t="s">
        <v>69</v>
      </c>
      <c r="T100" s="58" t="s">
        <v>69</v>
      </c>
      <c r="U100" s="58" t="s">
        <v>69</v>
      </c>
      <c r="V100" s="58" t="s">
        <v>69</v>
      </c>
      <c r="W100" s="58" t="s">
        <v>69</v>
      </c>
      <c r="X100" s="58" t="s">
        <v>69</v>
      </c>
      <c r="Y100" s="58" t="s">
        <v>69</v>
      </c>
      <c r="Z100" s="58" t="s">
        <v>69</v>
      </c>
      <c r="AA100" s="58" t="s">
        <v>69</v>
      </c>
      <c r="AB100" s="58" t="s">
        <v>69</v>
      </c>
      <c r="AC100" s="58" t="s">
        <v>69</v>
      </c>
      <c r="AD100" s="58" t="s">
        <v>69</v>
      </c>
      <c r="AE100" s="58" t="s">
        <v>69</v>
      </c>
      <c r="AF100" s="58" t="s">
        <v>69</v>
      </c>
      <c r="AG100" s="58" t="s">
        <v>69</v>
      </c>
      <c r="AH100" s="58" t="s">
        <v>69</v>
      </c>
      <c r="AI100" s="58" t="s">
        <v>69</v>
      </c>
      <c r="AJ100" s="58" t="s">
        <v>69</v>
      </c>
      <c r="AK100" s="58" t="s">
        <v>69</v>
      </c>
      <c r="AL100" s="58" t="s">
        <v>69</v>
      </c>
      <c r="AM100" s="58" t="s">
        <v>69</v>
      </c>
      <c r="AN100" s="58" t="s">
        <v>69</v>
      </c>
      <c r="AO100" s="58" t="s">
        <v>69</v>
      </c>
      <c r="AP100" s="58" t="s">
        <v>69</v>
      </c>
      <c r="AQ100" s="58" t="s">
        <v>69</v>
      </c>
      <c r="AR100" s="58">
        <v>3</v>
      </c>
      <c r="AS100" s="58">
        <v>2</v>
      </c>
      <c r="AT100" s="58">
        <v>3</v>
      </c>
      <c r="AU100" s="58">
        <v>2</v>
      </c>
      <c r="AV100" s="58">
        <v>2</v>
      </c>
      <c r="AW100" s="58">
        <v>3</v>
      </c>
      <c r="AX100" s="58" t="s">
        <v>69</v>
      </c>
      <c r="AY100" s="58" t="s">
        <v>69</v>
      </c>
      <c r="AZ100" s="58" t="s">
        <v>69</v>
      </c>
      <c r="BA100" s="58" t="s">
        <v>69</v>
      </c>
      <c r="BB100" s="58" t="s">
        <v>69</v>
      </c>
      <c r="BC100" s="58" t="s">
        <v>69</v>
      </c>
      <c r="BD100" s="58" t="s">
        <v>69</v>
      </c>
      <c r="BE100" s="58" t="s">
        <v>69</v>
      </c>
      <c r="BF100" s="58" t="s">
        <v>69</v>
      </c>
      <c r="BG100" s="58" t="s">
        <v>69</v>
      </c>
      <c r="BH100" s="58" t="s">
        <v>69</v>
      </c>
      <c r="BI100" s="58" t="s">
        <v>69</v>
      </c>
      <c r="BJ100" s="58" t="s">
        <v>69</v>
      </c>
      <c r="BK100" s="58" t="s">
        <v>69</v>
      </c>
      <c r="BL100" s="58" t="s">
        <v>69</v>
      </c>
      <c r="BM100" s="58" t="s">
        <v>69</v>
      </c>
      <c r="BN100" s="58" t="s">
        <v>69</v>
      </c>
      <c r="BO100" s="58" t="s">
        <v>69</v>
      </c>
      <c r="BP100" s="58" t="s">
        <v>69</v>
      </c>
      <c r="BQ100" s="58" t="s">
        <v>69</v>
      </c>
      <c r="BR100" s="58" t="s">
        <v>69</v>
      </c>
      <c r="BS100" s="58" t="s">
        <v>69</v>
      </c>
      <c r="BT100" s="58" t="s">
        <v>69</v>
      </c>
      <c r="BU100" s="94">
        <v>2</v>
      </c>
      <c r="BV100" s="95">
        <f t="shared" si="2"/>
        <v>0.28205128205128205</v>
      </c>
      <c r="BW100" s="95">
        <f t="shared" si="3"/>
        <v>0.63636363636363635</v>
      </c>
    </row>
    <row r="101" spans="1:75" ht="41.25" customHeight="1">
      <c r="A101" s="48" t="s">
        <v>329</v>
      </c>
      <c r="B101" s="48" t="s">
        <v>330</v>
      </c>
      <c r="C101" s="48" t="s">
        <v>216</v>
      </c>
      <c r="D101" s="48" t="s">
        <v>434</v>
      </c>
      <c r="E101" s="57">
        <v>4</v>
      </c>
      <c r="F101" s="58">
        <v>4</v>
      </c>
      <c r="G101" s="58" t="s">
        <v>69</v>
      </c>
      <c r="H101" s="58" t="s">
        <v>69</v>
      </c>
      <c r="I101" s="58" t="s">
        <v>69</v>
      </c>
      <c r="J101" s="58" t="s">
        <v>69</v>
      </c>
      <c r="K101" s="58" t="s">
        <v>69</v>
      </c>
      <c r="L101" s="58" t="s">
        <v>69</v>
      </c>
      <c r="M101" s="58" t="s">
        <v>69</v>
      </c>
      <c r="N101" s="58">
        <v>2</v>
      </c>
      <c r="O101" s="58">
        <v>4</v>
      </c>
      <c r="P101" s="58">
        <v>4</v>
      </c>
      <c r="Q101" s="58" t="s">
        <v>69</v>
      </c>
      <c r="R101" s="58">
        <v>2</v>
      </c>
      <c r="S101" s="58" t="s">
        <v>69</v>
      </c>
      <c r="T101" s="58" t="s">
        <v>69</v>
      </c>
      <c r="U101" s="58" t="s">
        <v>69</v>
      </c>
      <c r="V101" s="58" t="s">
        <v>69</v>
      </c>
      <c r="W101" s="58">
        <v>4</v>
      </c>
      <c r="X101" s="58">
        <v>4</v>
      </c>
      <c r="Y101" s="58" t="s">
        <v>69</v>
      </c>
      <c r="Z101" s="58" t="s">
        <v>69</v>
      </c>
      <c r="AA101" s="58" t="s">
        <v>69</v>
      </c>
      <c r="AB101" s="58" t="s">
        <v>69</v>
      </c>
      <c r="AC101" s="58" t="s">
        <v>69</v>
      </c>
      <c r="AD101" s="58" t="s">
        <v>69</v>
      </c>
      <c r="AE101" s="58" t="s">
        <v>69</v>
      </c>
      <c r="AF101" s="58" t="s">
        <v>69</v>
      </c>
      <c r="AG101" s="58" t="s">
        <v>69</v>
      </c>
      <c r="AH101" s="58" t="s">
        <v>69</v>
      </c>
      <c r="AI101" s="58" t="s">
        <v>69</v>
      </c>
      <c r="AJ101" s="58">
        <v>3</v>
      </c>
      <c r="AK101" s="58" t="s">
        <v>69</v>
      </c>
      <c r="AL101" s="58">
        <v>2</v>
      </c>
      <c r="AM101" s="58" t="s">
        <v>69</v>
      </c>
      <c r="AN101" s="58" t="s">
        <v>69</v>
      </c>
      <c r="AO101" s="58" t="s">
        <v>69</v>
      </c>
      <c r="AP101" s="58" t="s">
        <v>69</v>
      </c>
      <c r="AQ101" s="58" t="s">
        <v>69</v>
      </c>
      <c r="AR101" s="58" t="s">
        <v>69</v>
      </c>
      <c r="AS101" s="58">
        <v>2</v>
      </c>
      <c r="AT101" s="58">
        <v>2</v>
      </c>
      <c r="AU101" s="58">
        <v>2</v>
      </c>
      <c r="AV101" s="58">
        <v>2</v>
      </c>
      <c r="AW101" s="58">
        <v>2</v>
      </c>
      <c r="AX101" s="58">
        <v>2</v>
      </c>
      <c r="AY101" s="58" t="s">
        <v>69</v>
      </c>
      <c r="AZ101" s="58" t="s">
        <v>69</v>
      </c>
      <c r="BA101" s="58">
        <v>2</v>
      </c>
      <c r="BB101" s="58">
        <v>2</v>
      </c>
      <c r="BC101" s="58" t="s">
        <v>69</v>
      </c>
      <c r="BD101" s="58" t="s">
        <v>69</v>
      </c>
      <c r="BE101" s="58" t="s">
        <v>69</v>
      </c>
      <c r="BF101" s="58" t="s">
        <v>69</v>
      </c>
      <c r="BG101" s="58" t="s">
        <v>69</v>
      </c>
      <c r="BH101" s="58" t="s">
        <v>69</v>
      </c>
      <c r="BI101" s="58" t="s">
        <v>69</v>
      </c>
      <c r="BJ101" s="58" t="s">
        <v>69</v>
      </c>
      <c r="BK101" s="58" t="s">
        <v>69</v>
      </c>
      <c r="BL101" s="58" t="s">
        <v>69</v>
      </c>
      <c r="BM101" s="58" t="s">
        <v>69</v>
      </c>
      <c r="BN101" s="58" t="s">
        <v>69</v>
      </c>
      <c r="BO101" s="58" t="s">
        <v>69</v>
      </c>
      <c r="BP101" s="58" t="s">
        <v>69</v>
      </c>
      <c r="BQ101" s="58" t="s">
        <v>69</v>
      </c>
      <c r="BR101" s="58" t="s">
        <v>69</v>
      </c>
      <c r="BS101" s="58" t="s">
        <v>69</v>
      </c>
      <c r="BT101" s="58" t="s">
        <v>69</v>
      </c>
      <c r="BU101" s="94">
        <v>4</v>
      </c>
      <c r="BV101" s="95">
        <f t="shared" si="2"/>
        <v>0.48717948717948717</v>
      </c>
      <c r="BW101" s="95">
        <f t="shared" si="3"/>
        <v>0.42105263157894735</v>
      </c>
    </row>
    <row r="102" spans="1:75" ht="41.25" customHeight="1">
      <c r="A102" s="48" t="s">
        <v>109</v>
      </c>
      <c r="B102" s="48" t="s">
        <v>308</v>
      </c>
      <c r="C102" s="48" t="s">
        <v>214</v>
      </c>
      <c r="D102" s="48" t="s">
        <v>434</v>
      </c>
      <c r="E102" s="57">
        <v>4</v>
      </c>
      <c r="F102" s="58">
        <v>4</v>
      </c>
      <c r="G102" s="58">
        <v>3</v>
      </c>
      <c r="H102" s="58" t="s">
        <v>69</v>
      </c>
      <c r="I102" s="58" t="s">
        <v>69</v>
      </c>
      <c r="J102" s="58" t="s">
        <v>69</v>
      </c>
      <c r="K102" s="58" t="s">
        <v>69</v>
      </c>
      <c r="L102" s="58">
        <v>2</v>
      </c>
      <c r="M102" s="58" t="s">
        <v>69</v>
      </c>
      <c r="N102" s="58" t="s">
        <v>69</v>
      </c>
      <c r="O102" s="58">
        <v>4</v>
      </c>
      <c r="P102" s="58">
        <v>4</v>
      </c>
      <c r="Q102" s="58" t="s">
        <v>69</v>
      </c>
      <c r="R102" s="58" t="s">
        <v>69</v>
      </c>
      <c r="S102" s="58">
        <v>3</v>
      </c>
      <c r="T102" s="58" t="s">
        <v>69</v>
      </c>
      <c r="U102" s="58" t="s">
        <v>69</v>
      </c>
      <c r="V102" s="58" t="s">
        <v>69</v>
      </c>
      <c r="W102" s="58">
        <v>4</v>
      </c>
      <c r="X102" s="58" t="s">
        <v>69</v>
      </c>
      <c r="Y102" s="58" t="s">
        <v>69</v>
      </c>
      <c r="Z102" s="58" t="s">
        <v>69</v>
      </c>
      <c r="AA102" s="58" t="s">
        <v>69</v>
      </c>
      <c r="AB102" s="58" t="s">
        <v>69</v>
      </c>
      <c r="AC102" s="58">
        <v>4</v>
      </c>
      <c r="AD102" s="58" t="s">
        <v>69</v>
      </c>
      <c r="AE102" s="58" t="s">
        <v>69</v>
      </c>
      <c r="AF102" s="58" t="s">
        <v>69</v>
      </c>
      <c r="AG102" s="58" t="s">
        <v>69</v>
      </c>
      <c r="AH102" s="58" t="s">
        <v>69</v>
      </c>
      <c r="AI102" s="58" t="s">
        <v>69</v>
      </c>
      <c r="AJ102" s="58">
        <v>4</v>
      </c>
      <c r="AK102" s="58" t="s">
        <v>69</v>
      </c>
      <c r="AL102" s="58">
        <v>3</v>
      </c>
      <c r="AM102" s="58" t="s">
        <v>69</v>
      </c>
      <c r="AN102" s="58" t="s">
        <v>69</v>
      </c>
      <c r="AO102" s="58" t="s">
        <v>69</v>
      </c>
      <c r="AP102" s="58" t="s">
        <v>69</v>
      </c>
      <c r="AQ102" s="58" t="s">
        <v>69</v>
      </c>
      <c r="AR102" s="58" t="s">
        <v>69</v>
      </c>
      <c r="AS102" s="58" t="s">
        <v>69</v>
      </c>
      <c r="AT102" s="58" t="s">
        <v>69</v>
      </c>
      <c r="AU102" s="58" t="s">
        <v>69</v>
      </c>
      <c r="AV102" s="58" t="s">
        <v>69</v>
      </c>
      <c r="AW102" s="58" t="s">
        <v>69</v>
      </c>
      <c r="AX102" s="58" t="s">
        <v>69</v>
      </c>
      <c r="AY102" s="58" t="s">
        <v>69</v>
      </c>
      <c r="AZ102" s="58" t="s">
        <v>69</v>
      </c>
      <c r="BA102" s="58" t="s">
        <v>69</v>
      </c>
      <c r="BB102" s="58" t="s">
        <v>69</v>
      </c>
      <c r="BC102" s="58" t="s">
        <v>69</v>
      </c>
      <c r="BD102" s="58">
        <v>3</v>
      </c>
      <c r="BE102" s="58" t="s">
        <v>69</v>
      </c>
      <c r="BF102" s="58" t="s">
        <v>69</v>
      </c>
      <c r="BG102" s="58" t="s">
        <v>69</v>
      </c>
      <c r="BH102" s="58" t="s">
        <v>69</v>
      </c>
      <c r="BI102" s="58" t="s">
        <v>69</v>
      </c>
      <c r="BJ102" s="58" t="s">
        <v>69</v>
      </c>
      <c r="BK102" s="58" t="s">
        <v>69</v>
      </c>
      <c r="BL102" s="58">
        <v>2</v>
      </c>
      <c r="BM102" s="58" t="s">
        <v>69</v>
      </c>
      <c r="BN102" s="58" t="s">
        <v>69</v>
      </c>
      <c r="BO102" s="58" t="s">
        <v>69</v>
      </c>
      <c r="BP102" s="58" t="s">
        <v>69</v>
      </c>
      <c r="BQ102" s="58" t="s">
        <v>69</v>
      </c>
      <c r="BR102" s="58" t="s">
        <v>69</v>
      </c>
      <c r="BS102" s="58">
        <v>3</v>
      </c>
      <c r="BT102" s="58" t="s">
        <v>69</v>
      </c>
      <c r="BU102" s="94">
        <v>3</v>
      </c>
      <c r="BV102" s="95">
        <f t="shared" si="2"/>
        <v>0.38461538461538464</v>
      </c>
      <c r="BW102" s="95">
        <f t="shared" si="3"/>
        <v>0.8666666666666667</v>
      </c>
    </row>
    <row r="103" spans="1:75" ht="41.25" customHeight="1">
      <c r="A103" s="48" t="s">
        <v>107</v>
      </c>
      <c r="B103" s="48" t="s">
        <v>370</v>
      </c>
      <c r="C103" s="48" t="s">
        <v>214</v>
      </c>
      <c r="D103" s="48" t="s">
        <v>434</v>
      </c>
      <c r="E103" s="57">
        <v>2</v>
      </c>
      <c r="F103" s="58" t="s">
        <v>69</v>
      </c>
      <c r="G103" s="58">
        <v>3</v>
      </c>
      <c r="H103" s="58">
        <v>3</v>
      </c>
      <c r="I103" s="58">
        <v>3</v>
      </c>
      <c r="J103" s="58" t="s">
        <v>69</v>
      </c>
      <c r="K103" s="58" t="s">
        <v>69</v>
      </c>
      <c r="L103" s="58" t="s">
        <v>69</v>
      </c>
      <c r="M103" s="58" t="s">
        <v>69</v>
      </c>
      <c r="N103" s="58" t="s">
        <v>69</v>
      </c>
      <c r="O103" s="58" t="s">
        <v>69</v>
      </c>
      <c r="P103" s="58" t="s">
        <v>69</v>
      </c>
      <c r="Q103" s="58">
        <v>3</v>
      </c>
      <c r="R103" s="58" t="s">
        <v>69</v>
      </c>
      <c r="S103" s="58" t="s">
        <v>69</v>
      </c>
      <c r="T103" s="58" t="s">
        <v>69</v>
      </c>
      <c r="U103" s="58" t="s">
        <v>69</v>
      </c>
      <c r="V103" s="58" t="s">
        <v>69</v>
      </c>
      <c r="W103" s="58" t="s">
        <v>69</v>
      </c>
      <c r="X103" s="58" t="s">
        <v>69</v>
      </c>
      <c r="Y103" s="58" t="s">
        <v>69</v>
      </c>
      <c r="Z103" s="58" t="s">
        <v>69</v>
      </c>
      <c r="AA103" s="58" t="s">
        <v>69</v>
      </c>
      <c r="AB103" s="58" t="s">
        <v>69</v>
      </c>
      <c r="AC103" s="58" t="s">
        <v>69</v>
      </c>
      <c r="AD103" s="58">
        <v>2</v>
      </c>
      <c r="AE103" s="58">
        <v>2</v>
      </c>
      <c r="AF103" s="58" t="s">
        <v>69</v>
      </c>
      <c r="AG103" s="58" t="s">
        <v>69</v>
      </c>
      <c r="AH103" s="58" t="s">
        <v>69</v>
      </c>
      <c r="AI103" s="58" t="s">
        <v>69</v>
      </c>
      <c r="AJ103" s="58" t="s">
        <v>69</v>
      </c>
      <c r="AK103" s="58" t="s">
        <v>69</v>
      </c>
      <c r="AL103" s="58" t="s">
        <v>69</v>
      </c>
      <c r="AM103" s="58" t="s">
        <v>69</v>
      </c>
      <c r="AN103" s="58" t="s">
        <v>69</v>
      </c>
      <c r="AO103" s="58" t="s">
        <v>69</v>
      </c>
      <c r="AP103" s="58" t="s">
        <v>69</v>
      </c>
      <c r="AQ103" s="58" t="s">
        <v>69</v>
      </c>
      <c r="AR103" s="58" t="s">
        <v>69</v>
      </c>
      <c r="AS103" s="58" t="s">
        <v>69</v>
      </c>
      <c r="AT103" s="58" t="s">
        <v>69</v>
      </c>
      <c r="AU103" s="58" t="s">
        <v>69</v>
      </c>
      <c r="AV103" s="58" t="s">
        <v>69</v>
      </c>
      <c r="AW103" s="58">
        <v>3</v>
      </c>
      <c r="AX103" s="58" t="s">
        <v>69</v>
      </c>
      <c r="AY103" s="58" t="s">
        <v>69</v>
      </c>
      <c r="AZ103" s="58" t="s">
        <v>69</v>
      </c>
      <c r="BA103" s="58" t="s">
        <v>69</v>
      </c>
      <c r="BB103" s="58" t="s">
        <v>69</v>
      </c>
      <c r="BC103" s="58" t="s">
        <v>69</v>
      </c>
      <c r="BD103" s="58" t="s">
        <v>69</v>
      </c>
      <c r="BE103" s="58" t="s">
        <v>69</v>
      </c>
      <c r="BF103" s="58" t="s">
        <v>69</v>
      </c>
      <c r="BG103" s="58" t="s">
        <v>69</v>
      </c>
      <c r="BH103" s="58" t="s">
        <v>69</v>
      </c>
      <c r="BI103" s="58" t="s">
        <v>69</v>
      </c>
      <c r="BJ103" s="58" t="s">
        <v>69</v>
      </c>
      <c r="BK103" s="58" t="s">
        <v>69</v>
      </c>
      <c r="BL103" s="58" t="s">
        <v>69</v>
      </c>
      <c r="BM103" s="58" t="s">
        <v>69</v>
      </c>
      <c r="BN103" s="58" t="s">
        <v>69</v>
      </c>
      <c r="BO103" s="58" t="s">
        <v>69</v>
      </c>
      <c r="BP103" s="58" t="s">
        <v>69</v>
      </c>
      <c r="BQ103" s="58" t="s">
        <v>69</v>
      </c>
      <c r="BR103" s="58" t="s">
        <v>69</v>
      </c>
      <c r="BS103" s="58">
        <v>3</v>
      </c>
      <c r="BT103" s="58" t="s">
        <v>69</v>
      </c>
      <c r="BU103" s="94">
        <v>3</v>
      </c>
      <c r="BV103" s="95">
        <f t="shared" si="2"/>
        <v>0.25641025641025639</v>
      </c>
      <c r="BW103" s="95">
        <f t="shared" si="3"/>
        <v>0.7</v>
      </c>
    </row>
    <row r="104" spans="1:75" ht="41.25" customHeight="1">
      <c r="A104" s="48" t="s">
        <v>121</v>
      </c>
      <c r="B104" s="48" t="s">
        <v>122</v>
      </c>
      <c r="C104" s="48" t="s">
        <v>217</v>
      </c>
      <c r="D104" s="48" t="s">
        <v>434</v>
      </c>
      <c r="E104" s="57">
        <v>3</v>
      </c>
      <c r="F104" s="58" t="s">
        <v>69</v>
      </c>
      <c r="G104" s="58" t="s">
        <v>69</v>
      </c>
      <c r="H104" s="58">
        <v>2</v>
      </c>
      <c r="I104" s="58">
        <v>2</v>
      </c>
      <c r="J104" s="58" t="s">
        <v>69</v>
      </c>
      <c r="K104" s="58" t="s">
        <v>69</v>
      </c>
      <c r="L104" s="58" t="s">
        <v>69</v>
      </c>
      <c r="M104" s="58" t="s">
        <v>69</v>
      </c>
      <c r="N104" s="58" t="s">
        <v>69</v>
      </c>
      <c r="O104" s="58" t="s">
        <v>69</v>
      </c>
      <c r="P104" s="58" t="s">
        <v>69</v>
      </c>
      <c r="Q104" s="58" t="s">
        <v>69</v>
      </c>
      <c r="R104" s="58" t="s">
        <v>69</v>
      </c>
      <c r="S104" s="58" t="s">
        <v>69</v>
      </c>
      <c r="T104" s="58" t="s">
        <v>69</v>
      </c>
      <c r="U104" s="58" t="s">
        <v>69</v>
      </c>
      <c r="V104" s="58" t="s">
        <v>69</v>
      </c>
      <c r="W104" s="58" t="s">
        <v>69</v>
      </c>
      <c r="X104" s="58" t="s">
        <v>69</v>
      </c>
      <c r="Y104" s="58" t="s">
        <v>69</v>
      </c>
      <c r="Z104" s="58" t="s">
        <v>69</v>
      </c>
      <c r="AA104" s="58" t="s">
        <v>69</v>
      </c>
      <c r="AB104" s="58" t="s">
        <v>69</v>
      </c>
      <c r="AC104" s="58" t="s">
        <v>69</v>
      </c>
      <c r="AD104" s="58" t="s">
        <v>69</v>
      </c>
      <c r="AE104" s="58" t="s">
        <v>69</v>
      </c>
      <c r="AF104" s="58" t="s">
        <v>69</v>
      </c>
      <c r="AG104" s="58" t="s">
        <v>69</v>
      </c>
      <c r="AH104" s="58" t="s">
        <v>69</v>
      </c>
      <c r="AI104" s="58" t="s">
        <v>69</v>
      </c>
      <c r="AJ104" s="58" t="s">
        <v>69</v>
      </c>
      <c r="AK104" s="58" t="s">
        <v>69</v>
      </c>
      <c r="AL104" s="58">
        <v>4</v>
      </c>
      <c r="AM104" s="58">
        <v>4</v>
      </c>
      <c r="AN104" s="58" t="s">
        <v>69</v>
      </c>
      <c r="AO104" s="58" t="s">
        <v>69</v>
      </c>
      <c r="AP104" s="58" t="s">
        <v>69</v>
      </c>
      <c r="AQ104" s="58" t="s">
        <v>69</v>
      </c>
      <c r="AR104" s="58" t="s">
        <v>69</v>
      </c>
      <c r="AS104" s="58" t="s">
        <v>69</v>
      </c>
      <c r="AT104" s="58" t="s">
        <v>69</v>
      </c>
      <c r="AU104" s="58" t="s">
        <v>69</v>
      </c>
      <c r="AV104" s="58" t="s">
        <v>69</v>
      </c>
      <c r="AW104" s="58" t="s">
        <v>69</v>
      </c>
      <c r="AX104" s="58" t="s">
        <v>69</v>
      </c>
      <c r="AY104" s="58" t="s">
        <v>69</v>
      </c>
      <c r="AZ104" s="58" t="s">
        <v>69</v>
      </c>
      <c r="BA104" s="58" t="s">
        <v>69</v>
      </c>
      <c r="BB104" s="58" t="s">
        <v>69</v>
      </c>
      <c r="BC104" s="58" t="s">
        <v>69</v>
      </c>
      <c r="BD104" s="58">
        <v>4</v>
      </c>
      <c r="BE104" s="58">
        <v>4</v>
      </c>
      <c r="BF104" s="58">
        <v>4</v>
      </c>
      <c r="BG104" s="58" t="s">
        <v>69</v>
      </c>
      <c r="BH104" s="58" t="s">
        <v>69</v>
      </c>
      <c r="BI104" s="58" t="s">
        <v>69</v>
      </c>
      <c r="BJ104" s="58" t="s">
        <v>69</v>
      </c>
      <c r="BK104" s="58" t="s">
        <v>69</v>
      </c>
      <c r="BL104" s="58" t="s">
        <v>69</v>
      </c>
      <c r="BM104" s="58" t="s">
        <v>69</v>
      </c>
      <c r="BN104" s="58" t="s">
        <v>69</v>
      </c>
      <c r="BO104" s="58" t="s">
        <v>69</v>
      </c>
      <c r="BP104" s="58" t="s">
        <v>69</v>
      </c>
      <c r="BQ104" s="58" t="s">
        <v>69</v>
      </c>
      <c r="BR104" s="58" t="s">
        <v>69</v>
      </c>
      <c r="BS104" s="58">
        <v>3</v>
      </c>
      <c r="BT104" s="58" t="s">
        <v>69</v>
      </c>
      <c r="BU104" s="94">
        <v>3</v>
      </c>
      <c r="BV104" s="95">
        <f t="shared" si="2"/>
        <v>0.25641025641025639</v>
      </c>
      <c r="BW104" s="95">
        <f t="shared" si="3"/>
        <v>0.8</v>
      </c>
    </row>
    <row r="105" spans="1:75" ht="41.25" customHeight="1">
      <c r="A105" s="48" t="s">
        <v>99</v>
      </c>
      <c r="B105" s="48" t="s">
        <v>431</v>
      </c>
      <c r="C105" s="48" t="s">
        <v>214</v>
      </c>
      <c r="D105" s="48" t="s">
        <v>434</v>
      </c>
      <c r="E105" s="57">
        <v>3</v>
      </c>
      <c r="F105" s="58" t="s">
        <v>69</v>
      </c>
      <c r="G105" s="58" t="s">
        <v>69</v>
      </c>
      <c r="H105" s="58" t="s">
        <v>69</v>
      </c>
      <c r="I105" s="58" t="s">
        <v>69</v>
      </c>
      <c r="J105" s="58" t="s">
        <v>69</v>
      </c>
      <c r="K105" s="58" t="s">
        <v>69</v>
      </c>
      <c r="L105" s="58" t="s">
        <v>69</v>
      </c>
      <c r="M105" s="58" t="s">
        <v>69</v>
      </c>
      <c r="N105" s="58">
        <v>2</v>
      </c>
      <c r="O105" s="58">
        <v>2</v>
      </c>
      <c r="P105" s="58" t="s">
        <v>69</v>
      </c>
      <c r="Q105" s="58" t="s">
        <v>69</v>
      </c>
      <c r="R105" s="58" t="s">
        <v>69</v>
      </c>
      <c r="S105" s="58" t="s">
        <v>69</v>
      </c>
      <c r="T105" s="58" t="s">
        <v>69</v>
      </c>
      <c r="U105" s="58" t="s">
        <v>69</v>
      </c>
      <c r="V105" s="58" t="s">
        <v>69</v>
      </c>
      <c r="W105" s="58" t="s">
        <v>69</v>
      </c>
      <c r="X105" s="58" t="s">
        <v>69</v>
      </c>
      <c r="Y105" s="58" t="s">
        <v>69</v>
      </c>
      <c r="Z105" s="58" t="s">
        <v>69</v>
      </c>
      <c r="AA105" s="58" t="s">
        <v>69</v>
      </c>
      <c r="AB105" s="58" t="s">
        <v>69</v>
      </c>
      <c r="AC105" s="58" t="s">
        <v>69</v>
      </c>
      <c r="AD105" s="58" t="s">
        <v>69</v>
      </c>
      <c r="AE105" s="58" t="s">
        <v>69</v>
      </c>
      <c r="AF105" s="58" t="s">
        <v>69</v>
      </c>
      <c r="AG105" s="58" t="s">
        <v>69</v>
      </c>
      <c r="AH105" s="58" t="s">
        <v>69</v>
      </c>
      <c r="AI105" s="58" t="s">
        <v>69</v>
      </c>
      <c r="AJ105" s="58" t="s">
        <v>69</v>
      </c>
      <c r="AK105" s="58" t="s">
        <v>69</v>
      </c>
      <c r="AL105" s="58">
        <v>2</v>
      </c>
      <c r="AM105" s="58" t="s">
        <v>69</v>
      </c>
      <c r="AN105" s="58" t="s">
        <v>69</v>
      </c>
      <c r="AO105" s="58" t="s">
        <v>69</v>
      </c>
      <c r="AP105" s="58" t="s">
        <v>69</v>
      </c>
      <c r="AQ105" s="58" t="s">
        <v>69</v>
      </c>
      <c r="AR105" s="58" t="s">
        <v>69</v>
      </c>
      <c r="AS105" s="58" t="s">
        <v>69</v>
      </c>
      <c r="AT105" s="58" t="s">
        <v>69</v>
      </c>
      <c r="AU105" s="58" t="s">
        <v>69</v>
      </c>
      <c r="AV105" s="58" t="s">
        <v>69</v>
      </c>
      <c r="AW105" s="58" t="s">
        <v>69</v>
      </c>
      <c r="AX105" s="58" t="s">
        <v>69</v>
      </c>
      <c r="AY105" s="58" t="s">
        <v>69</v>
      </c>
      <c r="AZ105" s="58" t="s">
        <v>69</v>
      </c>
      <c r="BA105" s="58" t="s">
        <v>69</v>
      </c>
      <c r="BB105" s="58" t="s">
        <v>69</v>
      </c>
      <c r="BC105" s="58" t="s">
        <v>69</v>
      </c>
      <c r="BD105" s="58">
        <v>2</v>
      </c>
      <c r="BE105" s="58" t="s">
        <v>69</v>
      </c>
      <c r="BF105" s="58" t="s">
        <v>69</v>
      </c>
      <c r="BG105" s="58" t="s">
        <v>69</v>
      </c>
      <c r="BH105" s="58" t="s">
        <v>69</v>
      </c>
      <c r="BI105" s="58" t="s">
        <v>69</v>
      </c>
      <c r="BJ105" s="58" t="s">
        <v>69</v>
      </c>
      <c r="BK105" s="58" t="s">
        <v>69</v>
      </c>
      <c r="BL105" s="58">
        <v>2</v>
      </c>
      <c r="BM105" s="58" t="s">
        <v>69</v>
      </c>
      <c r="BN105" s="58" t="s">
        <v>69</v>
      </c>
      <c r="BO105" s="58" t="s">
        <v>69</v>
      </c>
      <c r="BP105" s="58" t="s">
        <v>69</v>
      </c>
      <c r="BQ105" s="58" t="s">
        <v>69</v>
      </c>
      <c r="BR105" s="58" t="s">
        <v>69</v>
      </c>
      <c r="BS105" s="58">
        <v>3</v>
      </c>
      <c r="BT105" s="58" t="s">
        <v>69</v>
      </c>
      <c r="BU105" s="94">
        <v>3</v>
      </c>
      <c r="BV105" s="95">
        <f t="shared" si="2"/>
        <v>0.20512820512820512</v>
      </c>
      <c r="BW105" s="95">
        <f t="shared" si="3"/>
        <v>0.375</v>
      </c>
    </row>
    <row r="106" spans="1:75" ht="41.25" customHeight="1">
      <c r="A106" s="48" t="s">
        <v>467</v>
      </c>
      <c r="B106" s="48" t="s">
        <v>98</v>
      </c>
      <c r="C106" s="48" t="s">
        <v>214</v>
      </c>
      <c r="D106" s="48" t="s">
        <v>434</v>
      </c>
      <c r="E106" s="57">
        <v>4</v>
      </c>
      <c r="F106" s="58">
        <v>4</v>
      </c>
      <c r="G106" s="58">
        <v>3</v>
      </c>
      <c r="H106" s="58" t="s">
        <v>69</v>
      </c>
      <c r="I106" s="58" t="s">
        <v>69</v>
      </c>
      <c r="J106" s="58">
        <v>3</v>
      </c>
      <c r="K106" s="58" t="s">
        <v>69</v>
      </c>
      <c r="L106" s="58">
        <v>4</v>
      </c>
      <c r="M106" s="58" t="s">
        <v>69</v>
      </c>
      <c r="N106" s="58">
        <v>2</v>
      </c>
      <c r="O106" s="58" t="s">
        <v>69</v>
      </c>
      <c r="P106" s="58" t="s">
        <v>69</v>
      </c>
      <c r="Q106" s="58" t="s">
        <v>69</v>
      </c>
      <c r="R106" s="58" t="s">
        <v>69</v>
      </c>
      <c r="S106" s="58" t="s">
        <v>69</v>
      </c>
      <c r="T106" s="58" t="s">
        <v>69</v>
      </c>
      <c r="U106" s="58" t="s">
        <v>69</v>
      </c>
      <c r="V106" s="58" t="s">
        <v>69</v>
      </c>
      <c r="W106" s="58">
        <v>4</v>
      </c>
      <c r="X106" s="58" t="s">
        <v>69</v>
      </c>
      <c r="Y106" s="58" t="s">
        <v>69</v>
      </c>
      <c r="Z106" s="58" t="s">
        <v>69</v>
      </c>
      <c r="AA106" s="58" t="s">
        <v>69</v>
      </c>
      <c r="AB106" s="58" t="s">
        <v>69</v>
      </c>
      <c r="AC106" s="58">
        <v>3</v>
      </c>
      <c r="AD106" s="58">
        <v>4</v>
      </c>
      <c r="AE106" s="58" t="s">
        <v>69</v>
      </c>
      <c r="AF106" s="58" t="s">
        <v>69</v>
      </c>
      <c r="AG106" s="58" t="s">
        <v>69</v>
      </c>
      <c r="AH106" s="58" t="s">
        <v>69</v>
      </c>
      <c r="AI106" s="58" t="s">
        <v>69</v>
      </c>
      <c r="AJ106" s="58">
        <v>4</v>
      </c>
      <c r="AK106" s="58" t="s">
        <v>69</v>
      </c>
      <c r="AL106" s="58" t="s">
        <v>69</v>
      </c>
      <c r="AM106" s="58" t="s">
        <v>69</v>
      </c>
      <c r="AN106" s="58" t="s">
        <v>69</v>
      </c>
      <c r="AO106" s="58" t="s">
        <v>69</v>
      </c>
      <c r="AP106" s="58" t="s">
        <v>69</v>
      </c>
      <c r="AQ106" s="58" t="s">
        <v>69</v>
      </c>
      <c r="AR106" s="58" t="s">
        <v>69</v>
      </c>
      <c r="AS106" s="58" t="s">
        <v>69</v>
      </c>
      <c r="AT106" s="58" t="s">
        <v>69</v>
      </c>
      <c r="AU106" s="58" t="s">
        <v>69</v>
      </c>
      <c r="AV106" s="58" t="s">
        <v>69</v>
      </c>
      <c r="AW106" s="58" t="s">
        <v>69</v>
      </c>
      <c r="AX106" s="58" t="s">
        <v>69</v>
      </c>
      <c r="AY106" s="58" t="s">
        <v>69</v>
      </c>
      <c r="AZ106" s="58" t="s">
        <v>69</v>
      </c>
      <c r="BA106" s="58" t="s">
        <v>69</v>
      </c>
      <c r="BB106" s="58" t="s">
        <v>69</v>
      </c>
      <c r="BC106" s="58" t="s">
        <v>69</v>
      </c>
      <c r="BD106" s="58" t="s">
        <v>69</v>
      </c>
      <c r="BE106" s="58" t="s">
        <v>69</v>
      </c>
      <c r="BF106" s="58" t="s">
        <v>69</v>
      </c>
      <c r="BG106" s="58" t="s">
        <v>69</v>
      </c>
      <c r="BH106" s="58" t="s">
        <v>69</v>
      </c>
      <c r="BI106" s="58" t="s">
        <v>69</v>
      </c>
      <c r="BJ106" s="58" t="s">
        <v>69</v>
      </c>
      <c r="BK106" s="58" t="s">
        <v>69</v>
      </c>
      <c r="BL106" s="58" t="s">
        <v>69</v>
      </c>
      <c r="BM106" s="58" t="s">
        <v>69</v>
      </c>
      <c r="BN106" s="58" t="s">
        <v>69</v>
      </c>
      <c r="BO106" s="58" t="s">
        <v>69</v>
      </c>
      <c r="BP106" s="58" t="s">
        <v>69</v>
      </c>
      <c r="BQ106" s="58" t="s">
        <v>69</v>
      </c>
      <c r="BR106" s="58" t="s">
        <v>69</v>
      </c>
      <c r="BS106" s="58">
        <v>3</v>
      </c>
      <c r="BT106" s="58" t="s">
        <v>69</v>
      </c>
      <c r="BU106" s="94">
        <v>4</v>
      </c>
      <c r="BV106" s="95">
        <f t="shared" si="2"/>
        <v>0.30769230769230771</v>
      </c>
      <c r="BW106" s="95">
        <f t="shared" si="3"/>
        <v>0.91666666666666663</v>
      </c>
    </row>
    <row r="107" spans="1:75" ht="41.25" customHeight="1">
      <c r="A107" s="48" t="s">
        <v>92</v>
      </c>
      <c r="B107" s="48" t="s">
        <v>93</v>
      </c>
      <c r="C107" s="48" t="s">
        <v>216</v>
      </c>
      <c r="D107" s="48" t="s">
        <v>434</v>
      </c>
      <c r="E107" s="57">
        <v>3</v>
      </c>
      <c r="F107" s="58" t="s">
        <v>69</v>
      </c>
      <c r="G107" s="58">
        <v>4</v>
      </c>
      <c r="H107" s="58">
        <v>4</v>
      </c>
      <c r="I107" s="58">
        <v>3</v>
      </c>
      <c r="J107" s="58">
        <v>2</v>
      </c>
      <c r="K107" s="58" t="s">
        <v>69</v>
      </c>
      <c r="L107" s="58" t="s">
        <v>69</v>
      </c>
      <c r="M107" s="58" t="s">
        <v>69</v>
      </c>
      <c r="N107" s="58">
        <v>4</v>
      </c>
      <c r="O107" s="58">
        <v>4</v>
      </c>
      <c r="P107" s="58" t="s">
        <v>69</v>
      </c>
      <c r="Q107" s="58" t="s">
        <v>69</v>
      </c>
      <c r="R107" s="58" t="s">
        <v>69</v>
      </c>
      <c r="S107" s="58" t="s">
        <v>69</v>
      </c>
      <c r="T107" s="58" t="s">
        <v>69</v>
      </c>
      <c r="U107" s="58" t="s">
        <v>69</v>
      </c>
      <c r="V107" s="58" t="s">
        <v>69</v>
      </c>
      <c r="W107" s="58">
        <v>4</v>
      </c>
      <c r="X107" s="58">
        <v>4</v>
      </c>
      <c r="Y107" s="58" t="s">
        <v>69</v>
      </c>
      <c r="Z107" s="58" t="s">
        <v>69</v>
      </c>
      <c r="AA107" s="58" t="s">
        <v>69</v>
      </c>
      <c r="AB107" s="58" t="s">
        <v>69</v>
      </c>
      <c r="AC107" s="58">
        <v>4</v>
      </c>
      <c r="AD107" s="58" t="s">
        <v>69</v>
      </c>
      <c r="AE107" s="58" t="s">
        <v>69</v>
      </c>
      <c r="AF107" s="58" t="s">
        <v>69</v>
      </c>
      <c r="AG107" s="58" t="s">
        <v>69</v>
      </c>
      <c r="AH107" s="58" t="s">
        <v>69</v>
      </c>
      <c r="AI107" s="58" t="s">
        <v>69</v>
      </c>
      <c r="AJ107" s="58">
        <v>4</v>
      </c>
      <c r="AK107" s="58" t="s">
        <v>69</v>
      </c>
      <c r="AL107" s="58" t="s">
        <v>69</v>
      </c>
      <c r="AM107" s="58">
        <v>3</v>
      </c>
      <c r="AN107" s="58" t="s">
        <v>69</v>
      </c>
      <c r="AO107" s="58" t="s">
        <v>69</v>
      </c>
      <c r="AP107" s="58" t="s">
        <v>69</v>
      </c>
      <c r="AQ107" s="58" t="s">
        <v>69</v>
      </c>
      <c r="AR107" s="58">
        <v>2</v>
      </c>
      <c r="AS107" s="58">
        <v>2</v>
      </c>
      <c r="AT107" s="58">
        <v>2</v>
      </c>
      <c r="AU107" s="58">
        <v>2</v>
      </c>
      <c r="AV107" s="58">
        <v>2</v>
      </c>
      <c r="AW107" s="58">
        <v>2</v>
      </c>
      <c r="AX107" s="58" t="s">
        <v>69</v>
      </c>
      <c r="AY107" s="58" t="s">
        <v>69</v>
      </c>
      <c r="AZ107" s="58" t="s">
        <v>69</v>
      </c>
      <c r="BA107" s="58" t="s">
        <v>69</v>
      </c>
      <c r="BB107" s="58">
        <v>2</v>
      </c>
      <c r="BC107" s="58" t="s">
        <v>69</v>
      </c>
      <c r="BD107" s="58" t="s">
        <v>69</v>
      </c>
      <c r="BE107" s="58">
        <v>3</v>
      </c>
      <c r="BF107" s="58">
        <v>3</v>
      </c>
      <c r="BG107" s="58" t="s">
        <v>69</v>
      </c>
      <c r="BH107" s="58" t="s">
        <v>69</v>
      </c>
      <c r="BI107" s="58" t="s">
        <v>69</v>
      </c>
      <c r="BJ107" s="58" t="s">
        <v>69</v>
      </c>
      <c r="BK107" s="58" t="s">
        <v>69</v>
      </c>
      <c r="BL107" s="58" t="s">
        <v>69</v>
      </c>
      <c r="BM107" s="58" t="s">
        <v>69</v>
      </c>
      <c r="BN107" s="58" t="s">
        <v>69</v>
      </c>
      <c r="BO107" s="58" t="s">
        <v>69</v>
      </c>
      <c r="BP107" s="58" t="s">
        <v>69</v>
      </c>
      <c r="BQ107" s="58" t="s">
        <v>69</v>
      </c>
      <c r="BR107" s="58" t="s">
        <v>69</v>
      </c>
      <c r="BS107" s="58">
        <v>3</v>
      </c>
      <c r="BT107" s="58">
        <v>4</v>
      </c>
      <c r="BU107" s="94">
        <v>3</v>
      </c>
      <c r="BV107" s="95">
        <f t="shared" si="2"/>
        <v>0.61538461538461542</v>
      </c>
      <c r="BW107" s="95">
        <f t="shared" si="3"/>
        <v>0.66666666666666663</v>
      </c>
    </row>
    <row r="108" spans="1:75" ht="41.25" customHeight="1">
      <c r="A108" s="48" t="s">
        <v>94</v>
      </c>
      <c r="B108" s="48" t="s">
        <v>95</v>
      </c>
      <c r="C108" s="48" t="s">
        <v>214</v>
      </c>
      <c r="D108" s="48" t="s">
        <v>434</v>
      </c>
      <c r="E108" s="57">
        <v>3</v>
      </c>
      <c r="F108" s="58" t="s">
        <v>69</v>
      </c>
      <c r="G108" s="58">
        <v>4</v>
      </c>
      <c r="H108" s="58">
        <v>4</v>
      </c>
      <c r="I108" s="58" t="s">
        <v>69</v>
      </c>
      <c r="J108" s="58">
        <v>3</v>
      </c>
      <c r="K108" s="58" t="s">
        <v>69</v>
      </c>
      <c r="L108" s="58" t="s">
        <v>69</v>
      </c>
      <c r="M108" s="58" t="s">
        <v>69</v>
      </c>
      <c r="N108" s="58" t="s">
        <v>69</v>
      </c>
      <c r="O108" s="58" t="s">
        <v>69</v>
      </c>
      <c r="P108" s="58" t="s">
        <v>69</v>
      </c>
      <c r="Q108" s="58" t="s">
        <v>69</v>
      </c>
      <c r="R108" s="58" t="s">
        <v>69</v>
      </c>
      <c r="S108" s="58" t="s">
        <v>69</v>
      </c>
      <c r="T108" s="58" t="s">
        <v>69</v>
      </c>
      <c r="U108" s="58" t="s">
        <v>69</v>
      </c>
      <c r="V108" s="58" t="s">
        <v>69</v>
      </c>
      <c r="W108" s="58" t="s">
        <v>69</v>
      </c>
      <c r="X108" s="58" t="s">
        <v>69</v>
      </c>
      <c r="Y108" s="58" t="s">
        <v>69</v>
      </c>
      <c r="Z108" s="58" t="s">
        <v>69</v>
      </c>
      <c r="AA108" s="58" t="s">
        <v>69</v>
      </c>
      <c r="AB108" s="58" t="s">
        <v>69</v>
      </c>
      <c r="AC108" s="58">
        <v>1</v>
      </c>
      <c r="AD108" s="58" t="s">
        <v>69</v>
      </c>
      <c r="AE108" s="58" t="s">
        <v>69</v>
      </c>
      <c r="AF108" s="58" t="s">
        <v>69</v>
      </c>
      <c r="AG108" s="58" t="s">
        <v>69</v>
      </c>
      <c r="AH108" s="58" t="s">
        <v>69</v>
      </c>
      <c r="AI108" s="58" t="s">
        <v>69</v>
      </c>
      <c r="AJ108" s="58" t="s">
        <v>69</v>
      </c>
      <c r="AK108" s="58" t="s">
        <v>69</v>
      </c>
      <c r="AL108" s="58">
        <v>1</v>
      </c>
      <c r="AM108" s="58" t="s">
        <v>69</v>
      </c>
      <c r="AN108" s="58" t="s">
        <v>69</v>
      </c>
      <c r="AO108" s="58" t="s">
        <v>69</v>
      </c>
      <c r="AP108" s="58">
        <v>2</v>
      </c>
      <c r="AQ108" s="58" t="s">
        <v>69</v>
      </c>
      <c r="AR108" s="58" t="s">
        <v>69</v>
      </c>
      <c r="AS108" s="58" t="s">
        <v>69</v>
      </c>
      <c r="AT108" s="58" t="s">
        <v>69</v>
      </c>
      <c r="AU108" s="58" t="s">
        <v>69</v>
      </c>
      <c r="AV108" s="58" t="s">
        <v>69</v>
      </c>
      <c r="AW108" s="58" t="s">
        <v>69</v>
      </c>
      <c r="AX108" s="58" t="s">
        <v>69</v>
      </c>
      <c r="AY108" s="58">
        <v>2</v>
      </c>
      <c r="AZ108" s="58">
        <v>2</v>
      </c>
      <c r="BA108" s="58" t="s">
        <v>69</v>
      </c>
      <c r="BB108" s="58" t="s">
        <v>69</v>
      </c>
      <c r="BC108" s="58" t="s">
        <v>69</v>
      </c>
      <c r="BD108" s="58">
        <v>2</v>
      </c>
      <c r="BE108" s="58" t="s">
        <v>69</v>
      </c>
      <c r="BF108" s="58">
        <v>2</v>
      </c>
      <c r="BG108" s="58" t="s">
        <v>69</v>
      </c>
      <c r="BH108" s="58" t="s">
        <v>69</v>
      </c>
      <c r="BI108" s="58" t="s">
        <v>69</v>
      </c>
      <c r="BJ108" s="58" t="s">
        <v>69</v>
      </c>
      <c r="BK108" s="58">
        <v>2</v>
      </c>
      <c r="BL108" s="58" t="s">
        <v>69</v>
      </c>
      <c r="BM108" s="58" t="s">
        <v>69</v>
      </c>
      <c r="BN108" s="58" t="s">
        <v>69</v>
      </c>
      <c r="BO108" s="58" t="s">
        <v>69</v>
      </c>
      <c r="BP108" s="58" t="s">
        <v>69</v>
      </c>
      <c r="BQ108" s="58" t="s">
        <v>69</v>
      </c>
      <c r="BR108" s="58" t="s">
        <v>69</v>
      </c>
      <c r="BS108" s="58">
        <v>3</v>
      </c>
      <c r="BT108" s="58" t="s">
        <v>69</v>
      </c>
      <c r="BU108" s="94">
        <v>2</v>
      </c>
      <c r="BV108" s="95">
        <f t="shared" si="2"/>
        <v>0.35897435897435898</v>
      </c>
      <c r="BW108" s="95">
        <f t="shared" si="3"/>
        <v>0.41666666666666669</v>
      </c>
    </row>
    <row r="109" spans="1:75" ht="41.25" customHeight="1" thickBot="1">
      <c r="A109" s="48" t="s">
        <v>96</v>
      </c>
      <c r="B109" s="48" t="s">
        <v>97</v>
      </c>
      <c r="C109" s="48" t="s">
        <v>215</v>
      </c>
      <c r="D109" s="48" t="s">
        <v>434</v>
      </c>
      <c r="E109" s="57">
        <v>3</v>
      </c>
      <c r="F109" s="58" t="s">
        <v>69</v>
      </c>
      <c r="G109" s="58">
        <v>2</v>
      </c>
      <c r="H109" s="58" t="s">
        <v>69</v>
      </c>
      <c r="I109" s="58" t="s">
        <v>69</v>
      </c>
      <c r="J109" s="58" t="s">
        <v>69</v>
      </c>
      <c r="K109" s="58" t="s">
        <v>69</v>
      </c>
      <c r="L109" s="58" t="s">
        <v>69</v>
      </c>
      <c r="M109" s="58" t="s">
        <v>69</v>
      </c>
      <c r="N109" s="58" t="s">
        <v>69</v>
      </c>
      <c r="O109" s="58">
        <v>2</v>
      </c>
      <c r="P109" s="58" t="s">
        <v>69</v>
      </c>
      <c r="Q109" s="58" t="s">
        <v>69</v>
      </c>
      <c r="R109" s="58" t="s">
        <v>69</v>
      </c>
      <c r="S109" s="58">
        <v>2</v>
      </c>
      <c r="T109" s="58" t="s">
        <v>69</v>
      </c>
      <c r="U109" s="58" t="s">
        <v>69</v>
      </c>
      <c r="V109" s="58" t="s">
        <v>69</v>
      </c>
      <c r="W109" s="58" t="s">
        <v>69</v>
      </c>
      <c r="X109" s="58" t="s">
        <v>69</v>
      </c>
      <c r="Y109" s="58" t="s">
        <v>69</v>
      </c>
      <c r="Z109" s="58" t="s">
        <v>69</v>
      </c>
      <c r="AA109" s="58" t="s">
        <v>69</v>
      </c>
      <c r="AB109" s="58" t="s">
        <v>69</v>
      </c>
      <c r="AC109" s="58">
        <v>2</v>
      </c>
      <c r="AD109" s="58" t="s">
        <v>69</v>
      </c>
      <c r="AE109" s="58" t="s">
        <v>69</v>
      </c>
      <c r="AF109" s="58" t="s">
        <v>69</v>
      </c>
      <c r="AG109" s="58" t="s">
        <v>69</v>
      </c>
      <c r="AH109" s="58" t="s">
        <v>69</v>
      </c>
      <c r="AI109" s="58" t="s">
        <v>69</v>
      </c>
      <c r="AJ109" s="58" t="s">
        <v>69</v>
      </c>
      <c r="AK109" s="58" t="s">
        <v>69</v>
      </c>
      <c r="AL109" s="58" t="s">
        <v>69</v>
      </c>
      <c r="AM109" s="58" t="s">
        <v>69</v>
      </c>
      <c r="AN109" s="58" t="s">
        <v>69</v>
      </c>
      <c r="AO109" s="58" t="s">
        <v>69</v>
      </c>
      <c r="AP109" s="58" t="s">
        <v>69</v>
      </c>
      <c r="AQ109" s="58" t="s">
        <v>69</v>
      </c>
      <c r="AR109" s="58" t="s">
        <v>69</v>
      </c>
      <c r="AS109" s="58" t="s">
        <v>69</v>
      </c>
      <c r="AT109" s="58" t="s">
        <v>69</v>
      </c>
      <c r="AU109" s="58" t="s">
        <v>69</v>
      </c>
      <c r="AV109" s="58" t="s">
        <v>69</v>
      </c>
      <c r="AW109" s="58" t="s">
        <v>69</v>
      </c>
      <c r="AX109" s="58" t="s">
        <v>69</v>
      </c>
      <c r="AY109" s="58" t="s">
        <v>69</v>
      </c>
      <c r="AZ109" s="58" t="s">
        <v>69</v>
      </c>
      <c r="BA109" s="58" t="s">
        <v>69</v>
      </c>
      <c r="BB109" s="58" t="s">
        <v>69</v>
      </c>
      <c r="BC109" s="58" t="s">
        <v>69</v>
      </c>
      <c r="BD109" s="58" t="s">
        <v>69</v>
      </c>
      <c r="BE109" s="58" t="s">
        <v>69</v>
      </c>
      <c r="BF109" s="58" t="s">
        <v>69</v>
      </c>
      <c r="BG109" s="58" t="s">
        <v>69</v>
      </c>
      <c r="BH109" s="58" t="s">
        <v>69</v>
      </c>
      <c r="BI109" s="58" t="s">
        <v>69</v>
      </c>
      <c r="BJ109" s="58" t="s">
        <v>69</v>
      </c>
      <c r="BK109" s="58" t="s">
        <v>69</v>
      </c>
      <c r="BL109" s="58" t="s">
        <v>69</v>
      </c>
      <c r="BM109" s="58" t="s">
        <v>69</v>
      </c>
      <c r="BN109" s="58" t="s">
        <v>69</v>
      </c>
      <c r="BO109" s="58" t="s">
        <v>69</v>
      </c>
      <c r="BP109" s="58" t="s">
        <v>69</v>
      </c>
      <c r="BQ109" s="58" t="s">
        <v>69</v>
      </c>
      <c r="BR109" s="58" t="s">
        <v>69</v>
      </c>
      <c r="BS109" s="58">
        <v>3</v>
      </c>
      <c r="BT109" s="58" t="s">
        <v>69</v>
      </c>
      <c r="BU109" s="94">
        <v>4</v>
      </c>
      <c r="BV109" s="95">
        <f t="shared" si="2"/>
        <v>0.17948717948717949</v>
      </c>
      <c r="BW109" s="95">
        <f t="shared" si="3"/>
        <v>0.42857142857142855</v>
      </c>
    </row>
    <row r="110" spans="1:75" s="14" customFormat="1" ht="63" customHeight="1" thickBot="1">
      <c r="A110" s="595"/>
      <c r="B110" s="600" t="s">
        <v>17</v>
      </c>
      <c r="C110" s="600"/>
      <c r="D110" s="600"/>
      <c r="E110" s="60">
        <f t="shared" ref="E110:AJ110" si="4">COUNT(E16:E109)</f>
        <v>73</v>
      </c>
      <c r="F110" s="61">
        <f t="shared" si="4"/>
        <v>37</v>
      </c>
      <c r="G110" s="61">
        <f t="shared" si="4"/>
        <v>45</v>
      </c>
      <c r="H110" s="61">
        <f t="shared" si="4"/>
        <v>26</v>
      </c>
      <c r="I110" s="61">
        <f t="shared" si="4"/>
        <v>17</v>
      </c>
      <c r="J110" s="61">
        <f t="shared" si="4"/>
        <v>39</v>
      </c>
      <c r="K110" s="61">
        <f t="shared" si="4"/>
        <v>21</v>
      </c>
      <c r="L110" s="61">
        <f t="shared" si="4"/>
        <v>32</v>
      </c>
      <c r="M110" s="61">
        <f t="shared" si="4"/>
        <v>19</v>
      </c>
      <c r="N110" s="61">
        <f t="shared" si="4"/>
        <v>47</v>
      </c>
      <c r="O110" s="61">
        <f t="shared" si="4"/>
        <v>45</v>
      </c>
      <c r="P110" s="61">
        <f t="shared" si="4"/>
        <v>41</v>
      </c>
      <c r="Q110" s="61">
        <f t="shared" si="4"/>
        <v>15</v>
      </c>
      <c r="R110" s="61">
        <f t="shared" si="4"/>
        <v>20</v>
      </c>
      <c r="S110" s="61">
        <f t="shared" si="4"/>
        <v>20</v>
      </c>
      <c r="T110" s="61">
        <f t="shared" si="4"/>
        <v>14</v>
      </c>
      <c r="U110" s="61">
        <f t="shared" si="4"/>
        <v>13</v>
      </c>
      <c r="V110" s="61">
        <f t="shared" si="4"/>
        <v>11</v>
      </c>
      <c r="W110" s="61">
        <f t="shared" si="4"/>
        <v>44</v>
      </c>
      <c r="X110" s="61">
        <f t="shared" si="4"/>
        <v>5</v>
      </c>
      <c r="Y110" s="61">
        <f t="shared" si="4"/>
        <v>0</v>
      </c>
      <c r="Z110" s="61">
        <f t="shared" si="4"/>
        <v>9</v>
      </c>
      <c r="AA110" s="61">
        <f t="shared" si="4"/>
        <v>10</v>
      </c>
      <c r="AB110" s="61">
        <f t="shared" si="4"/>
        <v>2</v>
      </c>
      <c r="AC110" s="61">
        <f t="shared" si="4"/>
        <v>31</v>
      </c>
      <c r="AD110" s="61">
        <f t="shared" si="4"/>
        <v>9</v>
      </c>
      <c r="AE110" s="61">
        <f t="shared" si="4"/>
        <v>4</v>
      </c>
      <c r="AF110" s="61">
        <f t="shared" si="4"/>
        <v>5</v>
      </c>
      <c r="AG110" s="61">
        <f t="shared" si="4"/>
        <v>1</v>
      </c>
      <c r="AH110" s="61">
        <f t="shared" si="4"/>
        <v>1</v>
      </c>
      <c r="AI110" s="61">
        <f t="shared" si="4"/>
        <v>1</v>
      </c>
      <c r="AJ110" s="61">
        <f t="shared" si="4"/>
        <v>39</v>
      </c>
      <c r="AK110" s="61">
        <f t="shared" ref="AK110:BP110" si="5">COUNT(AK16:AK109)</f>
        <v>4</v>
      </c>
      <c r="AL110" s="61">
        <f t="shared" si="5"/>
        <v>27</v>
      </c>
      <c r="AM110" s="61">
        <f t="shared" si="5"/>
        <v>13</v>
      </c>
      <c r="AN110" s="61">
        <f t="shared" si="5"/>
        <v>7</v>
      </c>
      <c r="AO110" s="61">
        <f t="shared" si="5"/>
        <v>7</v>
      </c>
      <c r="AP110" s="61">
        <f t="shared" si="5"/>
        <v>10</v>
      </c>
      <c r="AQ110" s="61">
        <f t="shared" si="5"/>
        <v>5</v>
      </c>
      <c r="AR110" s="61">
        <f t="shared" si="5"/>
        <v>14</v>
      </c>
      <c r="AS110" s="61">
        <f t="shared" si="5"/>
        <v>34</v>
      </c>
      <c r="AT110" s="61">
        <f t="shared" si="5"/>
        <v>34</v>
      </c>
      <c r="AU110" s="61">
        <f t="shared" si="5"/>
        <v>37</v>
      </c>
      <c r="AV110" s="61">
        <f t="shared" si="5"/>
        <v>35</v>
      </c>
      <c r="AW110" s="61">
        <f t="shared" si="5"/>
        <v>44</v>
      </c>
      <c r="AX110" s="61">
        <f t="shared" si="5"/>
        <v>17</v>
      </c>
      <c r="AY110" s="61">
        <f t="shared" si="5"/>
        <v>22</v>
      </c>
      <c r="AZ110" s="61">
        <f t="shared" si="5"/>
        <v>8</v>
      </c>
      <c r="BA110" s="61">
        <f t="shared" si="5"/>
        <v>15</v>
      </c>
      <c r="BB110" s="61">
        <f t="shared" si="5"/>
        <v>19</v>
      </c>
      <c r="BC110" s="61">
        <f t="shared" si="5"/>
        <v>1</v>
      </c>
      <c r="BD110" s="61">
        <f t="shared" si="5"/>
        <v>30</v>
      </c>
      <c r="BE110" s="61">
        <f t="shared" si="5"/>
        <v>24</v>
      </c>
      <c r="BF110" s="61">
        <f t="shared" si="5"/>
        <v>20</v>
      </c>
      <c r="BG110" s="61">
        <f t="shared" si="5"/>
        <v>11</v>
      </c>
      <c r="BH110" s="61">
        <f t="shared" si="5"/>
        <v>6</v>
      </c>
      <c r="BI110" s="61">
        <f t="shared" si="5"/>
        <v>10</v>
      </c>
      <c r="BJ110" s="61">
        <f t="shared" si="5"/>
        <v>8</v>
      </c>
      <c r="BK110" s="61">
        <f t="shared" si="5"/>
        <v>5</v>
      </c>
      <c r="BL110" s="61">
        <f t="shared" si="5"/>
        <v>14</v>
      </c>
      <c r="BM110" s="61">
        <f t="shared" si="5"/>
        <v>8</v>
      </c>
      <c r="BN110" s="61">
        <f t="shared" si="5"/>
        <v>9</v>
      </c>
      <c r="BO110" s="61">
        <f t="shared" si="5"/>
        <v>0</v>
      </c>
      <c r="BP110" s="61">
        <f t="shared" si="5"/>
        <v>1</v>
      </c>
      <c r="BQ110" s="61">
        <f t="shared" ref="BQ110:BU110" si="6">COUNT(BQ16:BQ109)</f>
        <v>0</v>
      </c>
      <c r="BR110" s="61">
        <f t="shared" si="6"/>
        <v>1</v>
      </c>
      <c r="BS110" s="61">
        <f t="shared" si="6"/>
        <v>13</v>
      </c>
      <c r="BT110" s="61">
        <f t="shared" si="6"/>
        <v>13</v>
      </c>
      <c r="BU110" s="62">
        <f t="shared" si="6"/>
        <v>93</v>
      </c>
    </row>
    <row r="111" spans="1:75" s="14" customFormat="1" ht="58.5" customHeight="1" thickBot="1">
      <c r="A111" s="596"/>
      <c r="B111" s="597" t="s">
        <v>12</v>
      </c>
      <c r="C111" s="598"/>
      <c r="D111" s="599"/>
      <c r="E111" s="63">
        <v>2</v>
      </c>
      <c r="F111" s="64">
        <v>2</v>
      </c>
      <c r="G111" s="64">
        <v>2</v>
      </c>
      <c r="H111" s="64">
        <v>2</v>
      </c>
      <c r="I111" s="64">
        <v>2</v>
      </c>
      <c r="J111" s="64">
        <v>2</v>
      </c>
      <c r="K111" s="64">
        <v>2</v>
      </c>
      <c r="L111" s="64">
        <v>2</v>
      </c>
      <c r="M111" s="64">
        <v>2</v>
      </c>
      <c r="N111" s="64">
        <v>2</v>
      </c>
      <c r="O111" s="64">
        <v>2</v>
      </c>
      <c r="P111" s="64">
        <v>2</v>
      </c>
      <c r="Q111" s="64">
        <v>2</v>
      </c>
      <c r="R111" s="64">
        <v>2</v>
      </c>
      <c r="S111" s="64">
        <v>2</v>
      </c>
      <c r="T111" s="64">
        <v>2</v>
      </c>
      <c r="U111" s="64">
        <v>2</v>
      </c>
      <c r="V111" s="64">
        <v>2</v>
      </c>
      <c r="W111" s="64">
        <v>2</v>
      </c>
      <c r="X111" s="64">
        <v>2</v>
      </c>
      <c r="Y111" s="64">
        <v>2</v>
      </c>
      <c r="Z111" s="64">
        <v>2</v>
      </c>
      <c r="AA111" s="64">
        <v>2</v>
      </c>
      <c r="AB111" s="64">
        <v>2</v>
      </c>
      <c r="AC111" s="64">
        <v>2</v>
      </c>
      <c r="AD111" s="64">
        <v>2</v>
      </c>
      <c r="AE111" s="64">
        <v>2</v>
      </c>
      <c r="AF111" s="64">
        <v>2</v>
      </c>
      <c r="AG111" s="64">
        <v>2</v>
      </c>
      <c r="AH111" s="64">
        <v>2</v>
      </c>
      <c r="AI111" s="64">
        <v>2</v>
      </c>
      <c r="AJ111" s="64">
        <v>2</v>
      </c>
      <c r="AK111" s="64">
        <v>2</v>
      </c>
      <c r="AL111" s="64">
        <v>2</v>
      </c>
      <c r="AM111" s="64">
        <v>2</v>
      </c>
      <c r="AN111" s="64">
        <v>2</v>
      </c>
      <c r="AO111" s="64">
        <v>2</v>
      </c>
      <c r="AP111" s="64">
        <v>2</v>
      </c>
      <c r="AQ111" s="64">
        <v>2</v>
      </c>
      <c r="AR111" s="64">
        <v>2</v>
      </c>
      <c r="AS111" s="64">
        <v>2</v>
      </c>
      <c r="AT111" s="64">
        <v>2</v>
      </c>
      <c r="AU111" s="64">
        <v>2</v>
      </c>
      <c r="AV111" s="64">
        <v>2</v>
      </c>
      <c r="AW111" s="64">
        <v>2</v>
      </c>
      <c r="AX111" s="64">
        <v>2</v>
      </c>
      <c r="AY111" s="64">
        <v>2</v>
      </c>
      <c r="AZ111" s="64">
        <v>2</v>
      </c>
      <c r="BA111" s="64">
        <v>2</v>
      </c>
      <c r="BB111" s="64">
        <v>2</v>
      </c>
      <c r="BC111" s="64">
        <v>2</v>
      </c>
      <c r="BD111" s="64">
        <v>2</v>
      </c>
      <c r="BE111" s="64">
        <v>2</v>
      </c>
      <c r="BF111" s="65">
        <v>2</v>
      </c>
      <c r="BG111" s="64">
        <v>2</v>
      </c>
      <c r="BH111" s="65">
        <v>2</v>
      </c>
      <c r="BI111" s="65">
        <v>2</v>
      </c>
      <c r="BJ111" s="65">
        <v>2</v>
      </c>
      <c r="BK111" s="64">
        <v>2</v>
      </c>
      <c r="BL111" s="64">
        <v>2</v>
      </c>
      <c r="BM111" s="65">
        <v>2</v>
      </c>
      <c r="BN111" s="65">
        <v>2</v>
      </c>
      <c r="BO111" s="64">
        <v>2</v>
      </c>
      <c r="BP111" s="64">
        <v>2</v>
      </c>
      <c r="BQ111" s="64">
        <v>2</v>
      </c>
      <c r="BR111" s="64">
        <v>2</v>
      </c>
      <c r="BS111" s="64">
        <v>2</v>
      </c>
      <c r="BT111" s="64">
        <v>2</v>
      </c>
      <c r="BU111" s="64">
        <v>2</v>
      </c>
    </row>
    <row r="112" spans="1:75" s="14" customFormat="1" ht="15.75" customHeight="1"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</row>
    <row r="113" spans="2:70" s="14" customFormat="1" ht="15.75" customHeight="1"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</row>
    <row r="114" spans="2:70" s="14" customFormat="1" ht="15.75" customHeight="1"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</row>
    <row r="115" spans="2:70" s="14" customFormat="1" ht="15.75" customHeight="1">
      <c r="B115" s="587" t="s">
        <v>13</v>
      </c>
      <c r="C115" s="588"/>
      <c r="D115" s="589"/>
      <c r="E115" s="587" t="s">
        <v>14</v>
      </c>
      <c r="F115" s="588"/>
      <c r="G115" s="588"/>
      <c r="H115" s="588"/>
      <c r="I115" s="589"/>
      <c r="J115" s="587" t="s">
        <v>15</v>
      </c>
      <c r="K115" s="588"/>
      <c r="L115" s="588"/>
      <c r="M115" s="588"/>
      <c r="N115" s="588"/>
      <c r="O115" s="588"/>
      <c r="P115" s="588"/>
      <c r="Q115" s="588"/>
      <c r="R115" s="58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</row>
    <row r="116" spans="2:70" s="14" customFormat="1" ht="25.5" customHeight="1">
      <c r="B116" s="590"/>
      <c r="C116" s="591"/>
      <c r="D116" s="592"/>
      <c r="E116" s="590"/>
      <c r="F116" s="591"/>
      <c r="G116" s="591"/>
      <c r="H116" s="591"/>
      <c r="I116" s="592"/>
      <c r="J116" s="590"/>
      <c r="K116" s="591"/>
      <c r="L116" s="591"/>
      <c r="M116" s="591"/>
      <c r="N116" s="591"/>
      <c r="O116" s="591"/>
      <c r="P116" s="591"/>
      <c r="Q116" s="591"/>
      <c r="R116" s="592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</row>
    <row r="117" spans="2:70" s="14" customFormat="1" ht="44.25" customHeight="1">
      <c r="B117" s="584" t="s">
        <v>16</v>
      </c>
      <c r="C117" s="584"/>
      <c r="D117" s="584"/>
      <c r="E117" s="585" t="s">
        <v>16</v>
      </c>
      <c r="F117" s="585"/>
      <c r="G117" s="585"/>
      <c r="H117" s="585"/>
      <c r="I117" s="585"/>
      <c r="J117" s="585" t="s">
        <v>16</v>
      </c>
      <c r="K117" s="585"/>
      <c r="L117" s="585"/>
      <c r="M117" s="585"/>
      <c r="N117" s="585"/>
      <c r="O117" s="585"/>
      <c r="P117" s="585"/>
      <c r="Q117" s="585"/>
      <c r="R117" s="585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</row>
    <row r="118" spans="2:70" s="14" customFormat="1" ht="44.25" customHeight="1">
      <c r="B118" s="584"/>
      <c r="C118" s="584"/>
      <c r="D118" s="584"/>
      <c r="E118" s="585"/>
      <c r="F118" s="585"/>
      <c r="G118" s="585"/>
      <c r="H118" s="585"/>
      <c r="I118" s="585"/>
      <c r="J118" s="585"/>
      <c r="K118" s="585"/>
      <c r="L118" s="585"/>
      <c r="M118" s="585"/>
      <c r="N118" s="585"/>
      <c r="O118" s="585"/>
      <c r="P118" s="585"/>
      <c r="Q118" s="585"/>
      <c r="R118" s="585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</row>
    <row r="119" spans="2:70" s="14" customFormat="1" ht="44.25" customHeight="1">
      <c r="B119" s="584"/>
      <c r="C119" s="584"/>
      <c r="D119" s="584"/>
      <c r="E119" s="585"/>
      <c r="F119" s="585"/>
      <c r="G119" s="585"/>
      <c r="H119" s="585"/>
      <c r="I119" s="585"/>
      <c r="J119" s="585"/>
      <c r="K119" s="585"/>
      <c r="L119" s="585"/>
      <c r="M119" s="585"/>
      <c r="N119" s="585"/>
      <c r="O119" s="585"/>
      <c r="P119" s="585"/>
      <c r="Q119" s="585"/>
      <c r="R119" s="585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</row>
    <row r="120" spans="2:70" s="14" customFormat="1" ht="44.25" customHeight="1">
      <c r="B120" s="584"/>
      <c r="C120" s="584"/>
      <c r="D120" s="584"/>
      <c r="E120" s="585"/>
      <c r="F120" s="585"/>
      <c r="G120" s="585"/>
      <c r="H120" s="585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</row>
    <row r="121" spans="2:70" s="14" customFormat="1" ht="44.25" customHeight="1">
      <c r="B121" s="584"/>
      <c r="C121" s="584"/>
      <c r="D121" s="584"/>
      <c r="E121" s="585"/>
      <c r="F121" s="585"/>
      <c r="G121" s="585"/>
      <c r="H121" s="585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</row>
    <row r="122" spans="2:70" s="14" customFormat="1" ht="44.25" customHeight="1">
      <c r="B122" s="584"/>
      <c r="C122" s="584"/>
      <c r="D122" s="584"/>
      <c r="E122" s="585"/>
      <c r="F122" s="585"/>
      <c r="G122" s="585"/>
      <c r="H122" s="585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</row>
    <row r="123" spans="2:70" s="14" customFormat="1" ht="44.25" customHeight="1">
      <c r="B123" s="584"/>
      <c r="C123" s="584"/>
      <c r="D123" s="584"/>
      <c r="E123" s="585"/>
      <c r="F123" s="585"/>
      <c r="G123" s="585"/>
      <c r="H123" s="585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</row>
    <row r="124" spans="2:70" s="14" customFormat="1" ht="44.25" customHeight="1">
      <c r="B124" s="584"/>
      <c r="C124" s="584"/>
      <c r="D124" s="584"/>
      <c r="E124" s="585"/>
      <c r="F124" s="585"/>
      <c r="G124" s="585"/>
      <c r="H124" s="585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</row>
    <row r="125" spans="2:70" s="14" customFormat="1" ht="44.25" customHeight="1">
      <c r="B125" s="584"/>
      <c r="C125" s="584"/>
      <c r="D125" s="584"/>
      <c r="E125" s="585"/>
      <c r="F125" s="585"/>
      <c r="G125" s="585"/>
      <c r="H125" s="585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</row>
    <row r="126" spans="2:70" s="14" customFormat="1" ht="44.25" customHeight="1">
      <c r="B126" s="584"/>
      <c r="C126" s="584"/>
      <c r="D126" s="584"/>
      <c r="E126" s="585"/>
      <c r="F126" s="585"/>
      <c r="G126" s="585"/>
      <c r="H126" s="585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</row>
    <row r="127" spans="2:70" s="14" customFormat="1" ht="15.6"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</row>
    <row r="129" spans="1:4">
      <c r="A129" s="586" t="s">
        <v>18</v>
      </c>
      <c r="B129" s="586"/>
      <c r="C129" s="586"/>
      <c r="D129" s="586"/>
    </row>
    <row r="130" spans="1:4">
      <c r="A130" s="586" t="s">
        <v>19</v>
      </c>
      <c r="B130" s="586"/>
      <c r="C130" s="586"/>
      <c r="D130" s="586"/>
    </row>
  </sheetData>
  <mergeCells count="86">
    <mergeCell ref="BS2:BT2"/>
    <mergeCell ref="L12:M12"/>
    <mergeCell ref="N12:P12"/>
    <mergeCell ref="U12:V12"/>
    <mergeCell ref="W12:X12"/>
    <mergeCell ref="AD12:AF12"/>
    <mergeCell ref="AH12:AI12"/>
    <mergeCell ref="AP12:AQ12"/>
    <mergeCell ref="AY12:AZ12"/>
    <mergeCell ref="BL12:BN12"/>
    <mergeCell ref="BD12:BE12"/>
    <mergeCell ref="AJ12:AK12"/>
    <mergeCell ref="AL12:AM12"/>
    <mergeCell ref="BS12:BS15"/>
    <mergeCell ref="BT12:BT15"/>
    <mergeCell ref="U13:U14"/>
    <mergeCell ref="A1:B2"/>
    <mergeCell ref="BS11:BU11"/>
    <mergeCell ref="BV11:BV15"/>
    <mergeCell ref="A12:A15"/>
    <mergeCell ref="B12:B15"/>
    <mergeCell ref="C12:C15"/>
    <mergeCell ref="D12:D15"/>
    <mergeCell ref="E12:F12"/>
    <mergeCell ref="G12:I12"/>
    <mergeCell ref="AR12:AX12"/>
    <mergeCell ref="J12:K12"/>
    <mergeCell ref="BU1:BV1"/>
    <mergeCell ref="BU2:BV2"/>
    <mergeCell ref="C1:BR1"/>
    <mergeCell ref="C2:BR2"/>
    <mergeCell ref="BS1:BT1"/>
    <mergeCell ref="A110:A111"/>
    <mergeCell ref="B111:D111"/>
    <mergeCell ref="AJ13:AK14"/>
    <mergeCell ref="AL13:AM14"/>
    <mergeCell ref="AB13:AB14"/>
    <mergeCell ref="B110:D110"/>
    <mergeCell ref="BO13:BP14"/>
    <mergeCell ref="W13:X14"/>
    <mergeCell ref="Y13:AA14"/>
    <mergeCell ref="AC13:AC14"/>
    <mergeCell ref="AD13:AF14"/>
    <mergeCell ref="AG13:AG14"/>
    <mergeCell ref="BF13:BF14"/>
    <mergeCell ref="AY13:AZ14"/>
    <mergeCell ref="BL13:BN14"/>
    <mergeCell ref="BD13:BE14"/>
    <mergeCell ref="BG13:BG14"/>
    <mergeCell ref="BK13:BK14"/>
    <mergeCell ref="BC13:BC14"/>
    <mergeCell ref="AH13:AI14"/>
    <mergeCell ref="B115:D116"/>
    <mergeCell ref="E115:I116"/>
    <mergeCell ref="J115:R116"/>
    <mergeCell ref="V13:V14"/>
    <mergeCell ref="E13:F14"/>
    <mergeCell ref="G13:I14"/>
    <mergeCell ref="J13:K14"/>
    <mergeCell ref="L13:M14"/>
    <mergeCell ref="N13:P14"/>
    <mergeCell ref="Q13:Q14"/>
    <mergeCell ref="R13:R14"/>
    <mergeCell ref="S13:S14"/>
    <mergeCell ref="T13:T14"/>
    <mergeCell ref="B117:D126"/>
    <mergeCell ref="E117:I126"/>
    <mergeCell ref="J117:R126"/>
    <mergeCell ref="A129:D129"/>
    <mergeCell ref="A130:D130"/>
    <mergeCell ref="BS3:BU10"/>
    <mergeCell ref="BV3:BV10"/>
    <mergeCell ref="BW11:BW15"/>
    <mergeCell ref="BW3:BW10"/>
    <mergeCell ref="AN12:AO12"/>
    <mergeCell ref="AR13:AX14"/>
    <mergeCell ref="AN13:AO14"/>
    <mergeCell ref="BJ13:BJ14"/>
    <mergeCell ref="BH12:BI12"/>
    <mergeCell ref="BH13:BI14"/>
    <mergeCell ref="AP13:AQ14"/>
    <mergeCell ref="BA12:BB12"/>
    <mergeCell ref="BA13:BB14"/>
    <mergeCell ref="BQ13:BR14"/>
    <mergeCell ref="BO12:BR12"/>
    <mergeCell ref="BU12:BU15"/>
  </mergeCells>
  <phoneticPr fontId="20" type="noConversion"/>
  <conditionalFormatting sqref="B16:B109">
    <cfRule type="duplicateValues" dxfId="4742" priority="43575"/>
    <cfRule type="duplicateValues" dxfId="4741" priority="43576"/>
    <cfRule type="duplicateValues" dxfId="4740" priority="43577"/>
  </conditionalFormatting>
  <conditionalFormatting sqref="B114 B127">
    <cfRule type="duplicateValues" dxfId="4739" priority="4623" stopIfTrue="1"/>
  </conditionalFormatting>
  <conditionalFormatting sqref="E93">
    <cfRule type="cellIs" dxfId="4738" priority="393" operator="equal">
      <formula>4</formula>
    </cfRule>
    <cfRule type="cellIs" dxfId="4737" priority="394" operator="equal">
      <formula>3</formula>
    </cfRule>
    <cfRule type="top10" dxfId="4736" priority="395" rank="10"/>
    <cfRule type="cellIs" dxfId="4735" priority="396" operator="equal">
      <formula>1</formula>
    </cfRule>
  </conditionalFormatting>
  <conditionalFormatting sqref="E112:BR113 E111:BE111 BG111 BK111:BL111 BO111:BU111 E16:BU110">
    <cfRule type="top10" dxfId="4734" priority="50139" rank="10"/>
  </conditionalFormatting>
  <conditionalFormatting sqref="E16:BU110 BS111:BU111 E111:BR113">
    <cfRule type="cellIs" dxfId="4733" priority="25325" operator="equal">
      <formula>1</formula>
    </cfRule>
    <cfRule type="cellIs" dxfId="4732" priority="2058" operator="equal">
      <formula>3</formula>
    </cfRule>
    <cfRule type="cellIs" dxfId="4731" priority="2057" operator="equal">
      <formula>4</formula>
    </cfRule>
    <cfRule type="cellIs" dxfId="4730" priority="2056" operator="equal">
      <formula>2</formula>
    </cfRule>
  </conditionalFormatting>
  <conditionalFormatting sqref="E110:BU110">
    <cfRule type="cellIs" dxfId="4729" priority="50156" operator="equal">
      <formula>4</formula>
    </cfRule>
    <cfRule type="cellIs" dxfId="4728" priority="50160" operator="equal">
      <formula>1</formula>
    </cfRule>
    <cfRule type="cellIs" dxfId="4727" priority="50155" operator="equal">
      <formula>1</formula>
    </cfRule>
    <cfRule type="top10" dxfId="4726" priority="50161" rank="10"/>
    <cfRule type="cellIs" dxfId="4725" priority="50157" operator="equal">
      <formula>3</formula>
    </cfRule>
    <cfRule type="top10" dxfId="4724" priority="50158" rank="10"/>
    <cfRule type="top10" dxfId="4723" priority="50159" rank="10"/>
  </conditionalFormatting>
  <conditionalFormatting sqref="F24">
    <cfRule type="cellIs" dxfId="4722" priority="1316" operator="equal">
      <formula>3</formula>
    </cfRule>
    <cfRule type="cellIs" dxfId="4721" priority="1315" operator="equal">
      <formula>4</formula>
    </cfRule>
    <cfRule type="cellIs" dxfId="4720" priority="1314" operator="equal">
      <formula>1</formula>
    </cfRule>
    <cfRule type="top10" dxfId="4719" priority="1313" rank="10"/>
    <cfRule type="cellIs" dxfId="4718" priority="1312" operator="equal">
      <formula>1</formula>
    </cfRule>
    <cfRule type="top10" dxfId="4717" priority="1311" rank="10"/>
  </conditionalFormatting>
  <conditionalFormatting sqref="F24:G24 O88:P92 S88:U89 O28 W16:W33">
    <cfRule type="cellIs" dxfId="4716" priority="1308" operator="equal">
      <formula>3</formula>
    </cfRule>
    <cfRule type="cellIs" dxfId="4715" priority="1307" operator="equal">
      <formula>4</formula>
    </cfRule>
  </conditionalFormatting>
  <conditionalFormatting sqref="G16">
    <cfRule type="top10" dxfId="4714" priority="2047" rank="10"/>
  </conditionalFormatting>
  <conditionalFormatting sqref="G24">
    <cfRule type="top10" dxfId="4713" priority="1303" rank="10"/>
    <cfRule type="cellIs" dxfId="4712" priority="1302" operator="equal">
      <formula>3</formula>
    </cfRule>
    <cfRule type="cellIs" dxfId="4711" priority="1306" operator="equal">
      <formula>1</formula>
    </cfRule>
    <cfRule type="cellIs" dxfId="4710" priority="1304" operator="equal">
      <formula>1</formula>
    </cfRule>
    <cfRule type="cellIs" dxfId="4709" priority="1301" operator="equal">
      <formula>4</formula>
    </cfRule>
    <cfRule type="top10" dxfId="4708" priority="1305" rank="10"/>
  </conditionalFormatting>
  <conditionalFormatting sqref="G35">
    <cfRule type="cellIs" dxfId="4707" priority="951" operator="equal">
      <formula>4</formula>
    </cfRule>
    <cfRule type="cellIs" dxfId="4706" priority="952" operator="equal">
      <formula>3</formula>
    </cfRule>
    <cfRule type="cellIs" dxfId="4705" priority="950" operator="equal">
      <formula>1</formula>
    </cfRule>
    <cfRule type="top10" dxfId="4704" priority="949" rank="10"/>
    <cfRule type="cellIs" dxfId="4703" priority="948" operator="equal">
      <formula>1</formula>
    </cfRule>
    <cfRule type="top10" dxfId="4702" priority="947" rank="10"/>
    <cfRule type="cellIs" dxfId="4701" priority="946" operator="equal">
      <formula>3</formula>
    </cfRule>
    <cfRule type="cellIs" dxfId="4700" priority="945" operator="equal">
      <formula>4</formula>
    </cfRule>
  </conditionalFormatting>
  <conditionalFormatting sqref="G42">
    <cfRule type="cellIs" dxfId="4699" priority="898" operator="equal">
      <formula>3</formula>
    </cfRule>
    <cfRule type="cellIs" dxfId="4698" priority="897" operator="equal">
      <formula>4</formula>
    </cfRule>
    <cfRule type="cellIs" dxfId="4697" priority="900" operator="equal">
      <formula>1</formula>
    </cfRule>
    <cfRule type="cellIs" dxfId="4696" priority="903" operator="equal">
      <formula>4</formula>
    </cfRule>
    <cfRule type="cellIs" dxfId="4695" priority="902" operator="equal">
      <formula>1</formula>
    </cfRule>
    <cfRule type="top10" dxfId="4694" priority="901" rank="10"/>
    <cfRule type="top10" dxfId="4693" priority="899" rank="10"/>
    <cfRule type="cellIs" dxfId="4692" priority="904" operator="equal">
      <formula>3</formula>
    </cfRule>
  </conditionalFormatting>
  <conditionalFormatting sqref="G88">
    <cfRule type="cellIs" dxfId="4691" priority="1001" operator="equal">
      <formula>4</formula>
    </cfRule>
    <cfRule type="cellIs" dxfId="4690" priority="1008" operator="equal">
      <formula>3</formula>
    </cfRule>
    <cfRule type="cellIs" dxfId="4689" priority="1002" operator="equal">
      <formula>3</formula>
    </cfRule>
    <cfRule type="top10" dxfId="4688" priority="1003" rank="10"/>
    <cfRule type="cellIs" dxfId="4687" priority="1004" operator="equal">
      <formula>1</formula>
    </cfRule>
    <cfRule type="top10" dxfId="4686" priority="1005" rank="10"/>
    <cfRule type="cellIs" dxfId="4685" priority="1007" operator="equal">
      <formula>4</formula>
    </cfRule>
  </conditionalFormatting>
  <conditionalFormatting sqref="G89">
    <cfRule type="top10" dxfId="4684" priority="1297" rank="10"/>
    <cfRule type="top10" dxfId="4683" priority="1295" rank="10"/>
    <cfRule type="cellIs" dxfId="4682" priority="1300" operator="equal">
      <formula>3</formula>
    </cfRule>
    <cfRule type="cellIs" dxfId="4681" priority="1299" operator="equal">
      <formula>4</formula>
    </cfRule>
    <cfRule type="cellIs" dxfId="4680" priority="1298" operator="equal">
      <formula>1</formula>
    </cfRule>
    <cfRule type="cellIs" dxfId="4679" priority="1296" operator="equal">
      <formula>1</formula>
    </cfRule>
  </conditionalFormatting>
  <conditionalFormatting sqref="G16:H16 R16:S18 G17:Q18 AB19:AB22 AZ16:BA85 AZ88:BA109 AA16:AB18 BF16:BF109 Z17:AA18 W88:AC88 W106:X106 AB106">
    <cfRule type="cellIs" dxfId="4678" priority="2048" operator="equal">
      <formula>1</formula>
    </cfRule>
  </conditionalFormatting>
  <conditionalFormatting sqref="G89:H90">
    <cfRule type="cellIs" dxfId="4677" priority="1292" operator="equal">
      <formula>3</formula>
    </cfRule>
    <cfRule type="cellIs" dxfId="4676" priority="1291" operator="equal">
      <formula>4</formula>
    </cfRule>
  </conditionalFormatting>
  <conditionalFormatting sqref="G90:H90 G107:H107">
    <cfRule type="cellIs" dxfId="4675" priority="41656" operator="equal">
      <formula>3</formula>
    </cfRule>
    <cfRule type="cellIs" dxfId="4674" priority="41655" operator="equal">
      <formula>4</formula>
    </cfRule>
    <cfRule type="cellIs" dxfId="4673" priority="41654" operator="equal">
      <formula>1</formula>
    </cfRule>
    <cfRule type="top10" dxfId="4672" priority="41653" rank="10"/>
    <cfRule type="cellIs" dxfId="4671" priority="41652" operator="equal">
      <formula>1</formula>
    </cfRule>
    <cfRule type="top10" dxfId="4670" priority="41651" rank="10"/>
  </conditionalFormatting>
  <conditionalFormatting sqref="G107:H108">
    <cfRule type="cellIs" dxfId="4669" priority="959" operator="equal">
      <formula>4</formula>
    </cfRule>
    <cfRule type="cellIs" dxfId="4668" priority="960" operator="equal">
      <formula>3</formula>
    </cfRule>
  </conditionalFormatting>
  <conditionalFormatting sqref="G108:H108">
    <cfRule type="cellIs" dxfId="4667" priority="953" operator="equal">
      <formula>4</formula>
    </cfRule>
    <cfRule type="cellIs" dxfId="4666" priority="954" operator="equal">
      <formula>3</formula>
    </cfRule>
    <cfRule type="top10" dxfId="4665" priority="955" rank="10"/>
    <cfRule type="cellIs" dxfId="4664" priority="956" operator="equal">
      <formula>1</formula>
    </cfRule>
    <cfRule type="top10" dxfId="4663" priority="957" rank="10"/>
    <cfRule type="cellIs" dxfId="4662" priority="958" operator="equal">
      <formula>1</formula>
    </cfRule>
  </conditionalFormatting>
  <conditionalFormatting sqref="G18:I18">
    <cfRule type="cellIs" dxfId="4661" priority="1437" operator="equal">
      <formula>4</formula>
    </cfRule>
    <cfRule type="top10" dxfId="4660" priority="1433" rank="10"/>
    <cfRule type="cellIs" dxfId="4659" priority="1436" operator="equal">
      <formula>1</formula>
    </cfRule>
    <cfRule type="top10" dxfId="4658" priority="1435" rank="10"/>
    <cfRule type="cellIs" dxfId="4657" priority="1434" operator="equal">
      <formula>1</formula>
    </cfRule>
    <cfRule type="cellIs" dxfId="4656" priority="1431" operator="equal">
      <formula>4</formula>
    </cfRule>
    <cfRule type="cellIs" dxfId="4655" priority="1432" operator="equal">
      <formula>3</formula>
    </cfRule>
    <cfRule type="cellIs" dxfId="4654" priority="1438" operator="equal">
      <formula>3</formula>
    </cfRule>
  </conditionalFormatting>
  <conditionalFormatting sqref="G19:I19">
    <cfRule type="cellIs" dxfId="4653" priority="2051" operator="equal">
      <formula>1</formula>
    </cfRule>
    <cfRule type="top10" dxfId="4652" priority="2043" rank="10"/>
  </conditionalFormatting>
  <conditionalFormatting sqref="G20:I109 G17:I18">
    <cfRule type="top10" dxfId="4651" priority="44217" rank="10"/>
  </conditionalFormatting>
  <conditionalFormatting sqref="G21:I21">
    <cfRule type="cellIs" dxfId="4650" priority="41179" operator="equal">
      <formula>3</formula>
    </cfRule>
    <cfRule type="top10" dxfId="4649" priority="41182" rank="10"/>
    <cfRule type="cellIs" dxfId="4648" priority="41183" operator="equal">
      <formula>1</formula>
    </cfRule>
    <cfRule type="cellIs" dxfId="4647" priority="41184" operator="equal">
      <formula>4</formula>
    </cfRule>
    <cfRule type="top10" dxfId="4646" priority="41180" rank="10"/>
    <cfRule type="cellIs" dxfId="4645" priority="41185" operator="equal">
      <formula>3</formula>
    </cfRule>
    <cfRule type="cellIs" dxfId="4644" priority="41181" operator="equal">
      <formula>1</formula>
    </cfRule>
    <cfRule type="cellIs" dxfId="4643" priority="41178" operator="equal">
      <formula>4</formula>
    </cfRule>
  </conditionalFormatting>
  <conditionalFormatting sqref="G29:I30">
    <cfRule type="cellIs" dxfId="4642" priority="1098" operator="equal">
      <formula>3</formula>
    </cfRule>
    <cfRule type="top10" dxfId="4641" priority="1099" rank="10"/>
    <cfRule type="cellIs" dxfId="4640" priority="1100" operator="equal">
      <formula>1</formula>
    </cfRule>
    <cfRule type="top10" dxfId="4639" priority="1101" rank="10"/>
    <cfRule type="cellIs" dxfId="4638" priority="1102" operator="equal">
      <formula>1</formula>
    </cfRule>
    <cfRule type="cellIs" dxfId="4637" priority="1097" operator="equal">
      <formula>4</formula>
    </cfRule>
    <cfRule type="cellIs" dxfId="4636" priority="1103" operator="equal">
      <formula>4</formula>
    </cfRule>
    <cfRule type="cellIs" dxfId="4635" priority="1104" operator="equal">
      <formula>3</formula>
    </cfRule>
  </conditionalFormatting>
  <conditionalFormatting sqref="G32:I32">
    <cfRule type="cellIs" dxfId="4634" priority="1111" operator="equal">
      <formula>4</formula>
    </cfRule>
    <cfRule type="cellIs" dxfId="4633" priority="1110" operator="equal">
      <formula>1</formula>
    </cfRule>
    <cfRule type="top10" dxfId="4632" priority="1109" rank="10"/>
    <cfRule type="cellIs" dxfId="4631" priority="1108" operator="equal">
      <formula>1</formula>
    </cfRule>
    <cfRule type="cellIs" dxfId="4630" priority="1106" operator="equal">
      <formula>3</formula>
    </cfRule>
    <cfRule type="cellIs" dxfId="4629" priority="1105" operator="equal">
      <formula>4</formula>
    </cfRule>
    <cfRule type="top10" dxfId="4628" priority="1107" rank="10"/>
    <cfRule type="cellIs" dxfId="4627" priority="1112" operator="equal">
      <formula>3</formula>
    </cfRule>
  </conditionalFormatting>
  <conditionalFormatting sqref="G86:I86">
    <cfRule type="top10" dxfId="4626" priority="2052" rank="10"/>
  </conditionalFormatting>
  <conditionalFormatting sqref="G87:I87">
    <cfRule type="top10" dxfId="4625" priority="25" rank="10"/>
  </conditionalFormatting>
  <conditionalFormatting sqref="G99:I99">
    <cfRule type="cellIs" dxfId="4624" priority="1444" operator="equal">
      <formula>1</formula>
    </cfRule>
    <cfRule type="top10" dxfId="4623" priority="1441" rank="10"/>
    <cfRule type="cellIs" dxfId="4622" priority="1442" operator="equal">
      <formula>1</formula>
    </cfRule>
    <cfRule type="cellIs" dxfId="4621" priority="1446" operator="equal">
      <formula>3</formula>
    </cfRule>
    <cfRule type="cellIs" dxfId="4620" priority="1445" operator="equal">
      <formula>4</formula>
    </cfRule>
    <cfRule type="cellIs" dxfId="4619" priority="1440" operator="equal">
      <formula>3</formula>
    </cfRule>
    <cfRule type="top10" dxfId="4618" priority="1443" rank="10"/>
    <cfRule type="cellIs" dxfId="4617" priority="1439" operator="equal">
      <formula>4</formula>
    </cfRule>
  </conditionalFormatting>
  <conditionalFormatting sqref="G106:I106">
    <cfRule type="cellIs" dxfId="4616" priority="2042" operator="equal">
      <formula>1</formula>
    </cfRule>
  </conditionalFormatting>
  <conditionalFormatting sqref="G86:J109">
    <cfRule type="cellIs" dxfId="4615" priority="2022" operator="equal">
      <formula>1</formula>
    </cfRule>
  </conditionalFormatting>
  <conditionalFormatting sqref="G33:P33">
    <cfRule type="cellIs" dxfId="4614" priority="1116" operator="equal">
      <formula>1</formula>
    </cfRule>
    <cfRule type="top10" dxfId="4613" priority="1115" rank="10"/>
    <cfRule type="cellIs" dxfId="4612" priority="1114" operator="equal">
      <formula>3</formula>
    </cfRule>
    <cfRule type="cellIs" dxfId="4611" priority="1113" operator="equal">
      <formula>4</formula>
    </cfRule>
  </conditionalFormatting>
  <conditionalFormatting sqref="G106:P107 BA28:BA35 BA106:BA109 BA102">
    <cfRule type="cellIs" dxfId="4610" priority="2010" operator="equal">
      <formula>1</formula>
    </cfRule>
  </conditionalFormatting>
  <conditionalFormatting sqref="G88:U88">
    <cfRule type="cellIs" dxfId="4609" priority="1006" operator="equal">
      <formula>1</formula>
    </cfRule>
  </conditionalFormatting>
  <conditionalFormatting sqref="H16">
    <cfRule type="cellIs" dxfId="4608" priority="1430" operator="equal">
      <formula>3</formula>
    </cfRule>
    <cfRule type="cellIs" dxfId="4607" priority="1429" operator="equal">
      <formula>4</formula>
    </cfRule>
    <cfRule type="cellIs" dxfId="4606" priority="1428" operator="equal">
      <formula>1</formula>
    </cfRule>
    <cfRule type="top10" dxfId="4605" priority="1427" rank="10"/>
    <cfRule type="cellIs" dxfId="4604" priority="1426" operator="equal">
      <formula>1</formula>
    </cfRule>
    <cfRule type="top10" dxfId="4603" priority="1425" rank="10"/>
    <cfRule type="cellIs" dxfId="4602" priority="1424" operator="equal">
      <formula>3</formula>
    </cfRule>
    <cfRule type="cellIs" dxfId="4601" priority="1423" operator="equal">
      <formula>4</formula>
    </cfRule>
    <cfRule type="top10" dxfId="4600" priority="2040" rank="10"/>
  </conditionalFormatting>
  <conditionalFormatting sqref="H89">
    <cfRule type="top10" dxfId="4599" priority="1287" rank="10"/>
    <cfRule type="cellIs" dxfId="4598" priority="1288" operator="equal">
      <formula>1</formula>
    </cfRule>
    <cfRule type="top10" dxfId="4597" priority="1289" rank="10"/>
    <cfRule type="cellIs" dxfId="4596" priority="1290" operator="equal">
      <formula>1</formula>
    </cfRule>
    <cfRule type="cellIs" dxfId="4595" priority="1285" operator="equal">
      <formula>4</formula>
    </cfRule>
    <cfRule type="cellIs" dxfId="4594" priority="1286" operator="equal">
      <formula>3</formula>
    </cfRule>
  </conditionalFormatting>
  <conditionalFormatting sqref="I16">
    <cfRule type="top10" dxfId="4593" priority="2044" rank="10"/>
    <cfRule type="cellIs" dxfId="4592" priority="2045" operator="equal">
      <formula>1</formula>
    </cfRule>
  </conditionalFormatting>
  <conditionalFormatting sqref="I90">
    <cfRule type="top10" dxfId="4591" priority="1093" rank="10"/>
    <cfRule type="cellIs" dxfId="4590" priority="1092" operator="equal">
      <formula>1</formula>
    </cfRule>
    <cfRule type="top10" dxfId="4589" priority="1091" rank="10"/>
    <cfRule type="cellIs" dxfId="4588" priority="1090" operator="equal">
      <formula>3</formula>
    </cfRule>
    <cfRule type="cellIs" dxfId="4587" priority="1089" operator="equal">
      <formula>4</formula>
    </cfRule>
    <cfRule type="cellIs" dxfId="4586" priority="1096" operator="equal">
      <formula>3</formula>
    </cfRule>
    <cfRule type="cellIs" dxfId="4585" priority="1095" operator="equal">
      <formula>4</formula>
    </cfRule>
    <cfRule type="cellIs" dxfId="4584" priority="1094" operator="equal">
      <formula>1</formula>
    </cfRule>
  </conditionalFormatting>
  <conditionalFormatting sqref="J16">
    <cfRule type="cellIs" dxfId="4583" priority="2033" operator="equal">
      <formula>1</formula>
    </cfRule>
    <cfRule type="top10" dxfId="4582" priority="2032" rank="10"/>
  </conditionalFormatting>
  <conditionalFormatting sqref="J24:J25">
    <cfRule type="top10" dxfId="4581" priority="1327" rank="10"/>
    <cfRule type="cellIs" dxfId="4580" priority="1326" operator="equal">
      <formula>3</formula>
    </cfRule>
    <cfRule type="cellIs" dxfId="4579" priority="1325" operator="equal">
      <formula>4</formula>
    </cfRule>
    <cfRule type="cellIs" dxfId="4578" priority="1332" operator="equal">
      <formula>3</formula>
    </cfRule>
    <cfRule type="cellIs" dxfId="4577" priority="1331" operator="equal">
      <formula>4</formula>
    </cfRule>
    <cfRule type="cellIs" dxfId="4576" priority="1330" operator="equal">
      <formula>1</formula>
    </cfRule>
    <cfRule type="top10" dxfId="4575" priority="1329" rank="10"/>
    <cfRule type="cellIs" dxfId="4574" priority="1328" operator="equal">
      <formula>1</formula>
    </cfRule>
  </conditionalFormatting>
  <conditionalFormatting sqref="J19:K19">
    <cfRule type="cellIs" dxfId="4573" priority="2037" operator="equal">
      <formula>1</formula>
    </cfRule>
    <cfRule type="top10" dxfId="4572" priority="2023" rank="10"/>
  </conditionalFormatting>
  <conditionalFormatting sqref="J20:K20">
    <cfRule type="cellIs" dxfId="4571" priority="1372" operator="equal">
      <formula>3</formula>
    </cfRule>
    <cfRule type="top10" dxfId="4570" priority="1367" rank="10"/>
    <cfRule type="cellIs" dxfId="4569" priority="1370" operator="equal">
      <formula>1</formula>
    </cfRule>
    <cfRule type="top10" dxfId="4568" priority="1369" rank="10"/>
    <cfRule type="cellIs" dxfId="4567" priority="1368" operator="equal">
      <formula>1</formula>
    </cfRule>
    <cfRule type="cellIs" dxfId="4566" priority="1366" operator="equal">
      <formula>3</formula>
    </cfRule>
    <cfRule type="cellIs" dxfId="4565" priority="1365" operator="equal">
      <formula>4</formula>
    </cfRule>
    <cfRule type="cellIs" dxfId="4564" priority="1371" operator="equal">
      <formula>4</formula>
    </cfRule>
  </conditionalFormatting>
  <conditionalFormatting sqref="J20:K85 J17:K18 J88:K109 J86:J87">
    <cfRule type="top10" dxfId="4563" priority="44122" rank="10"/>
  </conditionalFormatting>
  <conditionalFormatting sqref="J22:K23">
    <cfRule type="cellIs" dxfId="4562" priority="1340" operator="equal">
      <formula>3</formula>
    </cfRule>
    <cfRule type="cellIs" dxfId="4561" priority="1338" operator="equal">
      <formula>1</formula>
    </cfRule>
    <cfRule type="cellIs" dxfId="4560" priority="1334" operator="equal">
      <formula>3</formula>
    </cfRule>
    <cfRule type="cellIs" dxfId="4559" priority="1339" operator="equal">
      <formula>4</formula>
    </cfRule>
    <cfRule type="top10" dxfId="4558" priority="1337" rank="10"/>
    <cfRule type="cellIs" dxfId="4557" priority="1336" operator="equal">
      <formula>1</formula>
    </cfRule>
    <cfRule type="top10" dxfId="4556" priority="1335" rank="10"/>
    <cfRule type="cellIs" dxfId="4555" priority="1333" operator="equal">
      <formula>4</formula>
    </cfRule>
  </conditionalFormatting>
  <conditionalFormatting sqref="J50:K50">
    <cfRule type="cellIs" dxfId="4554" priority="850" operator="equal">
      <formula>3</formula>
    </cfRule>
    <cfRule type="cellIs" dxfId="4553" priority="849" operator="equal">
      <formula>4</formula>
    </cfRule>
    <cfRule type="cellIs" dxfId="4552" priority="856" operator="equal">
      <formula>3</formula>
    </cfRule>
    <cfRule type="cellIs" dxfId="4551" priority="855" operator="equal">
      <formula>4</formula>
    </cfRule>
    <cfRule type="cellIs" dxfId="4550" priority="854" operator="equal">
      <formula>1</formula>
    </cfRule>
    <cfRule type="top10" dxfId="4549" priority="851" rank="10"/>
    <cfRule type="cellIs" dxfId="4548" priority="852" operator="equal">
      <formula>1</formula>
    </cfRule>
    <cfRule type="top10" dxfId="4547" priority="853" rank="10"/>
  </conditionalFormatting>
  <conditionalFormatting sqref="J83:K83">
    <cfRule type="cellIs" dxfId="4546" priority="820" operator="equal">
      <formula>1</formula>
    </cfRule>
    <cfRule type="top10" dxfId="4545" priority="819" rank="10"/>
    <cfRule type="cellIs" dxfId="4544" priority="818" operator="equal">
      <formula>3</formula>
    </cfRule>
    <cfRule type="cellIs" dxfId="4543" priority="817" operator="equal">
      <formula>4</formula>
    </cfRule>
    <cfRule type="top10" dxfId="4542" priority="821" rank="10"/>
    <cfRule type="cellIs" dxfId="4541" priority="823" operator="equal">
      <formula>4</formula>
    </cfRule>
    <cfRule type="cellIs" dxfId="4540" priority="824" operator="equal">
      <formula>3</formula>
    </cfRule>
    <cfRule type="cellIs" dxfId="4539" priority="822" operator="equal">
      <formula>1</formula>
    </cfRule>
  </conditionalFormatting>
  <conditionalFormatting sqref="J93:L93 G106:P107 L21:P21 G33:P33 BA19:BA26 BA28:BA35 BA102">
    <cfRule type="cellIs" dxfId="4538" priority="2016" operator="equal">
      <formula>4</formula>
    </cfRule>
  </conditionalFormatting>
  <conditionalFormatting sqref="J93:L93 G106:P107 L21:P21 G33:P33 BA28:BA35 BA106:BA109 BA102">
    <cfRule type="cellIs" dxfId="4537" priority="2017" operator="equal">
      <formula>3</formula>
    </cfRule>
  </conditionalFormatting>
  <conditionalFormatting sqref="J93:L93">
    <cfRule type="top10" dxfId="4536" priority="1449" rank="10"/>
    <cfRule type="cellIs" dxfId="4535" priority="1448" operator="equal">
      <formula>3</formula>
    </cfRule>
    <cfRule type="cellIs" dxfId="4534" priority="1447" operator="equal">
      <formula>4</formula>
    </cfRule>
    <cfRule type="cellIs" dxfId="4533" priority="1450" operator="equal">
      <formula>1</formula>
    </cfRule>
  </conditionalFormatting>
  <conditionalFormatting sqref="K16">
    <cfRule type="top10" dxfId="4532" priority="2026" rank="10"/>
    <cfRule type="cellIs" dxfId="4531" priority="2027" operator="equal">
      <formula>1</formula>
    </cfRule>
  </conditionalFormatting>
  <conditionalFormatting sqref="K25 K89">
    <cfRule type="cellIs" dxfId="4530" priority="1320" operator="equal">
      <formula>1</formula>
    </cfRule>
  </conditionalFormatting>
  <conditionalFormatting sqref="K25 K89:P89">
    <cfRule type="cellIs" dxfId="4529" priority="1322" operator="equal">
      <formula>1</formula>
    </cfRule>
    <cfRule type="cellIs" dxfId="4528" priority="1324" operator="equal">
      <formula>3</formula>
    </cfRule>
    <cfRule type="cellIs" dxfId="4527" priority="1323" operator="equal">
      <formula>4</formula>
    </cfRule>
  </conditionalFormatting>
  <conditionalFormatting sqref="K25">
    <cfRule type="cellIs" dxfId="4526" priority="1318" operator="equal">
      <formula>3</formula>
    </cfRule>
    <cfRule type="cellIs" dxfId="4525" priority="1317" operator="equal">
      <formula>4</formula>
    </cfRule>
  </conditionalFormatting>
  <conditionalFormatting sqref="K86:K87">
    <cfRule type="cellIs" dxfId="4524" priority="2025" operator="equal">
      <formula>1</formula>
    </cfRule>
    <cfRule type="top10" dxfId="4523" priority="2024" rank="10"/>
  </conditionalFormatting>
  <conditionalFormatting sqref="K89 K25">
    <cfRule type="top10" dxfId="4522" priority="1321" rank="10"/>
    <cfRule type="top10" dxfId="4521" priority="1319" rank="10"/>
  </conditionalFormatting>
  <conditionalFormatting sqref="K89:P89">
    <cfRule type="cellIs" dxfId="4520" priority="1282" operator="equal">
      <formula>3</formula>
    </cfRule>
    <cfRule type="cellIs" dxfId="4519" priority="1281" operator="equal">
      <formula>4</formula>
    </cfRule>
  </conditionalFormatting>
  <conditionalFormatting sqref="L16">
    <cfRule type="top10" dxfId="4518" priority="2007" rank="10"/>
  </conditionalFormatting>
  <conditionalFormatting sqref="L29">
    <cfRule type="cellIs" dxfId="4517" priority="1156" operator="equal">
      <formula>1</formula>
    </cfRule>
    <cfRule type="top10" dxfId="4516" priority="1155" rank="10"/>
  </conditionalFormatting>
  <conditionalFormatting sqref="L29:L30">
    <cfRule type="cellIs" dxfId="4515" priority="1149" operator="equal">
      <formula>4</formula>
    </cfRule>
    <cfRule type="cellIs" dxfId="4514" priority="1150" operator="equal">
      <formula>3</formula>
    </cfRule>
  </conditionalFormatting>
  <conditionalFormatting sqref="L30">
    <cfRule type="top10" dxfId="4513" priority="1151" rank="10"/>
    <cfRule type="cellIs" dxfId="4512" priority="1152" operator="equal">
      <formula>1</formula>
    </cfRule>
  </conditionalFormatting>
  <conditionalFormatting sqref="L36">
    <cfRule type="cellIs" dxfId="4511" priority="1454" operator="equal">
      <formula>1</formula>
    </cfRule>
    <cfRule type="top10" dxfId="4510" priority="1453" rank="10"/>
    <cfRule type="cellIs" dxfId="4509" priority="1452" operator="equal">
      <formula>3</formula>
    </cfRule>
    <cfRule type="cellIs" dxfId="4508" priority="1451" operator="equal">
      <formula>4</formula>
    </cfRule>
  </conditionalFormatting>
  <conditionalFormatting sqref="L106">
    <cfRule type="cellIs" dxfId="4507" priority="1374" operator="equal">
      <formula>3</formula>
    </cfRule>
    <cfRule type="cellIs" dxfId="4506" priority="1373" operator="equal">
      <formula>4</formula>
    </cfRule>
    <cfRule type="top10" dxfId="4505" priority="1375" rank="10"/>
  </conditionalFormatting>
  <conditionalFormatting sqref="L16:M16">
    <cfRule type="cellIs" dxfId="4504" priority="2008" operator="equal">
      <formula>1</formula>
    </cfRule>
  </conditionalFormatting>
  <conditionalFormatting sqref="L17:M17">
    <cfRule type="top10" dxfId="4503" priority="1420" rank="10"/>
    <cfRule type="cellIs" dxfId="4502" priority="1418" operator="equal">
      <formula>4</formula>
    </cfRule>
    <cfRule type="cellIs" dxfId="4501" priority="1419" operator="equal">
      <formula>3</formula>
    </cfRule>
    <cfRule type="cellIs" dxfId="4500" priority="1421" operator="equal">
      <formula>1</formula>
    </cfRule>
  </conditionalFormatting>
  <conditionalFormatting sqref="L19:M19">
    <cfRule type="top10" dxfId="4499" priority="2006" rank="10"/>
    <cfRule type="cellIs" dxfId="4498" priority="2018" operator="equal">
      <formula>1</formula>
    </cfRule>
  </conditionalFormatting>
  <conditionalFormatting sqref="L40:M40">
    <cfRule type="cellIs" dxfId="4497" priority="1455" operator="equal">
      <formula>4</formula>
    </cfRule>
    <cfRule type="cellIs" dxfId="4496" priority="1456" operator="equal">
      <formula>3</formula>
    </cfRule>
    <cfRule type="cellIs" dxfId="4495" priority="1458" operator="equal">
      <formula>1</formula>
    </cfRule>
    <cfRule type="top10" dxfId="4494" priority="1457" rank="10"/>
  </conditionalFormatting>
  <conditionalFormatting sqref="L79:M79">
    <cfRule type="top10" dxfId="4493" priority="811" rank="10"/>
    <cfRule type="cellIs" dxfId="4492" priority="812" operator="equal">
      <formula>1</formula>
    </cfRule>
    <cfRule type="cellIs" dxfId="4491" priority="809" operator="equal">
      <formula>4</formula>
    </cfRule>
    <cfRule type="cellIs" dxfId="4490" priority="810" operator="equal">
      <formula>3</formula>
    </cfRule>
  </conditionalFormatting>
  <conditionalFormatting sqref="L84:M84">
    <cfRule type="cellIs" dxfId="4489" priority="814" operator="equal">
      <formula>3</formula>
    </cfRule>
    <cfRule type="cellIs" dxfId="4488" priority="813" operator="equal">
      <formula>4</formula>
    </cfRule>
    <cfRule type="top10" dxfId="4487" priority="815" rank="10"/>
    <cfRule type="cellIs" dxfId="4486" priority="816" operator="equal">
      <formula>1</formula>
    </cfRule>
  </conditionalFormatting>
  <conditionalFormatting sqref="L86:M86">
    <cfRule type="top10" dxfId="4485" priority="2009" rank="10"/>
  </conditionalFormatting>
  <conditionalFormatting sqref="L87:M87">
    <cfRule type="top10" dxfId="4484" priority="24" rank="10"/>
  </conditionalFormatting>
  <conditionalFormatting sqref="L21:P21">
    <cfRule type="cellIs" dxfId="4483" priority="1356" operator="equal">
      <formula>1</formula>
    </cfRule>
    <cfRule type="cellIs" dxfId="4482" priority="1353" operator="equal">
      <formula>4</formula>
    </cfRule>
    <cfRule type="cellIs" dxfId="4481" priority="1354" operator="equal">
      <formula>3</formula>
    </cfRule>
    <cfRule type="top10" dxfId="4480" priority="1355" rank="10"/>
  </conditionalFormatting>
  <conditionalFormatting sqref="L89:P89 J93:L93 L17:M18 L21:P21 G33:P33 L20:M85 L88:M109">
    <cfRule type="top10" dxfId="4479" priority="44127" rank="10"/>
  </conditionalFormatting>
  <conditionalFormatting sqref="L89:P89">
    <cfRule type="cellIs" dxfId="4478" priority="1284" operator="equal">
      <formula>1</formula>
    </cfRule>
    <cfRule type="top10" dxfId="4477" priority="1283" rank="10"/>
  </conditionalFormatting>
  <conditionalFormatting sqref="L106:U106">
    <cfRule type="cellIs" dxfId="4476" priority="1376" operator="equal">
      <formula>1</formula>
    </cfRule>
  </conditionalFormatting>
  <conditionalFormatting sqref="M16">
    <cfRule type="top10" dxfId="4475" priority="2003" rank="10"/>
  </conditionalFormatting>
  <conditionalFormatting sqref="M90">
    <cfRule type="cellIs" dxfId="4474" priority="1192" operator="equal">
      <formula>1</formula>
    </cfRule>
    <cfRule type="top10" dxfId="4473" priority="1191" rank="10"/>
    <cfRule type="cellIs" dxfId="4472" priority="1190" operator="equal">
      <formula>3</formula>
    </cfRule>
    <cfRule type="cellIs" dxfId="4471" priority="1189" operator="equal">
      <formula>4</formula>
    </cfRule>
  </conditionalFormatting>
  <conditionalFormatting sqref="N16">
    <cfRule type="cellIs" dxfId="4470" priority="1416" operator="equal">
      <formula>4</formula>
    </cfRule>
    <cfRule type="top10" dxfId="4469" priority="1414" rank="10"/>
    <cfRule type="cellIs" dxfId="4468" priority="1417" operator="equal">
      <formula>3</formula>
    </cfRule>
    <cfRule type="cellIs" dxfId="4467" priority="1415" operator="equal">
      <formula>1</formula>
    </cfRule>
    <cfRule type="cellIs" dxfId="4466" priority="1413" operator="equal">
      <formula>1</formula>
    </cfRule>
    <cfRule type="top10" dxfId="4465" priority="1412" rank="10"/>
    <cfRule type="cellIs" dxfId="4464" priority="1411" operator="equal">
      <formula>3</formula>
    </cfRule>
    <cfRule type="cellIs" dxfId="4463" priority="1410" operator="equal">
      <formula>4</formula>
    </cfRule>
    <cfRule type="top10" dxfId="4462" priority="1981" rank="10"/>
  </conditionalFormatting>
  <conditionalFormatting sqref="N18">
    <cfRule type="top10" dxfId="4461" priority="1380" rank="10"/>
    <cfRule type="cellIs" dxfId="4460" priority="1383" operator="equal">
      <formula>1</formula>
    </cfRule>
    <cfRule type="cellIs" dxfId="4459" priority="1381" operator="equal">
      <formula>1</formula>
    </cfRule>
    <cfRule type="top10" dxfId="4458" priority="1382" rank="10"/>
    <cfRule type="cellIs" dxfId="4457" priority="1378" operator="equal">
      <formula>4</formula>
    </cfRule>
    <cfRule type="cellIs" dxfId="4456" priority="1379" operator="equal">
      <formula>3</formula>
    </cfRule>
  </conditionalFormatting>
  <conditionalFormatting sqref="N22:N24">
    <cfRule type="cellIs" dxfId="4455" priority="1032" operator="equal">
      <formula>3</formula>
    </cfRule>
    <cfRule type="cellIs" dxfId="4454" priority="1026" operator="equal">
      <formula>3</formula>
    </cfRule>
    <cfRule type="top10" dxfId="4453" priority="1027" rank="10"/>
    <cfRule type="cellIs" dxfId="4452" priority="1028" operator="equal">
      <formula>1</formula>
    </cfRule>
    <cfRule type="top10" dxfId="4451" priority="1029" rank="10"/>
    <cfRule type="cellIs" dxfId="4450" priority="1030" operator="equal">
      <formula>1</formula>
    </cfRule>
    <cfRule type="cellIs" dxfId="4449" priority="1031" operator="equal">
      <formula>4</formula>
    </cfRule>
    <cfRule type="cellIs" dxfId="4448" priority="1025" operator="equal">
      <formula>4</formula>
    </cfRule>
  </conditionalFormatting>
  <conditionalFormatting sqref="N26">
    <cfRule type="cellIs" dxfId="4447" priority="1265" operator="equal">
      <formula>4</formula>
    </cfRule>
    <cfRule type="cellIs" dxfId="4446" priority="1266" operator="equal">
      <formula>3</formula>
    </cfRule>
    <cfRule type="top10" dxfId="4445" priority="1267" rank="10"/>
    <cfRule type="cellIs" dxfId="4444" priority="1271" operator="equal">
      <formula>4</formula>
    </cfRule>
    <cfRule type="cellIs" dxfId="4443" priority="1272" operator="equal">
      <formula>3</formula>
    </cfRule>
    <cfRule type="cellIs" dxfId="4442" priority="1268" operator="equal">
      <formula>1</formula>
    </cfRule>
    <cfRule type="top10" dxfId="4441" priority="1269" rank="10"/>
    <cfRule type="cellIs" dxfId="4440" priority="1270" operator="equal">
      <formula>1</formula>
    </cfRule>
  </conditionalFormatting>
  <conditionalFormatting sqref="N29">
    <cfRule type="cellIs" dxfId="4439" priority="1164" operator="equal">
      <formula>3</formula>
    </cfRule>
    <cfRule type="cellIs" dxfId="4438" priority="1157" operator="equal">
      <formula>4</formula>
    </cfRule>
    <cfRule type="cellIs" dxfId="4437" priority="1160" operator="equal">
      <formula>1</formula>
    </cfRule>
    <cfRule type="cellIs" dxfId="4436" priority="1158" operator="equal">
      <formula>3</formula>
    </cfRule>
    <cfRule type="top10" dxfId="4435" priority="1159" rank="10"/>
    <cfRule type="top10" dxfId="4434" priority="1161" rank="10"/>
    <cfRule type="cellIs" dxfId="4433" priority="1162" operator="equal">
      <formula>1</formula>
    </cfRule>
    <cfRule type="cellIs" dxfId="4432" priority="1163" operator="equal">
      <formula>4</formula>
    </cfRule>
  </conditionalFormatting>
  <conditionalFormatting sqref="N31">
    <cfRule type="cellIs" dxfId="4431" priority="966" operator="equal">
      <formula>1</formula>
    </cfRule>
    <cfRule type="cellIs" dxfId="4430" priority="967" operator="equal">
      <formula>4</formula>
    </cfRule>
    <cfRule type="cellIs" dxfId="4429" priority="968" operator="equal">
      <formula>3</formula>
    </cfRule>
    <cfRule type="cellIs" dxfId="4428" priority="964" operator="equal">
      <formula>1</formula>
    </cfRule>
    <cfRule type="top10" dxfId="4427" priority="963" rank="10"/>
    <cfRule type="cellIs" dxfId="4426" priority="962" operator="equal">
      <formula>3</formula>
    </cfRule>
    <cfRule type="cellIs" dxfId="4425" priority="961" operator="equal">
      <formula>4</formula>
    </cfRule>
    <cfRule type="top10" dxfId="4424" priority="965" rank="10"/>
  </conditionalFormatting>
  <conditionalFormatting sqref="N64">
    <cfRule type="cellIs" dxfId="4423" priority="831" operator="equal">
      <formula>4</formula>
    </cfRule>
    <cfRule type="cellIs" dxfId="4422" priority="830" operator="equal">
      <formula>1</formula>
    </cfRule>
    <cfRule type="top10" dxfId="4421" priority="829" rank="10"/>
    <cfRule type="cellIs" dxfId="4420" priority="828" operator="equal">
      <formula>1</formula>
    </cfRule>
    <cfRule type="top10" dxfId="4419" priority="827" rank="10"/>
    <cfRule type="cellIs" dxfId="4418" priority="826" operator="equal">
      <formula>3</formula>
    </cfRule>
    <cfRule type="cellIs" dxfId="4417" priority="825" operator="equal">
      <formula>4</formula>
    </cfRule>
    <cfRule type="cellIs" dxfId="4416" priority="832" operator="equal">
      <formula>3</formula>
    </cfRule>
  </conditionalFormatting>
  <conditionalFormatting sqref="N70">
    <cfRule type="top10" dxfId="4415" priority="803" rank="10"/>
    <cfRule type="cellIs" dxfId="4414" priority="804" operator="equal">
      <formula>1</formula>
    </cfRule>
    <cfRule type="cellIs" dxfId="4413" priority="806" operator="equal">
      <formula>1</formula>
    </cfRule>
    <cfRule type="cellIs" dxfId="4412" priority="807" operator="equal">
      <formula>4</formula>
    </cfRule>
    <cfRule type="cellIs" dxfId="4411" priority="808" operator="equal">
      <formula>3</formula>
    </cfRule>
    <cfRule type="cellIs" dxfId="4410" priority="801" operator="equal">
      <formula>4</formula>
    </cfRule>
    <cfRule type="top10" dxfId="4409" priority="805" rank="10"/>
    <cfRule type="cellIs" dxfId="4408" priority="802" operator="equal">
      <formula>3</formula>
    </cfRule>
  </conditionalFormatting>
  <conditionalFormatting sqref="N16:O16">
    <cfRule type="cellIs" dxfId="4407" priority="1990" operator="equal">
      <formula>1</formula>
    </cfRule>
  </conditionalFormatting>
  <conditionalFormatting sqref="N18:O18">
    <cfRule type="cellIs" dxfId="4406" priority="1385" operator="equal">
      <formula>3</formula>
    </cfRule>
    <cfRule type="cellIs" dxfId="4405" priority="1384" operator="equal">
      <formula>4</formula>
    </cfRule>
  </conditionalFormatting>
  <conditionalFormatting sqref="N50:O50">
    <cfRule type="cellIs" dxfId="4404" priority="871" operator="equal">
      <formula>4</formula>
    </cfRule>
    <cfRule type="cellIs" dxfId="4403" priority="865" operator="equal">
      <formula>4</formula>
    </cfRule>
    <cfRule type="cellIs" dxfId="4402" priority="866" operator="equal">
      <formula>3</formula>
    </cfRule>
    <cfRule type="top10" dxfId="4401" priority="867" rank="10"/>
    <cfRule type="cellIs" dxfId="4400" priority="868" operator="equal">
      <formula>1</formula>
    </cfRule>
    <cfRule type="top10" dxfId="4399" priority="869" rank="10"/>
    <cfRule type="cellIs" dxfId="4398" priority="870" operator="equal">
      <formula>1</formula>
    </cfRule>
    <cfRule type="cellIs" dxfId="4397" priority="872" operator="equal">
      <formula>3</formula>
    </cfRule>
  </conditionalFormatting>
  <conditionalFormatting sqref="N19:P19">
    <cfRule type="cellIs" dxfId="4396" priority="2000" operator="equal">
      <formula>1</formula>
    </cfRule>
    <cfRule type="top10" dxfId="4395" priority="1984" rank="10"/>
  </conditionalFormatting>
  <conditionalFormatting sqref="N20:P85 N17:P18 N88:P109">
    <cfRule type="top10" dxfId="4394" priority="44135" rank="10"/>
  </conditionalFormatting>
  <conditionalFormatting sqref="N86:P86">
    <cfRule type="top10" dxfId="4393" priority="1991" rank="10"/>
  </conditionalFormatting>
  <conditionalFormatting sqref="N87:P87">
    <cfRule type="top10" dxfId="4392" priority="23" rank="10"/>
  </conditionalFormatting>
  <conditionalFormatting sqref="O16">
    <cfRule type="top10" dxfId="4391" priority="1989" rank="10"/>
  </conditionalFormatting>
  <conditionalFormatting sqref="O18">
    <cfRule type="cellIs" dxfId="4390" priority="1405" operator="equal">
      <formula>1</formula>
    </cfRule>
    <cfRule type="cellIs" dxfId="4389" priority="1409" operator="equal">
      <formula>3</formula>
    </cfRule>
    <cfRule type="cellIs" dxfId="4388" priority="1408" operator="equal">
      <formula>4</formula>
    </cfRule>
    <cfRule type="cellIs" dxfId="4387" priority="1407" operator="equal">
      <formula>1</formula>
    </cfRule>
    <cfRule type="top10" dxfId="4386" priority="1406" rank="10"/>
    <cfRule type="top10" dxfId="4385" priority="1404" rank="10"/>
  </conditionalFormatting>
  <conditionalFormatting sqref="O23:O24">
    <cfRule type="top10" dxfId="4384" priority="1021" rank="10"/>
    <cfRule type="cellIs" dxfId="4383" priority="1020" operator="equal">
      <formula>1</formula>
    </cfRule>
    <cfRule type="top10" dxfId="4382" priority="1019" rank="10"/>
    <cfRule type="cellIs" dxfId="4381" priority="1018" operator="equal">
      <formula>3</formula>
    </cfRule>
    <cfRule type="cellIs" dxfId="4380" priority="1022" operator="equal">
      <formula>1</formula>
    </cfRule>
    <cfRule type="cellIs" dxfId="4379" priority="1024" operator="equal">
      <formula>3</formula>
    </cfRule>
    <cfRule type="cellIs" dxfId="4378" priority="1023" operator="equal">
      <formula>4</formula>
    </cfRule>
    <cfRule type="cellIs" dxfId="4377" priority="1017" operator="equal">
      <formula>4</formula>
    </cfRule>
  </conditionalFormatting>
  <conditionalFormatting sqref="O28">
    <cfRule type="cellIs" dxfId="4376" priority="1170" operator="equal">
      <formula>1</formula>
    </cfRule>
    <cfRule type="top10" dxfId="4375" priority="1169" rank="10"/>
    <cfRule type="cellIs" dxfId="4374" priority="1168" operator="equal">
      <formula>1</formula>
    </cfRule>
    <cfRule type="top10" dxfId="4373" priority="1167" rank="10"/>
    <cfRule type="cellIs" dxfId="4372" priority="1166" operator="equal">
      <formula>3</formula>
    </cfRule>
    <cfRule type="cellIs" dxfId="4371" priority="1165" operator="equal">
      <formula>4</formula>
    </cfRule>
  </conditionalFormatting>
  <conditionalFormatting sqref="O91 O101">
    <cfRule type="cellIs" dxfId="4370" priority="43392" operator="equal">
      <formula>1</formula>
    </cfRule>
    <cfRule type="cellIs" dxfId="4369" priority="43390" operator="equal">
      <formula>1</formula>
    </cfRule>
    <cfRule type="top10" dxfId="4368" priority="43389" rank="10"/>
    <cfRule type="top10" dxfId="4367" priority="43391" rank="10"/>
    <cfRule type="cellIs" dxfId="4366" priority="43394" operator="equal">
      <formula>3</formula>
    </cfRule>
    <cfRule type="cellIs" dxfId="4365" priority="43393" operator="equal">
      <formula>4</formula>
    </cfRule>
  </conditionalFormatting>
  <conditionalFormatting sqref="O91">
    <cfRule type="cellIs" dxfId="4364" priority="43388" operator="equal">
      <formula>3</formula>
    </cfRule>
    <cfRule type="cellIs" dxfId="4363" priority="43387" operator="equal">
      <formula>4</formula>
    </cfRule>
  </conditionalFormatting>
  <conditionalFormatting sqref="O99">
    <cfRule type="cellIs" dxfId="4362" priority="886" operator="equal">
      <formula>1</formula>
    </cfRule>
    <cfRule type="top10" dxfId="4361" priority="885" rank="10"/>
    <cfRule type="cellIs" dxfId="4360" priority="884" operator="equal">
      <formula>1</formula>
    </cfRule>
    <cfRule type="top10" dxfId="4359" priority="883" rank="10"/>
  </conditionalFormatting>
  <conditionalFormatting sqref="O107">
    <cfRule type="cellIs" dxfId="4358" priority="1179" operator="equal">
      <formula>4</formula>
    </cfRule>
    <cfRule type="cellIs" dxfId="4357" priority="1178" operator="equal">
      <formula>1</formula>
    </cfRule>
    <cfRule type="top10" dxfId="4356" priority="1177" rank="10"/>
    <cfRule type="top10" dxfId="4355" priority="1175" rank="10"/>
    <cfRule type="cellIs" dxfId="4354" priority="1180" operator="equal">
      <formula>3</formula>
    </cfRule>
    <cfRule type="cellIs" dxfId="4353" priority="1176" operator="equal">
      <formula>1</formula>
    </cfRule>
  </conditionalFormatting>
  <conditionalFormatting sqref="O57:P57">
    <cfRule type="top10" dxfId="4352" priority="835" rank="10"/>
    <cfRule type="cellIs" dxfId="4351" priority="836" operator="equal">
      <formula>1</formula>
    </cfRule>
    <cfRule type="top10" dxfId="4350" priority="837" rank="10"/>
    <cfRule type="cellIs" dxfId="4349" priority="838" operator="equal">
      <formula>1</formula>
    </cfRule>
    <cfRule type="cellIs" dxfId="4348" priority="834" operator="equal">
      <formula>3</formula>
    </cfRule>
    <cfRule type="cellIs" dxfId="4347" priority="840" operator="equal">
      <formula>3</formula>
    </cfRule>
    <cfRule type="cellIs" dxfId="4346" priority="839" operator="equal">
      <formula>4</formula>
    </cfRule>
    <cfRule type="cellIs" dxfId="4345" priority="833" operator="equal">
      <formula>4</formula>
    </cfRule>
  </conditionalFormatting>
  <conditionalFormatting sqref="O95:P95">
    <cfRule type="cellIs" dxfId="4344" priority="864" operator="equal">
      <formula>3</formula>
    </cfRule>
    <cfRule type="cellIs" dxfId="4343" priority="863" operator="equal">
      <formula>4</formula>
    </cfRule>
    <cfRule type="cellIs" dxfId="4342" priority="862" operator="equal">
      <formula>1</formula>
    </cfRule>
    <cfRule type="top10" dxfId="4341" priority="861" rank="10"/>
    <cfRule type="cellIs" dxfId="4340" priority="860" operator="equal">
      <formula>1</formula>
    </cfRule>
    <cfRule type="top10" dxfId="4339" priority="859" rank="10"/>
  </conditionalFormatting>
  <conditionalFormatting sqref="O95:P96">
    <cfRule type="cellIs" dxfId="4338" priority="847" operator="equal">
      <formula>4</formula>
    </cfRule>
    <cfRule type="cellIs" dxfId="4337" priority="848" operator="equal">
      <formula>3</formula>
    </cfRule>
  </conditionalFormatting>
  <conditionalFormatting sqref="O96:P96">
    <cfRule type="cellIs" dxfId="4336" priority="842" operator="equal">
      <formula>3</formula>
    </cfRule>
    <cfRule type="top10" dxfId="4335" priority="843" rank="10"/>
    <cfRule type="cellIs" dxfId="4334" priority="844" operator="equal">
      <formula>1</formula>
    </cfRule>
    <cfRule type="cellIs" dxfId="4333" priority="846" operator="equal">
      <formula>1</formula>
    </cfRule>
    <cfRule type="cellIs" dxfId="4332" priority="841" operator="equal">
      <formula>4</formula>
    </cfRule>
    <cfRule type="top10" dxfId="4331" priority="845" rank="10"/>
  </conditionalFormatting>
  <conditionalFormatting sqref="O99:P99">
    <cfRule type="cellIs" dxfId="4330" priority="887" operator="equal">
      <formula>4</formula>
    </cfRule>
    <cfRule type="cellIs" dxfId="4329" priority="888" operator="equal">
      <formula>3</formula>
    </cfRule>
  </conditionalFormatting>
  <conditionalFormatting sqref="O101:P101">
    <cfRule type="cellIs" dxfId="4328" priority="921" operator="equal">
      <formula>4</formula>
    </cfRule>
    <cfRule type="cellIs" dxfId="4327" priority="922" operator="equal">
      <formula>3</formula>
    </cfRule>
  </conditionalFormatting>
  <conditionalFormatting sqref="P16">
    <cfRule type="cellIs" dxfId="4326" priority="1391" operator="equal">
      <formula>1</formula>
    </cfRule>
    <cfRule type="top10" dxfId="4325" priority="1390" rank="10"/>
    <cfRule type="cellIs" dxfId="4324" priority="1987" operator="equal">
      <formula>1</formula>
    </cfRule>
    <cfRule type="top10" dxfId="4323" priority="1986" rank="10"/>
    <cfRule type="cellIs" dxfId="4322" priority="1389" operator="equal">
      <formula>1</formula>
    </cfRule>
    <cfRule type="top10" dxfId="4321" priority="1388" rank="10"/>
    <cfRule type="cellIs" dxfId="4320" priority="1387" operator="equal">
      <formula>3</formula>
    </cfRule>
    <cfRule type="cellIs" dxfId="4319" priority="1386" operator="equal">
      <formula>4</formula>
    </cfRule>
  </conditionalFormatting>
  <conditionalFormatting sqref="P16:P17">
    <cfRule type="cellIs" dxfId="4318" priority="1393" operator="equal">
      <formula>3</formula>
    </cfRule>
    <cfRule type="cellIs" dxfId="4317" priority="1392" operator="equal">
      <formula>4</formula>
    </cfRule>
  </conditionalFormatting>
  <conditionalFormatting sqref="P17">
    <cfRule type="top10" dxfId="4316" priority="1396" rank="10"/>
    <cfRule type="top10" dxfId="4315" priority="1398" rank="10"/>
    <cfRule type="cellIs" dxfId="4314" priority="1399" operator="equal">
      <formula>1</formula>
    </cfRule>
    <cfRule type="cellIs" dxfId="4313" priority="1400" operator="equal">
      <formula>4</formula>
    </cfRule>
    <cfRule type="cellIs" dxfId="4312" priority="1401" operator="equal">
      <formula>3</formula>
    </cfRule>
    <cfRule type="cellIs" dxfId="4311" priority="1397" operator="equal">
      <formula>1</formula>
    </cfRule>
  </conditionalFormatting>
  <conditionalFormatting sqref="P24">
    <cfRule type="top10" dxfId="4310" priority="1013" rank="10"/>
    <cfRule type="cellIs" dxfId="4309" priority="1014" operator="equal">
      <formula>1</formula>
    </cfRule>
    <cfRule type="cellIs" dxfId="4308" priority="1015" operator="equal">
      <formula>4</formula>
    </cfRule>
    <cfRule type="cellIs" dxfId="4307" priority="1016" operator="equal">
      <formula>3</formula>
    </cfRule>
    <cfRule type="cellIs" dxfId="4306" priority="1009" operator="equal">
      <formula>4</formula>
    </cfRule>
    <cfRule type="cellIs" dxfId="4305" priority="1012" operator="equal">
      <formula>1</formula>
    </cfRule>
    <cfRule type="cellIs" dxfId="4304" priority="1010" operator="equal">
      <formula>3</formula>
    </cfRule>
    <cfRule type="top10" dxfId="4303" priority="1011" rank="10"/>
  </conditionalFormatting>
  <conditionalFormatting sqref="P26">
    <cfRule type="top10" dxfId="4302" priority="1275" rank="10"/>
    <cfRule type="cellIs" dxfId="4301" priority="1276" operator="equal">
      <formula>1</formula>
    </cfRule>
    <cfRule type="top10" dxfId="4300" priority="1277" rank="10"/>
    <cfRule type="cellIs" dxfId="4299" priority="1278" operator="equal">
      <formula>1</formula>
    </cfRule>
    <cfRule type="cellIs" dxfId="4298" priority="1279" operator="equal">
      <formula>4</formula>
    </cfRule>
    <cfRule type="cellIs" dxfId="4297" priority="1280" operator="equal">
      <formula>3</formula>
    </cfRule>
    <cfRule type="cellIs" dxfId="4296" priority="1274" operator="equal">
      <formula>3</formula>
    </cfRule>
    <cfRule type="cellIs" dxfId="4295" priority="1273" operator="equal">
      <formula>4</formula>
    </cfRule>
  </conditionalFormatting>
  <conditionalFormatting sqref="P29:P31">
    <cfRule type="top10" dxfId="4294" priority="1137" rank="10"/>
    <cfRule type="top10" dxfId="4293" priority="1135" rank="10"/>
    <cfRule type="cellIs" dxfId="4292" priority="1133" operator="equal">
      <formula>4</formula>
    </cfRule>
    <cfRule type="cellIs" dxfId="4291" priority="1138" operator="equal">
      <formula>1</formula>
    </cfRule>
    <cfRule type="cellIs" dxfId="4290" priority="1140" operator="equal">
      <formula>3</formula>
    </cfRule>
    <cfRule type="cellIs" dxfId="4289" priority="1134" operator="equal">
      <formula>3</formula>
    </cfRule>
    <cfRule type="cellIs" dxfId="4288" priority="1139" operator="equal">
      <formula>4</formula>
    </cfRule>
    <cfRule type="cellIs" dxfId="4287" priority="1136" operator="equal">
      <formula>1</formula>
    </cfRule>
  </conditionalFormatting>
  <conditionalFormatting sqref="P34">
    <cfRule type="cellIs" dxfId="4286" priority="938" operator="equal">
      <formula>3</formula>
    </cfRule>
    <cfRule type="cellIs" dxfId="4285" priority="940" operator="equal">
      <formula>1</formula>
    </cfRule>
    <cfRule type="cellIs" dxfId="4284" priority="944" operator="equal">
      <formula>3</formula>
    </cfRule>
    <cfRule type="cellIs" dxfId="4283" priority="943" operator="equal">
      <formula>4</formula>
    </cfRule>
    <cfRule type="cellIs" dxfId="4282" priority="937" operator="equal">
      <formula>4</formula>
    </cfRule>
    <cfRule type="top10" dxfId="4281" priority="939" rank="10"/>
    <cfRule type="top10" dxfId="4280" priority="941" rank="10"/>
    <cfRule type="cellIs" dxfId="4279" priority="942" operator="equal">
      <formula>1</formula>
    </cfRule>
  </conditionalFormatting>
  <conditionalFormatting sqref="P90 P102">
    <cfRule type="cellIs" dxfId="4278" priority="41685" operator="equal">
      <formula>4</formula>
    </cfRule>
    <cfRule type="top10" dxfId="4277" priority="41683" rank="10"/>
    <cfRule type="cellIs" dxfId="4276" priority="41684" operator="equal">
      <formula>1</formula>
    </cfRule>
    <cfRule type="cellIs" dxfId="4275" priority="41682" operator="equal">
      <formula>1</formula>
    </cfRule>
    <cfRule type="cellIs" dxfId="4274" priority="41686" operator="equal">
      <formula>3</formula>
    </cfRule>
    <cfRule type="top10" dxfId="4273" priority="41681" rank="10"/>
  </conditionalFormatting>
  <conditionalFormatting sqref="P90">
    <cfRule type="cellIs" dxfId="4272" priority="41680" operator="equal">
      <formula>3</formula>
    </cfRule>
    <cfRule type="cellIs" dxfId="4271" priority="41679" operator="equal">
      <formula>4</formula>
    </cfRule>
  </conditionalFormatting>
  <conditionalFormatting sqref="P99">
    <cfRule type="top10" dxfId="4270" priority="877" rank="10"/>
    <cfRule type="cellIs" dxfId="4269" priority="878" operator="equal">
      <formula>1</formula>
    </cfRule>
    <cfRule type="cellIs" dxfId="4268" priority="873" operator="equal">
      <formula>4</formula>
    </cfRule>
    <cfRule type="cellIs" dxfId="4267" priority="874" operator="equal">
      <formula>3</formula>
    </cfRule>
    <cfRule type="top10" dxfId="4266" priority="875" rank="10"/>
    <cfRule type="cellIs" dxfId="4265" priority="876" operator="equal">
      <formula>1</formula>
    </cfRule>
  </conditionalFormatting>
  <conditionalFormatting sqref="P101">
    <cfRule type="top10" dxfId="4264" priority="923" rank="10"/>
    <cfRule type="cellIs" dxfId="4263" priority="924" operator="equal">
      <formula>1</formula>
    </cfRule>
    <cfRule type="top10" dxfId="4262" priority="925" rank="10"/>
    <cfRule type="cellIs" dxfId="4261" priority="926" operator="equal">
      <formula>1</formula>
    </cfRule>
  </conditionalFormatting>
  <conditionalFormatting sqref="P101:P102">
    <cfRule type="cellIs" dxfId="4260" priority="927" operator="equal">
      <formula>4</formula>
    </cfRule>
    <cfRule type="cellIs" dxfId="4259" priority="928" operator="equal">
      <formula>3</formula>
    </cfRule>
  </conditionalFormatting>
  <conditionalFormatting sqref="Q16">
    <cfRule type="cellIs" dxfId="4258" priority="1968" operator="equal">
      <formula>1</formula>
    </cfRule>
    <cfRule type="top10" dxfId="4257" priority="1967" rank="10"/>
  </conditionalFormatting>
  <conditionalFormatting sqref="Q19">
    <cfRule type="cellIs" dxfId="4256" priority="1978" operator="equal">
      <formula>1</formula>
    </cfRule>
    <cfRule type="top10" dxfId="4255" priority="1966" rank="10"/>
  </conditionalFormatting>
  <conditionalFormatting sqref="Q20:Q85 Q17:Q18 Q88:Q109">
    <cfRule type="top10" dxfId="4254" priority="44139" rank="10"/>
  </conditionalFormatting>
  <conditionalFormatting sqref="Q31">
    <cfRule type="top10" dxfId="4253" priority="1129" rank="10"/>
    <cfRule type="cellIs" dxfId="4252" priority="1128" operator="equal">
      <formula>1</formula>
    </cfRule>
    <cfRule type="cellIs" dxfId="4251" priority="1125" operator="equal">
      <formula>4</formula>
    </cfRule>
    <cfRule type="cellIs" dxfId="4250" priority="1131" operator="equal">
      <formula>4</formula>
    </cfRule>
    <cfRule type="cellIs" dxfId="4249" priority="1132" operator="equal">
      <formula>3</formula>
    </cfRule>
    <cfRule type="cellIs" dxfId="4248" priority="1126" operator="equal">
      <formula>3</formula>
    </cfRule>
    <cfRule type="top10" dxfId="4247" priority="1127" rank="10"/>
    <cfRule type="cellIs" dxfId="4246" priority="1130" operator="equal">
      <formula>1</formula>
    </cfRule>
  </conditionalFormatting>
  <conditionalFormatting sqref="Q86:Q87">
    <cfRule type="top10" dxfId="4245" priority="1970" rank="10"/>
  </conditionalFormatting>
  <conditionalFormatting sqref="Q91">
    <cfRule type="cellIs" dxfId="4244" priority="920" operator="equal">
      <formula>3</formula>
    </cfRule>
    <cfRule type="cellIs" dxfId="4243" priority="919" operator="equal">
      <formula>4</formula>
    </cfRule>
    <cfRule type="cellIs" dxfId="4242" priority="918" operator="equal">
      <formula>1</formula>
    </cfRule>
    <cfRule type="top10" dxfId="4241" priority="917" rank="10"/>
    <cfRule type="top10" dxfId="4240" priority="915" rank="10"/>
    <cfRule type="cellIs" dxfId="4239" priority="914" operator="equal">
      <formula>3</formula>
    </cfRule>
    <cfRule type="cellIs" dxfId="4238" priority="913" operator="equal">
      <formula>4</formula>
    </cfRule>
    <cfRule type="cellIs" dxfId="4237" priority="916" operator="equal">
      <formula>1</formula>
    </cfRule>
  </conditionalFormatting>
  <conditionalFormatting sqref="R16">
    <cfRule type="top10" dxfId="4236" priority="1251" rank="10"/>
    <cfRule type="top10" dxfId="4235" priority="1253" rank="10"/>
    <cfRule type="cellIs" dxfId="4234" priority="1254" operator="equal">
      <formula>1</formula>
    </cfRule>
    <cfRule type="cellIs" dxfId="4233" priority="1255" operator="equal">
      <formula>4</formula>
    </cfRule>
    <cfRule type="cellIs" dxfId="4232" priority="1256" operator="equal">
      <formula>3</formula>
    </cfRule>
    <cfRule type="cellIs" dxfId="4231" priority="1252" operator="equal">
      <formula>1</formula>
    </cfRule>
    <cfRule type="cellIs" dxfId="4230" priority="1249" operator="equal">
      <formula>4</formula>
    </cfRule>
    <cfRule type="top10" dxfId="4229" priority="1948" rank="10"/>
    <cfRule type="cellIs" dxfId="4228" priority="1250" operator="equal">
      <formula>3</formula>
    </cfRule>
  </conditionalFormatting>
  <conditionalFormatting sqref="R18 R88">
    <cfRule type="cellIs" dxfId="4227" priority="43871" operator="equal">
      <formula>3</formula>
    </cfRule>
    <cfRule type="cellIs" dxfId="4226" priority="43870" operator="equal">
      <formula>4</formula>
    </cfRule>
    <cfRule type="cellIs" dxfId="4225" priority="43875" operator="equal">
      <formula>1</formula>
    </cfRule>
    <cfRule type="cellIs" dxfId="4224" priority="43876" operator="equal">
      <formula>4</formula>
    </cfRule>
    <cfRule type="cellIs" dxfId="4223" priority="43877" operator="equal">
      <formula>3</formula>
    </cfRule>
    <cfRule type="cellIs" dxfId="4222" priority="43873" operator="equal">
      <formula>1</formula>
    </cfRule>
  </conditionalFormatting>
  <conditionalFormatting sqref="R19">
    <cfRule type="cellIs" dxfId="4221" priority="1961" operator="equal">
      <formula>1</formula>
    </cfRule>
    <cfRule type="top10" dxfId="4220" priority="1951" rank="10"/>
  </conditionalFormatting>
  <conditionalFormatting sqref="R20:R85 R17:R18 R88:R109">
    <cfRule type="top10" dxfId="4219" priority="44143" rank="10"/>
  </conditionalFormatting>
  <conditionalFormatting sqref="R38">
    <cfRule type="cellIs" dxfId="4218" priority="896" operator="equal">
      <formula>3</formula>
    </cfRule>
    <cfRule type="cellIs" dxfId="4217" priority="895" operator="equal">
      <formula>4</formula>
    </cfRule>
    <cfRule type="cellIs" dxfId="4216" priority="894" operator="equal">
      <formula>1</formula>
    </cfRule>
    <cfRule type="cellIs" dxfId="4215" priority="892" operator="equal">
      <formula>1</formula>
    </cfRule>
    <cfRule type="top10" dxfId="4214" priority="891" rank="10"/>
    <cfRule type="cellIs" dxfId="4213" priority="890" operator="equal">
      <formula>3</formula>
    </cfRule>
    <cfRule type="cellIs" dxfId="4212" priority="889" operator="equal">
      <formula>4</formula>
    </cfRule>
    <cfRule type="top10" dxfId="4211" priority="893" rank="10"/>
  </conditionalFormatting>
  <conditionalFormatting sqref="R86:R87">
    <cfRule type="top10" dxfId="4210" priority="1953" rank="10"/>
  </conditionalFormatting>
  <conditionalFormatting sqref="R88 R18">
    <cfRule type="top10" dxfId="4209" priority="43872" rank="10"/>
    <cfRule type="top10" dxfId="4208" priority="43874" rank="10"/>
  </conditionalFormatting>
  <conditionalFormatting sqref="R33:S33">
    <cfRule type="cellIs" dxfId="4207" priority="1120" operator="equal">
      <formula>1</formula>
    </cfRule>
    <cfRule type="top10" dxfId="4206" priority="1119" rank="10"/>
    <cfRule type="cellIs" dxfId="4205" priority="1118" operator="equal">
      <formula>3</formula>
    </cfRule>
    <cfRule type="cellIs" dxfId="4204" priority="1117" operator="equal">
      <formula>4</formula>
    </cfRule>
    <cfRule type="cellIs" dxfId="4203" priority="1124" operator="equal">
      <formula>3</formula>
    </cfRule>
    <cfRule type="cellIs" dxfId="4202" priority="1123" operator="equal">
      <formula>4</formula>
    </cfRule>
    <cfRule type="cellIs" dxfId="4201" priority="1122" operator="equal">
      <formula>1</formula>
    </cfRule>
    <cfRule type="top10" dxfId="4200" priority="1121" rank="10"/>
  </conditionalFormatting>
  <conditionalFormatting sqref="R89:S89">
    <cfRule type="cellIs" dxfId="4199" priority="1226" operator="equal">
      <formula>3</formula>
    </cfRule>
    <cfRule type="cellIs" dxfId="4198" priority="1225" operator="equal">
      <formula>4</formula>
    </cfRule>
    <cfRule type="cellIs" dxfId="4197" priority="1230" operator="equal">
      <formula>1</formula>
    </cfRule>
    <cfRule type="cellIs" dxfId="4196" priority="1231" operator="equal">
      <formula>4</formula>
    </cfRule>
    <cfRule type="cellIs" dxfId="4195" priority="1232" operator="equal">
      <formula>3</formula>
    </cfRule>
    <cfRule type="top10" dxfId="4194" priority="1227" rank="10"/>
    <cfRule type="cellIs" dxfId="4193" priority="1228" operator="equal">
      <formula>1</formula>
    </cfRule>
    <cfRule type="top10" dxfId="4192" priority="1229" rank="10"/>
  </conditionalFormatting>
  <conditionalFormatting sqref="S16">
    <cfRule type="top10" dxfId="4191" priority="1936" rank="10"/>
  </conditionalFormatting>
  <conditionalFormatting sqref="S19">
    <cfRule type="top10" dxfId="4190" priority="1939" rank="10"/>
    <cfRule type="cellIs" dxfId="4189" priority="1945" operator="equal">
      <formula>1</formula>
    </cfRule>
  </conditionalFormatting>
  <conditionalFormatting sqref="S20:S85 S17:S18 S88:S109">
    <cfRule type="top10" dxfId="4188" priority="44147" rank="10"/>
  </conditionalFormatting>
  <conditionalFormatting sqref="S27">
    <cfRule type="cellIs" dxfId="4187" priority="1214" operator="equal">
      <formula>1</formula>
    </cfRule>
    <cfRule type="cellIs" dxfId="4186" priority="1209" operator="equal">
      <formula>4</formula>
    </cfRule>
    <cfRule type="cellIs" dxfId="4185" priority="1210" operator="equal">
      <formula>3</formula>
    </cfRule>
    <cfRule type="top10" dxfId="4184" priority="1213" rank="10"/>
    <cfRule type="cellIs" dxfId="4183" priority="1212" operator="equal">
      <formula>1</formula>
    </cfRule>
    <cfRule type="top10" dxfId="4182" priority="1211" rank="10"/>
  </conditionalFormatting>
  <conditionalFormatting sqref="S30">
    <cfRule type="cellIs" dxfId="4181" priority="1147" operator="equal">
      <formula>4</formula>
    </cfRule>
    <cfRule type="cellIs" dxfId="4180" priority="1142" operator="equal">
      <formula>3</formula>
    </cfRule>
    <cfRule type="cellIs" dxfId="4179" priority="1146" operator="equal">
      <formula>1</formula>
    </cfRule>
    <cfRule type="top10" dxfId="4178" priority="1145" rank="10"/>
    <cfRule type="cellIs" dxfId="4177" priority="1144" operator="equal">
      <formula>1</formula>
    </cfRule>
    <cfRule type="top10" dxfId="4176" priority="1143" rank="10"/>
    <cfRule type="cellIs" dxfId="4175" priority="1141" operator="equal">
      <formula>4</formula>
    </cfRule>
    <cfRule type="cellIs" dxfId="4174" priority="1148" operator="equal">
      <formula>3</formula>
    </cfRule>
  </conditionalFormatting>
  <conditionalFormatting sqref="S86:S87">
    <cfRule type="top10" dxfId="4173" priority="1941" rank="10"/>
  </conditionalFormatting>
  <conditionalFormatting sqref="S90">
    <cfRule type="top10" dxfId="4172" priority="1203" rank="10"/>
    <cfRule type="cellIs" dxfId="4171" priority="1202" operator="equal">
      <formula>3</formula>
    </cfRule>
    <cfRule type="cellIs" dxfId="4170" priority="1204" operator="equal">
      <formula>1</formula>
    </cfRule>
    <cfRule type="top10" dxfId="4169" priority="1205" rank="10"/>
    <cfRule type="cellIs" dxfId="4168" priority="1206" operator="equal">
      <formula>1</formula>
    </cfRule>
    <cfRule type="cellIs" dxfId="4167" priority="1207" operator="equal">
      <formula>4</formula>
    </cfRule>
    <cfRule type="cellIs" dxfId="4166" priority="1208" operator="equal">
      <formula>3</formula>
    </cfRule>
    <cfRule type="cellIs" dxfId="4165" priority="1201" operator="equal">
      <formula>4</formula>
    </cfRule>
  </conditionalFormatting>
  <conditionalFormatting sqref="S27:U27">
    <cfRule type="cellIs" dxfId="4164" priority="1223" operator="equal">
      <formula>4</formula>
    </cfRule>
    <cfRule type="cellIs" dxfId="4163" priority="1224" operator="equal">
      <formula>3</formula>
    </cfRule>
  </conditionalFormatting>
  <conditionalFormatting sqref="T16">
    <cfRule type="top10" dxfId="4162" priority="1927" rank="10"/>
  </conditionalFormatting>
  <conditionalFormatting sqref="T16:T19">
    <cfRule type="cellIs" dxfId="4161" priority="1928" operator="equal">
      <formula>1</formula>
    </cfRule>
  </conditionalFormatting>
  <conditionalFormatting sqref="T19">
    <cfRule type="top10" dxfId="4160" priority="1925" rank="10"/>
    <cfRule type="cellIs" dxfId="4159" priority="1238" operator="equal">
      <formula>1</formula>
    </cfRule>
    <cfRule type="cellIs" dxfId="4158" priority="1233" operator="equal">
      <formula>4</formula>
    </cfRule>
    <cfRule type="cellIs" dxfId="4157" priority="1234" operator="equal">
      <formula>3</formula>
    </cfRule>
    <cfRule type="top10" dxfId="4156" priority="1235" rank="10"/>
    <cfRule type="cellIs" dxfId="4155" priority="1236" operator="equal">
      <formula>1</formula>
    </cfRule>
    <cfRule type="top10" dxfId="4154" priority="1237" rank="10"/>
    <cfRule type="cellIs" dxfId="4153" priority="1239" operator="equal">
      <formula>4</formula>
    </cfRule>
    <cfRule type="cellIs" dxfId="4152" priority="1240" operator="equal">
      <formula>3</formula>
    </cfRule>
  </conditionalFormatting>
  <conditionalFormatting sqref="T20:T85 T17:T18 T88:T109">
    <cfRule type="top10" dxfId="4151" priority="44151" rank="10"/>
  </conditionalFormatting>
  <conditionalFormatting sqref="T86:T87">
    <cfRule type="top10" dxfId="4150" priority="1929" rank="10"/>
  </conditionalFormatting>
  <conditionalFormatting sqref="T27:U27">
    <cfRule type="top10" dxfId="4149" priority="1219" rank="10"/>
    <cfRule type="cellIs" dxfId="4148" priority="1220" operator="equal">
      <formula>1</formula>
    </cfRule>
    <cfRule type="top10" dxfId="4147" priority="1221" rank="10"/>
    <cfRule type="cellIs" dxfId="4146" priority="1222" operator="equal">
      <formula>1</formula>
    </cfRule>
  </conditionalFormatting>
  <conditionalFormatting sqref="U16">
    <cfRule type="top10" dxfId="4145" priority="1899" rank="10"/>
  </conditionalFormatting>
  <conditionalFormatting sqref="U16:U19">
    <cfRule type="cellIs" dxfId="4144" priority="1908" operator="equal">
      <formula>1</formula>
    </cfRule>
  </conditionalFormatting>
  <conditionalFormatting sqref="U19">
    <cfRule type="top10" dxfId="4143" priority="1902" rank="10"/>
  </conditionalFormatting>
  <conditionalFormatting sqref="U20:U85 U17:U18 U88:U109">
    <cfRule type="top10" dxfId="4142" priority="44155" rank="10"/>
  </conditionalFormatting>
  <conditionalFormatting sqref="U33">
    <cfRule type="cellIs" dxfId="4141" priority="970" operator="equal">
      <formula>3</formula>
    </cfRule>
    <cfRule type="top10" dxfId="4140" priority="973" rank="10"/>
    <cfRule type="cellIs" dxfId="4139" priority="969" operator="equal">
      <formula>4</formula>
    </cfRule>
    <cfRule type="cellIs" dxfId="4138" priority="976" operator="equal">
      <formula>3</formula>
    </cfRule>
    <cfRule type="cellIs" dxfId="4137" priority="975" operator="equal">
      <formula>4</formula>
    </cfRule>
    <cfRule type="cellIs" dxfId="4136" priority="974" operator="equal">
      <formula>1</formula>
    </cfRule>
    <cfRule type="cellIs" dxfId="4135" priority="972" operator="equal">
      <formula>1</formula>
    </cfRule>
    <cfRule type="top10" dxfId="4134" priority="971" rank="10"/>
  </conditionalFormatting>
  <conditionalFormatting sqref="U86:U87">
    <cfRule type="top10" dxfId="4133" priority="1904" rank="10"/>
  </conditionalFormatting>
  <conditionalFormatting sqref="V16:V19 V88 V106">
    <cfRule type="cellIs" dxfId="4132" priority="42338" operator="equal">
      <formula>1</formula>
    </cfRule>
  </conditionalFormatting>
  <conditionalFormatting sqref="V20:V85 V107:V109 V89:V105">
    <cfRule type="top10" dxfId="4131" priority="47199" rank="10"/>
    <cfRule type="top10" dxfId="4130" priority="47200" rank="10"/>
  </conditionalFormatting>
  <conditionalFormatting sqref="V23">
    <cfRule type="cellIs" dxfId="4129" priority="1060" operator="equal">
      <formula>1</formula>
    </cfRule>
    <cfRule type="top10" dxfId="4128" priority="1061" rank="10"/>
    <cfRule type="cellIs" dxfId="4127" priority="1063" operator="equal">
      <formula>4</formula>
    </cfRule>
    <cfRule type="cellIs" dxfId="4126" priority="1064" operator="equal">
      <formula>3</formula>
    </cfRule>
    <cfRule type="cellIs" dxfId="4125" priority="1057" operator="equal">
      <formula>4</formula>
    </cfRule>
    <cfRule type="cellIs" dxfId="4124" priority="1058" operator="equal">
      <formula>3</formula>
    </cfRule>
    <cfRule type="top10" dxfId="4123" priority="1059" rank="10"/>
    <cfRule type="cellIs" dxfId="4122" priority="1062" operator="equal">
      <formula>1</formula>
    </cfRule>
  </conditionalFormatting>
  <conditionalFormatting sqref="V30">
    <cfRule type="cellIs" dxfId="4121" priority="978" operator="equal">
      <formula>3</formula>
    </cfRule>
    <cfRule type="top10" dxfId="4120" priority="979" rank="10"/>
    <cfRule type="cellIs" dxfId="4119" priority="980" operator="equal">
      <formula>1</formula>
    </cfRule>
    <cfRule type="cellIs" dxfId="4118" priority="977" operator="equal">
      <formula>4</formula>
    </cfRule>
    <cfRule type="cellIs" dxfId="4117" priority="984" operator="equal">
      <formula>3</formula>
    </cfRule>
    <cfRule type="cellIs" dxfId="4116" priority="983" operator="equal">
      <formula>4</formula>
    </cfRule>
    <cfRule type="cellIs" dxfId="4115" priority="982" operator="equal">
      <formula>1</formula>
    </cfRule>
    <cfRule type="top10" dxfId="4114" priority="981" rank="10"/>
  </conditionalFormatting>
  <conditionalFormatting sqref="V86:V87">
    <cfRule type="top10" dxfId="4113" priority="1893" rank="10"/>
  </conditionalFormatting>
  <conditionalFormatting sqref="V88 V106 V16:V19">
    <cfRule type="top10" dxfId="4112" priority="42337" rank="10"/>
  </conditionalFormatting>
  <conditionalFormatting sqref="W16:W26 W88:W89 W106">
    <cfRule type="cellIs" dxfId="4111" priority="41222" operator="equal">
      <formula>1</formula>
    </cfRule>
    <cfRule type="cellIs" dxfId="4110" priority="41220" operator="equal">
      <formula>1</formula>
    </cfRule>
  </conditionalFormatting>
  <conditionalFormatting sqref="W27:W33 W90 W102 W107">
    <cfRule type="cellIs" dxfId="4109" priority="42522" operator="equal">
      <formula>1</formula>
    </cfRule>
    <cfRule type="cellIs" dxfId="4108" priority="42520" operator="equal">
      <formula>1</formula>
    </cfRule>
  </conditionalFormatting>
  <conditionalFormatting sqref="W80:W81">
    <cfRule type="cellIs" dxfId="4107" priority="796" operator="equal">
      <formula>1</formula>
    </cfRule>
    <cfRule type="top10" dxfId="4106" priority="797" rank="10"/>
    <cfRule type="cellIs" dxfId="4105" priority="798" operator="equal">
      <formula>1</formula>
    </cfRule>
    <cfRule type="cellIs" dxfId="4104" priority="799" operator="equal">
      <formula>4</formula>
    </cfRule>
    <cfRule type="cellIs" dxfId="4103" priority="800" operator="equal">
      <formula>3</formula>
    </cfRule>
    <cfRule type="top10" dxfId="4102" priority="795" rank="10"/>
    <cfRule type="cellIs" dxfId="4101" priority="794" operator="equal">
      <formula>3</formula>
    </cfRule>
    <cfRule type="cellIs" dxfId="4100" priority="793" operator="equal">
      <formula>4</formula>
    </cfRule>
  </conditionalFormatting>
  <conditionalFormatting sqref="W83">
    <cfRule type="top10" dxfId="4099" priority="787" rank="10"/>
    <cfRule type="cellIs" dxfId="4098" priority="786" operator="equal">
      <formula>3</formula>
    </cfRule>
    <cfRule type="cellIs" dxfId="4097" priority="785" operator="equal">
      <formula>4</formula>
    </cfRule>
    <cfRule type="cellIs" dxfId="4096" priority="791" operator="equal">
      <formula>4</formula>
    </cfRule>
    <cfRule type="cellIs" dxfId="4095" priority="790" operator="equal">
      <formula>1</formula>
    </cfRule>
    <cfRule type="top10" dxfId="4094" priority="789" rank="10"/>
    <cfRule type="cellIs" dxfId="4093" priority="792" operator="equal">
      <formula>3</formula>
    </cfRule>
    <cfRule type="cellIs" dxfId="4092" priority="788" operator="equal">
      <formula>1</formula>
    </cfRule>
  </conditionalFormatting>
  <conditionalFormatting sqref="W88:W89 W106 W16:W26">
    <cfRule type="top10" dxfId="4091" priority="41221" rank="10"/>
    <cfRule type="top10" dxfId="4090" priority="41219" rank="10"/>
  </conditionalFormatting>
  <conditionalFormatting sqref="W90 W107 W27:W33 W102">
    <cfRule type="top10" dxfId="4089" priority="42519" rank="10"/>
    <cfRule type="top10" dxfId="4088" priority="42521" rank="10"/>
  </conditionalFormatting>
  <conditionalFormatting sqref="W16:X16 W17:W85 W88:W109">
    <cfRule type="top10" dxfId="4087" priority="43045" rank="10"/>
  </conditionalFormatting>
  <conditionalFormatting sqref="W16:X85">
    <cfRule type="cellIs" dxfId="4086" priority="1873" operator="equal">
      <formula>3</formula>
    </cfRule>
    <cfRule type="cellIs" dxfId="4085" priority="1874" operator="equal">
      <formula>4</formula>
    </cfRule>
  </conditionalFormatting>
  <conditionalFormatting sqref="W86:X86">
    <cfRule type="top10" dxfId="4084" priority="1880" rank="10"/>
  </conditionalFormatting>
  <conditionalFormatting sqref="W86:X109">
    <cfRule type="cellIs" dxfId="4083" priority="911" operator="equal">
      <formula>4</formula>
    </cfRule>
    <cfRule type="cellIs" dxfId="4082" priority="912" operator="equal">
      <formula>3</formula>
    </cfRule>
  </conditionalFormatting>
  <conditionalFormatting sqref="W87:X87">
    <cfRule type="top10" dxfId="4081" priority="22" rank="10"/>
  </conditionalFormatting>
  <conditionalFormatting sqref="W101:X101">
    <cfRule type="top10" dxfId="4080" priority="907" rank="10"/>
    <cfRule type="cellIs" dxfId="4079" priority="906" operator="equal">
      <formula>3</formula>
    </cfRule>
    <cfRule type="cellIs" dxfId="4078" priority="908" operator="equal">
      <formula>1</formula>
    </cfRule>
    <cfRule type="top10" dxfId="4077" priority="909" rank="10"/>
    <cfRule type="cellIs" dxfId="4076" priority="910" operator="equal">
      <formula>1</formula>
    </cfRule>
    <cfRule type="cellIs" dxfId="4075" priority="905" operator="equal">
      <formula>4</formula>
    </cfRule>
  </conditionalFormatting>
  <conditionalFormatting sqref="W16:Y19">
    <cfRule type="cellIs" dxfId="4074" priority="1885" operator="equal">
      <formula>1</formula>
    </cfRule>
  </conditionalFormatting>
  <conditionalFormatting sqref="X19">
    <cfRule type="top10" dxfId="4073" priority="1872" rank="10"/>
  </conditionalFormatting>
  <conditionalFormatting sqref="X20:X85 X17:X18 X88:X109">
    <cfRule type="top10" dxfId="4072" priority="44159" rank="10"/>
  </conditionalFormatting>
  <conditionalFormatting sqref="X30">
    <cfRule type="cellIs" dxfId="4071" priority="991" operator="equal">
      <formula>4</formula>
    </cfRule>
    <cfRule type="cellIs" dxfId="4070" priority="985" operator="equal">
      <formula>4</formula>
    </cfRule>
    <cfRule type="cellIs" dxfId="4069" priority="990" operator="equal">
      <formula>1</formula>
    </cfRule>
    <cfRule type="cellIs" dxfId="4068" priority="992" operator="equal">
      <formula>3</formula>
    </cfRule>
    <cfRule type="top10" dxfId="4067" priority="989" rank="10"/>
    <cfRule type="cellIs" dxfId="4066" priority="988" operator="equal">
      <formula>1</formula>
    </cfRule>
    <cfRule type="top10" dxfId="4065" priority="987" rank="10"/>
    <cfRule type="cellIs" dxfId="4064" priority="986" operator="equal">
      <formula>3</formula>
    </cfRule>
  </conditionalFormatting>
  <conditionalFormatting sqref="Y17:Y18 Y20:Y85 Y88:Y109">
    <cfRule type="top10" dxfId="4063" priority="44168" rank="10"/>
  </conditionalFormatting>
  <conditionalFormatting sqref="Y19">
    <cfRule type="top10" dxfId="4062" priority="1856" rank="10"/>
  </conditionalFormatting>
  <conditionalFormatting sqref="Y82">
    <cfRule type="cellIs" dxfId="4061" priority="1848" operator="equal">
      <formula>4</formula>
    </cfRule>
    <cfRule type="cellIs" dxfId="4060" priority="1849" operator="equal">
      <formula>3</formula>
    </cfRule>
    <cfRule type="cellIs" dxfId="4059" priority="1850" operator="equal">
      <formula>1</formula>
    </cfRule>
  </conditionalFormatting>
  <conditionalFormatting sqref="Y86:AA86">
    <cfRule type="top10" dxfId="4058" priority="40508" rank="10"/>
  </conditionalFormatting>
  <conditionalFormatting sqref="Y87:AA87">
    <cfRule type="top10" dxfId="4057" priority="26" rank="10"/>
  </conditionalFormatting>
  <conditionalFormatting sqref="Z16">
    <cfRule type="top10" dxfId="4056" priority="1852" rank="10"/>
    <cfRule type="cellIs" dxfId="4055" priority="1853" operator="equal">
      <formula>1</formula>
    </cfRule>
  </conditionalFormatting>
  <conditionalFormatting sqref="Z88 Y82 Z17:Z18 Z20:AA85 Z89:AA109">
    <cfRule type="top10" dxfId="4054" priority="44163" rank="10"/>
  </conditionalFormatting>
  <conditionalFormatting sqref="Z18:AA18">
    <cfRule type="cellIs" dxfId="4053" priority="40522" operator="equal">
      <formula>4</formula>
    </cfRule>
    <cfRule type="cellIs" dxfId="4052" priority="40525" operator="equal">
      <formula>1</formula>
    </cfRule>
    <cfRule type="top10" dxfId="4051" priority="40524" rank="10"/>
    <cfRule type="cellIs" dxfId="4050" priority="40523" operator="equal">
      <formula>3</formula>
    </cfRule>
    <cfRule type="cellIs" dxfId="4049" priority="40527" operator="equal">
      <formula>1</formula>
    </cfRule>
    <cfRule type="cellIs" dxfId="4048" priority="40528" operator="equal">
      <formula>4</formula>
    </cfRule>
    <cfRule type="cellIs" dxfId="4047" priority="40529" operator="equal">
      <formula>3</formula>
    </cfRule>
    <cfRule type="top10" dxfId="4046" priority="40526" rank="10"/>
  </conditionalFormatting>
  <conditionalFormatting sqref="Z19:AA19">
    <cfRule type="cellIs" dxfId="4045" priority="40539" operator="equal">
      <formula>1</formula>
    </cfRule>
    <cfRule type="top10" dxfId="4044" priority="40538" rank="10"/>
  </conditionalFormatting>
  <conditionalFormatting sqref="Z89:AA89">
    <cfRule type="cellIs" dxfId="4043" priority="40577" operator="equal">
      <formula>1</formula>
    </cfRule>
    <cfRule type="cellIs" dxfId="4042" priority="40575" operator="equal">
      <formula>3</formula>
    </cfRule>
    <cfRule type="cellIs" dxfId="4041" priority="40574" operator="equal">
      <formula>4</formula>
    </cfRule>
    <cfRule type="cellIs" dxfId="4040" priority="40580" operator="equal">
      <formula>4</formula>
    </cfRule>
    <cfRule type="top10" dxfId="4039" priority="40576" rank="10"/>
    <cfRule type="top10" dxfId="4038" priority="40578" rank="10"/>
    <cfRule type="cellIs" dxfId="4037" priority="40579" operator="equal">
      <formula>1</formula>
    </cfRule>
    <cfRule type="cellIs" dxfId="4036" priority="40581" operator="equal">
      <formula>3</formula>
    </cfRule>
  </conditionalFormatting>
  <conditionalFormatting sqref="Z20:AB20">
    <cfRule type="cellIs" dxfId="4035" priority="40547" operator="equal">
      <formula>1</formula>
    </cfRule>
    <cfRule type="top10" dxfId="4034" priority="40546" rank="10"/>
    <cfRule type="cellIs" dxfId="4033" priority="40545" operator="equal">
      <formula>1</formula>
    </cfRule>
    <cfRule type="top10" dxfId="4032" priority="40544" rank="10"/>
    <cfRule type="cellIs" dxfId="4031" priority="40542" operator="equal">
      <formula>4</formula>
    </cfRule>
    <cfRule type="cellIs" dxfId="4030" priority="40543" operator="equal">
      <formula>3</formula>
    </cfRule>
    <cfRule type="cellIs" dxfId="4029" priority="40549" operator="equal">
      <formula>3</formula>
    </cfRule>
    <cfRule type="cellIs" dxfId="4028" priority="40548" operator="equal">
      <formula>4</formula>
    </cfRule>
  </conditionalFormatting>
  <conditionalFormatting sqref="Z22:AB22">
    <cfRule type="cellIs" dxfId="4027" priority="40563" operator="equal">
      <formula>1</formula>
    </cfRule>
    <cfRule type="cellIs" dxfId="4026" priority="40558" operator="equal">
      <formula>4</formula>
    </cfRule>
    <cfRule type="cellIs" dxfId="4025" priority="40559" operator="equal">
      <formula>3</formula>
    </cfRule>
    <cfRule type="top10" dxfId="4024" priority="40560" rank="10"/>
    <cfRule type="top10" dxfId="4023" priority="40562" rank="10"/>
    <cfRule type="cellIs" dxfId="4022" priority="40564" operator="equal">
      <formula>4</formula>
    </cfRule>
    <cfRule type="cellIs" dxfId="4021" priority="40565" operator="equal">
      <formula>3</formula>
    </cfRule>
    <cfRule type="cellIs" dxfId="4020" priority="40561" operator="equal">
      <formula>1</formula>
    </cfRule>
  </conditionalFormatting>
  <conditionalFormatting sqref="AA88:AB88 AB106 Y16 AA16:AB18 AB19">
    <cfRule type="top10" dxfId="4019" priority="43991" rank="10"/>
  </conditionalFormatting>
  <conditionalFormatting sqref="AB20">
    <cfRule type="top10" dxfId="4018" priority="282" rank="10"/>
    <cfRule type="top10" dxfId="4017" priority="283" rank="10"/>
  </conditionalFormatting>
  <conditionalFormatting sqref="AB20:AB22">
    <cfRule type="cellIs" dxfId="4016" priority="274" operator="equal">
      <formula>3</formula>
    </cfRule>
    <cfRule type="cellIs" dxfId="4015" priority="273" operator="equal">
      <formula>4</formula>
    </cfRule>
    <cfRule type="cellIs" dxfId="4014" priority="272" operator="equal">
      <formula>2</formula>
    </cfRule>
  </conditionalFormatting>
  <conditionalFormatting sqref="AB21">
    <cfRule type="top10" dxfId="4013" priority="41421" rank="10"/>
  </conditionalFormatting>
  <conditionalFormatting sqref="AB22">
    <cfRule type="top10" dxfId="4012" priority="289" rank="10"/>
    <cfRule type="top10" dxfId="4011" priority="288" rank="10"/>
  </conditionalFormatting>
  <conditionalFormatting sqref="AB107:AB109 AB23:AB87 AB89:AB105">
    <cfRule type="top10" dxfId="4010" priority="47616" rank="10"/>
  </conditionalFormatting>
  <conditionalFormatting sqref="AC16">
    <cfRule type="cellIs" dxfId="4009" priority="1834" operator="equal">
      <formula>1</formula>
    </cfRule>
    <cfRule type="top10" dxfId="4008" priority="1833" rank="10"/>
    <cfRule type="cellIs" dxfId="4007" priority="1830" operator="equal">
      <formula>4</formula>
    </cfRule>
  </conditionalFormatting>
  <conditionalFormatting sqref="AC16:AC85 AR86:BG109 AN88:BJ104 AN16:BJ85 AN105:BC109 BF105:BJ109">
    <cfRule type="cellIs" dxfId="4006" priority="1835" operator="equal">
      <formula>3</formula>
    </cfRule>
  </conditionalFormatting>
  <conditionalFormatting sqref="AC17">
    <cfRule type="top10" dxfId="4005" priority="1831" rank="10"/>
  </conditionalFormatting>
  <conditionalFormatting sqref="AC17:AC18">
    <cfRule type="cellIs" dxfId="4004" priority="1832" operator="equal">
      <formula>1</formula>
    </cfRule>
  </conditionalFormatting>
  <conditionalFormatting sqref="AC17:AC85 AR86:BG109 AN88:BJ104 BL16:BN109 AN16:BJ85 AN105:AQ109 BF105:BJ109">
    <cfRule type="cellIs" dxfId="4003" priority="1836" operator="equal">
      <formula>4</formula>
    </cfRule>
  </conditionalFormatting>
  <conditionalFormatting sqref="AC19">
    <cfRule type="top10" dxfId="4002" priority="1829" rank="10"/>
  </conditionalFormatting>
  <conditionalFormatting sqref="AC20:AC85 AC18 AC88:AC109">
    <cfRule type="top10" dxfId="4001" priority="44172" rank="10"/>
  </conditionalFormatting>
  <conditionalFormatting sqref="AC21">
    <cfRule type="cellIs" dxfId="4000" priority="766" operator="equal">
      <formula>1</formula>
    </cfRule>
    <cfRule type="cellIs" dxfId="3999" priority="767" operator="equal">
      <formula>4</formula>
    </cfRule>
    <cfRule type="cellIs" dxfId="3998" priority="768" operator="equal">
      <formula>3</formula>
    </cfRule>
    <cfRule type="top10" dxfId="3997" priority="765" rank="10"/>
    <cfRule type="cellIs" dxfId="3996" priority="761" operator="equal">
      <formula>4</formula>
    </cfRule>
    <cfRule type="cellIs" dxfId="3995" priority="762" operator="equal">
      <formula>3</formula>
    </cfRule>
    <cfRule type="top10" dxfId="3994" priority="763" rank="10"/>
    <cfRule type="cellIs" dxfId="3993" priority="764" operator="equal">
      <formula>1</formula>
    </cfRule>
  </conditionalFormatting>
  <conditionalFormatting sqref="AC36">
    <cfRule type="cellIs" dxfId="3992" priority="662" operator="equal">
      <formula>1</formula>
    </cfRule>
    <cfRule type="cellIs" dxfId="3991" priority="663" operator="equal">
      <formula>4</formula>
    </cfRule>
    <cfRule type="cellIs" dxfId="3990" priority="664" operator="equal">
      <formula>3</formula>
    </cfRule>
    <cfRule type="cellIs" dxfId="3989" priority="657" operator="equal">
      <formula>4</formula>
    </cfRule>
    <cfRule type="cellIs" dxfId="3988" priority="658" operator="equal">
      <formula>3</formula>
    </cfRule>
    <cfRule type="top10" dxfId="3987" priority="659" rank="10"/>
    <cfRule type="cellIs" dxfId="3986" priority="660" operator="equal">
      <formula>1</formula>
    </cfRule>
    <cfRule type="top10" dxfId="3985" priority="661" rank="10"/>
  </conditionalFormatting>
  <conditionalFormatting sqref="AC80">
    <cfRule type="cellIs" dxfId="3984" priority="593" operator="equal">
      <formula>4</formula>
    </cfRule>
    <cfRule type="top10" dxfId="3983" priority="597" rank="10"/>
    <cfRule type="cellIs" dxfId="3982" priority="598" operator="equal">
      <formula>1</formula>
    </cfRule>
    <cfRule type="cellIs" dxfId="3981" priority="594" operator="equal">
      <formula>3</formula>
    </cfRule>
    <cfRule type="top10" dxfId="3980" priority="595" rank="10"/>
    <cfRule type="cellIs" dxfId="3979" priority="596" operator="equal">
      <formula>1</formula>
    </cfRule>
    <cfRule type="cellIs" dxfId="3978" priority="600" operator="equal">
      <formula>3</formula>
    </cfRule>
    <cfRule type="cellIs" dxfId="3977" priority="599" operator="equal">
      <formula>4</formula>
    </cfRule>
  </conditionalFormatting>
  <conditionalFormatting sqref="AC86:AC87">
    <cfRule type="top10" dxfId="3976" priority="1838" rank="10"/>
  </conditionalFormatting>
  <conditionalFormatting sqref="AC86:AC109">
    <cfRule type="cellIs" dxfId="3975" priority="735" operator="equal">
      <formula>4</formula>
    </cfRule>
    <cfRule type="cellIs" dxfId="3974" priority="736" operator="equal">
      <formula>3</formula>
    </cfRule>
  </conditionalFormatting>
  <conditionalFormatting sqref="AC102">
    <cfRule type="top10" dxfId="3973" priority="733" rank="10"/>
    <cfRule type="cellIs" dxfId="3972" priority="734" operator="equal">
      <formula>1</formula>
    </cfRule>
    <cfRule type="cellIs" dxfId="3971" priority="732" operator="equal">
      <formula>1</formula>
    </cfRule>
    <cfRule type="top10" dxfId="3970" priority="731" rank="10"/>
    <cfRule type="cellIs" dxfId="3969" priority="730" operator="equal">
      <formula>3</formula>
    </cfRule>
    <cfRule type="cellIs" dxfId="3968" priority="729" operator="equal">
      <formula>4</formula>
    </cfRule>
  </conditionalFormatting>
  <conditionalFormatting sqref="AC107">
    <cfRule type="top10" dxfId="3967" priority="41768" rank="10"/>
    <cfRule type="cellIs" dxfId="3966" priority="41769" operator="equal">
      <formula>1</formula>
    </cfRule>
    <cfRule type="top10" dxfId="3965" priority="41766" rank="10"/>
    <cfRule type="cellIs" dxfId="3964" priority="41771" operator="equal">
      <formula>3</formula>
    </cfRule>
    <cfRule type="cellIs" dxfId="3963" priority="41770" operator="equal">
      <formula>4</formula>
    </cfRule>
    <cfRule type="cellIs" dxfId="3962" priority="41767" operator="equal">
      <formula>1</formula>
    </cfRule>
  </conditionalFormatting>
  <conditionalFormatting sqref="AD18">
    <cfRule type="cellIs" dxfId="3961" priority="778" operator="equal">
      <formula>3</formula>
    </cfRule>
    <cfRule type="top10" dxfId="3960" priority="781" rank="10"/>
    <cfRule type="top10" dxfId="3959" priority="779" rank="10"/>
    <cfRule type="cellIs" dxfId="3958" priority="784" operator="equal">
      <formula>3</formula>
    </cfRule>
    <cfRule type="cellIs" dxfId="3957" priority="780" operator="equal">
      <formula>1</formula>
    </cfRule>
    <cfRule type="cellIs" dxfId="3956" priority="782" operator="equal">
      <formula>1</formula>
    </cfRule>
    <cfRule type="cellIs" dxfId="3955" priority="783" operator="equal">
      <formula>4</formula>
    </cfRule>
    <cfRule type="cellIs" dxfId="3954" priority="777" operator="equal">
      <formula>4</formula>
    </cfRule>
  </conditionalFormatting>
  <conditionalFormatting sqref="AD24">
    <cfRule type="top10" dxfId="3953" priority="741" rank="10"/>
    <cfRule type="cellIs" dxfId="3952" priority="743" operator="equal">
      <formula>4</formula>
    </cfRule>
    <cfRule type="cellIs" dxfId="3951" priority="744" operator="equal">
      <formula>3</formula>
    </cfRule>
    <cfRule type="cellIs" dxfId="3950" priority="742" operator="equal">
      <formula>1</formula>
    </cfRule>
    <cfRule type="cellIs" dxfId="3949" priority="740" operator="equal">
      <formula>1</formula>
    </cfRule>
    <cfRule type="top10" dxfId="3948" priority="739" rank="10"/>
    <cfRule type="cellIs" dxfId="3947" priority="738" operator="equal">
      <formula>3</formula>
    </cfRule>
    <cfRule type="cellIs" dxfId="3946" priority="737" operator="equal">
      <formula>4</formula>
    </cfRule>
  </conditionalFormatting>
  <conditionalFormatting sqref="AD29">
    <cfRule type="cellIs" dxfId="3945" priority="644" operator="equal">
      <formula>1</formula>
    </cfRule>
    <cfRule type="top10" dxfId="3944" priority="643" rank="10"/>
    <cfRule type="cellIs" dxfId="3943" priority="642" operator="equal">
      <formula>3</formula>
    </cfRule>
    <cfRule type="cellIs" dxfId="3942" priority="641" operator="equal">
      <formula>4</formula>
    </cfRule>
    <cfRule type="top10" dxfId="3941" priority="645" rank="10"/>
    <cfRule type="cellIs" dxfId="3940" priority="648" operator="equal">
      <formula>3</formula>
    </cfRule>
    <cfRule type="cellIs" dxfId="3939" priority="647" operator="equal">
      <formula>4</formula>
    </cfRule>
    <cfRule type="cellIs" dxfId="3938" priority="646" operator="equal">
      <formula>1</formula>
    </cfRule>
  </conditionalFormatting>
  <conditionalFormatting sqref="AD106">
    <cfRule type="cellIs" dxfId="3937" priority="776" operator="equal">
      <formula>3</formula>
    </cfRule>
    <cfRule type="top10" dxfId="3936" priority="773" rank="10"/>
    <cfRule type="cellIs" dxfId="3935" priority="774" operator="equal">
      <formula>1</formula>
    </cfRule>
    <cfRule type="cellIs" dxfId="3934" priority="775" operator="equal">
      <formula>4</formula>
    </cfRule>
    <cfRule type="top10" dxfId="3933" priority="771" rank="10"/>
    <cfRule type="cellIs" dxfId="3932" priority="770" operator="equal">
      <formula>3</formula>
    </cfRule>
    <cfRule type="cellIs" dxfId="3931" priority="769" operator="equal">
      <formula>4</formula>
    </cfRule>
    <cfRule type="cellIs" dxfId="3930" priority="772" operator="equal">
      <formula>1</formula>
    </cfRule>
  </conditionalFormatting>
  <conditionalFormatting sqref="AD16:AF16">
    <cfRule type="cellIs" dxfId="3929" priority="1787" operator="equal">
      <formula>1</formula>
    </cfRule>
    <cfRule type="top10" dxfId="3928" priority="1786" rank="10"/>
  </conditionalFormatting>
  <conditionalFormatting sqref="AD19:AF19">
    <cfRule type="top10" dxfId="3927" priority="1788" rank="10"/>
  </conditionalFormatting>
  <conditionalFormatting sqref="AD20:AF85 AD89:AF109">
    <cfRule type="top10" dxfId="3926" priority="47191" rank="10"/>
  </conditionalFormatting>
  <conditionalFormatting sqref="AD86:AF86">
    <cfRule type="top10" dxfId="3925" priority="1790" rank="10"/>
  </conditionalFormatting>
  <conditionalFormatting sqref="AD87:AF87">
    <cfRule type="top10" dxfId="3924" priority="21" rank="10"/>
  </conditionalFormatting>
  <conditionalFormatting sqref="AD88:AF88 AD17:AF18">
    <cfRule type="top10" dxfId="3923" priority="43928" rank="10"/>
  </conditionalFormatting>
  <conditionalFormatting sqref="AE19">
    <cfRule type="cellIs" dxfId="3922" priority="45" operator="equal">
      <formula>1</formula>
    </cfRule>
    <cfRule type="top10" dxfId="3921" priority="42" rank="10"/>
    <cfRule type="cellIs" dxfId="3920" priority="43" operator="equal">
      <formula>1</formula>
    </cfRule>
    <cfRule type="top10" dxfId="3919" priority="44" rank="10"/>
    <cfRule type="top10" dxfId="3918" priority="48" rank="10"/>
  </conditionalFormatting>
  <conditionalFormatting sqref="AE19:AE20">
    <cfRule type="cellIs" dxfId="3917" priority="47" operator="equal">
      <formula>3</formula>
    </cfRule>
    <cfRule type="cellIs" dxfId="3916" priority="46" operator="equal">
      <formula>4</formula>
    </cfRule>
  </conditionalFormatting>
  <conditionalFormatting sqref="AE20">
    <cfRule type="cellIs" dxfId="3915" priority="760" operator="equal">
      <formula>3</formula>
    </cfRule>
    <cfRule type="cellIs" dxfId="3914" priority="758" operator="equal">
      <formula>1</formula>
    </cfRule>
    <cfRule type="top10" dxfId="3913" priority="757" rank="10"/>
    <cfRule type="cellIs" dxfId="3912" priority="756" operator="equal">
      <formula>1</formula>
    </cfRule>
    <cfRule type="cellIs" dxfId="3911" priority="759" operator="equal">
      <formula>4</formula>
    </cfRule>
    <cfRule type="top10" dxfId="3910" priority="755" rank="10"/>
  </conditionalFormatting>
  <conditionalFormatting sqref="AE19:AF19">
    <cfRule type="cellIs" dxfId="3909" priority="38" operator="equal">
      <formula>3</formula>
    </cfRule>
    <cfRule type="cellIs" dxfId="3908" priority="37" operator="equal">
      <formula>4</formula>
    </cfRule>
  </conditionalFormatting>
  <conditionalFormatting sqref="AE30:AF30">
    <cfRule type="top10" dxfId="3907" priority="635" rank="10"/>
    <cfRule type="top10" dxfId="3906" priority="637" rank="10"/>
    <cfRule type="cellIs" dxfId="3905" priority="638" operator="equal">
      <formula>1</formula>
    </cfRule>
    <cfRule type="cellIs" dxfId="3904" priority="639" operator="equal">
      <formula>4</formula>
    </cfRule>
    <cfRule type="cellIs" dxfId="3903" priority="640" operator="equal">
      <formula>3</formula>
    </cfRule>
    <cfRule type="cellIs" dxfId="3902" priority="633" operator="equal">
      <formula>4</formula>
    </cfRule>
    <cfRule type="cellIs" dxfId="3901" priority="634" operator="equal">
      <formula>3</formula>
    </cfRule>
    <cfRule type="cellIs" dxfId="3900" priority="636" operator="equal">
      <formula>1</formula>
    </cfRule>
  </conditionalFormatting>
  <conditionalFormatting sqref="AF19">
    <cfRule type="cellIs" dxfId="3899" priority="32" operator="equal">
      <formula>3</formula>
    </cfRule>
    <cfRule type="top10" dxfId="3898" priority="33" rank="10"/>
    <cfRule type="cellIs" dxfId="3897" priority="36" operator="equal">
      <formula>1</formula>
    </cfRule>
    <cfRule type="cellIs" dxfId="3896" priority="34" operator="equal">
      <formula>1</formula>
    </cfRule>
    <cfRule type="top10" dxfId="3895" priority="35" rank="10"/>
    <cfRule type="top10" dxfId="3894" priority="39" rank="10"/>
    <cfRule type="cellIs" dxfId="3893" priority="31" operator="equal">
      <formula>4</formula>
    </cfRule>
  </conditionalFormatting>
  <conditionalFormatting sqref="AG16:AI109">
    <cfRule type="top10" dxfId="3892" priority="43673" rank="10"/>
  </conditionalFormatting>
  <conditionalFormatting sqref="AJ16:AJ28 AJ88:AJ90 AJ102 AJ106:AJ107">
    <cfRule type="cellIs" dxfId="3891" priority="41906" operator="equal">
      <formula>3</formula>
    </cfRule>
    <cfRule type="cellIs" dxfId="3890" priority="41905" operator="equal">
      <formula>4</formula>
    </cfRule>
    <cfRule type="cellIs" dxfId="3889" priority="41902" operator="equal">
      <formula>1</formula>
    </cfRule>
    <cfRule type="cellIs" dxfId="3888" priority="41904" operator="equal">
      <formula>1</formula>
    </cfRule>
  </conditionalFormatting>
  <conditionalFormatting sqref="AJ29:AJ32">
    <cfRule type="top10" dxfId="3887" priority="667" rank="10"/>
    <cfRule type="cellIs" dxfId="3886" priority="670" operator="equal">
      <formula>1</formula>
    </cfRule>
    <cfRule type="top10" dxfId="3885" priority="669" rank="10"/>
    <cfRule type="cellIs" dxfId="3884" priority="668" operator="equal">
      <formula>1</formula>
    </cfRule>
    <cfRule type="cellIs" dxfId="3883" priority="665" operator="equal">
      <formula>4</formula>
    </cfRule>
    <cfRule type="cellIs" dxfId="3882" priority="666" operator="equal">
      <formula>3</formula>
    </cfRule>
  </conditionalFormatting>
  <conditionalFormatting sqref="AJ80:AJ81">
    <cfRule type="cellIs" dxfId="3881" priority="602" operator="equal">
      <formula>3</formula>
    </cfRule>
    <cfRule type="top10" dxfId="3880" priority="603" rank="10"/>
    <cfRule type="cellIs" dxfId="3879" priority="604" operator="equal">
      <formula>1</formula>
    </cfRule>
    <cfRule type="top10" dxfId="3878" priority="605" rank="10"/>
    <cfRule type="cellIs" dxfId="3877" priority="606" operator="equal">
      <formula>1</formula>
    </cfRule>
    <cfRule type="cellIs" dxfId="3876" priority="607" operator="equal">
      <formula>4</formula>
    </cfRule>
    <cfRule type="cellIs" dxfId="3875" priority="608" operator="equal">
      <formula>3</formula>
    </cfRule>
    <cfRule type="cellIs" dxfId="3874" priority="601" operator="equal">
      <formula>4</formula>
    </cfRule>
  </conditionalFormatting>
  <conditionalFormatting sqref="AJ83">
    <cfRule type="cellIs" dxfId="3873" priority="588" operator="equal">
      <formula>1</formula>
    </cfRule>
    <cfRule type="cellIs" dxfId="3872" priority="591" operator="equal">
      <formula>4</formula>
    </cfRule>
    <cfRule type="cellIs" dxfId="3871" priority="590" operator="equal">
      <formula>1</formula>
    </cfRule>
    <cfRule type="top10" dxfId="3870" priority="587" rank="10"/>
    <cfRule type="cellIs" dxfId="3869" priority="592" operator="equal">
      <formula>3</formula>
    </cfRule>
    <cfRule type="cellIs" dxfId="3868" priority="586" operator="equal">
      <formula>3</formula>
    </cfRule>
    <cfRule type="top10" dxfId="3867" priority="589" rank="10"/>
    <cfRule type="cellIs" dxfId="3866" priority="585" operator="equal">
      <formula>4</formula>
    </cfRule>
  </conditionalFormatting>
  <conditionalFormatting sqref="AJ88:AJ90 AJ106:AJ107 AJ16:AJ28 AJ102">
    <cfRule type="top10" dxfId="3865" priority="41903" rank="10"/>
    <cfRule type="top10" dxfId="3864" priority="41901" rank="10"/>
  </conditionalFormatting>
  <conditionalFormatting sqref="AJ16:AK16 AJ17:AJ85 AJ88:AJ109">
    <cfRule type="top10" dxfId="3863" priority="43091" rank="10"/>
  </conditionalFormatting>
  <conditionalFormatting sqref="AJ86:AK86">
    <cfRule type="top10" dxfId="3862" priority="1668" rank="10"/>
    <cfRule type="cellIs" dxfId="3861" priority="1669" operator="equal">
      <formula>1</formula>
    </cfRule>
  </conditionalFormatting>
  <conditionalFormatting sqref="AJ87:AK87">
    <cfRule type="top10" dxfId="3860" priority="17" rank="10"/>
    <cfRule type="cellIs" dxfId="3859" priority="18" operator="equal">
      <formula>1</formula>
    </cfRule>
  </conditionalFormatting>
  <conditionalFormatting sqref="AJ16:AM16">
    <cfRule type="cellIs" dxfId="3858" priority="710" operator="equal">
      <formula>1</formula>
    </cfRule>
  </conditionalFormatting>
  <conditionalFormatting sqref="AK19">
    <cfRule type="top10" dxfId="3857" priority="1664" rank="10"/>
  </conditionalFormatting>
  <conditionalFormatting sqref="AK20:AK85 AK89:AK109">
    <cfRule type="top10" dxfId="3856" priority="47195" rank="10"/>
  </conditionalFormatting>
  <conditionalFormatting sqref="AK29 AL16:AM109">
    <cfRule type="top10" dxfId="3855" priority="43695" rank="10"/>
  </conditionalFormatting>
  <conditionalFormatting sqref="AK29">
    <cfRule type="cellIs" dxfId="3854" priority="1758" operator="equal">
      <formula>4</formula>
    </cfRule>
    <cfRule type="cellIs" dxfId="3853" priority="1747" operator="equal">
      <formula>1</formula>
    </cfRule>
    <cfRule type="cellIs" dxfId="3852" priority="1759" operator="equal">
      <formula>3</formula>
    </cfRule>
    <cfRule type="cellIs" dxfId="3851" priority="1760" operator="equal">
      <formula>2</formula>
    </cfRule>
  </conditionalFormatting>
  <conditionalFormatting sqref="AK43">
    <cfRule type="cellIs" dxfId="3850" priority="1666" operator="equal">
      <formula>3</formula>
    </cfRule>
    <cfRule type="cellIs" dxfId="3849" priority="1665" operator="equal">
      <formula>4</formula>
    </cfRule>
    <cfRule type="cellIs" dxfId="3848" priority="1660" operator="equal">
      <formula>1</formula>
    </cfRule>
    <cfRule type="top10" dxfId="3847" priority="1659" rank="10"/>
  </conditionalFormatting>
  <conditionalFormatting sqref="AK88 AK17:AK18">
    <cfRule type="top10" dxfId="3846" priority="43954" rank="10"/>
  </conditionalFormatting>
  <conditionalFormatting sqref="AL89">
    <cfRule type="cellIs" dxfId="3845" priority="679" operator="equal">
      <formula>4</formula>
    </cfRule>
    <cfRule type="top10" dxfId="3844" priority="675" rank="10"/>
    <cfRule type="cellIs" dxfId="3843" priority="674" operator="equal">
      <formula>3</formula>
    </cfRule>
    <cfRule type="top10" dxfId="3842" priority="677" rank="10"/>
    <cfRule type="cellIs" dxfId="3841" priority="673" operator="equal">
      <formula>4</formula>
    </cfRule>
    <cfRule type="cellIs" dxfId="3840" priority="678" operator="equal">
      <formula>1</formula>
    </cfRule>
    <cfRule type="cellIs" dxfId="3839" priority="676" operator="equal">
      <formula>1</formula>
    </cfRule>
    <cfRule type="cellIs" dxfId="3838" priority="680" operator="equal">
      <formula>3</formula>
    </cfRule>
  </conditionalFormatting>
  <conditionalFormatting sqref="AL16:AM16">
    <cfRule type="cellIs" dxfId="3837" priority="705" operator="equal">
      <formula>4</formula>
    </cfRule>
    <cfRule type="cellIs" dxfId="3836" priority="711" operator="equal">
      <formula>4</formula>
    </cfRule>
    <cfRule type="cellIs" dxfId="3835" priority="706" operator="equal">
      <formula>3</formula>
    </cfRule>
    <cfRule type="top10" dxfId="3834" priority="707" rank="10"/>
    <cfRule type="cellIs" dxfId="3833" priority="708" operator="equal">
      <formula>1</formula>
    </cfRule>
    <cfRule type="top10" dxfId="3832" priority="709" rank="10"/>
    <cfRule type="cellIs" dxfId="3831" priority="712" operator="equal">
      <formula>3</formula>
    </cfRule>
  </conditionalFormatting>
  <conditionalFormatting sqref="AL23:AM87 AL89:AM105 AL107:AM109">
    <cfRule type="cellIs" dxfId="3830" priority="47634" operator="equal">
      <formula>1</formula>
    </cfRule>
    <cfRule type="cellIs" dxfId="3829" priority="47627" operator="equal">
      <formula>3</formula>
    </cfRule>
    <cfRule type="cellIs" dxfId="3828" priority="47629" operator="equal">
      <formula>3</formula>
    </cfRule>
    <cfRule type="cellIs" dxfId="3827" priority="47630" operator="equal">
      <formula>4</formula>
    </cfRule>
    <cfRule type="cellIs" dxfId="3826" priority="47632" operator="equal">
      <formula>1</formula>
    </cfRule>
    <cfRule type="cellIs" dxfId="3825" priority="47635" operator="equal">
      <formula>4</formula>
    </cfRule>
    <cfRule type="cellIs" dxfId="3824" priority="47636" operator="equal">
      <formula>3</formula>
    </cfRule>
    <cfRule type="cellIs" dxfId="3823" priority="47620" operator="equal">
      <formula>4</formula>
    </cfRule>
    <cfRule type="cellIs" dxfId="3822" priority="47621" operator="equal">
      <formula>3</formula>
    </cfRule>
    <cfRule type="cellIs" dxfId="3821" priority="47623" operator="equal">
      <formula>1</formula>
    </cfRule>
    <cfRule type="cellIs" dxfId="3820" priority="47625" operator="equal">
      <formula>1</formula>
    </cfRule>
    <cfRule type="cellIs" dxfId="3819" priority="47626" operator="equal">
      <formula>4</formula>
    </cfRule>
  </conditionalFormatting>
  <conditionalFormatting sqref="AL80:AM80">
    <cfRule type="top10" dxfId="3818" priority="611" rank="10"/>
    <cfRule type="cellIs" dxfId="3817" priority="616" operator="equal">
      <formula>3</formula>
    </cfRule>
    <cfRule type="cellIs" dxfId="3816" priority="614" operator="equal">
      <formula>1</formula>
    </cfRule>
    <cfRule type="top10" dxfId="3815" priority="613" rank="10"/>
    <cfRule type="cellIs" dxfId="3814" priority="612" operator="equal">
      <formula>1</formula>
    </cfRule>
    <cfRule type="cellIs" dxfId="3813" priority="615" operator="equal">
      <formula>4</formula>
    </cfRule>
  </conditionalFormatting>
  <conditionalFormatting sqref="AL86:AM86">
    <cfRule type="top10" dxfId="3812" priority="1753" rank="10"/>
    <cfRule type="cellIs" dxfId="3811" priority="1754" operator="equal">
      <formula>1</formula>
    </cfRule>
  </conditionalFormatting>
  <conditionalFormatting sqref="AL87:AM87">
    <cfRule type="top10" dxfId="3810" priority="19" rank="10"/>
    <cfRule type="cellIs" dxfId="3809" priority="20" operator="equal">
      <formula>1</formula>
    </cfRule>
  </conditionalFormatting>
  <conditionalFormatting sqref="AL107:AM109 AL23:AM87 AL89:AM105">
    <cfRule type="top10" dxfId="3808" priority="47633" rank="10"/>
    <cfRule type="top10" dxfId="3807" priority="47631" rank="10"/>
    <cfRule type="top10" dxfId="3806" priority="47628" rank="10"/>
    <cfRule type="top10" dxfId="3805" priority="47624" rank="10"/>
    <cfRule type="top10" dxfId="3804" priority="47622" rank="10"/>
  </conditionalFormatting>
  <conditionalFormatting sqref="AM23:AM24">
    <cfRule type="cellIs" dxfId="3803" priority="697" operator="equal">
      <formula>4</formula>
    </cfRule>
    <cfRule type="cellIs" dxfId="3802" priority="698" operator="equal">
      <formula>3</formula>
    </cfRule>
    <cfRule type="top10" dxfId="3801" priority="699" rank="10"/>
    <cfRule type="cellIs" dxfId="3800" priority="700" operator="equal">
      <formula>1</formula>
    </cfRule>
    <cfRule type="cellIs" dxfId="3799" priority="702" operator="equal">
      <formula>1</formula>
    </cfRule>
    <cfRule type="cellIs" dxfId="3798" priority="703" operator="equal">
      <formula>4</formula>
    </cfRule>
    <cfRule type="cellIs" dxfId="3797" priority="704" operator="equal">
      <formula>3</formula>
    </cfRule>
    <cfRule type="top10" dxfId="3796" priority="701" rank="10"/>
  </conditionalFormatting>
  <conditionalFormatting sqref="AM60">
    <cfRule type="top10" dxfId="3795" priority="1744" rank="10"/>
    <cfRule type="cellIs" dxfId="3794" priority="1748" operator="equal">
      <formula>3</formula>
    </cfRule>
    <cfRule type="cellIs" dxfId="3793" priority="1749" operator="equal">
      <formula>1</formula>
    </cfRule>
    <cfRule type="cellIs" dxfId="3792" priority="1751" operator="equal">
      <formula>4</formula>
    </cfRule>
    <cfRule type="top10" dxfId="3791" priority="1745" rank="10"/>
  </conditionalFormatting>
  <conditionalFormatting sqref="AM93">
    <cfRule type="cellIs" dxfId="3790" priority="628" operator="equal">
      <formula>1</formula>
    </cfRule>
    <cfRule type="cellIs" dxfId="3789" priority="631" operator="equal">
      <formula>4</formula>
    </cfRule>
    <cfRule type="top10" dxfId="3788" priority="629" rank="10"/>
    <cfRule type="top10" dxfId="3787" priority="627" rank="10"/>
    <cfRule type="cellIs" dxfId="3786" priority="626" operator="equal">
      <formula>3</formula>
    </cfRule>
    <cfRule type="cellIs" dxfId="3785" priority="625" operator="equal">
      <formula>4</formula>
    </cfRule>
    <cfRule type="cellIs" dxfId="3784" priority="630" operator="equal">
      <formula>1</formula>
    </cfRule>
    <cfRule type="cellIs" dxfId="3783" priority="632" operator="equal">
      <formula>3</formula>
    </cfRule>
  </conditionalFormatting>
  <conditionalFormatting sqref="AN16:AO85 AN88:AO109">
    <cfRule type="top10" dxfId="3782" priority="43117" rank="10"/>
    <cfRule type="top10" dxfId="3781" priority="43116" rank="10"/>
  </conditionalFormatting>
  <conditionalFormatting sqref="AN86:AO86">
    <cfRule type="cellIs" dxfId="3780" priority="300" operator="equal">
      <formula>4</formula>
    </cfRule>
    <cfRule type="top10" dxfId="3779" priority="296" rank="10"/>
  </conditionalFormatting>
  <conditionalFormatting sqref="AN87:AO87">
    <cfRule type="top10" dxfId="3778" priority="11" rank="10"/>
    <cfRule type="cellIs" dxfId="3777" priority="12" operator="equal">
      <formula>4</formula>
    </cfRule>
  </conditionalFormatting>
  <conditionalFormatting sqref="AN16:AQ16">
    <cfRule type="cellIs" dxfId="3776" priority="297" operator="equal">
      <formula>2</formula>
    </cfRule>
  </conditionalFormatting>
  <conditionalFormatting sqref="AN86:AQ109 BB47:BG109 BA88:BA92 BB16:BG44 BJ16:BJ109 BL16:BN109 BA45:BG46 BA99:BG99">
    <cfRule type="cellIs" dxfId="3775" priority="298" operator="equal">
      <formula>3</formula>
    </cfRule>
  </conditionalFormatting>
  <conditionalFormatting sqref="AP16:AQ85 AP88:AQ109">
    <cfRule type="top10" dxfId="3774" priority="43124" rank="10"/>
  </conditionalFormatting>
  <conditionalFormatting sqref="AP70:AQ70">
    <cfRule type="top10" dxfId="3773" priority="308" rank="10"/>
    <cfRule type="top10" dxfId="3772" priority="306" rank="10"/>
    <cfRule type="top10" dxfId="3771" priority="305" rank="10"/>
    <cfRule type="cellIs" dxfId="3770" priority="303" operator="equal">
      <formula>3</formula>
    </cfRule>
    <cfRule type="cellIs" dxfId="3769" priority="304" operator="equal">
      <formula>1</formula>
    </cfRule>
    <cfRule type="top10" dxfId="3768" priority="307" rank="10"/>
  </conditionalFormatting>
  <conditionalFormatting sqref="AP86:AQ86">
    <cfRule type="top10" dxfId="3767" priority="313" rank="10"/>
    <cfRule type="cellIs" dxfId="3766" priority="317" operator="equal">
      <formula>4</formula>
    </cfRule>
  </conditionalFormatting>
  <conditionalFormatting sqref="AP87:AQ87">
    <cfRule type="cellIs" dxfId="3765" priority="14" operator="equal">
      <formula>4</formula>
    </cfRule>
    <cfRule type="top10" dxfId="3764" priority="13" rank="10"/>
  </conditionalFormatting>
  <conditionalFormatting sqref="AR88:AS88">
    <cfRule type="cellIs" dxfId="3763" priority="1720" operator="equal">
      <formula>1</formula>
    </cfRule>
    <cfRule type="top10" dxfId="3762" priority="1719" rank="10"/>
    <cfRule type="top10" dxfId="3761" priority="1717" rank="10"/>
    <cfRule type="cellIs" dxfId="3760" priority="1718" operator="equal">
      <formula>1</formula>
    </cfRule>
  </conditionalFormatting>
  <conditionalFormatting sqref="AR86:AX86">
    <cfRule type="cellIs" dxfId="3759" priority="40597" operator="equal">
      <formula>1</formula>
    </cfRule>
    <cfRule type="top10" dxfId="3758" priority="40596" rank="10"/>
  </conditionalFormatting>
  <conditionalFormatting sqref="AR87:AX87">
    <cfRule type="top10" dxfId="3757" priority="27" rank="10"/>
    <cfRule type="cellIs" dxfId="3756" priority="28" operator="equal">
      <formula>1</formula>
    </cfRule>
  </conditionalFormatting>
  <conditionalFormatting sqref="AR16:BA18">
    <cfRule type="cellIs" dxfId="3755" priority="1612" operator="equal">
      <formula>4</formula>
    </cfRule>
  </conditionalFormatting>
  <conditionalFormatting sqref="AT55:AT56">
    <cfRule type="cellIs" dxfId="3754" priority="518" operator="equal">
      <formula>3</formula>
    </cfRule>
    <cfRule type="cellIs" dxfId="3753" priority="520" operator="equal">
      <formula>1</formula>
    </cfRule>
    <cfRule type="top10" dxfId="3752" priority="519" rank="10"/>
    <cfRule type="cellIs" dxfId="3751" priority="517" operator="equal">
      <formula>4</formula>
    </cfRule>
  </conditionalFormatting>
  <conditionalFormatting sqref="AT65:AT66">
    <cfRule type="top10" dxfId="3750" priority="479" rank="10"/>
    <cfRule type="cellIs" dxfId="3749" priority="480" operator="equal">
      <formula>1</formula>
    </cfRule>
  </conditionalFormatting>
  <conditionalFormatting sqref="AT67">
    <cfRule type="top10" dxfId="3748" priority="471" rank="10"/>
    <cfRule type="cellIs" dxfId="3747" priority="472" operator="equal">
      <formula>1</formula>
    </cfRule>
  </conditionalFormatting>
  <conditionalFormatting sqref="AT72:AT73">
    <cfRule type="cellIs" dxfId="3746" priority="450" operator="equal">
      <formula>3</formula>
    </cfRule>
    <cfRule type="cellIs" dxfId="3745" priority="449" operator="equal">
      <formula>4</formula>
    </cfRule>
    <cfRule type="top10" dxfId="3744" priority="451" rank="10"/>
    <cfRule type="cellIs" dxfId="3743" priority="452" operator="equal">
      <formula>1</formula>
    </cfRule>
  </conditionalFormatting>
  <conditionalFormatting sqref="AT75">
    <cfRule type="cellIs" dxfId="3742" priority="426" operator="equal">
      <formula>3</formula>
    </cfRule>
    <cfRule type="top10" dxfId="3741" priority="427" rank="10"/>
    <cfRule type="cellIs" dxfId="3740" priority="428" operator="equal">
      <formula>1</formula>
    </cfRule>
    <cfRule type="cellIs" dxfId="3739" priority="425" operator="equal">
      <formula>4</formula>
    </cfRule>
  </conditionalFormatting>
  <conditionalFormatting sqref="AT100">
    <cfRule type="cellIs" dxfId="3738" priority="482" operator="equal">
      <formula>3</formula>
    </cfRule>
    <cfRule type="cellIs" dxfId="3737" priority="484" operator="equal">
      <formula>1</formula>
    </cfRule>
    <cfRule type="top10" dxfId="3736" priority="483" rank="10"/>
    <cfRule type="cellIs" dxfId="3735" priority="481" operator="equal">
      <formula>4</formula>
    </cfRule>
  </conditionalFormatting>
  <conditionalFormatting sqref="AT51:AV51">
    <cfRule type="cellIs" dxfId="3734" priority="532" operator="equal">
      <formula>1</formula>
    </cfRule>
    <cfRule type="cellIs" dxfId="3733" priority="530" operator="equal">
      <formula>3</formula>
    </cfRule>
    <cfRule type="top10" dxfId="3732" priority="531" rank="10"/>
    <cfRule type="cellIs" dxfId="3731" priority="529" operator="equal">
      <formula>4</formula>
    </cfRule>
  </conditionalFormatting>
  <conditionalFormatting sqref="AT65:AV67">
    <cfRule type="cellIs" dxfId="3730" priority="465" operator="equal">
      <formula>4</formula>
    </cfRule>
    <cfRule type="cellIs" dxfId="3729" priority="466" operator="equal">
      <formula>3</formula>
    </cfRule>
  </conditionalFormatting>
  <conditionalFormatting sqref="AT48:AW48">
    <cfRule type="top10" dxfId="3728" priority="535" rank="10"/>
    <cfRule type="cellIs" dxfId="3727" priority="536" operator="equal">
      <formula>1</formula>
    </cfRule>
    <cfRule type="cellIs" dxfId="3726" priority="534" operator="equal">
      <formula>3</formula>
    </cfRule>
    <cfRule type="cellIs" dxfId="3725" priority="533" operator="equal">
      <formula>4</formula>
    </cfRule>
  </conditionalFormatting>
  <conditionalFormatting sqref="AT58:AW58">
    <cfRule type="cellIs" dxfId="3724" priority="525" operator="equal">
      <formula>4</formula>
    </cfRule>
    <cfRule type="cellIs" dxfId="3723" priority="526" operator="equal">
      <formula>3</formula>
    </cfRule>
    <cfRule type="cellIs" dxfId="3722" priority="528" operator="equal">
      <formula>1</formula>
    </cfRule>
    <cfRule type="top10" dxfId="3721" priority="527" rank="10"/>
  </conditionalFormatting>
  <conditionalFormatting sqref="AT99:AW99">
    <cfRule type="cellIs" dxfId="3720" priority="537" operator="equal">
      <formula>4</formula>
    </cfRule>
    <cfRule type="cellIs" dxfId="3719" priority="540" operator="equal">
      <formula>1</formula>
    </cfRule>
    <cfRule type="top10" dxfId="3718" priority="539" rank="10"/>
    <cfRule type="cellIs" dxfId="3717" priority="538" operator="equal">
      <formula>3</formula>
    </cfRule>
  </conditionalFormatting>
  <conditionalFormatting sqref="AT88:AX88 AR16:AX85 AR89:AX109">
    <cfRule type="top10" dxfId="3716" priority="43129" rank="10"/>
    <cfRule type="top10" dxfId="3715" priority="43130" rank="10"/>
  </conditionalFormatting>
  <conditionalFormatting sqref="AU40">
    <cfRule type="top10" dxfId="3714" priority="543" rank="10"/>
    <cfRule type="cellIs" dxfId="3713" priority="544" operator="equal">
      <formula>1</formula>
    </cfRule>
  </conditionalFormatting>
  <conditionalFormatting sqref="AU65:AU67">
    <cfRule type="top10" dxfId="3712" priority="475" rank="10"/>
    <cfRule type="cellIs" dxfId="3711" priority="476" operator="equal">
      <formula>1</formula>
    </cfRule>
  </conditionalFormatting>
  <conditionalFormatting sqref="AU75:AU76">
    <cfRule type="cellIs" dxfId="3710" priority="432" operator="equal">
      <formula>1</formula>
    </cfRule>
    <cfRule type="top10" dxfId="3709" priority="431" rank="10"/>
  </conditionalFormatting>
  <conditionalFormatting sqref="AU76">
    <cfRule type="top10" dxfId="3708" priority="399" rank="10"/>
    <cfRule type="cellIs" dxfId="3707" priority="398" operator="equal">
      <formula>3</formula>
    </cfRule>
    <cfRule type="cellIs" dxfId="3706" priority="397" operator="equal">
      <formula>4</formula>
    </cfRule>
    <cfRule type="cellIs" dxfId="3705" priority="400" operator="equal">
      <formula>1</formula>
    </cfRule>
  </conditionalFormatting>
  <conditionalFormatting sqref="AU61:AV61">
    <cfRule type="cellIs" dxfId="3704" priority="522" operator="equal">
      <formula>3</formula>
    </cfRule>
    <cfRule type="cellIs" dxfId="3703" priority="521" operator="equal">
      <formula>4</formula>
    </cfRule>
    <cfRule type="top10" dxfId="3702" priority="523" rank="10"/>
    <cfRule type="cellIs" dxfId="3701" priority="524" operator="equal">
      <formula>1</formula>
    </cfRule>
  </conditionalFormatting>
  <conditionalFormatting sqref="AU71:AV73">
    <cfRule type="top10" dxfId="3700" priority="455" rank="10"/>
    <cfRule type="cellIs" dxfId="3699" priority="456" operator="equal">
      <formula>1</formula>
    </cfRule>
    <cfRule type="top10" dxfId="3698" priority="403" rank="10"/>
    <cfRule type="cellIs" dxfId="3697" priority="402" operator="equal">
      <formula>3</formula>
    </cfRule>
    <cfRule type="cellIs" dxfId="3696" priority="401" operator="equal">
      <formula>4</formula>
    </cfRule>
    <cfRule type="cellIs" dxfId="3695" priority="404" operator="equal">
      <formula>1</formula>
    </cfRule>
  </conditionalFormatting>
  <conditionalFormatting sqref="AU40:AW40">
    <cfRule type="cellIs" dxfId="3694" priority="542" operator="equal">
      <formula>3</formula>
    </cfRule>
    <cfRule type="cellIs" dxfId="3693" priority="541" operator="equal">
      <formula>4</formula>
    </cfRule>
  </conditionalFormatting>
  <conditionalFormatting sqref="AU56:AW56">
    <cfRule type="cellIs" dxfId="3692" priority="513" operator="equal">
      <formula>4</formula>
    </cfRule>
    <cfRule type="cellIs" dxfId="3691" priority="514" operator="equal">
      <formula>3</formula>
    </cfRule>
    <cfRule type="top10" dxfId="3690" priority="515" rank="10"/>
    <cfRule type="cellIs" dxfId="3689" priority="516" operator="equal">
      <formula>1</formula>
    </cfRule>
  </conditionalFormatting>
  <conditionalFormatting sqref="AU71:AW73">
    <cfRule type="cellIs" dxfId="3688" priority="446" operator="equal">
      <formula>3</formula>
    </cfRule>
    <cfRule type="cellIs" dxfId="3687" priority="445" operator="equal">
      <formula>4</formula>
    </cfRule>
  </conditionalFormatting>
  <conditionalFormatting sqref="AU75:AW76">
    <cfRule type="cellIs" dxfId="3686" priority="429" operator="equal">
      <formula>4</formula>
    </cfRule>
    <cfRule type="cellIs" dxfId="3685" priority="430" operator="equal">
      <formula>3</formula>
    </cfRule>
  </conditionalFormatting>
  <conditionalFormatting sqref="AV65:AV67">
    <cfRule type="top10" dxfId="3684" priority="467" rank="10"/>
    <cfRule type="cellIs" dxfId="3683" priority="468" operator="equal">
      <formula>1</formula>
    </cfRule>
  </conditionalFormatting>
  <conditionalFormatting sqref="AV75:AV76">
    <cfRule type="top10" dxfId="3682" priority="435" rank="10"/>
    <cfRule type="cellIs" dxfId="3681" priority="436" operator="equal">
      <formula>1</formula>
    </cfRule>
  </conditionalFormatting>
  <conditionalFormatting sqref="AV40:AW40">
    <cfRule type="top10" dxfId="3680" priority="547" rank="10"/>
    <cfRule type="cellIs" dxfId="3679" priority="548" operator="equal">
      <formula>1</formula>
    </cfRule>
  </conditionalFormatting>
  <conditionalFormatting sqref="AW55">
    <cfRule type="cellIs" dxfId="3678" priority="512" operator="equal">
      <formula>1</formula>
    </cfRule>
    <cfRule type="cellIs" dxfId="3677" priority="509" operator="equal">
      <formula>4</formula>
    </cfRule>
    <cfRule type="cellIs" dxfId="3676" priority="510" operator="equal">
      <formula>3</formula>
    </cfRule>
    <cfRule type="top10" dxfId="3675" priority="511" rank="10"/>
  </conditionalFormatting>
  <conditionalFormatting sqref="AW64:AW67 AW100">
    <cfRule type="cellIs" dxfId="3674" priority="461" operator="equal">
      <formula>4</formula>
    </cfRule>
    <cfRule type="cellIs" dxfId="3673" priority="462" operator="equal">
      <formula>3</formula>
    </cfRule>
    <cfRule type="cellIs" dxfId="3672" priority="464" operator="equal">
      <formula>1</formula>
    </cfRule>
    <cfRule type="top10" dxfId="3671" priority="463" rank="10"/>
  </conditionalFormatting>
  <conditionalFormatting sqref="AW71:AW73">
    <cfRule type="top10" dxfId="3670" priority="447" rank="10"/>
    <cfRule type="cellIs" dxfId="3669" priority="448" operator="equal">
      <formula>1</formula>
    </cfRule>
  </conditionalFormatting>
  <conditionalFormatting sqref="AW75:AW76">
    <cfRule type="cellIs" dxfId="3668" priority="440" operator="equal">
      <formula>1</formula>
    </cfRule>
    <cfRule type="top10" dxfId="3667" priority="439" rank="10"/>
  </conditionalFormatting>
  <conditionalFormatting sqref="AW103">
    <cfRule type="cellIs" dxfId="3666" priority="508" operator="equal">
      <formula>1</formula>
    </cfRule>
    <cfRule type="top10" dxfId="3665" priority="507" rank="10"/>
    <cfRule type="cellIs" dxfId="3664" priority="505" operator="equal">
      <formula>4</formula>
    </cfRule>
    <cfRule type="cellIs" dxfId="3663" priority="506" operator="equal">
      <formula>3</formula>
    </cfRule>
  </conditionalFormatting>
  <conditionalFormatting sqref="AX66">
    <cfRule type="top10" dxfId="3662" priority="40611" rank="10"/>
    <cfRule type="cellIs" dxfId="3661" priority="40612" operator="equal">
      <formula>1</formula>
    </cfRule>
    <cfRule type="cellIs" dxfId="3660" priority="40609" operator="equal">
      <formula>4</formula>
    </cfRule>
    <cfRule type="cellIs" dxfId="3659" priority="40610" operator="equal">
      <formula>3</formula>
    </cfRule>
  </conditionalFormatting>
  <conditionalFormatting sqref="AX71:AX72">
    <cfRule type="cellIs" dxfId="3658" priority="40614" operator="equal">
      <formula>3</formula>
    </cfRule>
    <cfRule type="cellIs" dxfId="3657" priority="40613" operator="equal">
      <formula>4</formula>
    </cfRule>
    <cfRule type="cellIs" dxfId="3656" priority="40616" operator="equal">
      <formula>1</formula>
    </cfRule>
    <cfRule type="top10" dxfId="3655" priority="40615" rank="10"/>
  </conditionalFormatting>
  <conditionalFormatting sqref="AY16:AY85 AY88:AY109">
    <cfRule type="top10" dxfId="3654" priority="43139" rank="10"/>
  </conditionalFormatting>
  <conditionalFormatting sqref="AY27">
    <cfRule type="cellIs" dxfId="3653" priority="566" operator="equal">
      <formula>3</formula>
    </cfRule>
    <cfRule type="cellIs" dxfId="3652" priority="565" operator="equal">
      <formula>4</formula>
    </cfRule>
    <cfRule type="top10" dxfId="3651" priority="567" rank="10"/>
    <cfRule type="cellIs" dxfId="3650" priority="568" operator="equal">
      <formula>1</formula>
    </cfRule>
  </conditionalFormatting>
  <conditionalFormatting sqref="AY32">
    <cfRule type="cellIs" dxfId="3649" priority="564" operator="equal">
      <formula>1</formula>
    </cfRule>
    <cfRule type="top10" dxfId="3648" priority="563" rank="10"/>
    <cfRule type="cellIs" dxfId="3647" priority="562" operator="equal">
      <formula>3</formula>
    </cfRule>
    <cfRule type="cellIs" dxfId="3646" priority="561" operator="equal">
      <formula>4</formula>
    </cfRule>
  </conditionalFormatting>
  <conditionalFormatting sqref="AY80">
    <cfRule type="cellIs" dxfId="3645" priority="418" operator="equal">
      <formula>3</formula>
    </cfRule>
    <cfRule type="cellIs" dxfId="3644" priority="417" operator="equal">
      <formula>4</formula>
    </cfRule>
    <cfRule type="top10" dxfId="3643" priority="419" rank="10"/>
    <cfRule type="cellIs" dxfId="3642" priority="420" operator="equal">
      <formula>1</formula>
    </cfRule>
  </conditionalFormatting>
  <conditionalFormatting sqref="AY82">
    <cfRule type="cellIs" dxfId="3641" priority="416" operator="equal">
      <formula>1</formula>
    </cfRule>
    <cfRule type="top10" dxfId="3640" priority="415" rank="10"/>
    <cfRule type="cellIs" dxfId="3639" priority="414" operator="equal">
      <formula>3</formula>
    </cfRule>
    <cfRule type="cellIs" dxfId="3638" priority="413" operator="equal">
      <formula>4</formula>
    </cfRule>
  </conditionalFormatting>
  <conditionalFormatting sqref="AY17:BA17">
    <cfRule type="cellIs" dxfId="3637" priority="41522" operator="equal">
      <formula>3</formula>
    </cfRule>
    <cfRule type="top10" dxfId="3636" priority="41523" rank="10"/>
    <cfRule type="cellIs" dxfId="3635" priority="41524" operator="equal">
      <formula>1</formula>
    </cfRule>
    <cfRule type="top10" dxfId="3634" priority="41525" rank="10"/>
    <cfRule type="cellIs" dxfId="3633" priority="41526" operator="equal">
      <formula>1</formula>
    </cfRule>
    <cfRule type="cellIs" dxfId="3632" priority="41528" operator="equal">
      <formula>3</formula>
    </cfRule>
    <cfRule type="cellIs" dxfId="3631" priority="41521" operator="equal">
      <formula>4</formula>
    </cfRule>
    <cfRule type="cellIs" dxfId="3630" priority="41527" operator="equal">
      <formula>4</formula>
    </cfRule>
  </conditionalFormatting>
  <conditionalFormatting sqref="AY38:BA40">
    <cfRule type="cellIs" dxfId="3629" priority="41540" operator="equal">
      <formula>1</formula>
    </cfRule>
    <cfRule type="top10" dxfId="3628" priority="41539" rank="10"/>
    <cfRule type="cellIs" dxfId="3627" priority="41538" operator="equal">
      <formula>3</formula>
    </cfRule>
    <cfRule type="cellIs" dxfId="3626" priority="41537" operator="equal">
      <formula>4</formula>
    </cfRule>
  </conditionalFormatting>
  <conditionalFormatting sqref="AY86:BA86">
    <cfRule type="cellIs" dxfId="3625" priority="41546" operator="equal">
      <formula>1</formula>
    </cfRule>
    <cfRule type="top10" dxfId="3624" priority="41545" rank="10"/>
  </conditionalFormatting>
  <conditionalFormatting sqref="AY87:BA87">
    <cfRule type="cellIs" dxfId="3623" priority="30" operator="equal">
      <formula>1</formula>
    </cfRule>
    <cfRule type="top10" dxfId="3622" priority="29" rank="10"/>
  </conditionalFormatting>
  <conditionalFormatting sqref="AZ16:BA85 AZ88:BA109">
    <cfRule type="top10" dxfId="3621" priority="43144" rank="10"/>
  </conditionalFormatting>
  <conditionalFormatting sqref="AZ21:BA21">
    <cfRule type="cellIs" dxfId="3620" priority="41557" operator="equal">
      <formula>4</formula>
    </cfRule>
    <cfRule type="top10" dxfId="3619" priority="41559" rank="10"/>
    <cfRule type="cellIs" dxfId="3618" priority="41560" operator="equal">
      <formula>1</formula>
    </cfRule>
    <cfRule type="top10" dxfId="3617" priority="41561" rank="10"/>
    <cfRule type="cellIs" dxfId="3616" priority="41562" operator="equal">
      <formula>1</formula>
    </cfRule>
    <cfRule type="cellIs" dxfId="3615" priority="41564" operator="equal">
      <formula>3</formula>
    </cfRule>
    <cfRule type="cellIs" dxfId="3614" priority="41558" operator="equal">
      <formula>3</formula>
    </cfRule>
    <cfRule type="cellIs" dxfId="3613" priority="41563" operator="equal">
      <formula>4</formula>
    </cfRule>
  </conditionalFormatting>
  <conditionalFormatting sqref="AZ41:BA41">
    <cfRule type="cellIs" dxfId="3612" priority="41573" operator="equal">
      <formula>4</formula>
    </cfRule>
    <cfRule type="cellIs" dxfId="3611" priority="41574" operator="equal">
      <formula>3</formula>
    </cfRule>
    <cfRule type="top10" dxfId="3610" priority="41575" rank="10"/>
    <cfRule type="cellIs" dxfId="3609" priority="41576" operator="equal">
      <formula>1</formula>
    </cfRule>
  </conditionalFormatting>
  <conditionalFormatting sqref="BA16:BA18">
    <cfRule type="top10" dxfId="3608" priority="41624" rank="10"/>
  </conditionalFormatting>
  <conditionalFormatting sqref="BA16:BA26">
    <cfRule type="cellIs" dxfId="3607" priority="1613" operator="equal">
      <formula>3</formula>
    </cfRule>
    <cfRule type="cellIs" dxfId="3606" priority="1610" operator="equal">
      <formula>1</formula>
    </cfRule>
  </conditionalFormatting>
  <conditionalFormatting sqref="BA36:BA43">
    <cfRule type="top10" dxfId="3605" priority="157" rank="10"/>
    <cfRule type="cellIs" dxfId="3604" priority="154" operator="equal">
      <formula>3</formula>
    </cfRule>
    <cfRule type="cellIs" dxfId="3603" priority="153" operator="equal">
      <formula>4</formula>
    </cfRule>
    <cfRule type="cellIs" dxfId="3602" priority="152" operator="equal">
      <formula>1</formula>
    </cfRule>
  </conditionalFormatting>
  <conditionalFormatting sqref="BA47:BA58 BA103:BA104">
    <cfRule type="cellIs" dxfId="3601" priority="47091" operator="equal">
      <formula>3</formula>
    </cfRule>
    <cfRule type="cellIs" dxfId="3600" priority="47090" operator="equal">
      <formula>4</formula>
    </cfRule>
    <cfRule type="cellIs" dxfId="3599" priority="47089" operator="equal">
      <formula>1</formula>
    </cfRule>
  </conditionalFormatting>
  <conditionalFormatting sqref="BA62:BA63 BA94:BA98 BA100">
    <cfRule type="cellIs" dxfId="3598" priority="43571" operator="equal">
      <formula>3</formula>
    </cfRule>
    <cfRule type="cellIs" dxfId="3597" priority="43570" operator="equal">
      <formula>4</formula>
    </cfRule>
    <cfRule type="cellIs" dxfId="3596" priority="43569" operator="equal">
      <formula>1</formula>
    </cfRule>
  </conditionalFormatting>
  <conditionalFormatting sqref="BA65:BA87 BA105">
    <cfRule type="cellIs" dxfId="3595" priority="119" operator="equal">
      <formula>3</formula>
    </cfRule>
    <cfRule type="cellIs" dxfId="3594" priority="118" operator="equal">
      <formula>4</formula>
    </cfRule>
    <cfRule type="cellIs" dxfId="3593" priority="117" operator="equal">
      <formula>1</formula>
    </cfRule>
  </conditionalFormatting>
  <conditionalFormatting sqref="BA65:BA91 BA105:BA109">
    <cfRule type="cellIs" dxfId="3592" priority="1715" operator="equal">
      <formula>4</formula>
    </cfRule>
  </conditionalFormatting>
  <conditionalFormatting sqref="BA89 BA24:BA26">
    <cfRule type="top10" dxfId="3591" priority="187" rank="10"/>
  </conditionalFormatting>
  <conditionalFormatting sqref="BA90 BA107 BA28:BA30 BA102">
    <cfRule type="top10" dxfId="3590" priority="41958" rank="10"/>
  </conditionalFormatting>
  <conditionalFormatting sqref="BA91 BA108:BA109 BA31:BA35">
    <cfRule type="top10" dxfId="3589" priority="163" rank="10"/>
  </conditionalFormatting>
  <conditionalFormatting sqref="BA92 BA45:BA46 BA99">
    <cfRule type="top10" dxfId="3588" priority="48059" rank="10"/>
  </conditionalFormatting>
  <conditionalFormatting sqref="BA94:BA96 BA103:BA104 BA47:BA58 BA98">
    <cfRule type="top10" dxfId="3587" priority="47092" rank="10"/>
  </conditionalFormatting>
  <conditionalFormatting sqref="BA97 BA100 BA62:BA63">
    <cfRule type="top10" dxfId="3586" priority="43572" rank="10"/>
  </conditionalFormatting>
  <conditionalFormatting sqref="BA105 BA65:BA87">
    <cfRule type="top10" dxfId="3585" priority="121" rank="10"/>
  </conditionalFormatting>
  <conditionalFormatting sqref="BA106 BA19:BA23">
    <cfRule type="top10" dxfId="3584" priority="41630" rank="10"/>
  </conditionalFormatting>
  <conditionalFormatting sqref="BB16:BB85 BB88:BB109">
    <cfRule type="top10" dxfId="3583" priority="43169" rank="10"/>
  </conditionalFormatting>
  <conditionalFormatting sqref="BB48">
    <cfRule type="cellIs" dxfId="3582" priority="40632" operator="equal">
      <formula>4</formula>
    </cfRule>
    <cfRule type="cellIs" dxfId="3581" priority="40633" operator="equal">
      <formula>3</formula>
    </cfRule>
    <cfRule type="top10" dxfId="3580" priority="40634" rank="10"/>
    <cfRule type="cellIs" dxfId="3579" priority="40635" operator="equal">
      <formula>1</formula>
    </cfRule>
  </conditionalFormatting>
  <conditionalFormatting sqref="BB53">
    <cfRule type="top10" dxfId="3578" priority="40638" rank="10"/>
    <cfRule type="cellIs" dxfId="3577" priority="40636" operator="equal">
      <formula>4</formula>
    </cfRule>
    <cfRule type="cellIs" dxfId="3576" priority="40637" operator="equal">
      <formula>3</formula>
    </cfRule>
    <cfRule type="cellIs" dxfId="3575" priority="40639" operator="equal">
      <formula>1</formula>
    </cfRule>
  </conditionalFormatting>
  <conditionalFormatting sqref="BB60">
    <cfRule type="top10" dxfId="3574" priority="40640" rank="10"/>
    <cfRule type="cellIs" dxfId="3573" priority="40641" operator="equal">
      <formula>1</formula>
    </cfRule>
  </conditionalFormatting>
  <conditionalFormatting sqref="BB61">
    <cfRule type="top10" dxfId="3572" priority="40642" rank="10"/>
    <cfRule type="cellIs" dxfId="3571" priority="40643" operator="equal">
      <formula>1</formula>
    </cfRule>
  </conditionalFormatting>
  <conditionalFormatting sqref="BB86:BB87">
    <cfRule type="top10" dxfId="3570" priority="40644" rank="10"/>
  </conditionalFormatting>
  <conditionalFormatting sqref="BB60:BC61">
    <cfRule type="cellIs" dxfId="3569" priority="486" operator="equal">
      <formula>3</formula>
    </cfRule>
    <cfRule type="cellIs" dxfId="3568" priority="485" operator="equal">
      <formula>4</formula>
    </cfRule>
  </conditionalFormatting>
  <conditionalFormatting sqref="BB47:BG109 BA88:BA92 AN86:AQ109 BB16:BG44 BJ16:BJ109 BL16:BN109 BA45:BG46 BA99:BG99">
    <cfRule type="cellIs" dxfId="3567" priority="293" operator="equal">
      <formula>1</formula>
    </cfRule>
  </conditionalFormatting>
  <conditionalFormatting sqref="BC16:BC85 BC88:BC109">
    <cfRule type="top10" dxfId="3566" priority="43174" rank="10"/>
  </conditionalFormatting>
  <conditionalFormatting sqref="BC86:BC87">
    <cfRule type="top10" dxfId="3565" priority="40682" rank="10"/>
    <cfRule type="cellIs" dxfId="3564" priority="40683" operator="equal">
      <formula>4</formula>
    </cfRule>
  </conditionalFormatting>
  <conditionalFormatting sqref="BD16:BE16">
    <cfRule type="cellIs" dxfId="3563" priority="214" operator="equal">
      <formula>2</formula>
    </cfRule>
    <cfRule type="cellIs" dxfId="3562" priority="213" operator="equal">
      <formula>4</formula>
    </cfRule>
  </conditionalFormatting>
  <conditionalFormatting sqref="BD16:BE109">
    <cfRule type="top10" dxfId="3561" priority="43768" rank="10"/>
    <cfRule type="top10" dxfId="3560" priority="43770" rank="10"/>
    <cfRule type="cellIs" dxfId="3559" priority="43769" operator="equal">
      <formula>1</formula>
    </cfRule>
  </conditionalFormatting>
  <conditionalFormatting sqref="BD86:BE86">
    <cfRule type="top10" dxfId="3558" priority="212" rank="10"/>
  </conditionalFormatting>
  <conditionalFormatting sqref="BD87:BE87">
    <cfRule type="top10" dxfId="3557" priority="10" rank="10"/>
  </conditionalFormatting>
  <conditionalFormatting sqref="BD89:BE90 BD107:BE107 BD79:BE85 BD105:BE105 BD28:BE30 BD102:BE102 BD23:BE24 BD16:BE16">
    <cfRule type="top10" dxfId="3556" priority="43184" rank="10"/>
  </conditionalFormatting>
  <conditionalFormatting sqref="BD106:BE106 BD103:BE104 BD108:BE109 BD17:BE22 BD25:BE27 BD31:BE78 BD91:BE101 BD88:BE88">
    <cfRule type="top10" dxfId="3555" priority="47606" rank="10"/>
  </conditionalFormatting>
  <conditionalFormatting sqref="BG16:BG85 BG88:BG109">
    <cfRule type="top10" dxfId="3554" priority="43201" rank="10"/>
    <cfRule type="top10" dxfId="3553" priority="43200" rank="10"/>
    <cfRule type="top10" dxfId="3552" priority="43199" rank="10"/>
    <cfRule type="cellIs" dxfId="3551" priority="40656" operator="equal">
      <formula>1</formula>
    </cfRule>
  </conditionalFormatting>
  <conditionalFormatting sqref="BG63 BG24 BM16:BN109 BF16:BF109 BJ16:BJ109">
    <cfRule type="top10" dxfId="3550" priority="43790" rank="10"/>
  </conditionalFormatting>
  <conditionalFormatting sqref="BG82">
    <cfRule type="top10" dxfId="3549" priority="40664" rank="10"/>
    <cfRule type="cellIs" dxfId="3548" priority="40665" operator="equal">
      <formula>1</formula>
    </cfRule>
  </conditionalFormatting>
  <conditionalFormatting sqref="BG86:BG87">
    <cfRule type="top10" dxfId="3547" priority="40666" rank="10"/>
  </conditionalFormatting>
  <conditionalFormatting sqref="BG88:BG109">
    <cfRule type="cellIs" dxfId="3546" priority="40654" operator="equal">
      <formula>4</formula>
    </cfRule>
    <cfRule type="cellIs" dxfId="3545" priority="40655" operator="equal">
      <formula>3</formula>
    </cfRule>
  </conditionalFormatting>
  <conditionalFormatting sqref="BG97">
    <cfRule type="top10" dxfId="3544" priority="40662" rank="10"/>
    <cfRule type="cellIs" dxfId="3543" priority="40663" operator="equal">
      <formula>1</formula>
    </cfRule>
  </conditionalFormatting>
  <conditionalFormatting sqref="BH16:BI16">
    <cfRule type="cellIs" dxfId="3542" priority="240" operator="equal">
      <formula>2</formula>
    </cfRule>
  </conditionalFormatting>
  <conditionalFormatting sqref="BH16:BI85 BH88:BI109 BH86:BH87">
    <cfRule type="top10" dxfId="3541" priority="43208" rank="10"/>
  </conditionalFormatting>
  <conditionalFormatting sqref="BH86:BI109">
    <cfRule type="cellIs" dxfId="3540" priority="236" operator="equal">
      <formula>3</formula>
    </cfRule>
    <cfRule type="cellIs" dxfId="3539" priority="237" operator="equal">
      <formula>1</formula>
    </cfRule>
  </conditionalFormatting>
  <conditionalFormatting sqref="BH86:BJ109">
    <cfRule type="cellIs" dxfId="3538" priority="235" operator="equal">
      <formula>4</formula>
    </cfRule>
  </conditionalFormatting>
  <conditionalFormatting sqref="BI61">
    <cfRule type="cellIs" dxfId="3537" priority="59" operator="equal">
      <formula>1</formula>
    </cfRule>
    <cfRule type="cellIs" dxfId="3536" priority="53" operator="equal">
      <formula>1</formula>
    </cfRule>
    <cfRule type="top10" dxfId="3535" priority="58" rank="10"/>
    <cfRule type="cellIs" dxfId="3534" priority="54" operator="equal">
      <formula>4</formula>
    </cfRule>
    <cfRule type="cellIs" dxfId="3533" priority="55" operator="equal">
      <formula>3</formula>
    </cfRule>
  </conditionalFormatting>
  <conditionalFormatting sqref="BI86:BI87">
    <cfRule type="top10" dxfId="3532" priority="234" rank="10"/>
  </conditionalFormatting>
  <conditionalFormatting sqref="BK16:BK85 BK88:BK109">
    <cfRule type="top10" dxfId="3531" priority="43216" rank="10"/>
    <cfRule type="top10" dxfId="3530" priority="43217" rank="10"/>
  </conditionalFormatting>
  <conditionalFormatting sqref="BK16:BK109">
    <cfRule type="cellIs" dxfId="3529" priority="40487" operator="equal">
      <formula>1</formula>
    </cfRule>
  </conditionalFormatting>
  <conditionalFormatting sqref="BK86:BK87">
    <cfRule type="top10" dxfId="3528" priority="40486" rank="10"/>
  </conditionalFormatting>
  <conditionalFormatting sqref="BL16:BL85 BL88:BL109">
    <cfRule type="top10" dxfId="3527" priority="43225" rank="10"/>
  </conditionalFormatting>
  <conditionalFormatting sqref="BL86:BL87">
    <cfRule type="top10" dxfId="3526" priority="1591" rank="10"/>
  </conditionalFormatting>
  <conditionalFormatting sqref="BO16:BO85 BR16:BR85 BR88:BR109 BO88:BO109">
    <cfRule type="top10" dxfId="3525" priority="43244" rank="10"/>
  </conditionalFormatting>
  <conditionalFormatting sqref="BO86:BR86">
    <cfRule type="cellIs" dxfId="3524" priority="1622" operator="equal">
      <formula>1</formula>
    </cfRule>
    <cfRule type="top10" dxfId="3523" priority="1621" rank="10"/>
  </conditionalFormatting>
  <conditionalFormatting sqref="BO87:BR87">
    <cfRule type="cellIs" dxfId="3522" priority="16" operator="equal">
      <formula>1</formula>
    </cfRule>
    <cfRule type="top10" dxfId="3521" priority="15" rank="10"/>
  </conditionalFormatting>
  <conditionalFormatting sqref="BP16:BP85 BP88:BP109">
    <cfRule type="top10" dxfId="3520" priority="43238" rank="10"/>
  </conditionalFormatting>
  <conditionalFormatting sqref="BQ16:BQ85 BQ88:BQ109">
    <cfRule type="top10" dxfId="3519" priority="43241" rank="10"/>
  </conditionalFormatting>
  <conditionalFormatting sqref="BS16:BU109">
    <cfRule type="top10" dxfId="3518" priority="50169" rank="10"/>
    <cfRule type="cellIs" dxfId="3517" priority="50170" operator="equal">
      <formula>1</formula>
    </cfRule>
  </conditionalFormatting>
  <conditionalFormatting sqref="BV3:BV10">
    <cfRule type="cellIs" dxfId="3516" priority="8" operator="greaterThan">
      <formula>0.5</formula>
    </cfRule>
    <cfRule type="cellIs" dxfId="3515" priority="7" operator="lessThan">
      <formula>0.5</formula>
    </cfRule>
  </conditionalFormatting>
  <conditionalFormatting sqref="BV16:BW109">
    <cfRule type="cellIs" dxfId="3514" priority="3" operator="equal">
      <formula>4</formula>
    </cfRule>
    <cfRule type="cellIs" dxfId="3513" priority="4" operator="equal">
      <formula>2</formula>
    </cfRule>
    <cfRule type="cellIs" dxfId="3512" priority="6" operator="equal">
      <formula>1</formula>
    </cfRule>
    <cfRule type="cellIs" dxfId="3511" priority="5" operator="equal">
      <formula>3</formula>
    </cfRule>
  </conditionalFormatting>
  <conditionalFormatting sqref="BW3:BW10">
    <cfRule type="cellIs" dxfId="3510" priority="1" operator="lessThan">
      <formula>0.8</formula>
    </cfRule>
    <cfRule type="cellIs" dxfId="3509" priority="2" operator="greaterThan">
      <formula>0.8</formula>
    </cfRule>
  </conditionalFormatting>
  <pageMargins left="0.7" right="0.7" top="0.75" bottom="0.75" header="0.3" footer="0.3"/>
  <pageSetup paperSize="8" scale="13" orientation="landscape" horizontalDpi="1200" verticalDpi="1200" r:id="rId1"/>
  <headerFooter>
    <oddFooter>&amp;CICTMF020-HR&amp;RRev A 
date 11/03/2024</oddFooter>
  </headerFooter>
  <colBreaks count="1" manualBreakCount="1">
    <brk id="7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AAAD-0971-42FD-A576-CE9290CC50B5}">
  <dimension ref="A1:Z56"/>
  <sheetViews>
    <sheetView view="pageBreakPreview" topLeftCell="A20" zoomScale="40" zoomScaleNormal="64" zoomScaleSheetLayoutView="40" workbookViewId="0">
      <selection activeCell="V36" sqref="V36:W37"/>
    </sheetView>
  </sheetViews>
  <sheetFormatPr defaultColWidth="9.109375" defaultRowHeight="14.4"/>
  <cols>
    <col min="1" max="1" width="26.109375" customWidth="1"/>
    <col min="2" max="2" width="61.5546875" customWidth="1"/>
    <col min="3" max="3" width="28.88671875" customWidth="1"/>
    <col min="4" max="4" width="33.6640625" customWidth="1"/>
    <col min="5" max="18" width="25.88671875" customWidth="1"/>
    <col min="19" max="21" width="20.6640625" customWidth="1"/>
    <col min="22" max="22" width="29.44140625" customWidth="1"/>
    <col min="23" max="23" width="22.6640625" customWidth="1"/>
  </cols>
  <sheetData>
    <row r="1" spans="1:26" s="1" customFormat="1" ht="50.25" customHeight="1" thickBot="1">
      <c r="A1" s="601"/>
      <c r="B1" s="602"/>
      <c r="C1" s="615" t="s">
        <v>29</v>
      </c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23" t="s">
        <v>0</v>
      </c>
      <c r="U1" s="646" t="s">
        <v>20</v>
      </c>
      <c r="V1" s="647"/>
    </row>
    <row r="2" spans="1:26" s="1" customFormat="1" ht="69" customHeight="1" thickBot="1">
      <c r="A2" s="603"/>
      <c r="B2" s="604"/>
      <c r="C2" s="617" t="s">
        <v>30</v>
      </c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23" t="s">
        <v>1</v>
      </c>
      <c r="U2" s="648">
        <v>45362</v>
      </c>
      <c r="V2" s="649"/>
    </row>
    <row r="3" spans="1:26" s="2" customFormat="1" ht="22.5" customHeight="1">
      <c r="B3" s="3" t="s">
        <v>4</v>
      </c>
      <c r="C3" s="4"/>
      <c r="D3" s="4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5"/>
      <c r="Q3" s="5"/>
      <c r="R3" s="5"/>
      <c r="S3" s="682" t="s">
        <v>518</v>
      </c>
      <c r="T3" s="683"/>
      <c r="U3" s="684"/>
      <c r="V3" s="691">
        <f>+AVERAGE(V19:V95)</f>
        <v>0.51372549019607849</v>
      </c>
      <c r="W3" s="694">
        <f>+COUNTIF(E19:U95,"&gt;2")/COUNTIF(E16:U95,"&gt;1")</f>
        <v>0.81097560975609762</v>
      </c>
    </row>
    <row r="4" spans="1:26" s="2" customFormat="1" ht="12" customHeight="1">
      <c r="A4" s="6"/>
      <c r="I4" s="8"/>
      <c r="J4" s="5"/>
      <c r="S4" s="685"/>
      <c r="T4" s="686"/>
      <c r="U4" s="687"/>
      <c r="V4" s="692"/>
      <c r="W4" s="695"/>
    </row>
    <row r="5" spans="1:26" s="6" customFormat="1" ht="15.75" customHeight="1">
      <c r="B5" s="7" t="s">
        <v>5</v>
      </c>
      <c r="D5" s="2"/>
      <c r="E5" s="7"/>
      <c r="F5" s="9"/>
      <c r="G5" s="9"/>
      <c r="H5" s="9"/>
      <c r="I5" s="9"/>
      <c r="J5" s="9"/>
      <c r="K5" s="9"/>
      <c r="L5" s="9"/>
      <c r="M5" s="7"/>
      <c r="N5" s="7"/>
      <c r="S5" s="685"/>
      <c r="T5" s="686"/>
      <c r="U5" s="687"/>
      <c r="V5" s="692"/>
      <c r="W5" s="695"/>
    </row>
    <row r="6" spans="1:26" s="6" customFormat="1" ht="15.75" customHeight="1">
      <c r="B6" s="7" t="s">
        <v>6</v>
      </c>
      <c r="E6" s="7"/>
      <c r="F6" s="7"/>
      <c r="G6" s="7"/>
      <c r="H6" s="7"/>
      <c r="I6" s="7"/>
      <c r="J6" s="7"/>
      <c r="K6" s="7"/>
      <c r="L6" s="7"/>
      <c r="M6" s="7"/>
      <c r="N6" s="7"/>
      <c r="S6" s="685"/>
      <c r="T6" s="686"/>
      <c r="U6" s="687"/>
      <c r="V6" s="692"/>
      <c r="W6" s="695"/>
    </row>
    <row r="7" spans="1:26" s="6" customFormat="1" ht="19.5" customHeight="1">
      <c r="B7" s="7" t="s">
        <v>7</v>
      </c>
      <c r="E7" s="630"/>
      <c r="F7" s="630"/>
      <c r="G7" s="630"/>
      <c r="H7" s="630"/>
      <c r="I7" s="630"/>
      <c r="J7" s="630"/>
      <c r="K7" s="630"/>
      <c r="L7" s="630"/>
      <c r="S7" s="685"/>
      <c r="T7" s="686"/>
      <c r="U7" s="687"/>
      <c r="V7" s="692"/>
      <c r="W7" s="695"/>
    </row>
    <row r="8" spans="1:26" s="6" customFormat="1" ht="6.75" customHeight="1">
      <c r="B8" s="7"/>
      <c r="E8" s="9"/>
      <c r="F8" s="9"/>
      <c r="G8" s="9"/>
      <c r="H8" s="9"/>
      <c r="I8" s="9"/>
      <c r="J8" s="9"/>
      <c r="K8" s="9"/>
      <c r="L8" s="9"/>
      <c r="S8" s="685"/>
      <c r="T8" s="686"/>
      <c r="U8" s="687"/>
      <c r="V8" s="692"/>
      <c r="W8" s="695"/>
    </row>
    <row r="9" spans="1:26" s="2" customFormat="1" ht="15" customHeight="1">
      <c r="A9" s="6"/>
      <c r="B9" s="7" t="s">
        <v>10</v>
      </c>
      <c r="C9" s="11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85"/>
      <c r="T9" s="686"/>
      <c r="U9" s="687"/>
      <c r="V9" s="692"/>
      <c r="W9" s="695"/>
    </row>
    <row r="10" spans="1:26" s="2" customFormat="1" ht="16.5" customHeight="1">
      <c r="A10" s="6"/>
      <c r="B10" s="7"/>
      <c r="C10" s="11"/>
      <c r="D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85"/>
      <c r="T10" s="686"/>
      <c r="U10" s="687"/>
      <c r="V10" s="692"/>
      <c r="W10" s="695"/>
    </row>
    <row r="11" spans="1:26" s="2" customFormat="1" ht="16.5" customHeight="1">
      <c r="A11" s="6"/>
      <c r="B11" s="7"/>
      <c r="C11" s="11"/>
      <c r="D11" s="1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85"/>
      <c r="T11" s="686"/>
      <c r="U11" s="687"/>
      <c r="V11" s="692"/>
      <c r="W11" s="695"/>
    </row>
    <row r="12" spans="1:26" s="2" customFormat="1" ht="16.5" customHeight="1" thickBot="1">
      <c r="A12" s="6"/>
      <c r="B12" s="7"/>
      <c r="C12" s="11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88"/>
      <c r="T12" s="689"/>
      <c r="U12" s="690"/>
      <c r="V12" s="693"/>
      <c r="W12" s="696"/>
    </row>
    <row r="13" spans="1:26" ht="33.75" customHeight="1" thickBot="1">
      <c r="A13" s="10"/>
      <c r="B13" s="10"/>
      <c r="C13" s="10"/>
      <c r="D13" s="11"/>
      <c r="E13" s="641"/>
      <c r="F13" s="642"/>
      <c r="G13" s="642"/>
      <c r="H13" s="642"/>
      <c r="I13" s="642"/>
      <c r="J13" s="642"/>
      <c r="K13" s="643"/>
      <c r="L13" s="35"/>
      <c r="M13" s="36"/>
      <c r="N13" s="36"/>
      <c r="O13" s="36"/>
      <c r="P13" s="36"/>
      <c r="Q13" s="37"/>
      <c r="R13" s="44"/>
      <c r="S13" s="631"/>
      <c r="T13" s="631"/>
      <c r="U13" s="632"/>
      <c r="V13" s="679" t="s">
        <v>11</v>
      </c>
      <c r="W13" s="679" t="s">
        <v>517</v>
      </c>
      <c r="X13" s="2"/>
      <c r="Y13" s="2"/>
      <c r="Z13" s="2"/>
    </row>
    <row r="14" spans="1:26" ht="52.5" customHeight="1" thickTop="1" thickBot="1">
      <c r="A14" s="607" t="s">
        <v>2</v>
      </c>
      <c r="B14" s="621" t="s">
        <v>3</v>
      </c>
      <c r="C14" s="624" t="s">
        <v>8</v>
      </c>
      <c r="D14" s="624" t="s">
        <v>9</v>
      </c>
      <c r="E14" s="38" t="s">
        <v>46</v>
      </c>
      <c r="F14" s="633" t="s">
        <v>47</v>
      </c>
      <c r="G14" s="634"/>
      <c r="H14" s="633" t="s">
        <v>48</v>
      </c>
      <c r="I14" s="635"/>
      <c r="J14" s="634"/>
      <c r="K14" s="39" t="s">
        <v>46</v>
      </c>
      <c r="L14" s="40" t="s">
        <v>49</v>
      </c>
      <c r="M14" s="39" t="s">
        <v>49</v>
      </c>
      <c r="N14" s="38" t="s">
        <v>49</v>
      </c>
      <c r="O14" s="39" t="s">
        <v>49</v>
      </c>
      <c r="P14" s="41" t="s">
        <v>46</v>
      </c>
      <c r="Q14" s="85" t="s">
        <v>49</v>
      </c>
      <c r="R14" s="45" t="s">
        <v>501</v>
      </c>
      <c r="S14" s="638" t="s">
        <v>66</v>
      </c>
      <c r="T14" s="638" t="s">
        <v>67</v>
      </c>
      <c r="U14" s="638" t="s">
        <v>68</v>
      </c>
      <c r="V14" s="680"/>
      <c r="W14" s="680"/>
      <c r="X14" s="2"/>
      <c r="Y14" s="2"/>
      <c r="Z14" s="2"/>
    </row>
    <row r="15" spans="1:26" ht="22.5" customHeight="1">
      <c r="A15" s="608"/>
      <c r="B15" s="622"/>
      <c r="C15" s="625"/>
      <c r="D15" s="625"/>
      <c r="E15" s="652" t="s">
        <v>50</v>
      </c>
      <c r="F15" s="654" t="s">
        <v>276</v>
      </c>
      <c r="G15" s="656" t="s">
        <v>277</v>
      </c>
      <c r="H15" s="658" t="s">
        <v>52</v>
      </c>
      <c r="I15" s="659"/>
      <c r="J15" s="652"/>
      <c r="K15" s="636" t="s">
        <v>53</v>
      </c>
      <c r="L15" s="662" t="s">
        <v>54</v>
      </c>
      <c r="M15" s="665" t="s">
        <v>55</v>
      </c>
      <c r="N15" s="636" t="s">
        <v>56</v>
      </c>
      <c r="O15" s="667" t="s">
        <v>278</v>
      </c>
      <c r="P15" s="636" t="s">
        <v>280</v>
      </c>
      <c r="Q15" s="636" t="s">
        <v>279</v>
      </c>
      <c r="R15" s="84"/>
      <c r="S15" s="639"/>
      <c r="T15" s="639"/>
      <c r="U15" s="639"/>
      <c r="V15" s="680"/>
      <c r="W15" s="680"/>
      <c r="X15" s="2"/>
      <c r="Y15" s="2"/>
      <c r="Z15" s="2"/>
    </row>
    <row r="16" spans="1:26" ht="132.75" customHeight="1" thickBot="1">
      <c r="A16" s="608"/>
      <c r="B16" s="622"/>
      <c r="C16" s="625"/>
      <c r="D16" s="625"/>
      <c r="E16" s="653"/>
      <c r="F16" s="655"/>
      <c r="G16" s="657"/>
      <c r="H16" s="660"/>
      <c r="I16" s="661"/>
      <c r="J16" s="653"/>
      <c r="K16" s="637"/>
      <c r="L16" s="663"/>
      <c r="M16" s="666"/>
      <c r="N16" s="637"/>
      <c r="O16" s="668"/>
      <c r="P16" s="637"/>
      <c r="Q16" s="637"/>
      <c r="R16" s="39" t="s">
        <v>502</v>
      </c>
      <c r="S16" s="639"/>
      <c r="T16" s="639"/>
      <c r="U16" s="639"/>
      <c r="V16" s="680"/>
      <c r="W16" s="680" t="s">
        <v>517</v>
      </c>
      <c r="X16" s="2"/>
      <c r="Y16" s="2"/>
      <c r="Z16" s="2"/>
    </row>
    <row r="17" spans="1:26" ht="51.75" customHeight="1">
      <c r="A17" s="608"/>
      <c r="B17" s="622"/>
      <c r="C17" s="625"/>
      <c r="D17" s="625"/>
      <c r="E17" s="650" t="s">
        <v>60</v>
      </c>
      <c r="F17" s="628" t="s">
        <v>60</v>
      </c>
      <c r="G17" s="628" t="s">
        <v>60</v>
      </c>
      <c r="H17" s="628" t="s">
        <v>61</v>
      </c>
      <c r="I17" s="628" t="s">
        <v>62</v>
      </c>
      <c r="J17" s="628" t="s">
        <v>63</v>
      </c>
      <c r="K17" s="629" t="s">
        <v>64</v>
      </c>
      <c r="L17" s="644" t="s">
        <v>65</v>
      </c>
      <c r="M17" s="650" t="s">
        <v>65</v>
      </c>
      <c r="N17" s="628" t="s">
        <v>60</v>
      </c>
      <c r="O17" s="628" t="s">
        <v>60</v>
      </c>
      <c r="P17" s="628" t="s">
        <v>60</v>
      </c>
      <c r="Q17" s="628" t="s">
        <v>60</v>
      </c>
      <c r="R17" s="628" t="s">
        <v>60</v>
      </c>
      <c r="S17" s="639"/>
      <c r="T17" s="639"/>
      <c r="U17" s="639"/>
      <c r="V17" s="680"/>
      <c r="W17" s="680"/>
      <c r="X17" s="2"/>
      <c r="Y17" s="2"/>
      <c r="Z17" s="2"/>
    </row>
    <row r="18" spans="1:26" s="13" customFormat="1" ht="33" customHeight="1" thickBot="1">
      <c r="A18" s="627"/>
      <c r="B18" s="623"/>
      <c r="C18" s="626"/>
      <c r="D18" s="626"/>
      <c r="E18" s="651"/>
      <c r="F18" s="628"/>
      <c r="G18" s="628"/>
      <c r="H18" s="628"/>
      <c r="I18" s="628"/>
      <c r="J18" s="628"/>
      <c r="K18" s="629"/>
      <c r="L18" s="645"/>
      <c r="M18" s="651"/>
      <c r="N18" s="628" t="s">
        <v>60</v>
      </c>
      <c r="O18" s="628" t="s">
        <v>60</v>
      </c>
      <c r="P18" s="628" t="s">
        <v>60</v>
      </c>
      <c r="Q18" s="628" t="s">
        <v>60</v>
      </c>
      <c r="R18" s="628" t="s">
        <v>60</v>
      </c>
      <c r="S18" s="640"/>
      <c r="T18" s="640"/>
      <c r="U18" s="640"/>
      <c r="V18" s="681"/>
      <c r="W18" s="681"/>
      <c r="X18" s="12"/>
      <c r="Y18" s="12"/>
      <c r="Z18" s="12"/>
    </row>
    <row r="19" spans="1:26" s="80" customFormat="1" ht="51" customHeight="1" thickBot="1">
      <c r="A19" s="59" t="s">
        <v>92</v>
      </c>
      <c r="B19" s="89" t="s">
        <v>93</v>
      </c>
      <c r="C19" s="77" t="s">
        <v>32</v>
      </c>
      <c r="D19" s="77" t="s">
        <v>123</v>
      </c>
      <c r="E19" s="83">
        <v>3</v>
      </c>
      <c r="F19" s="66">
        <v>3</v>
      </c>
      <c r="G19" s="66">
        <v>3</v>
      </c>
      <c r="H19" s="66" t="s">
        <v>69</v>
      </c>
      <c r="I19" s="66" t="s">
        <v>69</v>
      </c>
      <c r="J19" s="66" t="s">
        <v>69</v>
      </c>
      <c r="K19" s="66" t="s">
        <v>69</v>
      </c>
      <c r="L19" s="76">
        <v>4</v>
      </c>
      <c r="M19" s="76">
        <v>4</v>
      </c>
      <c r="N19" s="67">
        <v>4</v>
      </c>
      <c r="O19" s="67">
        <v>4</v>
      </c>
      <c r="P19" s="66" t="s">
        <v>69</v>
      </c>
      <c r="Q19" s="67">
        <v>4</v>
      </c>
      <c r="R19" s="67">
        <v>3</v>
      </c>
      <c r="S19" s="66">
        <v>4</v>
      </c>
      <c r="T19" s="66">
        <v>4</v>
      </c>
      <c r="U19" s="76">
        <v>4</v>
      </c>
      <c r="V19" s="78">
        <f>COUNTIF(E19:U19,"&gt;0")/15</f>
        <v>0.8</v>
      </c>
      <c r="W19" s="96">
        <f>+COUNTIF(E19:U19,"&gt;2")/COUNTIF(E19:U19,"&gt;1")</f>
        <v>1</v>
      </c>
      <c r="X19" s="79"/>
      <c r="Y19" s="79"/>
      <c r="Z19" s="79"/>
    </row>
    <row r="20" spans="1:26" s="80" customFormat="1" ht="51" customHeight="1" thickBot="1">
      <c r="A20" s="33" t="s">
        <v>94</v>
      </c>
      <c r="B20" s="90" t="s">
        <v>95</v>
      </c>
      <c r="C20" s="81" t="s">
        <v>32</v>
      </c>
      <c r="D20" s="81" t="s">
        <v>123</v>
      </c>
      <c r="E20" s="68">
        <v>4</v>
      </c>
      <c r="F20" s="69">
        <v>2</v>
      </c>
      <c r="G20" s="69">
        <v>3</v>
      </c>
      <c r="H20" s="70" t="s">
        <v>69</v>
      </c>
      <c r="I20" s="70" t="s">
        <v>69</v>
      </c>
      <c r="J20" s="70" t="s">
        <v>69</v>
      </c>
      <c r="K20" s="70" t="s">
        <v>69</v>
      </c>
      <c r="L20" s="69">
        <v>3</v>
      </c>
      <c r="M20" s="69">
        <v>3</v>
      </c>
      <c r="N20" s="70">
        <v>4</v>
      </c>
      <c r="O20" s="69">
        <v>3</v>
      </c>
      <c r="P20" s="69" t="s">
        <v>69</v>
      </c>
      <c r="Q20" s="70">
        <v>4</v>
      </c>
      <c r="R20" s="69" t="s">
        <v>69</v>
      </c>
      <c r="S20" s="70">
        <v>4</v>
      </c>
      <c r="T20" s="70">
        <v>4</v>
      </c>
      <c r="U20" s="76">
        <v>4</v>
      </c>
      <c r="V20" s="78">
        <f t="shared" ref="V20:V35" si="0">COUNTIF(E20:U20,"&gt;0")/15</f>
        <v>0.73333333333333328</v>
      </c>
      <c r="W20" s="97">
        <f t="shared" ref="W20:W35" si="1">+COUNTIF(E20:U20,"&gt;2")/COUNTIF(E20:U20,"&gt;1")</f>
        <v>0.90909090909090906</v>
      </c>
      <c r="X20" s="79"/>
      <c r="Y20" s="79"/>
      <c r="Z20" s="79"/>
    </row>
    <row r="21" spans="1:26" s="80" customFormat="1" ht="51" customHeight="1" thickBot="1">
      <c r="A21" s="33" t="s">
        <v>96</v>
      </c>
      <c r="B21" s="90" t="s">
        <v>97</v>
      </c>
      <c r="C21" s="81" t="s">
        <v>32</v>
      </c>
      <c r="D21" s="81" t="s">
        <v>123</v>
      </c>
      <c r="E21" s="72" t="s">
        <v>69</v>
      </c>
      <c r="F21" s="70">
        <v>2</v>
      </c>
      <c r="G21" s="70">
        <v>2</v>
      </c>
      <c r="H21" s="69" t="s">
        <v>69</v>
      </c>
      <c r="I21" s="69" t="s">
        <v>69</v>
      </c>
      <c r="J21" s="69" t="s">
        <v>69</v>
      </c>
      <c r="K21" s="69" t="s">
        <v>69</v>
      </c>
      <c r="L21" s="69">
        <v>4</v>
      </c>
      <c r="M21" s="69">
        <v>4</v>
      </c>
      <c r="N21" s="69">
        <v>3</v>
      </c>
      <c r="O21" s="69">
        <v>3</v>
      </c>
      <c r="P21" s="69" t="s">
        <v>69</v>
      </c>
      <c r="Q21" s="69">
        <v>3</v>
      </c>
      <c r="R21" s="69" t="s">
        <v>69</v>
      </c>
      <c r="S21" s="70">
        <v>3</v>
      </c>
      <c r="T21" s="70">
        <v>3</v>
      </c>
      <c r="U21" s="69">
        <v>3</v>
      </c>
      <c r="V21" s="78">
        <f t="shared" si="0"/>
        <v>0.66666666666666663</v>
      </c>
      <c r="W21" s="97">
        <f t="shared" si="1"/>
        <v>0.8</v>
      </c>
      <c r="X21" s="79"/>
      <c r="Y21" s="79"/>
      <c r="Z21" s="79"/>
    </row>
    <row r="22" spans="1:26" s="80" customFormat="1" ht="51" customHeight="1" thickBot="1">
      <c r="A22" s="33" t="s">
        <v>31</v>
      </c>
      <c r="B22" s="90" t="s">
        <v>98</v>
      </c>
      <c r="C22" s="81" t="s">
        <v>32</v>
      </c>
      <c r="D22" s="81" t="s">
        <v>123</v>
      </c>
      <c r="E22" s="72" t="s">
        <v>69</v>
      </c>
      <c r="F22" s="69" t="s">
        <v>69</v>
      </c>
      <c r="G22" s="69" t="s">
        <v>69</v>
      </c>
      <c r="H22" s="70">
        <v>4</v>
      </c>
      <c r="I22" s="70">
        <v>4</v>
      </c>
      <c r="J22" s="70">
        <v>4</v>
      </c>
      <c r="K22" s="69">
        <v>3</v>
      </c>
      <c r="L22" s="69" t="s">
        <v>69</v>
      </c>
      <c r="M22" s="69" t="s">
        <v>69</v>
      </c>
      <c r="N22" s="69" t="s">
        <v>69</v>
      </c>
      <c r="O22" s="69" t="s">
        <v>69</v>
      </c>
      <c r="P22" s="69" t="s">
        <v>69</v>
      </c>
      <c r="Q22" s="69" t="s">
        <v>69</v>
      </c>
      <c r="R22" s="70" t="s">
        <v>69</v>
      </c>
      <c r="S22" s="70">
        <v>4</v>
      </c>
      <c r="T22" s="70">
        <v>4</v>
      </c>
      <c r="U22" s="69">
        <v>4</v>
      </c>
      <c r="V22" s="78">
        <f t="shared" si="0"/>
        <v>0.46666666666666667</v>
      </c>
      <c r="W22" s="97">
        <f t="shared" si="1"/>
        <v>1</v>
      </c>
      <c r="X22" s="79"/>
      <c r="Y22" s="79"/>
      <c r="Z22" s="79"/>
    </row>
    <row r="23" spans="1:26" s="80" customFormat="1" ht="51" customHeight="1" thickBot="1">
      <c r="A23" s="33" t="s">
        <v>99</v>
      </c>
      <c r="B23" s="90" t="s">
        <v>100</v>
      </c>
      <c r="C23" s="81" t="s">
        <v>32</v>
      </c>
      <c r="D23" s="81" t="s">
        <v>123</v>
      </c>
      <c r="E23" s="69">
        <v>3</v>
      </c>
      <c r="F23" s="69">
        <v>4</v>
      </c>
      <c r="G23" s="69">
        <v>4</v>
      </c>
      <c r="H23" s="69">
        <v>3</v>
      </c>
      <c r="I23" s="69">
        <v>3</v>
      </c>
      <c r="J23" s="69">
        <v>3</v>
      </c>
      <c r="K23" s="69" t="s">
        <v>69</v>
      </c>
      <c r="L23" s="69">
        <v>2</v>
      </c>
      <c r="M23" s="69">
        <v>2</v>
      </c>
      <c r="N23" s="69">
        <v>3</v>
      </c>
      <c r="O23" s="69">
        <v>4</v>
      </c>
      <c r="P23" s="83">
        <v>4</v>
      </c>
      <c r="Q23" s="83">
        <v>3</v>
      </c>
      <c r="R23" s="70" t="s">
        <v>69</v>
      </c>
      <c r="S23" s="70">
        <v>3</v>
      </c>
      <c r="T23" s="70">
        <v>3</v>
      </c>
      <c r="U23" s="69">
        <v>3</v>
      </c>
      <c r="V23" s="78">
        <f t="shared" si="0"/>
        <v>1</v>
      </c>
      <c r="W23" s="97">
        <f t="shared" si="1"/>
        <v>0.8666666666666667</v>
      </c>
      <c r="X23" s="79"/>
      <c r="Y23" s="79"/>
      <c r="Z23" s="79"/>
    </row>
    <row r="24" spans="1:26" s="80" customFormat="1" ht="51" customHeight="1" thickBot="1">
      <c r="A24" s="33" t="s">
        <v>101</v>
      </c>
      <c r="B24" s="90" t="s">
        <v>102</v>
      </c>
      <c r="C24" s="81" t="s">
        <v>32</v>
      </c>
      <c r="D24" s="81" t="s">
        <v>123</v>
      </c>
      <c r="E24" s="72" t="s">
        <v>69</v>
      </c>
      <c r="F24" s="69">
        <v>4</v>
      </c>
      <c r="G24" s="69">
        <v>4</v>
      </c>
      <c r="H24" s="69" t="s">
        <v>69</v>
      </c>
      <c r="I24" s="69" t="s">
        <v>69</v>
      </c>
      <c r="J24" s="69" t="s">
        <v>69</v>
      </c>
      <c r="K24" s="69" t="s">
        <v>69</v>
      </c>
      <c r="L24" s="69">
        <v>3</v>
      </c>
      <c r="M24" s="69">
        <v>3</v>
      </c>
      <c r="N24" s="69">
        <v>3</v>
      </c>
      <c r="O24" s="69" t="s">
        <v>69</v>
      </c>
      <c r="P24" s="69" t="s">
        <v>69</v>
      </c>
      <c r="Q24" s="69">
        <v>3</v>
      </c>
      <c r="R24" s="70" t="s">
        <v>69</v>
      </c>
      <c r="S24" s="70">
        <v>3</v>
      </c>
      <c r="T24" s="70">
        <v>3</v>
      </c>
      <c r="U24" s="71">
        <v>2</v>
      </c>
      <c r="V24" s="78">
        <f t="shared" si="0"/>
        <v>0.6</v>
      </c>
      <c r="W24" s="97">
        <f t="shared" si="1"/>
        <v>0.88888888888888884</v>
      </c>
      <c r="X24" s="79"/>
      <c r="Y24" s="79"/>
      <c r="Z24" s="79"/>
    </row>
    <row r="25" spans="1:26" s="80" customFormat="1" ht="51" customHeight="1" thickBot="1">
      <c r="A25" s="33" t="s">
        <v>103</v>
      </c>
      <c r="B25" s="90" t="s">
        <v>104</v>
      </c>
      <c r="C25" s="81" t="s">
        <v>32</v>
      </c>
      <c r="D25" s="81" t="s">
        <v>123</v>
      </c>
      <c r="E25" s="68">
        <v>4</v>
      </c>
      <c r="F25" s="69">
        <v>3</v>
      </c>
      <c r="G25" s="69">
        <v>3</v>
      </c>
      <c r="H25" s="69" t="s">
        <v>69</v>
      </c>
      <c r="I25" s="69" t="s">
        <v>69</v>
      </c>
      <c r="J25" s="69" t="s">
        <v>69</v>
      </c>
      <c r="K25" s="69" t="s">
        <v>69</v>
      </c>
      <c r="L25" s="69" t="s">
        <v>69</v>
      </c>
      <c r="M25" s="69" t="s">
        <v>69</v>
      </c>
      <c r="N25" s="69">
        <v>3</v>
      </c>
      <c r="O25" s="69" t="s">
        <v>69</v>
      </c>
      <c r="P25" s="69" t="s">
        <v>69</v>
      </c>
      <c r="Q25" s="69">
        <v>3</v>
      </c>
      <c r="R25" s="69" t="s">
        <v>69</v>
      </c>
      <c r="S25" s="70">
        <v>2</v>
      </c>
      <c r="T25" s="70">
        <v>3</v>
      </c>
      <c r="U25" s="69">
        <v>2</v>
      </c>
      <c r="V25" s="78">
        <f t="shared" si="0"/>
        <v>0.53333333333333333</v>
      </c>
      <c r="W25" s="97">
        <f t="shared" si="1"/>
        <v>0.75</v>
      </c>
      <c r="X25" s="79"/>
      <c r="Y25" s="79"/>
      <c r="Z25" s="79"/>
    </row>
    <row r="26" spans="1:26" s="80" customFormat="1" ht="51" customHeight="1" thickBot="1">
      <c r="A26" s="33" t="s">
        <v>105</v>
      </c>
      <c r="B26" s="90" t="s">
        <v>106</v>
      </c>
      <c r="C26" s="81" t="s">
        <v>32</v>
      </c>
      <c r="D26" s="81" t="s">
        <v>123</v>
      </c>
      <c r="E26" s="72" t="s">
        <v>69</v>
      </c>
      <c r="F26" s="69" t="s">
        <v>69</v>
      </c>
      <c r="G26" s="69" t="s">
        <v>69</v>
      </c>
      <c r="H26" s="69" t="s">
        <v>69</v>
      </c>
      <c r="I26" s="69" t="s">
        <v>69</v>
      </c>
      <c r="J26" s="69" t="s">
        <v>69</v>
      </c>
      <c r="K26" s="70" t="s">
        <v>69</v>
      </c>
      <c r="L26" s="69" t="s">
        <v>69</v>
      </c>
      <c r="M26" s="69" t="s">
        <v>69</v>
      </c>
      <c r="N26" s="69">
        <v>4</v>
      </c>
      <c r="O26" s="69">
        <v>3</v>
      </c>
      <c r="P26" s="69" t="s">
        <v>69</v>
      </c>
      <c r="Q26" s="69">
        <v>4</v>
      </c>
      <c r="R26" s="69" t="s">
        <v>69</v>
      </c>
      <c r="S26" s="70">
        <v>3</v>
      </c>
      <c r="T26" s="70">
        <v>3</v>
      </c>
      <c r="U26" s="69">
        <v>3</v>
      </c>
      <c r="V26" s="78">
        <f t="shared" si="0"/>
        <v>0.4</v>
      </c>
      <c r="W26" s="97">
        <f t="shared" si="1"/>
        <v>1</v>
      </c>
      <c r="X26" s="79"/>
      <c r="Y26" s="79"/>
      <c r="Z26" s="79"/>
    </row>
    <row r="27" spans="1:26" s="80" customFormat="1" ht="51" customHeight="1" thickBot="1">
      <c r="A27" s="33" t="s">
        <v>107</v>
      </c>
      <c r="B27" s="90" t="s">
        <v>108</v>
      </c>
      <c r="C27" s="81" t="s">
        <v>32</v>
      </c>
      <c r="D27" s="81" t="s">
        <v>123</v>
      </c>
      <c r="E27" s="72" t="s">
        <v>69</v>
      </c>
      <c r="F27" s="70" t="s">
        <v>69</v>
      </c>
      <c r="G27" s="70" t="s">
        <v>69</v>
      </c>
      <c r="H27" s="70" t="s">
        <v>69</v>
      </c>
      <c r="I27" s="70" t="s">
        <v>69</v>
      </c>
      <c r="J27" s="70" t="s">
        <v>69</v>
      </c>
      <c r="K27" s="70">
        <v>4</v>
      </c>
      <c r="L27" s="69" t="s">
        <v>69</v>
      </c>
      <c r="M27" s="69" t="s">
        <v>69</v>
      </c>
      <c r="N27" s="69" t="s">
        <v>69</v>
      </c>
      <c r="O27" s="69" t="s">
        <v>69</v>
      </c>
      <c r="P27" s="70">
        <v>4</v>
      </c>
      <c r="Q27" s="69" t="s">
        <v>69</v>
      </c>
      <c r="R27" s="70" t="s">
        <v>69</v>
      </c>
      <c r="S27" s="70">
        <v>3</v>
      </c>
      <c r="T27" s="70">
        <v>3</v>
      </c>
      <c r="U27" s="69">
        <v>4</v>
      </c>
      <c r="V27" s="78">
        <f t="shared" si="0"/>
        <v>0.33333333333333331</v>
      </c>
      <c r="W27" s="97">
        <f t="shared" si="1"/>
        <v>1</v>
      </c>
      <c r="X27" s="79"/>
      <c r="Y27" s="79"/>
      <c r="Z27" s="79"/>
    </row>
    <row r="28" spans="1:26" s="80" customFormat="1" ht="51" customHeight="1" thickBot="1">
      <c r="A28" s="33" t="s">
        <v>109</v>
      </c>
      <c r="B28" s="90" t="s">
        <v>110</v>
      </c>
      <c r="C28" s="81" t="s">
        <v>32</v>
      </c>
      <c r="D28" s="81" t="s">
        <v>123</v>
      </c>
      <c r="E28" s="72" t="s">
        <v>69</v>
      </c>
      <c r="F28" s="70" t="s">
        <v>69</v>
      </c>
      <c r="G28" s="70" t="s">
        <v>69</v>
      </c>
      <c r="H28" s="70" t="s">
        <v>69</v>
      </c>
      <c r="I28" s="70" t="s">
        <v>69</v>
      </c>
      <c r="J28" s="70" t="s">
        <v>509</v>
      </c>
      <c r="K28" s="70" t="s">
        <v>69</v>
      </c>
      <c r="L28" s="69">
        <v>4</v>
      </c>
      <c r="M28" s="69">
        <v>4</v>
      </c>
      <c r="N28" s="69">
        <v>3</v>
      </c>
      <c r="O28" s="69">
        <v>3</v>
      </c>
      <c r="P28" s="69">
        <v>2</v>
      </c>
      <c r="Q28" s="69">
        <v>3</v>
      </c>
      <c r="R28" s="70" t="s">
        <v>69</v>
      </c>
      <c r="S28" s="70">
        <v>3</v>
      </c>
      <c r="T28" s="70">
        <v>3</v>
      </c>
      <c r="U28" s="69">
        <v>3</v>
      </c>
      <c r="V28" s="78">
        <f t="shared" si="0"/>
        <v>0.6</v>
      </c>
      <c r="W28" s="97">
        <f t="shared" si="1"/>
        <v>0.88888888888888884</v>
      </c>
      <c r="X28" s="79"/>
      <c r="Y28" s="79"/>
      <c r="Z28" s="79"/>
    </row>
    <row r="29" spans="1:26" s="80" customFormat="1" ht="51" customHeight="1" thickBot="1">
      <c r="A29" s="33" t="s">
        <v>111</v>
      </c>
      <c r="B29" s="90" t="s">
        <v>112</v>
      </c>
      <c r="C29" s="81" t="s">
        <v>32</v>
      </c>
      <c r="D29" s="81" t="s">
        <v>123</v>
      </c>
      <c r="E29" s="72" t="s">
        <v>69</v>
      </c>
      <c r="F29" s="70" t="s">
        <v>69</v>
      </c>
      <c r="G29" s="70" t="s">
        <v>69</v>
      </c>
      <c r="H29" s="69">
        <v>3</v>
      </c>
      <c r="I29" s="69">
        <v>3</v>
      </c>
      <c r="J29" s="69">
        <v>3</v>
      </c>
      <c r="K29" s="70" t="s">
        <v>69</v>
      </c>
      <c r="L29" s="70" t="s">
        <v>69</v>
      </c>
      <c r="M29" s="70" t="s">
        <v>69</v>
      </c>
      <c r="N29" s="70" t="s">
        <v>69</v>
      </c>
      <c r="O29" s="70" t="s">
        <v>69</v>
      </c>
      <c r="P29" s="69" t="s">
        <v>69</v>
      </c>
      <c r="Q29" s="70" t="s">
        <v>69</v>
      </c>
      <c r="R29" s="70" t="s">
        <v>69</v>
      </c>
      <c r="S29" s="70">
        <v>2</v>
      </c>
      <c r="T29" s="70">
        <v>3</v>
      </c>
      <c r="U29" s="71">
        <v>4</v>
      </c>
      <c r="V29" s="78">
        <f t="shared" si="0"/>
        <v>0.4</v>
      </c>
      <c r="W29" s="97">
        <f t="shared" si="1"/>
        <v>0.83333333333333337</v>
      </c>
      <c r="X29" s="79"/>
      <c r="Y29" s="79"/>
      <c r="Z29" s="79"/>
    </row>
    <row r="30" spans="1:26" s="80" customFormat="1" ht="51" customHeight="1" thickBot="1">
      <c r="A30" s="33" t="s">
        <v>113</v>
      </c>
      <c r="B30" s="90" t="s">
        <v>114</v>
      </c>
      <c r="C30" s="81" t="s">
        <v>32</v>
      </c>
      <c r="D30" s="81" t="s">
        <v>123</v>
      </c>
      <c r="E30" s="69">
        <v>3</v>
      </c>
      <c r="F30" s="69">
        <v>3</v>
      </c>
      <c r="G30" s="69">
        <v>3</v>
      </c>
      <c r="H30" s="70" t="s">
        <v>69</v>
      </c>
      <c r="I30" s="70" t="s">
        <v>69</v>
      </c>
      <c r="J30" s="70" t="s">
        <v>69</v>
      </c>
      <c r="K30" s="70" t="s">
        <v>69</v>
      </c>
      <c r="L30" s="70">
        <v>3</v>
      </c>
      <c r="M30" s="70">
        <v>3</v>
      </c>
      <c r="N30" s="70">
        <v>4</v>
      </c>
      <c r="O30" s="70">
        <v>4</v>
      </c>
      <c r="P30" s="69" t="s">
        <v>69</v>
      </c>
      <c r="Q30" s="70">
        <v>4</v>
      </c>
      <c r="R30" s="69" t="s">
        <v>69</v>
      </c>
      <c r="S30" s="70">
        <v>3</v>
      </c>
      <c r="T30" s="70">
        <v>3</v>
      </c>
      <c r="U30" s="69">
        <v>3</v>
      </c>
      <c r="V30" s="78">
        <f t="shared" si="0"/>
        <v>0.73333333333333328</v>
      </c>
      <c r="W30" s="97">
        <f t="shared" si="1"/>
        <v>1</v>
      </c>
      <c r="X30" s="79"/>
      <c r="Y30" s="79"/>
      <c r="Z30" s="79"/>
    </row>
    <row r="31" spans="1:26" s="80" customFormat="1" ht="51" customHeight="1" thickBot="1">
      <c r="A31" s="33" t="s">
        <v>115</v>
      </c>
      <c r="B31" s="90" t="s">
        <v>116</v>
      </c>
      <c r="C31" s="81" t="s">
        <v>32</v>
      </c>
      <c r="D31" s="81" t="s">
        <v>123</v>
      </c>
      <c r="E31" s="72" t="s">
        <v>69</v>
      </c>
      <c r="F31" s="70" t="s">
        <v>69</v>
      </c>
      <c r="G31" s="70" t="s">
        <v>69</v>
      </c>
      <c r="H31" s="70" t="s">
        <v>69</v>
      </c>
      <c r="I31" s="70" t="s">
        <v>69</v>
      </c>
      <c r="J31" s="70" t="s">
        <v>69</v>
      </c>
      <c r="K31" s="70" t="s">
        <v>69</v>
      </c>
      <c r="L31" s="70" t="s">
        <v>69</v>
      </c>
      <c r="M31" s="70" t="s">
        <v>69</v>
      </c>
      <c r="N31" s="70" t="s">
        <v>69</v>
      </c>
      <c r="O31" s="70" t="s">
        <v>69</v>
      </c>
      <c r="P31" s="70" t="s">
        <v>69</v>
      </c>
      <c r="Q31" s="70" t="s">
        <v>69</v>
      </c>
      <c r="R31" s="69" t="s">
        <v>69</v>
      </c>
      <c r="S31" s="70">
        <v>4</v>
      </c>
      <c r="T31" s="70">
        <v>4</v>
      </c>
      <c r="U31" s="71" t="s">
        <v>69</v>
      </c>
      <c r="V31" s="78">
        <f t="shared" si="0"/>
        <v>0.13333333333333333</v>
      </c>
      <c r="W31" s="97">
        <f t="shared" si="1"/>
        <v>1</v>
      </c>
      <c r="X31" s="79"/>
      <c r="Y31" s="79"/>
      <c r="Z31" s="79"/>
    </row>
    <row r="32" spans="1:26" s="80" customFormat="1" ht="51" customHeight="1" thickBot="1">
      <c r="A32" s="33" t="s">
        <v>117</v>
      </c>
      <c r="B32" s="90" t="s">
        <v>118</v>
      </c>
      <c r="C32" s="81" t="s">
        <v>32</v>
      </c>
      <c r="D32" s="81" t="s">
        <v>123</v>
      </c>
      <c r="E32" s="72" t="s">
        <v>69</v>
      </c>
      <c r="F32" s="70" t="s">
        <v>69</v>
      </c>
      <c r="G32" s="70" t="s">
        <v>69</v>
      </c>
      <c r="H32" s="70" t="s">
        <v>69</v>
      </c>
      <c r="I32" s="70" t="s">
        <v>69</v>
      </c>
      <c r="J32" s="70" t="s">
        <v>69</v>
      </c>
      <c r="K32" s="70" t="s">
        <v>69</v>
      </c>
      <c r="L32" s="70" t="s">
        <v>69</v>
      </c>
      <c r="M32" s="70" t="s">
        <v>69</v>
      </c>
      <c r="N32" s="70" t="s">
        <v>69</v>
      </c>
      <c r="O32" s="70" t="s">
        <v>69</v>
      </c>
      <c r="P32" s="70" t="s">
        <v>69</v>
      </c>
      <c r="Q32" s="70" t="s">
        <v>69</v>
      </c>
      <c r="R32" s="70" t="s">
        <v>69</v>
      </c>
      <c r="S32" s="70">
        <v>4</v>
      </c>
      <c r="T32" s="70">
        <v>4</v>
      </c>
      <c r="U32" s="71">
        <v>3</v>
      </c>
      <c r="V32" s="78">
        <f t="shared" si="0"/>
        <v>0.2</v>
      </c>
      <c r="W32" s="97">
        <f t="shared" si="1"/>
        <v>1</v>
      </c>
      <c r="X32" s="79"/>
      <c r="Y32" s="79"/>
      <c r="Z32" s="79"/>
    </row>
    <row r="33" spans="1:26" s="80" customFormat="1" ht="51" customHeight="1" thickBot="1">
      <c r="A33" s="33" t="s">
        <v>119</v>
      </c>
      <c r="B33" s="90" t="s">
        <v>120</v>
      </c>
      <c r="C33" s="81" t="s">
        <v>32</v>
      </c>
      <c r="D33" s="81" t="s">
        <v>123</v>
      </c>
      <c r="E33" s="72" t="s">
        <v>69</v>
      </c>
      <c r="F33" s="70" t="s">
        <v>69</v>
      </c>
      <c r="G33" s="70" t="s">
        <v>69</v>
      </c>
      <c r="H33" s="70" t="s">
        <v>69</v>
      </c>
      <c r="I33" s="70" t="s">
        <v>69</v>
      </c>
      <c r="J33" s="70" t="s">
        <v>69</v>
      </c>
      <c r="K33" s="70">
        <v>3</v>
      </c>
      <c r="L33" s="70" t="s">
        <v>69</v>
      </c>
      <c r="M33" s="70" t="s">
        <v>69</v>
      </c>
      <c r="N33" s="69" t="s">
        <v>69</v>
      </c>
      <c r="O33" s="70" t="s">
        <v>69</v>
      </c>
      <c r="P33" s="70" t="s">
        <v>69</v>
      </c>
      <c r="Q33" s="70" t="s">
        <v>69</v>
      </c>
      <c r="R33" s="70" t="s">
        <v>69</v>
      </c>
      <c r="S33" s="70">
        <v>2</v>
      </c>
      <c r="T33" s="70">
        <v>2</v>
      </c>
      <c r="U33" s="71">
        <v>2</v>
      </c>
      <c r="V33" s="78">
        <f t="shared" si="0"/>
        <v>0.26666666666666666</v>
      </c>
      <c r="W33" s="97">
        <f t="shared" si="1"/>
        <v>0.25</v>
      </c>
      <c r="X33" s="79"/>
      <c r="Y33" s="79"/>
      <c r="Z33" s="79"/>
    </row>
    <row r="34" spans="1:26" s="80" customFormat="1" ht="51" customHeight="1" thickBot="1">
      <c r="A34" s="88" t="s">
        <v>391</v>
      </c>
      <c r="B34" s="88" t="s">
        <v>392</v>
      </c>
      <c r="C34" s="81" t="s">
        <v>32</v>
      </c>
      <c r="D34" s="81" t="s">
        <v>123</v>
      </c>
      <c r="E34" s="70" t="s">
        <v>69</v>
      </c>
      <c r="F34" s="70" t="s">
        <v>69</v>
      </c>
      <c r="G34" s="70" t="s">
        <v>69</v>
      </c>
      <c r="H34" s="70">
        <v>3</v>
      </c>
      <c r="I34" s="70">
        <v>3</v>
      </c>
      <c r="J34" s="70">
        <v>3</v>
      </c>
      <c r="K34" s="70" t="s">
        <v>69</v>
      </c>
      <c r="L34" s="70" t="s">
        <v>69</v>
      </c>
      <c r="M34" s="70" t="s">
        <v>69</v>
      </c>
      <c r="N34" s="70" t="s">
        <v>69</v>
      </c>
      <c r="O34" s="70">
        <v>3</v>
      </c>
      <c r="P34" s="70" t="s">
        <v>69</v>
      </c>
      <c r="Q34" s="70" t="s">
        <v>69</v>
      </c>
      <c r="R34" s="70" t="s">
        <v>69</v>
      </c>
      <c r="S34" s="70">
        <v>3</v>
      </c>
      <c r="T34" s="70">
        <v>3</v>
      </c>
      <c r="U34" s="71" t="s">
        <v>69</v>
      </c>
      <c r="V34" s="78">
        <f t="shared" si="0"/>
        <v>0.4</v>
      </c>
      <c r="W34" s="97">
        <f t="shared" si="1"/>
        <v>1</v>
      </c>
      <c r="X34" s="79"/>
      <c r="Y34" s="79"/>
      <c r="Z34" s="79"/>
    </row>
    <row r="35" spans="1:26" s="80" customFormat="1" ht="51" customHeight="1" thickBot="1">
      <c r="A35" s="34" t="s">
        <v>121</v>
      </c>
      <c r="B35" s="91" t="s">
        <v>122</v>
      </c>
      <c r="C35" s="82" t="s">
        <v>32</v>
      </c>
      <c r="D35" s="82" t="s">
        <v>123</v>
      </c>
      <c r="E35" s="73" t="s">
        <v>69</v>
      </c>
      <c r="F35" s="74" t="s">
        <v>69</v>
      </c>
      <c r="G35" s="74" t="s">
        <v>69</v>
      </c>
      <c r="H35" s="74" t="s">
        <v>69</v>
      </c>
      <c r="I35" s="74" t="s">
        <v>69</v>
      </c>
      <c r="J35" s="74" t="s">
        <v>69</v>
      </c>
      <c r="K35" s="74" t="s">
        <v>69</v>
      </c>
      <c r="L35" s="74" t="s">
        <v>69</v>
      </c>
      <c r="M35" s="74" t="s">
        <v>69</v>
      </c>
      <c r="N35" s="70">
        <v>4</v>
      </c>
      <c r="O35" s="74">
        <v>2</v>
      </c>
      <c r="P35" s="75">
        <v>3</v>
      </c>
      <c r="Q35" s="69">
        <v>4</v>
      </c>
      <c r="R35" s="70" t="s">
        <v>69</v>
      </c>
      <c r="S35" s="74">
        <v>3</v>
      </c>
      <c r="T35" s="74">
        <v>3</v>
      </c>
      <c r="U35" s="69">
        <v>3</v>
      </c>
      <c r="V35" s="78">
        <f t="shared" si="0"/>
        <v>0.46666666666666667</v>
      </c>
      <c r="W35" s="97">
        <f t="shared" si="1"/>
        <v>0.8571428571428571</v>
      </c>
      <c r="X35" s="79"/>
      <c r="Y35" s="79"/>
      <c r="Z35" s="79"/>
    </row>
    <row r="36" spans="1:26" s="14" customFormat="1" ht="71.25" customHeight="1" thickBot="1">
      <c r="A36" s="673"/>
      <c r="B36" s="672" t="s">
        <v>17</v>
      </c>
      <c r="C36" s="672"/>
      <c r="D36" s="672"/>
      <c r="E36" s="21">
        <f t="shared" ref="E36:U36" si="2">COUNT(E19:E35)</f>
        <v>5</v>
      </c>
      <c r="F36" s="21">
        <f t="shared" si="2"/>
        <v>7</v>
      </c>
      <c r="G36" s="21">
        <f t="shared" si="2"/>
        <v>7</v>
      </c>
      <c r="H36" s="21">
        <f t="shared" si="2"/>
        <v>4</v>
      </c>
      <c r="I36" s="21">
        <f t="shared" si="2"/>
        <v>4</v>
      </c>
      <c r="J36" s="21">
        <f t="shared" si="2"/>
        <v>4</v>
      </c>
      <c r="K36" s="21">
        <f t="shared" si="2"/>
        <v>3</v>
      </c>
      <c r="L36" s="21">
        <f t="shared" si="2"/>
        <v>7</v>
      </c>
      <c r="M36" s="21">
        <f t="shared" si="2"/>
        <v>7</v>
      </c>
      <c r="N36" s="21">
        <f t="shared" si="2"/>
        <v>10</v>
      </c>
      <c r="O36" s="21">
        <f t="shared" si="2"/>
        <v>9</v>
      </c>
      <c r="P36" s="21">
        <f t="shared" si="2"/>
        <v>4</v>
      </c>
      <c r="Q36" s="21">
        <f t="shared" si="2"/>
        <v>10</v>
      </c>
      <c r="R36" s="21">
        <f t="shared" si="2"/>
        <v>1</v>
      </c>
      <c r="S36" s="21">
        <f t="shared" si="2"/>
        <v>17</v>
      </c>
      <c r="T36" s="21">
        <f t="shared" si="2"/>
        <v>17</v>
      </c>
      <c r="U36" s="21">
        <f t="shared" si="2"/>
        <v>15</v>
      </c>
      <c r="V36" s="675"/>
      <c r="W36" s="676"/>
    </row>
    <row r="37" spans="1:26" s="14" customFormat="1" ht="67.5" customHeight="1" thickBot="1">
      <c r="A37" s="674"/>
      <c r="B37" s="669" t="s">
        <v>12</v>
      </c>
      <c r="C37" s="670"/>
      <c r="D37" s="671"/>
      <c r="E37" s="22">
        <v>2</v>
      </c>
      <c r="F37" s="22">
        <v>2</v>
      </c>
      <c r="G37" s="22">
        <v>2</v>
      </c>
      <c r="H37" s="22">
        <v>2</v>
      </c>
      <c r="I37" s="22">
        <v>2</v>
      </c>
      <c r="J37" s="22">
        <v>2</v>
      </c>
      <c r="K37" s="22">
        <v>2</v>
      </c>
      <c r="L37" s="22">
        <v>2</v>
      </c>
      <c r="M37" s="22">
        <v>2</v>
      </c>
      <c r="N37" s="22">
        <v>2</v>
      </c>
      <c r="O37" s="22">
        <v>2</v>
      </c>
      <c r="P37" s="22">
        <v>2</v>
      </c>
      <c r="Q37" s="22">
        <v>2</v>
      </c>
      <c r="R37" s="22">
        <v>2</v>
      </c>
      <c r="S37" s="22">
        <v>2</v>
      </c>
      <c r="T37" s="22">
        <v>2</v>
      </c>
      <c r="U37" s="22">
        <v>2</v>
      </c>
      <c r="V37" s="677"/>
      <c r="W37" s="678"/>
    </row>
    <row r="38" spans="1:26" s="14" customFormat="1" ht="15.6"/>
    <row r="39" spans="1:26" s="14" customFormat="1" ht="15.75" customHeight="1"/>
    <row r="40" spans="1:26" s="14" customFormat="1" ht="15.75" customHeight="1"/>
    <row r="41" spans="1:26" s="14" customFormat="1" ht="30.75" customHeight="1">
      <c r="B41" s="664" t="s">
        <v>13</v>
      </c>
      <c r="C41" s="664"/>
      <c r="D41" s="664"/>
      <c r="E41" s="664" t="s">
        <v>14</v>
      </c>
      <c r="F41" s="664"/>
      <c r="G41" s="664"/>
      <c r="H41" s="664"/>
      <c r="I41" s="664"/>
      <c r="J41" s="664"/>
      <c r="K41" s="664" t="s">
        <v>15</v>
      </c>
      <c r="L41" s="664"/>
      <c r="M41" s="664"/>
      <c r="N41" s="664"/>
      <c r="O41" s="664"/>
      <c r="P41" s="664"/>
    </row>
    <row r="42" spans="1:26" s="14" customFormat="1" ht="30.75" customHeight="1">
      <c r="B42" s="664"/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4"/>
      <c r="P42" s="664"/>
    </row>
    <row r="43" spans="1:26" s="14" customFormat="1" ht="30.75" customHeight="1">
      <c r="B43" s="584" t="s">
        <v>437</v>
      </c>
      <c r="C43" s="584"/>
      <c r="D43" s="584"/>
      <c r="E43" s="584" t="s">
        <v>438</v>
      </c>
      <c r="F43" s="584"/>
      <c r="G43" s="584"/>
      <c r="H43" s="584"/>
      <c r="I43" s="584"/>
      <c r="J43" s="584"/>
      <c r="K43" s="584" t="s">
        <v>16</v>
      </c>
      <c r="L43" s="584"/>
      <c r="M43" s="584"/>
      <c r="N43" s="584"/>
      <c r="O43" s="584"/>
      <c r="P43" s="584"/>
    </row>
    <row r="44" spans="1:26" s="14" customFormat="1" ht="30.75" customHeight="1">
      <c r="B44" s="584"/>
      <c r="C44" s="584"/>
      <c r="D44" s="584"/>
      <c r="E44" s="584"/>
      <c r="F44" s="584"/>
      <c r="G44" s="584"/>
      <c r="H44" s="584"/>
      <c r="I44" s="584"/>
      <c r="J44" s="584"/>
      <c r="K44" s="584"/>
      <c r="L44" s="584"/>
      <c r="M44" s="584"/>
      <c r="N44" s="584"/>
      <c r="O44" s="584"/>
      <c r="P44" s="584"/>
    </row>
    <row r="45" spans="1:26" s="14" customFormat="1" ht="30.75" customHeight="1">
      <c r="B45" s="584"/>
      <c r="C45" s="584"/>
      <c r="D45" s="584"/>
      <c r="E45" s="584"/>
      <c r="F45" s="584"/>
      <c r="G45" s="584"/>
      <c r="H45" s="584"/>
      <c r="I45" s="584"/>
      <c r="J45" s="584"/>
      <c r="K45" s="584"/>
      <c r="L45" s="584"/>
      <c r="M45" s="584"/>
      <c r="N45" s="584"/>
      <c r="O45" s="584"/>
      <c r="P45" s="584"/>
    </row>
    <row r="46" spans="1:26" s="14" customFormat="1" ht="30.75" customHeight="1">
      <c r="B46" s="584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4"/>
      <c r="N46" s="584"/>
      <c r="O46" s="584"/>
      <c r="P46" s="584"/>
    </row>
    <row r="47" spans="1:26" s="14" customFormat="1" ht="30.75" customHeight="1">
      <c r="B47" s="584"/>
      <c r="C47" s="58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</row>
    <row r="48" spans="1:26" s="14" customFormat="1" ht="30.75" customHeight="1">
      <c r="B48" s="584"/>
      <c r="C48" s="584"/>
      <c r="D48" s="584"/>
      <c r="E48" s="584"/>
      <c r="F48" s="584"/>
      <c r="G48" s="584"/>
      <c r="H48" s="584"/>
      <c r="I48" s="584"/>
      <c r="J48" s="584"/>
      <c r="K48" s="584"/>
      <c r="L48" s="584"/>
      <c r="M48" s="584"/>
      <c r="N48" s="584"/>
      <c r="O48" s="584"/>
      <c r="P48" s="584"/>
    </row>
    <row r="49" spans="1:16" s="14" customFormat="1" ht="30.75" customHeight="1">
      <c r="B49" s="584"/>
      <c r="C49" s="584"/>
      <c r="D49" s="584"/>
      <c r="E49" s="584"/>
      <c r="F49" s="584"/>
      <c r="G49" s="584"/>
      <c r="H49" s="584"/>
      <c r="I49" s="584"/>
      <c r="J49" s="584"/>
      <c r="K49" s="584"/>
      <c r="L49" s="584"/>
      <c r="M49" s="584"/>
      <c r="N49" s="584"/>
      <c r="O49" s="584"/>
      <c r="P49" s="584"/>
    </row>
    <row r="50" spans="1:16" s="14" customFormat="1" ht="30.75" customHeight="1">
      <c r="B50" s="584"/>
      <c r="C50" s="584"/>
      <c r="D50" s="584"/>
      <c r="E50" s="584"/>
      <c r="F50" s="584"/>
      <c r="G50" s="584"/>
      <c r="H50" s="584"/>
      <c r="I50" s="584"/>
      <c r="J50" s="584"/>
      <c r="K50" s="584"/>
      <c r="L50" s="584"/>
      <c r="M50" s="584"/>
      <c r="N50" s="584"/>
      <c r="O50" s="584"/>
      <c r="P50" s="584"/>
    </row>
    <row r="51" spans="1:16" s="14" customFormat="1" ht="30.75" customHeight="1"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</row>
    <row r="52" spans="1:16" s="14" customFormat="1" ht="30.75" customHeight="1">
      <c r="B52" s="584"/>
      <c r="C52" s="584"/>
      <c r="D52" s="584"/>
      <c r="E52" s="584"/>
      <c r="F52" s="584"/>
      <c r="G52" s="584"/>
      <c r="H52" s="584"/>
      <c r="I52" s="584"/>
      <c r="J52" s="584"/>
      <c r="K52" s="584"/>
      <c r="L52" s="584"/>
      <c r="M52" s="584"/>
      <c r="N52" s="584"/>
      <c r="O52" s="584"/>
      <c r="P52" s="584"/>
    </row>
    <row r="53" spans="1:16" s="14" customFormat="1" ht="15.6"/>
    <row r="55" spans="1:16">
      <c r="A55" s="586" t="s">
        <v>18</v>
      </c>
      <c r="B55" s="586"/>
      <c r="C55" s="586"/>
      <c r="D55" s="586"/>
    </row>
    <row r="56" spans="1:16">
      <c r="A56" s="586" t="s">
        <v>19</v>
      </c>
      <c r="B56" s="586"/>
      <c r="C56" s="586"/>
      <c r="D56" s="586"/>
    </row>
  </sheetData>
  <autoFilter ref="A19:Z37" xr:uid="{D8B7AAAD-0971-42FD-A576-CE9290CC50B5}"/>
  <mergeCells count="59">
    <mergeCell ref="V36:W37"/>
    <mergeCell ref="W13:W18"/>
    <mergeCell ref="S3:U12"/>
    <mergeCell ref="V3:V12"/>
    <mergeCell ref="W3:W12"/>
    <mergeCell ref="U14:U18"/>
    <mergeCell ref="V13:V18"/>
    <mergeCell ref="A36:A37"/>
    <mergeCell ref="A55:D55"/>
    <mergeCell ref="A56:D56"/>
    <mergeCell ref="B41:D42"/>
    <mergeCell ref="E41:J42"/>
    <mergeCell ref="K41:P42"/>
    <mergeCell ref="B43:D52"/>
    <mergeCell ref="E43:J52"/>
    <mergeCell ref="K43:P52"/>
    <mergeCell ref="T14:T18"/>
    <mergeCell ref="M17:M18"/>
    <mergeCell ref="N17:N18"/>
    <mergeCell ref="O17:O18"/>
    <mergeCell ref="P17:P18"/>
    <mergeCell ref="M15:M16"/>
    <mergeCell ref="N15:N16"/>
    <mergeCell ref="O15:O16"/>
    <mergeCell ref="B37:D37"/>
    <mergeCell ref="B36:D36"/>
    <mergeCell ref="G17:G18"/>
    <mergeCell ref="H17:H18"/>
    <mergeCell ref="P15:P16"/>
    <mergeCell ref="Q15:Q16"/>
    <mergeCell ref="E17:E18"/>
    <mergeCell ref="F17:F18"/>
    <mergeCell ref="Q17:Q18"/>
    <mergeCell ref="E15:E16"/>
    <mergeCell ref="F15:F16"/>
    <mergeCell ref="G15:G16"/>
    <mergeCell ref="H15:J16"/>
    <mergeCell ref="L15:L16"/>
    <mergeCell ref="R17:R18"/>
    <mergeCell ref="A1:B2"/>
    <mergeCell ref="C1:S1"/>
    <mergeCell ref="K17:K18"/>
    <mergeCell ref="E7:L7"/>
    <mergeCell ref="S13:U13"/>
    <mergeCell ref="F14:G14"/>
    <mergeCell ref="J17:J18"/>
    <mergeCell ref="H14:J14"/>
    <mergeCell ref="K15:K16"/>
    <mergeCell ref="S14:S18"/>
    <mergeCell ref="E13:K13"/>
    <mergeCell ref="L17:L18"/>
    <mergeCell ref="U1:V1"/>
    <mergeCell ref="C2:S2"/>
    <mergeCell ref="U2:V2"/>
    <mergeCell ref="B14:B18"/>
    <mergeCell ref="C14:C18"/>
    <mergeCell ref="D14:D18"/>
    <mergeCell ref="A14:A18"/>
    <mergeCell ref="I17:I18"/>
  </mergeCells>
  <conditionalFormatting sqref="A36">
    <cfRule type="duplicateValues" dxfId="3508" priority="1658" stopIfTrue="1"/>
  </conditionalFormatting>
  <conditionalFormatting sqref="A40:B40 A53:B53 A41:A52">
    <cfRule type="duplicateValues" dxfId="3507" priority="1659" stopIfTrue="1"/>
  </conditionalFormatting>
  <conditionalFormatting sqref="B34">
    <cfRule type="duplicateValues" dxfId="3506" priority="39"/>
    <cfRule type="duplicateValues" dxfId="3505" priority="40"/>
    <cfRule type="duplicateValues" dxfId="3504" priority="41"/>
  </conditionalFormatting>
  <conditionalFormatting sqref="E19">
    <cfRule type="cellIs" dxfId="3503" priority="321" operator="equal">
      <formula>3</formula>
    </cfRule>
    <cfRule type="cellIs" dxfId="3502" priority="323" operator="equal">
      <formula>1</formula>
    </cfRule>
    <cfRule type="top10" dxfId="3501" priority="324" rank="10"/>
    <cfRule type="cellIs" dxfId="3500" priority="302" operator="equal">
      <formula>1</formula>
    </cfRule>
    <cfRule type="cellIs" dxfId="3499" priority="303" operator="equal">
      <formula>4</formula>
    </cfRule>
    <cfRule type="cellIs" dxfId="3498" priority="320" operator="equal">
      <formula>4</formula>
    </cfRule>
    <cfRule type="cellIs" dxfId="3497" priority="304" operator="equal">
      <formula>3</formula>
    </cfRule>
    <cfRule type="cellIs" dxfId="3496" priority="319" operator="equal">
      <formula>1</formula>
    </cfRule>
    <cfRule type="top10" dxfId="3495" priority="318" rank="10"/>
    <cfRule type="cellIs" dxfId="3494" priority="317" operator="equal">
      <formula>1</formula>
    </cfRule>
    <cfRule type="top10" dxfId="3493" priority="316" rank="10"/>
    <cfRule type="cellIs" dxfId="3492" priority="313" operator="equal">
      <formula>3</formula>
    </cfRule>
    <cfRule type="cellIs" dxfId="3491" priority="312" operator="equal">
      <formula>4</formula>
    </cfRule>
    <cfRule type="cellIs" dxfId="3490" priority="311" operator="equal">
      <formula>1</formula>
    </cfRule>
    <cfRule type="top10" dxfId="3489" priority="310" rank="10"/>
    <cfRule type="cellIs" dxfId="3488" priority="309" operator="equal">
      <formula>1</formula>
    </cfRule>
    <cfRule type="cellIs" dxfId="3487" priority="308" operator="equal">
      <formula>3</formula>
    </cfRule>
    <cfRule type="cellIs" dxfId="3486" priority="326" operator="equal">
      <formula>1</formula>
    </cfRule>
    <cfRule type="top10" dxfId="3485" priority="325" rank="10"/>
    <cfRule type="top10" dxfId="3484" priority="322" rank="10"/>
    <cfRule type="cellIs" dxfId="3483" priority="307" operator="equal">
      <formula>4</formula>
    </cfRule>
    <cfRule type="top10" dxfId="3482" priority="306" rank="10"/>
    <cfRule type="top10" dxfId="3481" priority="305" rank="10"/>
  </conditionalFormatting>
  <conditionalFormatting sqref="E19:E30 E32:E34">
    <cfRule type="cellIs" dxfId="3480" priority="1419" operator="equal">
      <formula>1</formula>
    </cfRule>
    <cfRule type="top10" dxfId="3479" priority="1418" rank="10"/>
  </conditionalFormatting>
  <conditionalFormatting sqref="E23">
    <cfRule type="cellIs" dxfId="3478" priority="278" operator="equal">
      <formula>4</formula>
    </cfRule>
    <cfRule type="top10" dxfId="3477" priority="293" rank="10"/>
    <cfRule type="top10" dxfId="3476" priority="300" rank="10"/>
    <cfRule type="top10" dxfId="3475" priority="299" rank="10"/>
    <cfRule type="cellIs" dxfId="3474" priority="298" operator="equal">
      <formula>1</formula>
    </cfRule>
    <cfRule type="top10" dxfId="3473" priority="297" rank="10"/>
    <cfRule type="cellIs" dxfId="3472" priority="287" operator="equal">
      <formula>4</formula>
    </cfRule>
    <cfRule type="cellIs" dxfId="3471" priority="294" operator="equal">
      <formula>1</formula>
    </cfRule>
    <cfRule type="cellIs" dxfId="3470" priority="292" operator="equal">
      <formula>1</formula>
    </cfRule>
    <cfRule type="top10" dxfId="3469" priority="291" rank="10"/>
    <cfRule type="cellIs" dxfId="3468" priority="277" operator="equal">
      <formula>1</formula>
    </cfRule>
    <cfRule type="cellIs" dxfId="3467" priority="288" operator="equal">
      <formula>3</formula>
    </cfRule>
    <cfRule type="cellIs" dxfId="3466" priority="286" operator="equal">
      <formula>1</formula>
    </cfRule>
    <cfRule type="top10" dxfId="3465" priority="285" rank="10"/>
    <cfRule type="cellIs" dxfId="3464" priority="283" operator="equal">
      <formula>3</formula>
    </cfRule>
    <cfRule type="cellIs" dxfId="3463" priority="282" operator="equal">
      <formula>4</formula>
    </cfRule>
    <cfRule type="cellIs" dxfId="3462" priority="284" operator="equal">
      <formula>1</formula>
    </cfRule>
    <cfRule type="top10" dxfId="3461" priority="281" rank="10"/>
    <cfRule type="top10" dxfId="3460" priority="280" rank="10"/>
    <cfRule type="cellIs" dxfId="3459" priority="279" operator="equal">
      <formula>3</formula>
    </cfRule>
  </conditionalFormatting>
  <conditionalFormatting sqref="E25">
    <cfRule type="cellIs" dxfId="3458" priority="825" operator="equal">
      <formula>4</formula>
    </cfRule>
    <cfRule type="cellIs" dxfId="3457" priority="831" operator="equal">
      <formula>3</formula>
    </cfRule>
    <cfRule type="cellIs" dxfId="3456" priority="826" operator="equal">
      <formula>3</formula>
    </cfRule>
    <cfRule type="cellIs" dxfId="3455" priority="812" operator="equal">
      <formula>1</formula>
    </cfRule>
    <cfRule type="cellIs" dxfId="3454" priority="827" operator="equal">
      <formula>1</formula>
    </cfRule>
    <cfRule type="top10" dxfId="3453" priority="828" rank="10"/>
    <cfRule type="top10" dxfId="3452" priority="824" rank="10"/>
    <cfRule type="top10" dxfId="3451" priority="823" rank="10"/>
    <cfRule type="cellIs" dxfId="3450" priority="819" operator="equal">
      <formula>1</formula>
    </cfRule>
    <cfRule type="cellIs" dxfId="3449" priority="818" operator="equal">
      <formula>3</formula>
    </cfRule>
    <cfRule type="cellIs" dxfId="3448" priority="817" operator="equal">
      <formula>4</formula>
    </cfRule>
    <cfRule type="top10" dxfId="3447" priority="816" rank="10"/>
    <cfRule type="top10" dxfId="3446" priority="832" rank="10"/>
    <cfRule type="cellIs" dxfId="3445" priority="833" operator="equal">
      <formula>1</formula>
    </cfRule>
    <cfRule type="cellIs" dxfId="3444" priority="835" operator="equal">
      <formula>3</formula>
    </cfRule>
    <cfRule type="top10" dxfId="3443" priority="815" rank="10"/>
    <cfRule type="cellIs" dxfId="3442" priority="814" operator="equal">
      <formula>3</formula>
    </cfRule>
    <cfRule type="cellIs" dxfId="3441" priority="813" operator="equal">
      <formula>4</formula>
    </cfRule>
    <cfRule type="cellIs" dxfId="3440" priority="830" operator="equal">
      <formula>4</formula>
    </cfRule>
    <cfRule type="cellIs" dxfId="3439" priority="834" operator="equal">
      <formula>4</formula>
    </cfRule>
    <cfRule type="cellIs" dxfId="3438" priority="829" operator="equal">
      <formula>1</formula>
    </cfRule>
  </conditionalFormatting>
  <conditionalFormatting sqref="E31">
    <cfRule type="top10" dxfId="3437" priority="1435" rank="10"/>
    <cfRule type="cellIs" dxfId="3436" priority="1434" operator="equal">
      <formula>1</formula>
    </cfRule>
    <cfRule type="top10" dxfId="3435" priority="1433" rank="10"/>
    <cfRule type="cellIs" dxfId="3434" priority="1436" operator="equal">
      <formula>1</formula>
    </cfRule>
  </conditionalFormatting>
  <conditionalFormatting sqref="E31:E34">
    <cfRule type="top10" dxfId="3433" priority="1421" rank="10"/>
    <cfRule type="cellIs" dxfId="3432" priority="1432" operator="equal">
      <formula>3</formula>
    </cfRule>
    <cfRule type="cellIs" dxfId="3431" priority="1431" operator="equal">
      <formula>4</formula>
    </cfRule>
    <cfRule type="cellIs" dxfId="3430" priority="1422" operator="equal">
      <formula>1</formula>
    </cfRule>
  </conditionalFormatting>
  <conditionalFormatting sqref="E32:E34">
    <cfRule type="top10" dxfId="3429" priority="1427" rank="10"/>
    <cfRule type="cellIs" dxfId="3428" priority="1428" operator="equal">
      <formula>1</formula>
    </cfRule>
    <cfRule type="top10" dxfId="3427" priority="1429" rank="10"/>
  </conditionalFormatting>
  <conditionalFormatting sqref="E32:E35 F22:G26 K22:K23 M19:S19 L22:M22 P19:P21 N20:O21 R20:R21 N22:R30 R30:R31 U35">
    <cfRule type="cellIs" dxfId="3426" priority="1430" operator="equal">
      <formula>1</formula>
    </cfRule>
  </conditionalFormatting>
  <conditionalFormatting sqref="E34">
    <cfRule type="top10" dxfId="3425" priority="16" rank="10"/>
    <cfRule type="cellIs" dxfId="3424" priority="15" operator="equal">
      <formula>3</formula>
    </cfRule>
    <cfRule type="cellIs" dxfId="3423" priority="14" operator="equal">
      <formula>4</formula>
    </cfRule>
    <cfRule type="cellIs" dxfId="3422" priority="13" operator="equal">
      <formula>1</formula>
    </cfRule>
    <cfRule type="top10" dxfId="3421" priority="12" rank="10"/>
    <cfRule type="cellIs" dxfId="3420" priority="11" operator="equal">
      <formula>1</formula>
    </cfRule>
    <cfRule type="top10" dxfId="3419" priority="10" rank="10"/>
    <cfRule type="cellIs" dxfId="3418" priority="9" operator="equal">
      <formula>1</formula>
    </cfRule>
    <cfRule type="cellIs" dxfId="3417" priority="7" operator="equal">
      <formula>3</formula>
    </cfRule>
    <cfRule type="cellIs" dxfId="3416" priority="6" operator="equal">
      <formula>4</formula>
    </cfRule>
    <cfRule type="cellIs" dxfId="3415" priority="5" operator="equal">
      <formula>1</formula>
    </cfRule>
    <cfRule type="cellIs" dxfId="3414" priority="1" operator="equal">
      <formula>1</formula>
    </cfRule>
    <cfRule type="top10" dxfId="3413" priority="8" rank="10"/>
    <cfRule type="top10" dxfId="3412" priority="4" rank="10"/>
    <cfRule type="cellIs" dxfId="3411" priority="3" operator="equal">
      <formula>3</formula>
    </cfRule>
    <cfRule type="cellIs" dxfId="3410" priority="2" operator="equal">
      <formula>4</formula>
    </cfRule>
  </conditionalFormatting>
  <conditionalFormatting sqref="E35">
    <cfRule type="top10" dxfId="3409" priority="1417" rank="10"/>
    <cfRule type="top10" dxfId="3408" priority="1440" rank="10"/>
    <cfRule type="cellIs" dxfId="3407" priority="1441" operator="equal">
      <formula>1</formula>
    </cfRule>
  </conditionalFormatting>
  <conditionalFormatting sqref="E20:G20">
    <cfRule type="cellIs" dxfId="3406" priority="861" operator="equal">
      <formula>4</formula>
    </cfRule>
    <cfRule type="cellIs" dxfId="3405" priority="863" operator="equal">
      <formula>1</formula>
    </cfRule>
    <cfRule type="top10" dxfId="3404" priority="864" rank="10"/>
    <cfRule type="cellIs" dxfId="3403" priority="865" operator="equal">
      <formula>1</formula>
    </cfRule>
    <cfRule type="cellIs" dxfId="3402" priority="866" operator="equal">
      <formula>4</formula>
    </cfRule>
    <cfRule type="cellIs" dxfId="3401" priority="857" operator="equal">
      <formula>4</formula>
    </cfRule>
    <cfRule type="cellIs" dxfId="3400" priority="867" operator="equal">
      <formula>3</formula>
    </cfRule>
    <cfRule type="cellIs" dxfId="3399" priority="856" operator="equal">
      <formula>1</formula>
    </cfRule>
    <cfRule type="cellIs" dxfId="3398" priority="862" operator="equal">
      <formula>3</formula>
    </cfRule>
    <cfRule type="cellIs" dxfId="3397" priority="858" operator="equal">
      <formula>3</formula>
    </cfRule>
    <cfRule type="top10" dxfId="3396" priority="859" rank="10"/>
    <cfRule type="top10" dxfId="3395" priority="860" rank="10"/>
  </conditionalFormatting>
  <conditionalFormatting sqref="E25:G35 E19:E21 E22:J24 H25:R30 L19:M22 L23:R24 N19:S19 N20:R22 U19:U30">
    <cfRule type="cellIs" dxfId="3394" priority="1423" operator="equal">
      <formula>4</formula>
    </cfRule>
    <cfRule type="cellIs" dxfId="3393" priority="1424" operator="equal">
      <formula>3</formula>
    </cfRule>
  </conditionalFormatting>
  <conditionalFormatting sqref="E30:G30">
    <cfRule type="cellIs" dxfId="3392" priority="538" operator="equal">
      <formula>1</formula>
    </cfRule>
    <cfRule type="cellIs" dxfId="3391" priority="553" operator="equal">
      <formula>1</formula>
    </cfRule>
    <cfRule type="top10" dxfId="3390" priority="552" rank="10"/>
    <cfRule type="cellIs" dxfId="3389" priority="548" operator="equal">
      <formula>4</formula>
    </cfRule>
    <cfRule type="top10" dxfId="3388" priority="546" rank="10"/>
    <cfRule type="cellIs" dxfId="3387" priority="545" operator="equal">
      <formula>1</formula>
    </cfRule>
    <cfRule type="cellIs" dxfId="3386" priority="543" operator="equal">
      <formula>4</formula>
    </cfRule>
    <cfRule type="cellIs" dxfId="3385" priority="544" operator="equal">
      <formula>3</formula>
    </cfRule>
    <cfRule type="top10" dxfId="3384" priority="542" rank="10"/>
    <cfRule type="top10" dxfId="3383" priority="541" rank="10"/>
    <cfRule type="cellIs" dxfId="3382" priority="540" operator="equal">
      <formula>3</formula>
    </cfRule>
    <cfRule type="cellIs" dxfId="3381" priority="539" operator="equal">
      <formula>4</formula>
    </cfRule>
    <cfRule type="cellIs" dxfId="3380" priority="549" operator="equal">
      <formula>3</formula>
    </cfRule>
    <cfRule type="cellIs" dxfId="3379" priority="547" operator="equal">
      <formula>1</formula>
    </cfRule>
  </conditionalFormatting>
  <conditionalFormatting sqref="E23:H23">
    <cfRule type="cellIs" dxfId="3378" priority="296" operator="equal">
      <formula>3</formula>
    </cfRule>
    <cfRule type="cellIs" dxfId="3377" priority="295" operator="equal">
      <formula>4</formula>
    </cfRule>
    <cfRule type="cellIs" dxfId="3376" priority="301" operator="equal">
      <formula>1</formula>
    </cfRule>
  </conditionalFormatting>
  <conditionalFormatting sqref="E19:U35">
    <cfRule type="cellIs" dxfId="3375" priority="912" operator="equal">
      <formula>2</formula>
    </cfRule>
  </conditionalFormatting>
  <conditionalFormatting sqref="F19">
    <cfRule type="top10" dxfId="3374" priority="1387" rank="10"/>
  </conditionalFormatting>
  <conditionalFormatting sqref="F19:F21">
    <cfRule type="top10" dxfId="3373" priority="52675" rank="10"/>
    <cfRule type="cellIs" dxfId="3372" priority="52676" operator="equal">
      <formula>1</formula>
    </cfRule>
  </conditionalFormatting>
  <conditionalFormatting sqref="F22:F34">
    <cfRule type="top10" dxfId="3371" priority="53128" rank="10"/>
  </conditionalFormatting>
  <conditionalFormatting sqref="F27">
    <cfRule type="top10" dxfId="3370" priority="1358" rank="10"/>
  </conditionalFormatting>
  <conditionalFormatting sqref="F27:F28">
    <cfRule type="cellIs" dxfId="3369" priority="1400" operator="equal">
      <formula>1</formula>
    </cfRule>
  </conditionalFormatting>
  <conditionalFormatting sqref="F28">
    <cfRule type="top10" dxfId="3368" priority="1399" rank="10"/>
  </conditionalFormatting>
  <conditionalFormatting sqref="F29">
    <cfRule type="cellIs" dxfId="3367" priority="1398" operator="equal">
      <formula>1</formula>
    </cfRule>
    <cfRule type="top10" dxfId="3366" priority="1397" rank="10"/>
    <cfRule type="cellIs" dxfId="3365" priority="1396" operator="equal">
      <formula>3</formula>
    </cfRule>
    <cfRule type="cellIs" dxfId="3364" priority="1395" operator="equal">
      <formula>4</formula>
    </cfRule>
    <cfRule type="top10" dxfId="3363" priority="1393" rank="10"/>
    <cfRule type="cellIs" dxfId="3362" priority="1394" operator="equal">
      <formula>1</formula>
    </cfRule>
  </conditionalFormatting>
  <conditionalFormatting sqref="F31">
    <cfRule type="cellIs" dxfId="3361" priority="1411" operator="equal">
      <formula>1</formula>
    </cfRule>
    <cfRule type="top10" dxfId="3360" priority="1412" rank="10"/>
    <cfRule type="cellIs" dxfId="3359" priority="1413" operator="equal">
      <formula>1</formula>
    </cfRule>
    <cfRule type="top10" dxfId="3358" priority="1410" rank="10"/>
  </conditionalFormatting>
  <conditionalFormatting sqref="F31:F34">
    <cfRule type="cellIs" dxfId="3357" priority="1408" operator="equal">
      <formula>4</formula>
    </cfRule>
    <cfRule type="cellIs" dxfId="3356" priority="1409" operator="equal">
      <formula>3</formula>
    </cfRule>
  </conditionalFormatting>
  <conditionalFormatting sqref="F31:F35">
    <cfRule type="cellIs" dxfId="3355" priority="1366" operator="equal">
      <formula>3</formula>
    </cfRule>
    <cfRule type="cellIs" dxfId="3354" priority="1365" operator="equal">
      <formula>4</formula>
    </cfRule>
  </conditionalFormatting>
  <conditionalFormatting sqref="F32:F34">
    <cfRule type="top10" dxfId="3353" priority="1406" rank="10"/>
    <cfRule type="cellIs" dxfId="3352" priority="1405" operator="equal">
      <formula>1</formula>
    </cfRule>
    <cfRule type="top10" dxfId="3351" priority="1404" rank="10"/>
  </conditionalFormatting>
  <conditionalFormatting sqref="F32:F35">
    <cfRule type="cellIs" dxfId="3350" priority="1407" operator="equal">
      <formula>1</formula>
    </cfRule>
  </conditionalFormatting>
  <conditionalFormatting sqref="F33:F34">
    <cfRule type="cellIs" dxfId="3349" priority="1381" operator="equal">
      <formula>4</formula>
    </cfRule>
    <cfRule type="cellIs" dxfId="3348" priority="1384" operator="equal">
      <formula>1</formula>
    </cfRule>
    <cfRule type="top10" dxfId="3347" priority="1383" rank="10"/>
    <cfRule type="cellIs" dxfId="3346" priority="1382" operator="equal">
      <formula>3</formula>
    </cfRule>
    <cfRule type="cellIs" dxfId="3345" priority="1380" operator="equal">
      <formula>1</formula>
    </cfRule>
    <cfRule type="top10" dxfId="3344" priority="1379" rank="10"/>
  </conditionalFormatting>
  <conditionalFormatting sqref="F35">
    <cfRule type="cellIs" dxfId="3343" priority="1370" operator="equal">
      <formula>1</formula>
    </cfRule>
    <cfRule type="top10" dxfId="3342" priority="1369" rank="10"/>
    <cfRule type="cellIs" dxfId="3341" priority="1390" operator="equal">
      <formula>1</formula>
    </cfRule>
    <cfRule type="top10" dxfId="3340" priority="1357" rank="10"/>
    <cfRule type="top10" dxfId="3339" priority="1389" rank="10"/>
    <cfRule type="cellIs" dxfId="3338" priority="1376" operator="equal">
      <formula>1</formula>
    </cfRule>
    <cfRule type="top10" dxfId="3337" priority="1375" rank="10"/>
  </conditionalFormatting>
  <conditionalFormatting sqref="F28:G30">
    <cfRule type="cellIs" dxfId="3336" priority="1325" operator="equal">
      <formula>4</formula>
    </cfRule>
    <cfRule type="cellIs" dxfId="3335" priority="1326" operator="equal">
      <formula>3</formula>
    </cfRule>
  </conditionalFormatting>
  <conditionalFormatting sqref="F28:G34">
    <cfRule type="cellIs" dxfId="3334" priority="1304" operator="equal">
      <formula>1</formula>
    </cfRule>
  </conditionalFormatting>
  <conditionalFormatting sqref="F30:G30 G22:G34">
    <cfRule type="top10" dxfId="3333" priority="1303" rank="10"/>
  </conditionalFormatting>
  <conditionalFormatting sqref="F23:H23">
    <cfRule type="top10" dxfId="3332" priority="872" rank="10"/>
    <cfRule type="top10" dxfId="3331" priority="871" rank="10"/>
  </conditionalFormatting>
  <conditionalFormatting sqref="F23:I23">
    <cfRule type="cellIs" dxfId="3330" priority="1278" operator="equal">
      <formula>3</formula>
    </cfRule>
    <cfRule type="cellIs" dxfId="3329" priority="875" operator="equal">
      <formula>1</formula>
    </cfRule>
    <cfRule type="cellIs" dxfId="3328" priority="874" operator="equal">
      <formula>3</formula>
    </cfRule>
    <cfRule type="cellIs" dxfId="3327" priority="873" operator="equal">
      <formula>4</formula>
    </cfRule>
    <cfRule type="cellIs" dxfId="3326" priority="1277" operator="equal">
      <formula>4</formula>
    </cfRule>
  </conditionalFormatting>
  <conditionalFormatting sqref="F19:K19">
    <cfRule type="cellIs" dxfId="3325" priority="1265" operator="equal">
      <formula>4</formula>
    </cfRule>
    <cfRule type="cellIs" dxfId="3324" priority="1266" operator="equal">
      <formula>3</formula>
    </cfRule>
  </conditionalFormatting>
  <conditionalFormatting sqref="G19">
    <cfRule type="top10" dxfId="3323" priority="1327" rank="10"/>
  </conditionalFormatting>
  <conditionalFormatting sqref="G19:G21">
    <cfRule type="cellIs" dxfId="3322" priority="52681" operator="equal">
      <formula>1</formula>
    </cfRule>
    <cfRule type="top10" dxfId="3321" priority="52680" rank="10"/>
  </conditionalFormatting>
  <conditionalFormatting sqref="G24">
    <cfRule type="cellIs" dxfId="3320" priority="141" operator="equal">
      <formula>1</formula>
    </cfRule>
    <cfRule type="cellIs" dxfId="3319" priority="134" operator="equal">
      <formula>1</formula>
    </cfRule>
    <cfRule type="cellIs" dxfId="3318" priority="135" operator="equal">
      <formula>4</formula>
    </cfRule>
    <cfRule type="top10" dxfId="3317" priority="137" rank="10"/>
    <cfRule type="top10" dxfId="3316" priority="138" rank="10"/>
    <cfRule type="cellIs" dxfId="3315" priority="139" operator="equal">
      <formula>4</formula>
    </cfRule>
    <cfRule type="cellIs" dxfId="3314" priority="136" operator="equal">
      <formula>3</formula>
    </cfRule>
    <cfRule type="cellIs" dxfId="3313" priority="140" operator="equal">
      <formula>3</formula>
    </cfRule>
    <cfRule type="top10" dxfId="3312" priority="145" rank="10"/>
    <cfRule type="top10" dxfId="3311" priority="146" rank="10"/>
    <cfRule type="cellIs" dxfId="3310" priority="147" operator="equal">
      <formula>4</formula>
    </cfRule>
    <cfRule type="cellIs" dxfId="3309" priority="148" operator="equal">
      <formula>3</formula>
    </cfRule>
    <cfRule type="cellIs" dxfId="3308" priority="149" operator="equal">
      <formula>1</formula>
    </cfRule>
    <cfRule type="top10" dxfId="3307" priority="150" rank="10"/>
  </conditionalFormatting>
  <conditionalFormatting sqref="G27">
    <cfRule type="top10" dxfId="3306" priority="1298" rank="10"/>
  </conditionalFormatting>
  <conditionalFormatting sqref="G27:G28">
    <cfRule type="cellIs" dxfId="3305" priority="1340" operator="equal">
      <formula>1</formula>
    </cfRule>
  </conditionalFormatting>
  <conditionalFormatting sqref="G28">
    <cfRule type="top10" dxfId="3304" priority="1339" rank="10"/>
  </conditionalFormatting>
  <conditionalFormatting sqref="G29">
    <cfRule type="cellIs" dxfId="3303" priority="1338" operator="equal">
      <formula>1</formula>
    </cfRule>
    <cfRule type="cellIs" dxfId="3302" priority="1335" operator="equal">
      <formula>4</formula>
    </cfRule>
    <cfRule type="top10" dxfId="3301" priority="1337" rank="10"/>
    <cfRule type="cellIs" dxfId="3300" priority="1336" operator="equal">
      <formula>3</formula>
    </cfRule>
    <cfRule type="cellIs" dxfId="3299" priority="1334" operator="equal">
      <formula>1</formula>
    </cfRule>
    <cfRule type="top10" dxfId="3298" priority="1333" rank="10"/>
  </conditionalFormatting>
  <conditionalFormatting sqref="G31">
    <cfRule type="cellIs" dxfId="3297" priority="1353" operator="equal">
      <formula>1</formula>
    </cfRule>
    <cfRule type="top10" dxfId="3296" priority="1350" rank="10"/>
    <cfRule type="top10" dxfId="3295" priority="1352" rank="10"/>
    <cfRule type="cellIs" dxfId="3294" priority="1351" operator="equal">
      <formula>1</formula>
    </cfRule>
  </conditionalFormatting>
  <conditionalFormatting sqref="G31:G34">
    <cfRule type="cellIs" dxfId="3293" priority="1348" operator="equal">
      <formula>4</formula>
    </cfRule>
    <cfRule type="cellIs" dxfId="3292" priority="1349" operator="equal">
      <formula>3</formula>
    </cfRule>
  </conditionalFormatting>
  <conditionalFormatting sqref="G31:G35">
    <cfRule type="cellIs" dxfId="3291" priority="1306" operator="equal">
      <formula>3</formula>
    </cfRule>
    <cfRule type="cellIs" dxfId="3290" priority="1305" operator="equal">
      <formula>4</formula>
    </cfRule>
  </conditionalFormatting>
  <conditionalFormatting sqref="G32:G34">
    <cfRule type="top10" dxfId="3289" priority="1344" rank="10"/>
    <cfRule type="top10" dxfId="3288" priority="1346" rank="10"/>
    <cfRule type="cellIs" dxfId="3287" priority="1345" operator="equal">
      <formula>1</formula>
    </cfRule>
  </conditionalFormatting>
  <conditionalFormatting sqref="G32:G35">
    <cfRule type="cellIs" dxfId="3286" priority="1347" operator="equal">
      <formula>1</formula>
    </cfRule>
  </conditionalFormatting>
  <conditionalFormatting sqref="G33:G34">
    <cfRule type="cellIs" dxfId="3285" priority="1321" operator="equal">
      <formula>4</formula>
    </cfRule>
    <cfRule type="cellIs" dxfId="3284" priority="1320" operator="equal">
      <formula>1</formula>
    </cfRule>
    <cfRule type="top10" dxfId="3283" priority="1319" rank="10"/>
    <cfRule type="cellIs" dxfId="3282" priority="1324" operator="equal">
      <formula>1</formula>
    </cfRule>
    <cfRule type="top10" dxfId="3281" priority="1323" rank="10"/>
    <cfRule type="cellIs" dxfId="3280" priority="1322" operator="equal">
      <formula>3</formula>
    </cfRule>
  </conditionalFormatting>
  <conditionalFormatting sqref="G35">
    <cfRule type="top10" dxfId="3279" priority="1329" rank="10"/>
    <cfRule type="cellIs" dxfId="3278" priority="1316" operator="equal">
      <formula>1</formula>
    </cfRule>
    <cfRule type="top10" dxfId="3277" priority="1315" rank="10"/>
    <cfRule type="cellIs" dxfId="3276" priority="1310" operator="equal">
      <formula>1</formula>
    </cfRule>
    <cfRule type="top10" dxfId="3275" priority="1297" rank="10"/>
    <cfRule type="top10" dxfId="3274" priority="1309" rank="10"/>
    <cfRule type="cellIs" dxfId="3273" priority="1330" operator="equal">
      <formula>1</formula>
    </cfRule>
  </conditionalFormatting>
  <conditionalFormatting sqref="G23:I23">
    <cfRule type="cellIs" dxfId="3272" priority="883" operator="equal">
      <formula>1</formula>
    </cfRule>
    <cfRule type="cellIs" dxfId="3271" priority="882" operator="equal">
      <formula>3</formula>
    </cfRule>
    <cfRule type="cellIs" dxfId="3270" priority="881" operator="equal">
      <formula>4</formula>
    </cfRule>
    <cfRule type="top10" dxfId="3269" priority="880" rank="10"/>
    <cfRule type="top10" dxfId="3268" priority="879" rank="10"/>
  </conditionalFormatting>
  <conditionalFormatting sqref="G24:K24">
    <cfRule type="cellIs" dxfId="3267" priority="152" operator="equal">
      <formula>4</formula>
    </cfRule>
    <cfRule type="cellIs" dxfId="3266" priority="153" operator="equal">
      <formula>3</formula>
    </cfRule>
    <cfRule type="cellIs" dxfId="3265" priority="151" operator="equal">
      <formula>1</formula>
    </cfRule>
  </conditionalFormatting>
  <conditionalFormatting sqref="H22">
    <cfRule type="cellIs" dxfId="3264" priority="588" operator="equal">
      <formula>4</formula>
    </cfRule>
    <cfRule type="top10" dxfId="3263" priority="583" rank="10"/>
    <cfRule type="top10" dxfId="3262" priority="584" rank="10"/>
    <cfRule type="top10" dxfId="3261" priority="592" rank="10"/>
    <cfRule type="cellIs" dxfId="3260" priority="585" operator="equal">
      <formula>1</formula>
    </cfRule>
    <cfRule type="top10" dxfId="3259" priority="586" rank="10"/>
    <cfRule type="cellIs" dxfId="3258" priority="589" operator="equal">
      <formula>3</formula>
    </cfRule>
    <cfRule type="cellIs" dxfId="3257" priority="587" operator="equal">
      <formula>1</formula>
    </cfRule>
  </conditionalFormatting>
  <conditionalFormatting sqref="H35">
    <cfRule type="cellIs" dxfId="3256" priority="1256" operator="equal">
      <formula>1</formula>
    </cfRule>
    <cfRule type="top10" dxfId="3255" priority="1255" rank="10"/>
  </conditionalFormatting>
  <conditionalFormatting sqref="H22:I22">
    <cfRule type="cellIs" dxfId="3254" priority="576" operator="equal">
      <formula>3</formula>
    </cfRule>
    <cfRule type="cellIs" dxfId="3253" priority="574" operator="equal">
      <formula>1</formula>
    </cfRule>
    <cfRule type="cellIs" dxfId="3252" priority="575" operator="equal">
      <formula>4</formula>
    </cfRule>
  </conditionalFormatting>
  <conditionalFormatting sqref="H28:I28">
    <cfRule type="top10" dxfId="3251" priority="1253" rank="10"/>
    <cfRule type="cellIs" dxfId="3250" priority="1254" operator="equal">
      <formula>1</formula>
    </cfRule>
  </conditionalFormatting>
  <conditionalFormatting sqref="H19:J19">
    <cfRule type="top10" dxfId="3249" priority="1279" rank="10"/>
    <cfRule type="cellIs" dxfId="3248" priority="1280" operator="equal">
      <formula>1</formula>
    </cfRule>
  </conditionalFormatting>
  <conditionalFormatting sqref="H19:J30 K20 F23:I23 H31:K34">
    <cfRule type="cellIs" dxfId="3247" priority="1252" operator="equal">
      <formula>1</formula>
    </cfRule>
  </conditionalFormatting>
  <conditionalFormatting sqref="H22:J22">
    <cfRule type="top10" dxfId="3246" priority="52800" rank="10"/>
  </conditionalFormatting>
  <conditionalFormatting sqref="H27:J27">
    <cfRule type="top10" dxfId="3245" priority="1126" rank="10"/>
  </conditionalFormatting>
  <conditionalFormatting sqref="H29:J29">
    <cfRule type="cellIs" dxfId="3244" priority="528" operator="equal">
      <formula>4</formula>
    </cfRule>
    <cfRule type="cellIs" dxfId="3243" priority="520" operator="equal">
      <formula>3</formula>
    </cfRule>
    <cfRule type="top10" dxfId="3242" priority="532" rank="10"/>
    <cfRule type="cellIs" dxfId="3241" priority="536" operator="equal">
      <formula>4</formula>
    </cfRule>
    <cfRule type="cellIs" dxfId="3240" priority="519" operator="equal">
      <formula>4</formula>
    </cfRule>
    <cfRule type="cellIs" dxfId="3239" priority="518" operator="equal">
      <formula>1</formula>
    </cfRule>
    <cfRule type="cellIs" dxfId="3238" priority="529" operator="equal">
      <formula>3</formula>
    </cfRule>
    <cfRule type="top10" dxfId="3237" priority="534" rank="10"/>
    <cfRule type="cellIs" dxfId="3236" priority="537" operator="equal">
      <formula>3</formula>
    </cfRule>
    <cfRule type="cellIs" dxfId="3235" priority="535" operator="equal">
      <formula>1</formula>
    </cfRule>
    <cfRule type="cellIs" dxfId="3234" priority="525" operator="equal">
      <formula>1</formula>
    </cfRule>
    <cfRule type="cellIs" dxfId="3233" priority="524" operator="equal">
      <formula>3</formula>
    </cfRule>
    <cfRule type="cellIs" dxfId="3232" priority="523" operator="equal">
      <formula>4</formula>
    </cfRule>
    <cfRule type="cellIs" dxfId="3231" priority="533" operator="equal">
      <formula>1</formula>
    </cfRule>
    <cfRule type="top10" dxfId="3230" priority="522" rank="10"/>
    <cfRule type="top10" dxfId="3229" priority="526" rank="10"/>
    <cfRule type="top10" dxfId="3228" priority="521" rank="10"/>
    <cfRule type="cellIs" dxfId="3227" priority="527" operator="equal">
      <formula>1</formula>
    </cfRule>
  </conditionalFormatting>
  <conditionalFormatting sqref="H30:J30 H32:J34">
    <cfRule type="cellIs" dxfId="3226" priority="1247" operator="equal">
      <formula>4</formula>
    </cfRule>
    <cfRule type="cellIs" dxfId="3225" priority="1248" operator="equal">
      <formula>3</formula>
    </cfRule>
    <cfRule type="cellIs" dxfId="3224" priority="1246" operator="equal">
      <formula>1</formula>
    </cfRule>
    <cfRule type="cellIs" dxfId="3223" priority="1250" operator="equal">
      <formula>1</formula>
    </cfRule>
    <cfRule type="top10" dxfId="3222" priority="1249" rank="10"/>
    <cfRule type="top10" dxfId="3221" priority="1245" rank="10"/>
  </conditionalFormatting>
  <conditionalFormatting sqref="H33:J34">
    <cfRule type="cellIs" dxfId="3220" priority="1274" operator="equal">
      <formula>3</formula>
    </cfRule>
    <cfRule type="top10" dxfId="3219" priority="1275" rank="10"/>
    <cfRule type="cellIs" dxfId="3218" priority="1276" operator="equal">
      <formula>1</formula>
    </cfRule>
    <cfRule type="cellIs" dxfId="3217" priority="1269" operator="equal">
      <formula>4</formula>
    </cfRule>
    <cfRule type="cellIs" dxfId="3216" priority="1270" operator="equal">
      <formula>3</formula>
    </cfRule>
    <cfRule type="top10" dxfId="3215" priority="1271" rank="10"/>
    <cfRule type="cellIs" dxfId="3214" priority="1272" operator="equal">
      <formula>1</formula>
    </cfRule>
    <cfRule type="cellIs" dxfId="3213" priority="1273" operator="equal">
      <formula>4</formula>
    </cfRule>
  </conditionalFormatting>
  <conditionalFormatting sqref="H35:J35">
    <cfRule type="top10" dxfId="3212" priority="1267" rank="10"/>
    <cfRule type="cellIs" dxfId="3211" priority="1268" operator="equal">
      <formula>1</formula>
    </cfRule>
  </conditionalFormatting>
  <conditionalFormatting sqref="H20:K20">
    <cfRule type="cellIs" dxfId="3210" priority="1244" operator="equal">
      <formula>1</formula>
    </cfRule>
    <cfRule type="top10" dxfId="3209" priority="1243" rank="10"/>
    <cfRule type="cellIs" dxfId="3208" priority="1241" operator="equal">
      <formula>4</formula>
    </cfRule>
    <cfRule type="cellIs" dxfId="3207" priority="1242" operator="equal">
      <formula>3</formula>
    </cfRule>
  </conditionalFormatting>
  <conditionalFormatting sqref="H24:K24 K19:K23 K25:K30 K32:K34">
    <cfRule type="top10" dxfId="3206" priority="1216" rank="10"/>
  </conditionalFormatting>
  <conditionalFormatting sqref="H30:K30">
    <cfRule type="cellIs" dxfId="3205" priority="1240" operator="equal">
      <formula>3</formula>
    </cfRule>
    <cfRule type="cellIs" dxfId="3204" priority="1239" operator="equal">
      <formula>4</formula>
    </cfRule>
  </conditionalFormatting>
  <conditionalFormatting sqref="H31:K31">
    <cfRule type="top10" dxfId="3203" priority="1290" rank="10"/>
    <cfRule type="cellIs" dxfId="3202" priority="1291" operator="equal">
      <formula>1</formula>
    </cfRule>
    <cfRule type="cellIs" dxfId="3201" priority="1293" operator="equal">
      <formula>1</formula>
    </cfRule>
    <cfRule type="top10" dxfId="3200" priority="1292" rank="10"/>
  </conditionalFormatting>
  <conditionalFormatting sqref="H31:K34">
    <cfRule type="cellIs" dxfId="3199" priority="1288" operator="equal">
      <formula>4</formula>
    </cfRule>
    <cfRule type="cellIs" dxfId="3198" priority="1289" operator="equal">
      <formula>3</formula>
    </cfRule>
  </conditionalFormatting>
  <conditionalFormatting sqref="H31:K35 F19:J21 K19:K23">
    <cfRule type="cellIs" dxfId="3197" priority="1257" operator="equal">
      <formula>4</formula>
    </cfRule>
    <cfRule type="cellIs" dxfId="3196" priority="1258" operator="equal">
      <formula>3</formula>
    </cfRule>
  </conditionalFormatting>
  <conditionalFormatting sqref="H31:K35">
    <cfRule type="cellIs" dxfId="3195" priority="1282" operator="equal">
      <formula>4</formula>
    </cfRule>
    <cfRule type="cellIs" dxfId="3194" priority="1283" operator="equal">
      <formula>3</formula>
    </cfRule>
  </conditionalFormatting>
  <conditionalFormatting sqref="H32:K34">
    <cfRule type="cellIs" dxfId="3193" priority="1285" operator="equal">
      <formula>1</formula>
    </cfRule>
    <cfRule type="top10" dxfId="3192" priority="1286" rank="10"/>
    <cfRule type="top10" dxfId="3191" priority="1284" rank="10"/>
  </conditionalFormatting>
  <conditionalFormatting sqref="H32:K35">
    <cfRule type="cellIs" dxfId="3190" priority="1287" operator="equal">
      <formula>1</formula>
    </cfRule>
  </conditionalFormatting>
  <conditionalFormatting sqref="H35:K35">
    <cfRule type="top10" dxfId="3189" priority="1125" rank="10"/>
    <cfRule type="top10" dxfId="3188" priority="1261" rank="10"/>
    <cfRule type="cellIs" dxfId="3187" priority="1262" operator="equal">
      <formula>1</formula>
    </cfRule>
  </conditionalFormatting>
  <conditionalFormatting sqref="I22">
    <cfRule type="cellIs" dxfId="3186" priority="572" operator="equal">
      <formula>1</formula>
    </cfRule>
    <cfRule type="top10" dxfId="3185" priority="571" rank="10"/>
    <cfRule type="top10" dxfId="3184" priority="570" rank="10"/>
    <cfRule type="top10" dxfId="3183" priority="573" rank="10"/>
    <cfRule type="top10" dxfId="3182" priority="579" rank="10"/>
  </conditionalFormatting>
  <conditionalFormatting sqref="I35">
    <cfRule type="cellIs" dxfId="3181" priority="1238" operator="equal">
      <formula>1</formula>
    </cfRule>
    <cfRule type="top10" dxfId="3180" priority="1237" rank="10"/>
  </conditionalFormatting>
  <conditionalFormatting sqref="I22:J22">
    <cfRule type="cellIs" dxfId="3179" priority="563" operator="equal">
      <formula>3</formula>
    </cfRule>
    <cfRule type="cellIs" dxfId="3178" priority="562" operator="equal">
      <formula>4</formula>
    </cfRule>
    <cfRule type="cellIs" dxfId="3177" priority="561" operator="equal">
      <formula>1</formula>
    </cfRule>
  </conditionalFormatting>
  <conditionalFormatting sqref="J22">
    <cfRule type="top10" dxfId="3176" priority="566" rank="10"/>
    <cfRule type="top10" dxfId="3175" priority="560" rank="10"/>
    <cfRule type="top10" dxfId="3174" priority="557" rank="10"/>
    <cfRule type="top10" dxfId="3173" priority="558" rank="10"/>
    <cfRule type="cellIs" dxfId="3172" priority="559" operator="equal">
      <formula>1</formula>
    </cfRule>
  </conditionalFormatting>
  <conditionalFormatting sqref="J22:J23">
    <cfRule type="cellIs" dxfId="3171" priority="270" operator="equal">
      <formula>4</formula>
    </cfRule>
    <cfRule type="cellIs" dxfId="3170" priority="276" operator="equal">
      <formula>1</formula>
    </cfRule>
    <cfRule type="cellIs" dxfId="3169" priority="271" operator="equal">
      <formula>3</formula>
    </cfRule>
  </conditionalFormatting>
  <conditionalFormatting sqref="J23">
    <cfRule type="cellIs" dxfId="3168" priority="263" operator="equal">
      <formula>3</formula>
    </cfRule>
    <cfRule type="top10" dxfId="3167" priority="266" rank="10"/>
    <cfRule type="cellIs" dxfId="3166" priority="267" operator="equal">
      <formula>1</formula>
    </cfRule>
    <cfRule type="cellIs" dxfId="3165" priority="269" operator="equal">
      <formula>1</formula>
    </cfRule>
    <cfRule type="top10" dxfId="3164" priority="272" rank="10"/>
    <cfRule type="cellIs" dxfId="3163" priority="273" operator="equal">
      <formula>1</formula>
    </cfRule>
    <cfRule type="top10" dxfId="3162" priority="274" rank="10"/>
    <cfRule type="top10" dxfId="3161" priority="275" rank="10"/>
    <cfRule type="top10" dxfId="3160" priority="268" rank="10"/>
    <cfRule type="cellIs" dxfId="3159" priority="252" operator="equal">
      <formula>1</formula>
    </cfRule>
    <cfRule type="cellIs" dxfId="3158" priority="253" operator="equal">
      <formula>4</formula>
    </cfRule>
    <cfRule type="cellIs" dxfId="3157" priority="254" operator="equal">
      <formula>3</formula>
    </cfRule>
    <cfRule type="top10" dxfId="3156" priority="255" rank="10"/>
    <cfRule type="top10" dxfId="3155" priority="256" rank="10"/>
    <cfRule type="cellIs" dxfId="3154" priority="257" operator="equal">
      <formula>4</formula>
    </cfRule>
    <cfRule type="cellIs" dxfId="3153" priority="258" operator="equal">
      <formula>3</formula>
    </cfRule>
    <cfRule type="cellIs" dxfId="3152" priority="259" operator="equal">
      <formula>1</formula>
    </cfRule>
    <cfRule type="top10" dxfId="3151" priority="260" rank="10"/>
    <cfRule type="cellIs" dxfId="3150" priority="261" operator="equal">
      <formula>1</formula>
    </cfRule>
    <cfRule type="cellIs" dxfId="3149" priority="262" operator="equal">
      <formula>4</formula>
    </cfRule>
  </conditionalFormatting>
  <conditionalFormatting sqref="J28">
    <cfRule type="top10" dxfId="3148" priority="1235" rank="10"/>
    <cfRule type="cellIs" dxfId="3147" priority="1236" operator="equal">
      <formula>1</formula>
    </cfRule>
  </conditionalFormatting>
  <conditionalFormatting sqref="J35">
    <cfRule type="top10" dxfId="3146" priority="1233" rank="10"/>
    <cfRule type="cellIs" dxfId="3145" priority="1234" operator="equal">
      <formula>1</formula>
    </cfRule>
  </conditionalFormatting>
  <conditionalFormatting sqref="K19">
    <cfRule type="top10" dxfId="3144" priority="1231" rank="10"/>
    <cfRule type="cellIs" dxfId="3143" priority="1232" operator="equal">
      <formula>1</formula>
    </cfRule>
  </conditionalFormatting>
  <conditionalFormatting sqref="K20 H19:J30 F23:I23 H31:K34">
    <cfRule type="top10" dxfId="3142" priority="1251" rank="10"/>
  </conditionalFormatting>
  <conditionalFormatting sqref="K22:K23">
    <cfRule type="cellIs" dxfId="3141" priority="239" operator="equal">
      <formula>3</formula>
    </cfRule>
    <cfRule type="cellIs" dxfId="3140" priority="246" operator="equal">
      <formula>4</formula>
    </cfRule>
    <cfRule type="cellIs" dxfId="3139" priority="245" operator="equal">
      <formula>1</formula>
    </cfRule>
    <cfRule type="cellIs" dxfId="3138" priority="243" operator="equal">
      <formula>1</formula>
    </cfRule>
    <cfRule type="top10" dxfId="3137" priority="242" rank="10"/>
    <cfRule type="cellIs" dxfId="3136" priority="238" operator="equal">
      <formula>4</formula>
    </cfRule>
    <cfRule type="cellIs" dxfId="3135" priority="237" operator="equal">
      <formula>1</formula>
    </cfRule>
    <cfRule type="top10" dxfId="3134" priority="251" rank="10"/>
    <cfRule type="top10" dxfId="3133" priority="244" rank="10"/>
    <cfRule type="top10" dxfId="3132" priority="231" rank="10"/>
    <cfRule type="cellIs" dxfId="3131" priority="230" operator="equal">
      <formula>3</formula>
    </cfRule>
    <cfRule type="top10" dxfId="3130" priority="236" rank="10"/>
    <cfRule type="cellIs" dxfId="3129" priority="229" operator="equal">
      <formula>4</formula>
    </cfRule>
    <cfRule type="cellIs" dxfId="3128" priority="228" operator="equal">
      <formula>1</formula>
    </cfRule>
    <cfRule type="cellIs" dxfId="3127" priority="235" operator="equal">
      <formula>1</formula>
    </cfRule>
    <cfRule type="cellIs" dxfId="3126" priority="234" operator="equal">
      <formula>3</formula>
    </cfRule>
    <cfRule type="cellIs" dxfId="3125" priority="233" operator="equal">
      <formula>4</formula>
    </cfRule>
    <cfRule type="top10" dxfId="3124" priority="232" rank="10"/>
    <cfRule type="cellIs" dxfId="3123" priority="247" operator="equal">
      <formula>3</formula>
    </cfRule>
    <cfRule type="top10" dxfId="3122" priority="248" rank="10"/>
    <cfRule type="cellIs" dxfId="3121" priority="249" operator="equal">
      <formula>1</formula>
    </cfRule>
    <cfRule type="top10" dxfId="3120" priority="250" rank="10"/>
  </conditionalFormatting>
  <conditionalFormatting sqref="K25:K30">
    <cfRule type="cellIs" dxfId="3119" priority="1230" operator="equal">
      <formula>1</formula>
    </cfRule>
  </conditionalFormatting>
  <conditionalFormatting sqref="K26:K27">
    <cfRule type="top10" dxfId="3118" priority="756" rank="10"/>
    <cfRule type="top10" dxfId="3117" priority="757" rank="10"/>
    <cfRule type="top10" dxfId="3116" priority="758" rank="10"/>
  </conditionalFormatting>
  <conditionalFormatting sqref="K27">
    <cfRule type="cellIs" dxfId="3115" priority="733" operator="equal">
      <formula>1</formula>
    </cfRule>
    <cfRule type="cellIs" dxfId="3114" priority="738" operator="equal">
      <formula>4</formula>
    </cfRule>
    <cfRule type="cellIs" dxfId="3113" priority="747" operator="equal">
      <formula>3</formula>
    </cfRule>
    <cfRule type="cellIs" dxfId="3112" priority="748" operator="equal">
      <formula>1</formula>
    </cfRule>
    <cfRule type="top10" dxfId="3111" priority="749" rank="10"/>
    <cfRule type="cellIs" dxfId="3110" priority="750" operator="equal">
      <formula>1</formula>
    </cfRule>
    <cfRule type="cellIs" dxfId="3109" priority="751" operator="equal">
      <formula>4</formula>
    </cfRule>
    <cfRule type="cellIs" dxfId="3108" priority="752" operator="equal">
      <formula>3</formula>
    </cfRule>
    <cfRule type="top10" dxfId="3107" priority="753" rank="10"/>
    <cfRule type="top10" dxfId="3106" priority="754" rank="10"/>
    <cfRule type="top10" dxfId="3105" priority="755" rank="10"/>
    <cfRule type="top10" dxfId="3104" priority="663" rank="10"/>
    <cfRule type="cellIs" dxfId="3103" priority="660" operator="equal">
      <formula>3</formula>
    </cfRule>
    <cfRule type="cellIs" dxfId="3102" priority="658" operator="equal">
      <formula>1</formula>
    </cfRule>
    <cfRule type="top10" dxfId="3101" priority="657" rank="10"/>
    <cfRule type="cellIs" dxfId="3100" priority="656" operator="equal">
      <formula>1</formula>
    </cfRule>
    <cfRule type="top10" dxfId="3099" priority="655" rank="10"/>
    <cfRule type="top10" dxfId="3098" priority="654" rank="10"/>
    <cfRule type="cellIs" dxfId="3097" priority="653" operator="equal">
      <formula>3</formula>
    </cfRule>
    <cfRule type="cellIs" dxfId="3096" priority="652" operator="equal">
      <formula>4</formula>
    </cfRule>
    <cfRule type="cellIs" dxfId="3095" priority="651" operator="equal">
      <formula>1</formula>
    </cfRule>
    <cfRule type="cellIs" dxfId="3094" priority="659" operator="equal">
      <formula>4</formula>
    </cfRule>
    <cfRule type="cellIs" dxfId="3093" priority="739" operator="equal">
      <formula>3</formula>
    </cfRule>
    <cfRule type="top10" dxfId="3092" priority="737" rank="10"/>
    <cfRule type="top10" dxfId="3091" priority="736" rank="10"/>
    <cfRule type="cellIs" dxfId="3090" priority="735" operator="equal">
      <formula>3</formula>
    </cfRule>
    <cfRule type="cellIs" dxfId="3089" priority="734" operator="equal">
      <formula>4</formula>
    </cfRule>
    <cfRule type="cellIs" dxfId="3088" priority="746" operator="equal">
      <formula>4</formula>
    </cfRule>
    <cfRule type="top10" dxfId="3087" priority="745" rank="10"/>
    <cfRule type="top10" dxfId="3086" priority="744" rank="10"/>
    <cfRule type="cellIs" dxfId="3085" priority="740" operator="equal">
      <formula>1</formula>
    </cfRule>
  </conditionalFormatting>
  <conditionalFormatting sqref="K28:K29">
    <cfRule type="top10" dxfId="3084" priority="1229" rank="10"/>
    <cfRule type="top10" dxfId="3083" priority="1225" rank="10"/>
    <cfRule type="cellIs" dxfId="3082" priority="1228" operator="equal">
      <formula>3</formula>
    </cfRule>
    <cfRule type="cellIs" dxfId="3081" priority="1227" operator="equal">
      <formula>4</formula>
    </cfRule>
    <cfRule type="cellIs" dxfId="3080" priority="1226" operator="equal">
      <formula>1</formula>
    </cfRule>
  </conditionalFormatting>
  <conditionalFormatting sqref="K28:K30 H32:K34">
    <cfRule type="cellIs" dxfId="3079" priority="1224" operator="equal">
      <formula>3</formula>
    </cfRule>
    <cfRule type="cellIs" dxfId="3078" priority="1223" operator="equal">
      <formula>4</formula>
    </cfRule>
  </conditionalFormatting>
  <conditionalFormatting sqref="K30 K32:K34">
    <cfRule type="cellIs" dxfId="3077" priority="1222" operator="equal">
      <formula>1</formula>
    </cfRule>
    <cfRule type="top10" dxfId="3076" priority="1219" rank="10"/>
    <cfRule type="cellIs" dxfId="3075" priority="1220" operator="equal">
      <formula>1</formula>
    </cfRule>
    <cfRule type="top10" dxfId="3074" priority="1221" rank="10"/>
  </conditionalFormatting>
  <conditionalFormatting sqref="K32:K35">
    <cfRule type="cellIs" dxfId="3073" priority="1211" operator="equal">
      <formula>1</formula>
    </cfRule>
  </conditionalFormatting>
  <conditionalFormatting sqref="K35">
    <cfRule type="cellIs" dxfId="3072" priority="1218" operator="equal">
      <formula>1</formula>
    </cfRule>
    <cfRule type="top10" dxfId="3071" priority="1217" rank="10"/>
    <cfRule type="top10" dxfId="3070" priority="1210" rank="10"/>
  </conditionalFormatting>
  <conditionalFormatting sqref="K19:M21">
    <cfRule type="cellIs" dxfId="3069" priority="1082" operator="equal">
      <formula>1</formula>
    </cfRule>
  </conditionalFormatting>
  <conditionalFormatting sqref="K34:T34">
    <cfRule type="top10" dxfId="3068" priority="31" rank="10"/>
    <cfRule type="cellIs" dxfId="3067" priority="22" operator="equal">
      <formula>1</formula>
    </cfRule>
    <cfRule type="cellIs" dxfId="3066" priority="30" operator="equal">
      <formula>1</formula>
    </cfRule>
    <cfRule type="cellIs" dxfId="3065" priority="28" operator="equal">
      <formula>3</formula>
    </cfRule>
    <cfRule type="cellIs" dxfId="3064" priority="27" operator="equal">
      <formula>4</formula>
    </cfRule>
    <cfRule type="cellIs" dxfId="3063" priority="26" operator="equal">
      <formula>1</formula>
    </cfRule>
    <cfRule type="cellIs" dxfId="3062" priority="35" operator="equal">
      <formula>4</formula>
    </cfRule>
    <cfRule type="cellIs" dxfId="3061" priority="24" operator="equal">
      <formula>3</formula>
    </cfRule>
    <cfRule type="cellIs" dxfId="3060" priority="23" operator="equal">
      <formula>4</formula>
    </cfRule>
    <cfRule type="top10" dxfId="3059" priority="21" rank="10"/>
    <cfRule type="top10" dxfId="3058" priority="25" rank="10"/>
    <cfRule type="cellIs" dxfId="3057" priority="36" operator="equal">
      <formula>3</formula>
    </cfRule>
    <cfRule type="cellIs" dxfId="3056" priority="32" operator="equal">
      <formula>1</formula>
    </cfRule>
    <cfRule type="top10" dxfId="3055" priority="29" rank="10"/>
    <cfRule type="top10" dxfId="3054" priority="33" rank="10"/>
    <cfRule type="cellIs" dxfId="3053" priority="34" operator="equal">
      <formula>1</formula>
    </cfRule>
  </conditionalFormatting>
  <conditionalFormatting sqref="L19">
    <cfRule type="cellIs" dxfId="3052" priority="645" operator="equal">
      <formula>4</formula>
    </cfRule>
    <cfRule type="cellIs" dxfId="3051" priority="646" operator="equal">
      <formula>3</formula>
    </cfRule>
    <cfRule type="top10" dxfId="3050" priority="649" rank="10"/>
    <cfRule type="cellIs" dxfId="3049" priority="642" operator="equal">
      <formula>1</formula>
    </cfRule>
    <cfRule type="top10" dxfId="3048" priority="641" rank="10"/>
    <cfRule type="top10" dxfId="3047" priority="640" rank="10"/>
    <cfRule type="cellIs" dxfId="3046" priority="650" operator="equal">
      <formula>1</formula>
    </cfRule>
    <cfRule type="top10" dxfId="3045" priority="643" rank="10"/>
    <cfRule type="cellIs" dxfId="3044" priority="644" operator="equal">
      <formula>1</formula>
    </cfRule>
  </conditionalFormatting>
  <conditionalFormatting sqref="L19:M19">
    <cfRule type="cellIs" dxfId="3043" priority="633" operator="equal">
      <formula>4</formula>
    </cfRule>
    <cfRule type="cellIs" dxfId="3042" priority="632" operator="equal">
      <formula>1</formula>
    </cfRule>
    <cfRule type="cellIs" dxfId="3041" priority="634" operator="equal">
      <formula>3</formula>
    </cfRule>
  </conditionalFormatting>
  <conditionalFormatting sqref="L20:M21">
    <cfRule type="cellIs" dxfId="3040" priority="336" operator="equal">
      <formula>1</formula>
    </cfRule>
    <cfRule type="top10" dxfId="3039" priority="335" rank="10"/>
    <cfRule type="cellIs" dxfId="3038" priority="334" operator="equal">
      <formula>1</formula>
    </cfRule>
    <cfRule type="cellIs" dxfId="3037" priority="333" operator="equal">
      <formula>3</formula>
    </cfRule>
    <cfRule type="cellIs" dxfId="3036" priority="332" operator="equal">
      <formula>4</formula>
    </cfRule>
    <cfRule type="top10" dxfId="3035" priority="331" rank="10"/>
    <cfRule type="top10" dxfId="3034" priority="330" rank="10"/>
    <cfRule type="cellIs" dxfId="3033" priority="329" operator="equal">
      <formula>3</formula>
    </cfRule>
    <cfRule type="cellIs" dxfId="3032" priority="328" operator="equal">
      <formula>4</formula>
    </cfRule>
    <cfRule type="cellIs" dxfId="3031" priority="327" operator="equal">
      <formula>1</formula>
    </cfRule>
    <cfRule type="cellIs" dxfId="3030" priority="351" operator="equal">
      <formula>1</formula>
    </cfRule>
    <cfRule type="top10" dxfId="3029" priority="350" rank="10"/>
    <cfRule type="cellIs" dxfId="3028" priority="348" operator="equal">
      <formula>1</formula>
    </cfRule>
    <cfRule type="top10" dxfId="3027" priority="347" rank="10"/>
    <cfRule type="cellIs" dxfId="3026" priority="346" operator="equal">
      <formula>3</formula>
    </cfRule>
    <cfRule type="cellIs" dxfId="3025" priority="345" operator="equal">
      <formula>4</formula>
    </cfRule>
    <cfRule type="cellIs" dxfId="3024" priority="344" operator="equal">
      <formula>1</formula>
    </cfRule>
    <cfRule type="top10" dxfId="3023" priority="343" rank="10"/>
    <cfRule type="cellIs" dxfId="3022" priority="342" operator="equal">
      <formula>1</formula>
    </cfRule>
    <cfRule type="top10" dxfId="3021" priority="349" rank="10"/>
    <cfRule type="top10" dxfId="3020" priority="341" rank="10"/>
    <cfRule type="cellIs" dxfId="3019" priority="338" operator="equal">
      <formula>3</formula>
    </cfRule>
    <cfRule type="cellIs" dxfId="3018" priority="337" operator="equal">
      <formula>4</formula>
    </cfRule>
  </conditionalFormatting>
  <conditionalFormatting sqref="L23:M23">
    <cfRule type="top10" dxfId="3017" priority="1074" rank="10"/>
    <cfRule type="cellIs" dxfId="3016" priority="1075" operator="equal">
      <formula>1</formula>
    </cfRule>
  </conditionalFormatting>
  <conditionalFormatting sqref="L24:M26">
    <cfRule type="top10" dxfId="3015" priority="52987" rank="10"/>
  </conditionalFormatting>
  <conditionalFormatting sqref="L24:M31">
    <cfRule type="cellIs" dxfId="3014" priority="1108" operator="equal">
      <formula>1</formula>
    </cfRule>
  </conditionalFormatting>
  <conditionalFormatting sqref="L27:M30 L19:M22 L32:M34">
    <cfRule type="top10" dxfId="3013" priority="1086" rank="10"/>
  </conditionalFormatting>
  <conditionalFormatting sqref="L28:M28">
    <cfRule type="cellIs" dxfId="3012" priority="502" operator="equal">
      <formula>3</formula>
    </cfRule>
    <cfRule type="cellIs" dxfId="3011" priority="501" operator="equal">
      <formula>4</formula>
    </cfRule>
    <cfRule type="top10" dxfId="3010" priority="500" rank="10"/>
    <cfRule type="top10" dxfId="3009" priority="499" rank="10"/>
    <cfRule type="cellIs" dxfId="3008" priority="498" operator="equal">
      <formula>3</formula>
    </cfRule>
    <cfRule type="cellIs" dxfId="3007" priority="497" operator="equal">
      <formula>4</formula>
    </cfRule>
    <cfRule type="cellIs" dxfId="3006" priority="496" operator="equal">
      <formula>1</formula>
    </cfRule>
    <cfRule type="cellIs" dxfId="3005" priority="503" operator="equal">
      <formula>1</formula>
    </cfRule>
    <cfRule type="top10" dxfId="3004" priority="504" rank="10"/>
    <cfRule type="cellIs" dxfId="3003" priority="505" operator="equal">
      <formula>1</formula>
    </cfRule>
    <cfRule type="cellIs" dxfId="3002" priority="506" operator="equal">
      <formula>4</formula>
    </cfRule>
    <cfRule type="cellIs" dxfId="3001" priority="507" operator="equal">
      <formula>3</formula>
    </cfRule>
    <cfRule type="top10" dxfId="3000" priority="510" rank="10"/>
    <cfRule type="cellIs" dxfId="2999" priority="511" operator="equal">
      <formula>1</formula>
    </cfRule>
    <cfRule type="cellIs" dxfId="2998" priority="515" operator="equal">
      <formula>3</formula>
    </cfRule>
    <cfRule type="cellIs" dxfId="2997" priority="514" operator="equal">
      <formula>4</formula>
    </cfRule>
    <cfRule type="cellIs" dxfId="2996" priority="513" operator="equal">
      <formula>1</formula>
    </cfRule>
    <cfRule type="top10" dxfId="2995" priority="512" rank="10"/>
    <cfRule type="cellIs" dxfId="2994" priority="517" operator="equal">
      <formula>1</formula>
    </cfRule>
    <cfRule type="top10" dxfId="2993" priority="516" rank="10"/>
  </conditionalFormatting>
  <conditionalFormatting sqref="L29:M29">
    <cfRule type="top10" dxfId="2992" priority="1072" rank="10"/>
    <cfRule type="cellIs" dxfId="2991" priority="1073" operator="equal">
      <formula>1</formula>
    </cfRule>
    <cfRule type="top10" dxfId="2990" priority="1068" rank="10"/>
    <cfRule type="cellIs" dxfId="2989" priority="1069" operator="equal">
      <formula>1</formula>
    </cfRule>
    <cfRule type="cellIs" dxfId="2988" priority="1070" operator="equal">
      <formula>4</formula>
    </cfRule>
    <cfRule type="cellIs" dxfId="2987" priority="1071" operator="equal">
      <formula>3</formula>
    </cfRule>
  </conditionalFormatting>
  <conditionalFormatting sqref="L30:M30 K32:M34">
    <cfRule type="cellIs" dxfId="2986" priority="1088" operator="equal">
      <formula>3</formula>
    </cfRule>
    <cfRule type="cellIs" dxfId="2985" priority="1087" operator="equal">
      <formula>4</formula>
    </cfRule>
  </conditionalFormatting>
  <conditionalFormatting sqref="L30:M30 L32:M34">
    <cfRule type="cellIs" dxfId="2984" priority="1067" operator="equal">
      <formula>1</formula>
    </cfRule>
    <cfRule type="top10" dxfId="2983" priority="1064" rank="10"/>
    <cfRule type="cellIs" dxfId="2982" priority="1065" operator="equal">
      <formula>1</formula>
    </cfRule>
    <cfRule type="top10" dxfId="2981" priority="1066" rank="10"/>
  </conditionalFormatting>
  <conditionalFormatting sqref="L31:M31">
    <cfRule type="top10" dxfId="2980" priority="1107" rank="10"/>
    <cfRule type="top10" dxfId="2979" priority="1105" rank="10"/>
    <cfRule type="cellIs" dxfId="2978" priority="1106" operator="equal">
      <formula>1</formula>
    </cfRule>
  </conditionalFormatting>
  <conditionalFormatting sqref="L31:M34">
    <cfRule type="top10" dxfId="2977" priority="1089" rank="10"/>
    <cfRule type="cellIs" dxfId="2976" priority="1090" operator="equal">
      <formula>1</formula>
    </cfRule>
    <cfRule type="cellIs" dxfId="2975" priority="1104" operator="equal">
      <formula>3</formula>
    </cfRule>
    <cfRule type="cellIs" dxfId="2974" priority="1103" operator="equal">
      <formula>4</formula>
    </cfRule>
  </conditionalFormatting>
  <conditionalFormatting sqref="L31:M35">
    <cfRule type="cellIs" dxfId="2973" priority="1098" operator="equal">
      <formula>3</formula>
    </cfRule>
    <cfRule type="cellIs" dxfId="2972" priority="1092" operator="equal">
      <formula>3</formula>
    </cfRule>
    <cfRule type="cellIs" dxfId="2971" priority="1091" operator="equal">
      <formula>4</formula>
    </cfRule>
    <cfRule type="cellIs" dxfId="2970" priority="1097" operator="equal">
      <formula>4</formula>
    </cfRule>
  </conditionalFormatting>
  <conditionalFormatting sqref="L32:M34">
    <cfRule type="cellIs" dxfId="2969" priority="1059" operator="equal">
      <formula>3</formula>
    </cfRule>
    <cfRule type="cellIs" dxfId="2968" priority="1085" operator="equal">
      <formula>3</formula>
    </cfRule>
    <cfRule type="cellIs" dxfId="2967" priority="1084" operator="equal">
      <formula>4</formula>
    </cfRule>
    <cfRule type="top10" dxfId="2966" priority="1101" rank="10"/>
    <cfRule type="cellIs" dxfId="2965" priority="1100" operator="equal">
      <formula>1</formula>
    </cfRule>
    <cfRule type="top10" dxfId="2964" priority="1099" rank="10"/>
    <cfRule type="cellIs" dxfId="2963" priority="1058" operator="equal">
      <formula>4</formula>
    </cfRule>
  </conditionalFormatting>
  <conditionalFormatting sqref="L32:M35">
    <cfRule type="cellIs" dxfId="2962" priority="1102" operator="equal">
      <formula>1</formula>
    </cfRule>
    <cfRule type="cellIs" dxfId="2961" priority="1081" operator="equal">
      <formula>1</formula>
    </cfRule>
  </conditionalFormatting>
  <conditionalFormatting sqref="L33:M34">
    <cfRule type="top10" dxfId="2960" priority="1056" rank="10"/>
    <cfRule type="top10" dxfId="2959" priority="1052" rank="10"/>
    <cfRule type="cellIs" dxfId="2958" priority="1053" operator="equal">
      <formula>1</formula>
    </cfRule>
    <cfRule type="cellIs" dxfId="2957" priority="1054" operator="equal">
      <formula>4</formula>
    </cfRule>
    <cfRule type="cellIs" dxfId="2956" priority="1057" operator="equal">
      <formula>1</formula>
    </cfRule>
    <cfRule type="cellIs" dxfId="2955" priority="1055" operator="equal">
      <formula>3</formula>
    </cfRule>
  </conditionalFormatting>
  <conditionalFormatting sqref="L35:M35">
    <cfRule type="top10" dxfId="2954" priority="1080" rank="10"/>
    <cfRule type="top10" dxfId="2953" priority="1095" rank="10"/>
    <cfRule type="top10" dxfId="2952" priority="1062" rank="10"/>
    <cfRule type="top10" dxfId="2951" priority="1049" rank="10"/>
    <cfRule type="cellIs" dxfId="2950" priority="1063" operator="equal">
      <formula>1</formula>
    </cfRule>
    <cfRule type="cellIs" dxfId="2949" priority="1096" operator="equal">
      <formula>1</formula>
    </cfRule>
  </conditionalFormatting>
  <conditionalFormatting sqref="M19">
    <cfRule type="cellIs" dxfId="2948" priority="626" operator="equal">
      <formula>4</formula>
    </cfRule>
    <cfRule type="cellIs" dxfId="2947" priority="627" operator="equal">
      <formula>3</formula>
    </cfRule>
    <cfRule type="top10" dxfId="2946" priority="628" rank="10"/>
    <cfRule type="top10" dxfId="2945" priority="629" rank="10"/>
    <cfRule type="cellIs" dxfId="2944" priority="630" operator="equal">
      <formula>1</formula>
    </cfRule>
    <cfRule type="top10" dxfId="2943" priority="631" rank="10"/>
    <cfRule type="cellIs" dxfId="2942" priority="625" operator="equal">
      <formula>1</formula>
    </cfRule>
  </conditionalFormatting>
  <conditionalFormatting sqref="N19">
    <cfRule type="top10" dxfId="2941" priority="807" rank="10"/>
  </conditionalFormatting>
  <conditionalFormatting sqref="N20">
    <cfRule type="top10" dxfId="2940" priority="130" rank="10"/>
    <cfRule type="cellIs" dxfId="2939" priority="127" operator="equal">
      <formula>3</formula>
    </cfRule>
    <cfRule type="cellIs" dxfId="2938" priority="126" operator="equal">
      <formula>4</formula>
    </cfRule>
    <cfRule type="cellIs" dxfId="2937" priority="125" operator="equal">
      <formula>1</formula>
    </cfRule>
    <cfRule type="cellIs" dxfId="2936" priority="123" operator="equal">
      <formula>1</formula>
    </cfRule>
    <cfRule type="top10" dxfId="2935" priority="122" rank="10"/>
    <cfRule type="top10" dxfId="2934" priority="121" rank="10"/>
    <cfRule type="cellIs" dxfId="2933" priority="120" operator="equal">
      <formula>3</formula>
    </cfRule>
    <cfRule type="cellIs" dxfId="2932" priority="119" operator="equal">
      <formula>4</formula>
    </cfRule>
    <cfRule type="cellIs" dxfId="2931" priority="118" operator="equal">
      <formula>1</formula>
    </cfRule>
    <cfRule type="top10" dxfId="2930" priority="124" rank="10"/>
    <cfRule type="top10" dxfId="2929" priority="133" rank="10"/>
    <cfRule type="cellIs" dxfId="2928" priority="132" operator="equal">
      <formula>1</formula>
    </cfRule>
    <cfRule type="top10" dxfId="2927" priority="131" rank="10"/>
  </conditionalFormatting>
  <conditionalFormatting sqref="N26">
    <cfRule type="top10" dxfId="2926" priority="493" rank="10"/>
    <cfRule type="cellIs" dxfId="2925" priority="479" operator="equal">
      <formula>3</formula>
    </cfRule>
    <cfRule type="cellIs" dxfId="2924" priority="478" operator="equal">
      <formula>4</formula>
    </cfRule>
    <cfRule type="cellIs" dxfId="2923" priority="475" operator="equal">
      <formula>3</formula>
    </cfRule>
    <cfRule type="top10" dxfId="2922" priority="476" rank="10"/>
    <cfRule type="top10" dxfId="2921" priority="477" rank="10"/>
    <cfRule type="cellIs" dxfId="2920" priority="473" operator="equal">
      <formula>1</formula>
    </cfRule>
    <cfRule type="top10" dxfId="2919" priority="495" rank="10"/>
    <cfRule type="cellIs" dxfId="2918" priority="494" operator="equal">
      <formula>1</formula>
    </cfRule>
    <cfRule type="cellIs" dxfId="2917" priority="482" operator="equal">
      <formula>1</formula>
    </cfRule>
    <cfRule type="cellIs" dxfId="2916" priority="492" operator="equal">
      <formula>3</formula>
    </cfRule>
    <cfRule type="cellIs" dxfId="2915" priority="491" operator="equal">
      <formula>4</formula>
    </cfRule>
    <cfRule type="cellIs" dxfId="2914" priority="490" operator="equal">
      <formula>1</formula>
    </cfRule>
    <cfRule type="top10" dxfId="2913" priority="489" rank="10"/>
    <cfRule type="cellIs" dxfId="2912" priority="488" operator="equal">
      <formula>1</formula>
    </cfRule>
    <cfRule type="top10" dxfId="2911" priority="487" rank="10"/>
    <cfRule type="cellIs" dxfId="2910" priority="484" operator="equal">
      <formula>3</formula>
    </cfRule>
    <cfRule type="cellIs" dxfId="2909" priority="483" operator="equal">
      <formula>4</formula>
    </cfRule>
    <cfRule type="cellIs" dxfId="2908" priority="474" operator="equal">
      <formula>4</formula>
    </cfRule>
    <cfRule type="top10" dxfId="2907" priority="481" rank="10"/>
    <cfRule type="cellIs" dxfId="2906" priority="480" operator="equal">
      <formula>1</formula>
    </cfRule>
  </conditionalFormatting>
  <conditionalFormatting sqref="N29">
    <cfRule type="top10" dxfId="2905" priority="1007" rank="10"/>
    <cfRule type="cellIs" dxfId="2904" priority="1008" operator="equal">
      <formula>1</formula>
    </cfRule>
    <cfRule type="top10" dxfId="2903" priority="1005" rank="10"/>
    <cfRule type="cellIs" dxfId="2902" priority="1006" operator="equal">
      <formula>1</formula>
    </cfRule>
  </conditionalFormatting>
  <conditionalFormatting sqref="N30 N32:N34">
    <cfRule type="top10" dxfId="2901" priority="1003" rank="10"/>
    <cfRule type="cellIs" dxfId="2900" priority="1004" operator="equal">
      <formula>1</formula>
    </cfRule>
    <cfRule type="top10" dxfId="2899" priority="1001" rank="10"/>
    <cfRule type="cellIs" dxfId="2898" priority="1002" operator="equal">
      <formula>1</formula>
    </cfRule>
  </conditionalFormatting>
  <conditionalFormatting sqref="N33:N34">
    <cfRule type="cellIs" dxfId="2897" priority="711" operator="equal">
      <formula>4</formula>
    </cfRule>
    <cfRule type="cellIs" dxfId="2896" priority="712" operator="equal">
      <formula>3</formula>
    </cfRule>
    <cfRule type="cellIs" dxfId="2895" priority="705" operator="equal">
      <formula>1</formula>
    </cfRule>
    <cfRule type="top10" dxfId="2894" priority="706" rank="10"/>
    <cfRule type="cellIs" dxfId="2893" priority="707" operator="equal">
      <formula>1</formula>
    </cfRule>
    <cfRule type="cellIs" dxfId="2892" priority="708" operator="equal">
      <formula>4</formula>
    </cfRule>
    <cfRule type="top10" dxfId="2891" priority="710" rank="10"/>
    <cfRule type="cellIs" dxfId="2890" priority="703" operator="equal">
      <formula>4</formula>
    </cfRule>
    <cfRule type="top10" dxfId="2889" priority="693" rank="10"/>
    <cfRule type="top10" dxfId="2888" priority="694" rank="10"/>
    <cfRule type="cellIs" dxfId="2887" priority="695" operator="equal">
      <formula>4</formula>
    </cfRule>
    <cfRule type="cellIs" dxfId="2886" priority="696" operator="equal">
      <formula>3</formula>
    </cfRule>
    <cfRule type="cellIs" dxfId="2885" priority="697" operator="equal">
      <formula>1</formula>
    </cfRule>
    <cfRule type="top10" dxfId="2884" priority="701" rank="10"/>
    <cfRule type="top10" dxfId="2883" priority="702" rank="10"/>
    <cfRule type="cellIs" dxfId="2882" priority="709" operator="equal">
      <formula>3</formula>
    </cfRule>
    <cfRule type="cellIs" dxfId="2881" priority="704" operator="equal">
      <formula>3</formula>
    </cfRule>
  </conditionalFormatting>
  <conditionalFormatting sqref="N33:N35">
    <cfRule type="cellIs" dxfId="2880" priority="713" operator="equal">
      <formula>1</formula>
    </cfRule>
    <cfRule type="cellIs" dxfId="2879" priority="689" operator="equal">
      <formula>1</formula>
    </cfRule>
    <cfRule type="cellIs" dxfId="2878" priority="684" operator="equal">
      <formula>4</formula>
    </cfRule>
    <cfRule type="cellIs" dxfId="2877" priority="685" operator="equal">
      <formula>3</formula>
    </cfRule>
  </conditionalFormatting>
  <conditionalFormatting sqref="N35">
    <cfRule type="top10" dxfId="2876" priority="715" rank="10"/>
    <cfRule type="cellIs" dxfId="2875" priority="716" operator="equal">
      <formula>1</formula>
    </cfRule>
    <cfRule type="top10" dxfId="2874" priority="717" rank="10"/>
    <cfRule type="cellIs" dxfId="2873" priority="676" operator="equal">
      <formula>1</formula>
    </cfRule>
    <cfRule type="top10" dxfId="2872" priority="679" rank="10"/>
    <cfRule type="top10" dxfId="2871" priority="680" rank="10"/>
    <cfRule type="cellIs" dxfId="2870" priority="681" operator="equal">
      <formula>1</formula>
    </cfRule>
    <cfRule type="top10" dxfId="2869" priority="682" rank="10"/>
    <cfRule type="cellIs" dxfId="2868" priority="683" operator="equal">
      <formula>1</formula>
    </cfRule>
    <cfRule type="top10" dxfId="2867" priority="688" rank="10"/>
  </conditionalFormatting>
  <conditionalFormatting sqref="N20:O30 M19:R19 R33:R35 R28:R31 P19:R30 N32:R34">
    <cfRule type="top10" dxfId="2866" priority="1027" rank="10"/>
  </conditionalFormatting>
  <conditionalFormatting sqref="N29:O30">
    <cfRule type="cellIs" dxfId="2865" priority="997" operator="equal">
      <formula>4</formula>
    </cfRule>
    <cfRule type="cellIs" dxfId="2864" priority="998" operator="equal">
      <formula>3</formula>
    </cfRule>
  </conditionalFormatting>
  <conditionalFormatting sqref="N35:O35">
    <cfRule type="cellIs" dxfId="2863" priority="677" operator="equal">
      <formula>4</formula>
    </cfRule>
    <cfRule type="cellIs" dxfId="2862" priority="678" operator="equal">
      <formula>3</formula>
    </cfRule>
  </conditionalFormatting>
  <conditionalFormatting sqref="N19:P19">
    <cfRule type="cellIs" dxfId="2861" priority="776" operator="equal">
      <formula>1</formula>
    </cfRule>
  </conditionalFormatting>
  <conditionalFormatting sqref="N19:R19">
    <cfRule type="cellIs" dxfId="2860" priority="779" operator="equal">
      <formula>3</formula>
    </cfRule>
    <cfRule type="cellIs" dxfId="2859" priority="778" operator="equal">
      <formula>4</formula>
    </cfRule>
  </conditionalFormatting>
  <conditionalFormatting sqref="N31:R31">
    <cfRule type="top10" dxfId="2858" priority="12793" rank="10"/>
    <cfRule type="top10" dxfId="2857" priority="12795" rank="10"/>
    <cfRule type="cellIs" dxfId="2856" priority="12796" operator="equal">
      <formula>1</formula>
    </cfRule>
    <cfRule type="cellIs" dxfId="2855" priority="12794" operator="equal">
      <formula>1</formula>
    </cfRule>
  </conditionalFormatting>
  <conditionalFormatting sqref="N32:R34 R33:R35 L29:N30 R28:R29 R23:R24">
    <cfRule type="cellIs" dxfId="2854" priority="1017" operator="equal">
      <formula>4</formula>
    </cfRule>
    <cfRule type="cellIs" dxfId="2853" priority="1018" operator="equal">
      <formula>3</formula>
    </cfRule>
  </conditionalFormatting>
  <conditionalFormatting sqref="N32:R35 R28:R29">
    <cfRule type="cellIs" dxfId="2852" priority="1022" operator="equal">
      <formula>1</formula>
    </cfRule>
  </conditionalFormatting>
  <conditionalFormatting sqref="N33:R34">
    <cfRule type="cellIs" dxfId="2851" priority="1012" operator="equal">
      <formula>1</formula>
    </cfRule>
    <cfRule type="cellIs" dxfId="2850" priority="1013" operator="equal">
      <formula>4</formula>
    </cfRule>
    <cfRule type="cellIs" dxfId="2849" priority="1014" operator="equal">
      <formula>3</formula>
    </cfRule>
    <cfRule type="top10" dxfId="2848" priority="1015" rank="10"/>
    <cfRule type="cellIs" dxfId="2847" priority="1016" operator="equal">
      <formula>1</formula>
    </cfRule>
    <cfRule type="cellIs" dxfId="2846" priority="1009" operator="equal">
      <formula>4</formula>
    </cfRule>
    <cfRule type="cellIs" dxfId="2845" priority="1010" operator="equal">
      <formula>3</formula>
    </cfRule>
    <cfRule type="top10" dxfId="2844" priority="1011" rank="10"/>
  </conditionalFormatting>
  <conditionalFormatting sqref="N35:R35">
    <cfRule type="top10" dxfId="2843" priority="1021" rank="10"/>
  </conditionalFormatting>
  <conditionalFormatting sqref="N35:U35">
    <cfRule type="cellIs" dxfId="2842" priority="1036" operator="equal">
      <formula>3</formula>
    </cfRule>
    <cfRule type="cellIs" dxfId="2841" priority="1035" operator="equal">
      <formula>4</formula>
    </cfRule>
  </conditionalFormatting>
  <conditionalFormatting sqref="O19">
    <cfRule type="top10" dxfId="2840" priority="803" rank="10"/>
  </conditionalFormatting>
  <conditionalFormatting sqref="O29">
    <cfRule type="cellIs" dxfId="2839" priority="991" operator="equal">
      <formula>1</formula>
    </cfRule>
    <cfRule type="top10" dxfId="2838" priority="990" rank="10"/>
    <cfRule type="cellIs" dxfId="2837" priority="989" operator="equal">
      <formula>1</formula>
    </cfRule>
    <cfRule type="top10" dxfId="2836" priority="988" rank="10"/>
  </conditionalFormatting>
  <conditionalFormatting sqref="O29:O30 N32:O34">
    <cfRule type="cellIs" dxfId="2835" priority="987" operator="equal">
      <formula>3</formula>
    </cfRule>
    <cfRule type="cellIs" dxfId="2834" priority="986" operator="equal">
      <formula>4</formula>
    </cfRule>
  </conditionalFormatting>
  <conditionalFormatting sqref="O30 O32:O34">
    <cfRule type="top10" dxfId="2833" priority="982" rank="10"/>
    <cfRule type="cellIs" dxfId="2832" priority="985" operator="equal">
      <formula>1</formula>
    </cfRule>
    <cfRule type="top10" dxfId="2831" priority="984" rank="10"/>
    <cfRule type="cellIs" dxfId="2830" priority="983" operator="equal">
      <formula>1</formula>
    </cfRule>
  </conditionalFormatting>
  <conditionalFormatting sqref="O30">
    <cfRule type="top10" dxfId="2829" priority="811" rank="10"/>
  </conditionalFormatting>
  <conditionalFormatting sqref="O32:O35">
    <cfRule type="cellIs" dxfId="2828" priority="981" operator="equal">
      <formula>3</formula>
    </cfRule>
    <cfRule type="cellIs" dxfId="2827" priority="980" operator="equal">
      <formula>4</formula>
    </cfRule>
  </conditionalFormatting>
  <conditionalFormatting sqref="O35">
    <cfRule type="top10" dxfId="2826" priority="978" rank="10"/>
    <cfRule type="cellIs" dxfId="2825" priority="977" operator="equal">
      <formula>1</formula>
    </cfRule>
    <cfRule type="top10" dxfId="2824" priority="976" rank="10"/>
    <cfRule type="cellIs" dxfId="2823" priority="975" operator="equal">
      <formula>3</formula>
    </cfRule>
    <cfRule type="cellIs" dxfId="2822" priority="974" operator="equal">
      <formula>4</formula>
    </cfRule>
    <cfRule type="cellIs" dxfId="2821" priority="973" operator="equal">
      <formula>1</formula>
    </cfRule>
    <cfRule type="top10" dxfId="2820" priority="972" rank="10"/>
    <cfRule type="cellIs" dxfId="2819" priority="979" operator="equal">
      <formula>1</formula>
    </cfRule>
  </conditionalFormatting>
  <conditionalFormatting sqref="O30:P30">
    <cfRule type="cellIs" dxfId="2818" priority="423" operator="equal">
      <formula>1</formula>
    </cfRule>
    <cfRule type="cellIs" dxfId="2817" priority="421" operator="equal">
      <formula>3</formula>
    </cfRule>
    <cfRule type="cellIs" dxfId="2816" priority="420" operator="equal">
      <formula>4</formula>
    </cfRule>
  </conditionalFormatting>
  <conditionalFormatting sqref="P19">
    <cfRule type="cellIs" dxfId="2815" priority="761" operator="equal">
      <formula>4</formula>
    </cfRule>
    <cfRule type="cellIs" dxfId="2814" priority="760" operator="equal">
      <formula>1</formula>
    </cfRule>
    <cfRule type="top10" dxfId="2813" priority="759" rank="10"/>
    <cfRule type="top10" dxfId="2812" priority="780" rank="10"/>
    <cfRule type="cellIs" dxfId="2811" priority="771" operator="equal">
      <formula>4</formula>
    </cfRule>
    <cfRule type="top10" dxfId="2810" priority="781" rank="10"/>
    <cfRule type="cellIs" dxfId="2809" priority="770" operator="equal">
      <formula>1</formula>
    </cfRule>
    <cfRule type="cellIs" dxfId="2808" priority="772" operator="equal">
      <formula>3</formula>
    </cfRule>
    <cfRule type="top10" dxfId="2807" priority="775" rank="10"/>
    <cfRule type="top10" dxfId="2806" priority="769" rank="10"/>
    <cfRule type="cellIs" dxfId="2805" priority="768" operator="equal">
      <formula>3</formula>
    </cfRule>
    <cfRule type="cellIs" dxfId="2804" priority="767" operator="equal">
      <formula>4</formula>
    </cfRule>
    <cfRule type="cellIs" dxfId="2803" priority="766" operator="equal">
      <formula>1</formula>
    </cfRule>
    <cfRule type="top10" dxfId="2802" priority="765" rank="10"/>
    <cfRule type="cellIs" dxfId="2801" priority="762" operator="equal">
      <formula>3</formula>
    </cfRule>
  </conditionalFormatting>
  <conditionalFormatting sqref="P19:P20">
    <cfRule type="cellIs" dxfId="2800" priority="784" operator="equal">
      <formula>3</formula>
    </cfRule>
    <cfRule type="cellIs" dxfId="2799" priority="782" operator="equal">
      <formula>1</formula>
    </cfRule>
    <cfRule type="cellIs" dxfId="2798" priority="783" operator="equal">
      <formula>4</formula>
    </cfRule>
    <cfRule type="top10" dxfId="2797" priority="792" rank="10"/>
    <cfRule type="cellIs" dxfId="2796" priority="793" operator="equal">
      <formula>1</formula>
    </cfRule>
    <cfRule type="cellIs" dxfId="2795" priority="794" operator="equal">
      <formula>4</formula>
    </cfRule>
    <cfRule type="cellIs" dxfId="2794" priority="795" operator="equal">
      <formula>3</formula>
    </cfRule>
    <cfRule type="top10" dxfId="2793" priority="798" rank="10"/>
    <cfRule type="cellIs" dxfId="2792" priority="799" operator="equal">
      <formula>1</formula>
    </cfRule>
  </conditionalFormatting>
  <conditionalFormatting sqref="P23">
    <cfRule type="top10" dxfId="2791" priority="84" rank="10"/>
  </conditionalFormatting>
  <conditionalFormatting sqref="P27">
    <cfRule type="cellIs" dxfId="2790" priority="669" operator="equal">
      <formula>1</formula>
    </cfRule>
    <cfRule type="top10" dxfId="2789" priority="670" rank="10"/>
    <cfRule type="top10" dxfId="2788" priority="668" rank="10"/>
    <cfRule type="top10" dxfId="2787" priority="719" rank="10"/>
    <cfRule type="top10" dxfId="2786" priority="718" rank="10"/>
    <cfRule type="cellIs" dxfId="2785" priority="673" operator="equal">
      <formula>3</formula>
    </cfRule>
    <cfRule type="cellIs" dxfId="2784" priority="672" operator="equal">
      <formula>4</formula>
    </cfRule>
    <cfRule type="cellIs" dxfId="2783" priority="671" operator="equal">
      <formula>1</formula>
    </cfRule>
    <cfRule type="cellIs" dxfId="2782" priority="664" operator="equal">
      <formula>1</formula>
    </cfRule>
    <cfRule type="cellIs" dxfId="2781" priority="665" operator="equal">
      <formula>4</formula>
    </cfRule>
    <cfRule type="cellIs" dxfId="2780" priority="666" operator="equal">
      <formula>3</formula>
    </cfRule>
    <cfRule type="top10" dxfId="2779" priority="667" rank="10"/>
  </conditionalFormatting>
  <conditionalFormatting sqref="P30">
    <cfRule type="top10" dxfId="2778" priority="424" rank="10"/>
    <cfRule type="cellIs" dxfId="2777" priority="402" operator="equal">
      <formula>1</formula>
    </cfRule>
    <cfRule type="cellIs" dxfId="2776" priority="403" operator="equal">
      <formula>4</formula>
    </cfRule>
    <cfRule type="cellIs" dxfId="2775" priority="404" operator="equal">
      <formula>3</formula>
    </cfRule>
    <cfRule type="top10" dxfId="2774" priority="405" rank="10"/>
    <cfRule type="top10" dxfId="2773" priority="406" rank="10"/>
    <cfRule type="cellIs" dxfId="2772" priority="417" operator="equal">
      <formula>1</formula>
    </cfRule>
    <cfRule type="cellIs" dxfId="2771" priority="411" operator="equal">
      <formula>1</formula>
    </cfRule>
    <cfRule type="top10" dxfId="2770" priority="410" rank="10"/>
    <cfRule type="cellIs" dxfId="2769" priority="409" operator="equal">
      <formula>1</formula>
    </cfRule>
    <cfRule type="cellIs" dxfId="2768" priority="408" operator="equal">
      <formula>3</formula>
    </cfRule>
    <cfRule type="cellIs" dxfId="2767" priority="407" operator="equal">
      <formula>4</formula>
    </cfRule>
    <cfRule type="top10" dxfId="2766" priority="418" rank="10"/>
    <cfRule type="cellIs" dxfId="2765" priority="419" operator="equal">
      <formula>1</formula>
    </cfRule>
    <cfRule type="cellIs" dxfId="2764" priority="412" operator="equal">
      <formula>4</formula>
    </cfRule>
    <cfRule type="cellIs" dxfId="2763" priority="413" operator="equal">
      <formula>3</formula>
    </cfRule>
    <cfRule type="top10" dxfId="2762" priority="422" rank="10"/>
    <cfRule type="top10" dxfId="2761" priority="416" rank="10"/>
  </conditionalFormatting>
  <conditionalFormatting sqref="P23:Q23">
    <cfRule type="cellIs" dxfId="2760" priority="81" operator="equal">
      <formula>4</formula>
    </cfRule>
    <cfRule type="cellIs" dxfId="2759" priority="80" operator="equal">
      <formula>1</formula>
    </cfRule>
    <cfRule type="cellIs" dxfId="2758" priority="82" operator="equal">
      <formula>3</formula>
    </cfRule>
  </conditionalFormatting>
  <conditionalFormatting sqref="Q20">
    <cfRule type="top10" dxfId="2757" priority="69" rank="10"/>
    <cfRule type="cellIs" dxfId="2756" priority="70" operator="equal">
      <formula>1</formula>
    </cfRule>
    <cfRule type="top10" dxfId="2755" priority="71" rank="10"/>
    <cfRule type="cellIs" dxfId="2754" priority="72" operator="equal">
      <formula>1</formula>
    </cfRule>
    <cfRule type="cellIs" dxfId="2753" priority="74" operator="equal">
      <formula>3</formula>
    </cfRule>
    <cfRule type="top10" dxfId="2752" priority="75" rank="10"/>
    <cfRule type="top10" dxfId="2751" priority="76" rank="10"/>
    <cfRule type="cellIs" dxfId="2750" priority="79" operator="equal">
      <formula>1</formula>
    </cfRule>
    <cfRule type="top10" dxfId="2749" priority="78" rank="10"/>
    <cfRule type="cellIs" dxfId="2748" priority="77" operator="equal">
      <formula>1</formula>
    </cfRule>
    <cfRule type="cellIs" dxfId="2747" priority="73" operator="equal">
      <formula>4</formula>
    </cfRule>
    <cfRule type="cellIs" dxfId="2746" priority="66" operator="equal">
      <formula>4</formula>
    </cfRule>
    <cfRule type="cellIs" dxfId="2745" priority="65" operator="equal">
      <formula>1</formula>
    </cfRule>
    <cfRule type="cellIs" dxfId="2744" priority="67" operator="equal">
      <formula>3</formula>
    </cfRule>
    <cfRule type="top10" dxfId="2743" priority="68" rank="10"/>
  </conditionalFormatting>
  <conditionalFormatting sqref="Q23">
    <cfRule type="top10" dxfId="2742" priority="83" rank="10"/>
  </conditionalFormatting>
  <conditionalFormatting sqref="Q19:R19">
    <cfRule type="top10" dxfId="2741" priority="791" rank="10"/>
  </conditionalFormatting>
  <conditionalFormatting sqref="Q19:R21">
    <cfRule type="cellIs" dxfId="2740" priority="788" operator="equal">
      <formula>1</formula>
    </cfRule>
  </conditionalFormatting>
  <conditionalFormatting sqref="Q26:R26">
    <cfRule type="top10" dxfId="2739" priority="472" rank="10"/>
    <cfRule type="cellIs" dxfId="2738" priority="471" operator="equal">
      <formula>1</formula>
    </cfRule>
    <cfRule type="cellIs" dxfId="2737" priority="469" operator="equal">
      <formula>3</formula>
    </cfRule>
    <cfRule type="cellIs" dxfId="2736" priority="468" operator="equal">
      <formula>4</formula>
    </cfRule>
    <cfRule type="cellIs" dxfId="2735" priority="467" operator="equal">
      <formula>1</formula>
    </cfRule>
    <cfRule type="top10" dxfId="2734" priority="466" rank="10"/>
    <cfRule type="cellIs" dxfId="2733" priority="465" operator="equal">
      <formula>1</formula>
    </cfRule>
    <cfRule type="top10" dxfId="2732" priority="464" rank="10"/>
    <cfRule type="cellIs" dxfId="2731" priority="461" operator="equal">
      <formula>3</formula>
    </cfRule>
    <cfRule type="top10" dxfId="2730" priority="453" rank="10"/>
    <cfRule type="top10" dxfId="2729" priority="454" rank="10"/>
    <cfRule type="cellIs" dxfId="2728" priority="455" operator="equal">
      <formula>4</formula>
    </cfRule>
    <cfRule type="cellIs" dxfId="2727" priority="452" operator="equal">
      <formula>3</formula>
    </cfRule>
    <cfRule type="top10" dxfId="2726" priority="470" rank="10"/>
    <cfRule type="cellIs" dxfId="2725" priority="456" operator="equal">
      <formula>3</formula>
    </cfRule>
    <cfRule type="cellIs" dxfId="2724" priority="457" operator="equal">
      <formula>1</formula>
    </cfRule>
    <cfRule type="cellIs" dxfId="2723" priority="451" operator="equal">
      <formula>4</formula>
    </cfRule>
    <cfRule type="cellIs" dxfId="2722" priority="450" operator="equal">
      <formula>1</formula>
    </cfRule>
    <cfRule type="cellIs" dxfId="2721" priority="459" operator="equal">
      <formula>1</formula>
    </cfRule>
    <cfRule type="cellIs" dxfId="2720" priority="460" operator="equal">
      <formula>4</formula>
    </cfRule>
    <cfRule type="top10" dxfId="2719" priority="458" rank="10"/>
  </conditionalFormatting>
  <conditionalFormatting sqref="Q29:R30 Q32:R34">
    <cfRule type="top10" dxfId="2718" priority="968" rank="10"/>
    <cfRule type="top10" dxfId="2717" priority="964" rank="10"/>
    <cfRule type="cellIs" dxfId="2716" priority="967" operator="equal">
      <formula>3</formula>
    </cfRule>
    <cfRule type="cellIs" dxfId="2715" priority="966" operator="equal">
      <formula>4</formula>
    </cfRule>
    <cfRule type="cellIs" dxfId="2714" priority="965" operator="equal">
      <formula>1</formula>
    </cfRule>
  </conditionalFormatting>
  <conditionalFormatting sqref="Q29:R30">
    <cfRule type="cellIs" dxfId="2713" priority="962" operator="equal">
      <formula>4</formula>
    </cfRule>
    <cfRule type="cellIs" dxfId="2712" priority="963" operator="equal">
      <formula>3</formula>
    </cfRule>
  </conditionalFormatting>
  <conditionalFormatting sqref="Q32:R34">
    <cfRule type="cellIs" dxfId="2711" priority="969" operator="equal">
      <formula>1</formula>
    </cfRule>
  </conditionalFormatting>
  <conditionalFormatting sqref="Q32:R35">
    <cfRule type="cellIs" dxfId="2710" priority="221" operator="equal">
      <formula>4</formula>
    </cfRule>
    <cfRule type="cellIs" dxfId="2709" priority="222" operator="equal">
      <formula>3</formula>
    </cfRule>
  </conditionalFormatting>
  <conditionalFormatting sqref="Q35:R35">
    <cfRule type="top10" dxfId="2708" priority="223" rank="10"/>
    <cfRule type="cellIs" dxfId="2707" priority="224" operator="equal">
      <formula>1</formula>
    </cfRule>
    <cfRule type="top10" dxfId="2706" priority="225" rank="10"/>
    <cfRule type="top10" dxfId="2705" priority="226" rank="10"/>
    <cfRule type="cellIs" dxfId="2704" priority="227" operator="equal">
      <formula>1</formula>
    </cfRule>
    <cfRule type="cellIs" dxfId="2703" priority="204" operator="equal">
      <formula>4</formula>
    </cfRule>
    <cfRule type="top10" dxfId="2702" priority="217" rank="10"/>
    <cfRule type="cellIs" dxfId="2701" priority="209" operator="equal">
      <formula>3</formula>
    </cfRule>
    <cfRule type="cellIs" dxfId="2700" priority="208" operator="equal">
      <formula>4</formula>
    </cfRule>
    <cfRule type="top10" dxfId="2699" priority="207" rank="10"/>
    <cfRule type="top10" dxfId="2698" priority="219" rank="10"/>
    <cfRule type="cellIs" dxfId="2697" priority="220" operator="equal">
      <formula>1</formula>
    </cfRule>
    <cfRule type="cellIs" dxfId="2696" priority="218" operator="equal">
      <formula>1</formula>
    </cfRule>
    <cfRule type="cellIs" dxfId="2695" priority="210" operator="equal">
      <formula>1</formula>
    </cfRule>
    <cfRule type="top10" dxfId="2694" priority="211" rank="10"/>
    <cfRule type="cellIs" dxfId="2693" priority="212" operator="equal">
      <formula>1</formula>
    </cfRule>
    <cfRule type="cellIs" dxfId="2692" priority="205" operator="equal">
      <formula>3</formula>
    </cfRule>
    <cfRule type="top10" dxfId="2691" priority="206" rank="10"/>
    <cfRule type="cellIs" dxfId="2690" priority="213" operator="equal">
      <formula>4</formula>
    </cfRule>
    <cfRule type="cellIs" dxfId="2689" priority="214" operator="equal">
      <formula>3</formula>
    </cfRule>
  </conditionalFormatting>
  <conditionalFormatting sqref="R21 R26 R31">
    <cfRule type="top10" dxfId="2688" priority="89" rank="10"/>
    <cfRule type="cellIs" dxfId="2687" priority="85" operator="equal">
      <formula>1</formula>
    </cfRule>
    <cfRule type="cellIs" dxfId="2686" priority="86" operator="equal">
      <formula>4</formula>
    </cfRule>
    <cfRule type="cellIs" dxfId="2685" priority="87" operator="equal">
      <formula>3</formula>
    </cfRule>
    <cfRule type="top10" dxfId="2684" priority="88" rank="10"/>
    <cfRule type="cellIs" dxfId="2683" priority="90" operator="equal">
      <formula>4</formula>
    </cfRule>
    <cfRule type="cellIs" dxfId="2682" priority="91" operator="equal">
      <formula>3</formula>
    </cfRule>
    <cfRule type="cellIs" dxfId="2681" priority="92" operator="equal">
      <formula>1</formula>
    </cfRule>
    <cfRule type="top10" dxfId="2680" priority="93" rank="10"/>
    <cfRule type="cellIs" dxfId="2679" priority="102" operator="equal">
      <formula>3</formula>
    </cfRule>
    <cfRule type="cellIs" dxfId="2678" priority="101" operator="equal">
      <formula>4</formula>
    </cfRule>
    <cfRule type="cellIs" dxfId="2677" priority="100" operator="equal">
      <formula>1</formula>
    </cfRule>
    <cfRule type="top10" dxfId="2676" priority="99" rank="10"/>
    <cfRule type="cellIs" dxfId="2675" priority="94" operator="equal">
      <formula>1</formula>
    </cfRule>
    <cfRule type="cellIs" dxfId="2674" priority="95" operator="equal">
      <formula>4</formula>
    </cfRule>
    <cfRule type="cellIs" dxfId="2673" priority="96" operator="equal">
      <formula>3</formula>
    </cfRule>
    <cfRule type="cellIs" dxfId="2672" priority="98" operator="equal">
      <formula>1</formula>
    </cfRule>
    <cfRule type="top10" dxfId="2671" priority="97" rank="10"/>
    <cfRule type="top10" dxfId="2670" priority="105" rank="10"/>
    <cfRule type="cellIs" dxfId="2669" priority="104" operator="equal">
      <formula>1</formula>
    </cfRule>
    <cfRule type="top10" dxfId="2668" priority="103" rank="10"/>
  </conditionalFormatting>
  <conditionalFormatting sqref="R22 R27 R32">
    <cfRule type="top10" dxfId="2667" priority="116" rank="10"/>
    <cfRule type="cellIs" dxfId="2666" priority="115" operator="equal">
      <formula>1</formula>
    </cfRule>
    <cfRule type="top10" dxfId="2665" priority="114" rank="10"/>
  </conditionalFormatting>
  <conditionalFormatting sqref="R22:R24 R27 R32">
    <cfRule type="cellIs" dxfId="2664" priority="117" operator="equal">
      <formula>1</formula>
    </cfRule>
  </conditionalFormatting>
  <conditionalFormatting sqref="R22:R24 R27:R29 N31:R34 R32:R35">
    <cfRule type="cellIs" dxfId="2663" priority="12798" operator="equal">
      <formula>1</formula>
    </cfRule>
    <cfRule type="cellIs" dxfId="2662" priority="12799" operator="equal">
      <formula>4</formula>
    </cfRule>
    <cfRule type="cellIs" dxfId="2661" priority="12800" operator="equal">
      <formula>3</formula>
    </cfRule>
  </conditionalFormatting>
  <conditionalFormatting sqref="R22:R24 R27:R29 R32:R35 N31:R34">
    <cfRule type="top10" dxfId="2660" priority="12797" rank="10"/>
  </conditionalFormatting>
  <conditionalFormatting sqref="R22:R24 R27:R35 N31:R32 L33:R34">
    <cfRule type="cellIs" dxfId="2659" priority="1042" operator="equal">
      <formula>3</formula>
    </cfRule>
    <cfRule type="cellIs" dxfId="2658" priority="1041" operator="equal">
      <formula>4</formula>
    </cfRule>
  </conditionalFormatting>
  <conditionalFormatting sqref="R23:R24 R28:R29 N32:R34 R33:R35">
    <cfRule type="cellIs" dxfId="2657" priority="12806" operator="equal">
      <formula>1</formula>
    </cfRule>
    <cfRule type="cellIs" dxfId="2656" priority="12808" operator="equal">
      <formula>1</formula>
    </cfRule>
  </conditionalFormatting>
  <conditionalFormatting sqref="R23:R24 R28:R29 R33:R35 N32:R34">
    <cfRule type="top10" dxfId="2655" priority="12805" rank="10"/>
    <cfRule type="top10" dxfId="2654" priority="12807" rank="10"/>
  </conditionalFormatting>
  <conditionalFormatting sqref="R24 R29 Q35:R35">
    <cfRule type="cellIs" dxfId="2653" priority="113" operator="equal">
      <formula>1</formula>
    </cfRule>
  </conditionalFormatting>
  <conditionalFormatting sqref="R24 R29 R35">
    <cfRule type="cellIs" dxfId="2652" priority="106" operator="equal">
      <formula>4</formula>
    </cfRule>
    <cfRule type="top10" dxfId="2651" priority="108" rank="10"/>
    <cfRule type="cellIs" dxfId="2650" priority="109" operator="equal">
      <formula>1</formula>
    </cfRule>
    <cfRule type="cellIs" dxfId="2649" priority="110" operator="equal">
      <formula>4</formula>
    </cfRule>
    <cfRule type="top10" dxfId="2648" priority="112" rank="10"/>
    <cfRule type="cellIs" dxfId="2647" priority="107" operator="equal">
      <formula>3</formula>
    </cfRule>
    <cfRule type="cellIs" dxfId="2646" priority="111" operator="equal">
      <formula>3</formula>
    </cfRule>
  </conditionalFormatting>
  <conditionalFormatting sqref="S20:S32">
    <cfRule type="cellIs" dxfId="2645" priority="909" operator="equal">
      <formula>4</formula>
    </cfRule>
    <cfRule type="cellIs" dxfId="2644" priority="910" operator="equal">
      <formula>3</formula>
    </cfRule>
  </conditionalFormatting>
  <conditionalFormatting sqref="S20:S35">
    <cfRule type="cellIs" dxfId="2643" priority="911" operator="equal">
      <formula>1</formula>
    </cfRule>
  </conditionalFormatting>
  <conditionalFormatting sqref="S29">
    <cfRule type="top10" dxfId="2642" priority="908" rank="10"/>
  </conditionalFormatting>
  <conditionalFormatting sqref="S33:S34">
    <cfRule type="top10" dxfId="2641" priority="12833" rank="10"/>
    <cfRule type="cellIs" dxfId="2640" priority="12834" operator="equal">
      <formula>4</formula>
    </cfRule>
    <cfRule type="cellIs" dxfId="2639" priority="12835" operator="equal">
      <formula>3</formula>
    </cfRule>
  </conditionalFormatting>
  <conditionalFormatting sqref="S19:T32">
    <cfRule type="top10" dxfId="2638" priority="53130" rank="10"/>
  </conditionalFormatting>
  <conditionalFormatting sqref="S35:T35">
    <cfRule type="top10" dxfId="2637" priority="18375" rank="10"/>
  </conditionalFormatting>
  <conditionalFormatting sqref="T19:T34">
    <cfRule type="cellIs" dxfId="2636" priority="919" operator="equal">
      <formula>4</formula>
    </cfRule>
    <cfRule type="cellIs" dxfId="2635" priority="920" operator="equal">
      <formula>3</formula>
    </cfRule>
  </conditionalFormatting>
  <conditionalFormatting sqref="T19:T35">
    <cfRule type="cellIs" dxfId="2634" priority="921" operator="equal">
      <formula>1</formula>
    </cfRule>
  </conditionalFormatting>
  <conditionalFormatting sqref="T33:T34">
    <cfRule type="top10" dxfId="2633" priority="918" rank="10"/>
  </conditionalFormatting>
  <conditionalFormatting sqref="U19">
    <cfRule type="top10" dxfId="2632" priority="621" rank="10"/>
    <cfRule type="cellIs" dxfId="2631" priority="622" operator="equal">
      <formula>1</formula>
    </cfRule>
    <cfRule type="top10" dxfId="2630" priority="623" rank="10"/>
    <cfRule type="cellIs" dxfId="2629" priority="624" operator="equal">
      <formula>1</formula>
    </cfRule>
    <cfRule type="cellIs" dxfId="2628" priority="617" operator="equal">
      <formula>4</formula>
    </cfRule>
    <cfRule type="top10" dxfId="2627" priority="612" rank="10"/>
    <cfRule type="top10" dxfId="2626" priority="613" rank="10"/>
    <cfRule type="cellIs" dxfId="2625" priority="614" operator="equal">
      <formula>1</formula>
    </cfRule>
    <cfRule type="top10" dxfId="2624" priority="615" rank="10"/>
    <cfRule type="cellIs" dxfId="2623" priority="616" operator="equal">
      <formula>1</formula>
    </cfRule>
    <cfRule type="cellIs" dxfId="2622" priority="618" operator="equal">
      <formula>3</formula>
    </cfRule>
  </conditionalFormatting>
  <conditionalFormatting sqref="U19:U20">
    <cfRule type="cellIs" dxfId="2621" priority="602" operator="equal">
      <formula>3</formula>
    </cfRule>
    <cfRule type="cellIs" dxfId="2620" priority="601" operator="equal">
      <formula>4</formula>
    </cfRule>
    <cfRule type="cellIs" dxfId="2619" priority="608" operator="equal">
      <formula>1</formula>
    </cfRule>
  </conditionalFormatting>
  <conditionalFormatting sqref="U19:U30 U32">
    <cfRule type="cellIs" dxfId="2618" priority="950" operator="equal">
      <formula>1</formula>
    </cfRule>
  </conditionalFormatting>
  <conditionalFormatting sqref="U20">
    <cfRule type="top10" dxfId="2617" priority="599" rank="10"/>
    <cfRule type="cellIs" dxfId="2616" priority="600" operator="equal">
      <formula>1</formula>
    </cfRule>
    <cfRule type="cellIs" dxfId="2615" priority="598" operator="equal">
      <formula>1</formula>
    </cfRule>
    <cfRule type="top10" dxfId="2614" priority="597" rank="10"/>
    <cfRule type="top10" dxfId="2613" priority="596" rank="10"/>
    <cfRule type="top10" dxfId="2612" priority="605" rank="10"/>
    <cfRule type="cellIs" dxfId="2611" priority="606" operator="equal">
      <formula>1</formula>
    </cfRule>
    <cfRule type="top10" dxfId="2610" priority="607" rank="10"/>
  </conditionalFormatting>
  <conditionalFormatting sqref="U20:U21">
    <cfRule type="cellIs" dxfId="2609" priority="371" operator="equal">
      <formula>3</formula>
    </cfRule>
    <cfRule type="cellIs" dxfId="2608" priority="370" operator="equal">
      <formula>4</formula>
    </cfRule>
    <cfRule type="cellIs" dxfId="2607" priority="376" operator="equal">
      <formula>1</formula>
    </cfRule>
  </conditionalFormatting>
  <conditionalFormatting sqref="U21">
    <cfRule type="cellIs" dxfId="2606" priority="367" operator="equal">
      <formula>1</formula>
    </cfRule>
    <cfRule type="top10" dxfId="2605" priority="366" rank="10"/>
    <cfRule type="cellIs" dxfId="2604" priority="363" operator="equal">
      <formula>3</formula>
    </cfRule>
    <cfRule type="cellIs" dxfId="2603" priority="362" operator="equal">
      <formula>4</formula>
    </cfRule>
    <cfRule type="cellIs" dxfId="2602" priority="361" operator="equal">
      <formula>1</formula>
    </cfRule>
    <cfRule type="top10" dxfId="2601" priority="375" rank="10"/>
    <cfRule type="cellIs" dxfId="2600" priority="369" operator="equal">
      <formula>1</formula>
    </cfRule>
    <cfRule type="top10" dxfId="2599" priority="360" rank="10"/>
    <cfRule type="cellIs" dxfId="2598" priority="359" operator="equal">
      <formula>1</formula>
    </cfRule>
    <cfRule type="cellIs" dxfId="2597" priority="358" operator="equal">
      <formula>3</formula>
    </cfRule>
    <cfRule type="cellIs" dxfId="2596" priority="357" operator="equal">
      <formula>4</formula>
    </cfRule>
    <cfRule type="top10" dxfId="2595" priority="356" rank="10"/>
    <cfRule type="top10" dxfId="2594" priority="355" rank="10"/>
    <cfRule type="top10" dxfId="2593" priority="372" rank="10"/>
    <cfRule type="cellIs" dxfId="2592" priority="373" operator="equal">
      <formula>1</formula>
    </cfRule>
    <cfRule type="top10" dxfId="2591" priority="374" rank="10"/>
    <cfRule type="top10" dxfId="2590" priority="368" rank="10"/>
  </conditionalFormatting>
  <conditionalFormatting sqref="U21:U23">
    <cfRule type="cellIs" dxfId="2589" priority="59" operator="equal">
      <formula>3</formula>
    </cfRule>
    <cfRule type="cellIs" dxfId="2588" priority="58" operator="equal">
      <formula>4</formula>
    </cfRule>
    <cfRule type="cellIs" dxfId="2587" priority="64" operator="equal">
      <formula>1</formula>
    </cfRule>
  </conditionalFormatting>
  <conditionalFormatting sqref="U22">
    <cfRule type="top10" dxfId="2586" priority="46" rank="10"/>
    <cfRule type="top10" dxfId="2585" priority="45" rank="10"/>
    <cfRule type="cellIs" dxfId="2584" priority="44" operator="equal">
      <formula>3</formula>
    </cfRule>
    <cfRule type="cellIs" dxfId="2583" priority="43" operator="equal">
      <formula>4</formula>
    </cfRule>
    <cfRule type="cellIs" dxfId="2582" priority="42" operator="equal">
      <formula>1</formula>
    </cfRule>
    <cfRule type="top10" dxfId="2581" priority="63" rank="10"/>
    <cfRule type="top10" dxfId="2580" priority="62" rank="10"/>
    <cfRule type="cellIs" dxfId="2579" priority="61" operator="equal">
      <formula>1</formula>
    </cfRule>
    <cfRule type="cellIs" dxfId="2578" priority="57" operator="equal">
      <formula>1</formula>
    </cfRule>
    <cfRule type="top10" dxfId="2577" priority="56" rank="10"/>
    <cfRule type="cellIs" dxfId="2576" priority="55" operator="equal">
      <formula>1</formula>
    </cfRule>
    <cfRule type="top10" dxfId="2575" priority="54" rank="10"/>
    <cfRule type="cellIs" dxfId="2574" priority="53" operator="equal">
      <formula>3</formula>
    </cfRule>
    <cfRule type="cellIs" dxfId="2573" priority="52" operator="equal">
      <formula>4</formula>
    </cfRule>
    <cfRule type="cellIs" dxfId="2572" priority="51" operator="equal">
      <formula>1</formula>
    </cfRule>
    <cfRule type="cellIs" dxfId="2571" priority="47" operator="equal">
      <formula>4</formula>
    </cfRule>
    <cfRule type="top10" dxfId="2570" priority="50" rank="10"/>
    <cfRule type="cellIs" dxfId="2569" priority="49" operator="equal">
      <formula>1</formula>
    </cfRule>
    <cfRule type="cellIs" dxfId="2568" priority="48" operator="equal">
      <formula>3</formula>
    </cfRule>
    <cfRule type="top10" dxfId="2567" priority="60" rank="10"/>
  </conditionalFormatting>
  <conditionalFormatting sqref="U23">
    <cfRule type="top10" dxfId="2566" priority="391" rank="10"/>
    <cfRule type="top10" dxfId="2565" priority="397" rank="10"/>
    <cfRule type="top10" dxfId="2564" priority="380" rank="10"/>
    <cfRule type="top10" dxfId="2563" priority="381" rank="10"/>
    <cfRule type="cellIs" dxfId="2562" priority="396" operator="equal">
      <formula>3</formula>
    </cfRule>
    <cfRule type="cellIs" dxfId="2561" priority="383" operator="equal">
      <formula>3</formula>
    </cfRule>
    <cfRule type="cellIs" dxfId="2560" priority="395" operator="equal">
      <formula>4</formula>
    </cfRule>
    <cfRule type="top10" dxfId="2559" priority="393" rank="10"/>
    <cfRule type="top10" dxfId="2558" priority="400" rank="10"/>
    <cfRule type="cellIs" dxfId="2557" priority="387" operator="equal">
      <formula>4</formula>
    </cfRule>
    <cfRule type="cellIs" dxfId="2556" priority="388" operator="equal">
      <formula>3</formula>
    </cfRule>
    <cfRule type="cellIs" dxfId="2555" priority="394" operator="equal">
      <formula>1</formula>
    </cfRule>
    <cfRule type="cellIs" dxfId="2554" priority="382" operator="equal">
      <formula>4</formula>
    </cfRule>
    <cfRule type="top10" dxfId="2553" priority="399" rank="10"/>
    <cfRule type="cellIs" dxfId="2552" priority="392" operator="equal">
      <formula>1</formula>
    </cfRule>
    <cfRule type="cellIs" dxfId="2551" priority="398" operator="equal">
      <formula>1</formula>
    </cfRule>
    <cfRule type="cellIs" dxfId="2550" priority="384" operator="equal">
      <formula>1</formula>
    </cfRule>
    <cfRule type="top10" dxfId="2549" priority="385" rank="10"/>
    <cfRule type="cellIs" dxfId="2548" priority="386" operator="equal">
      <formula>1</formula>
    </cfRule>
    <cfRule type="cellIs" dxfId="2547" priority="401" operator="equal">
      <formula>1</formula>
    </cfRule>
  </conditionalFormatting>
  <conditionalFormatting sqref="U24">
    <cfRule type="top10" dxfId="2546" priority="904" rank="10"/>
    <cfRule type="cellIs" dxfId="2545" priority="907" operator="equal">
      <formula>3</formula>
    </cfRule>
    <cfRule type="cellIs" dxfId="2544" priority="906" operator="equal">
      <formula>4</formula>
    </cfRule>
    <cfRule type="cellIs" dxfId="2543" priority="905" operator="equal">
      <formula>1</formula>
    </cfRule>
  </conditionalFormatting>
  <conditionalFormatting sqref="U25:U28">
    <cfRule type="cellIs" dxfId="2542" priority="446" operator="equal">
      <formula>1</formula>
    </cfRule>
    <cfRule type="top10" dxfId="2541" priority="429" rank="10"/>
    <cfRule type="top10" dxfId="2540" priority="445" rank="10"/>
    <cfRule type="cellIs" dxfId="2539" priority="442" operator="equal">
      <formula>1</formula>
    </cfRule>
    <cfRule type="cellIs" dxfId="2538" priority="449" operator="equal">
      <formula>1</formula>
    </cfRule>
    <cfRule type="top10" dxfId="2537" priority="448" rank="10"/>
    <cfRule type="top10" dxfId="2536" priority="447" rank="10"/>
    <cfRule type="cellIs" dxfId="2535" priority="430" operator="equal">
      <formula>4</formula>
    </cfRule>
    <cfRule type="cellIs" dxfId="2534" priority="431" operator="equal">
      <formula>3</formula>
    </cfRule>
    <cfRule type="cellIs" dxfId="2533" priority="432" operator="equal">
      <formula>1</formula>
    </cfRule>
    <cfRule type="top10" dxfId="2532" priority="441" rank="10"/>
    <cfRule type="cellIs" dxfId="2531" priority="435" operator="equal">
      <formula>4</formula>
    </cfRule>
    <cfRule type="cellIs" dxfId="2530" priority="436" operator="equal">
      <formula>3</formula>
    </cfRule>
    <cfRule type="cellIs" dxfId="2529" priority="440" operator="equal">
      <formula>1</formula>
    </cfRule>
    <cfRule type="top10" dxfId="2528" priority="433" rank="10"/>
    <cfRule type="cellIs" dxfId="2527" priority="434" operator="equal">
      <formula>1</formula>
    </cfRule>
    <cfRule type="top10" dxfId="2526" priority="428" rank="10"/>
    <cfRule type="cellIs" dxfId="2525" priority="425" operator="equal">
      <formula>1</formula>
    </cfRule>
    <cfRule type="cellIs" dxfId="2524" priority="426" operator="equal">
      <formula>4</formula>
    </cfRule>
    <cfRule type="cellIs" dxfId="2523" priority="427" operator="equal">
      <formula>3</formula>
    </cfRule>
    <cfRule type="top10" dxfId="2522" priority="439" rank="10"/>
  </conditionalFormatting>
  <conditionalFormatting sqref="U25:U29">
    <cfRule type="cellIs" dxfId="2521" priority="444" operator="equal">
      <formula>3</formula>
    </cfRule>
    <cfRule type="cellIs" dxfId="2520" priority="443" operator="equal">
      <formula>4</formula>
    </cfRule>
  </conditionalFormatting>
  <conditionalFormatting sqref="U29">
    <cfRule type="cellIs" dxfId="2519" priority="946" operator="equal">
      <formula>1</formula>
    </cfRule>
    <cfRule type="top10" dxfId="2518" priority="945" rank="10"/>
  </conditionalFormatting>
  <conditionalFormatting sqref="U30">
    <cfRule type="top10" dxfId="2517" priority="174" rank="10"/>
    <cfRule type="cellIs" dxfId="2516" priority="175" operator="equal">
      <formula>1</formula>
    </cfRule>
    <cfRule type="top10" dxfId="2515" priority="176" rank="10"/>
    <cfRule type="top10" dxfId="2514" priority="177" rank="10"/>
    <cfRule type="cellIs" dxfId="2513" priority="178" operator="equal">
      <formula>1</formula>
    </cfRule>
    <cfRule type="cellIs" dxfId="2512" priority="159" operator="equal">
      <formula>4</formula>
    </cfRule>
    <cfRule type="cellIs" dxfId="2511" priority="164" operator="equal">
      <formula>4</formula>
    </cfRule>
    <cfRule type="cellIs" dxfId="2510" priority="154" operator="equal">
      <formula>1</formula>
    </cfRule>
    <cfRule type="cellIs" dxfId="2509" priority="155" operator="equal">
      <formula>4</formula>
    </cfRule>
    <cfRule type="cellIs" dxfId="2508" priority="156" operator="equal">
      <formula>3</formula>
    </cfRule>
    <cfRule type="top10" dxfId="2507" priority="157" rank="10"/>
    <cfRule type="top10" dxfId="2506" priority="158" rank="10"/>
    <cfRule type="cellIs" dxfId="2505" priority="160" operator="equal">
      <formula>3</formula>
    </cfRule>
    <cfRule type="cellIs" dxfId="2504" priority="161" operator="equal">
      <formula>1</formula>
    </cfRule>
    <cfRule type="top10" dxfId="2503" priority="162" rank="10"/>
    <cfRule type="cellIs" dxfId="2502" priority="163" operator="equal">
      <formula>1</formula>
    </cfRule>
    <cfRule type="top10" dxfId="2501" priority="168" rank="10"/>
    <cfRule type="cellIs" dxfId="2500" priority="169" operator="equal">
      <formula>1</formula>
    </cfRule>
    <cfRule type="top10" dxfId="2499" priority="170" rank="10"/>
    <cfRule type="cellIs" dxfId="2498" priority="171" operator="equal">
      <formula>1</formula>
    </cfRule>
    <cfRule type="cellIs" dxfId="2497" priority="172" operator="equal">
      <formula>4</formula>
    </cfRule>
    <cfRule type="cellIs" dxfId="2496" priority="173" operator="equal">
      <formula>3</formula>
    </cfRule>
    <cfRule type="cellIs" dxfId="2495" priority="165" operator="equal">
      <formula>3</formula>
    </cfRule>
  </conditionalFormatting>
  <conditionalFormatting sqref="U31">
    <cfRule type="cellIs" dxfId="2494" priority="18380" operator="equal">
      <formula>4</formula>
    </cfRule>
    <cfRule type="top10" dxfId="2493" priority="18379" rank="10"/>
    <cfRule type="cellIs" dxfId="2492" priority="18381" operator="equal">
      <formula>3</formula>
    </cfRule>
    <cfRule type="cellIs" dxfId="2491" priority="18382" operator="equal">
      <formula>1</formula>
    </cfRule>
  </conditionalFormatting>
  <conditionalFormatting sqref="U32 U19:U30">
    <cfRule type="top10" dxfId="2490" priority="949" rank="10"/>
  </conditionalFormatting>
  <conditionalFormatting sqref="U32:U34">
    <cfRule type="cellIs" dxfId="2489" priority="925" operator="equal">
      <formula>3</formula>
    </cfRule>
    <cfRule type="cellIs" dxfId="2488" priority="924" operator="equal">
      <formula>4</formula>
    </cfRule>
  </conditionalFormatting>
  <conditionalFormatting sqref="U33:U34">
    <cfRule type="top10" dxfId="2487" priority="923" rank="10"/>
    <cfRule type="cellIs" dxfId="2486" priority="926" operator="equal">
      <formula>1</formula>
    </cfRule>
  </conditionalFormatting>
  <conditionalFormatting sqref="U34">
    <cfRule type="top10" dxfId="2485" priority="17" rank="10"/>
  </conditionalFormatting>
  <conditionalFormatting sqref="U34:U35">
    <cfRule type="cellIs" dxfId="2484" priority="18" operator="equal">
      <formula>4</formula>
    </cfRule>
    <cfRule type="cellIs" dxfId="2483" priority="19" operator="equal">
      <formula>3</formula>
    </cfRule>
    <cfRule type="cellIs" dxfId="2482" priority="20" operator="equal">
      <formula>1</formula>
    </cfRule>
  </conditionalFormatting>
  <conditionalFormatting sqref="U35">
    <cfRule type="cellIs" dxfId="2481" priority="185" operator="equal">
      <formula>3</formula>
    </cfRule>
    <cfRule type="cellIs" dxfId="2480" priority="184" operator="equal">
      <formula>4</formula>
    </cfRule>
    <cfRule type="top10" dxfId="2479" priority="183" rank="10"/>
    <cfRule type="top10" dxfId="2478" priority="182" rank="10"/>
    <cfRule type="top10" dxfId="2477" priority="195" rank="10"/>
    <cfRule type="top10" dxfId="2476" priority="193" rank="10"/>
    <cfRule type="cellIs" dxfId="2475" priority="194" operator="equal">
      <formula>1</formula>
    </cfRule>
    <cfRule type="top10" dxfId="2474" priority="941" rank="10"/>
    <cfRule type="cellIs" dxfId="2473" priority="196" operator="equal">
      <formula>1</formula>
    </cfRule>
    <cfRule type="cellIs" dxfId="2472" priority="198" operator="equal">
      <formula>3</formula>
    </cfRule>
    <cfRule type="top10" dxfId="2471" priority="187" rank="10"/>
    <cfRule type="cellIs" dxfId="2470" priority="186" operator="equal">
      <formula>1</formula>
    </cfRule>
    <cfRule type="top10" dxfId="2469" priority="199" rank="10"/>
    <cfRule type="cellIs" dxfId="2468" priority="190" operator="equal">
      <formula>3</formula>
    </cfRule>
    <cfRule type="cellIs" dxfId="2467" priority="189" operator="equal">
      <formula>4</formula>
    </cfRule>
    <cfRule type="cellIs" dxfId="2466" priority="188" operator="equal">
      <formula>1</formula>
    </cfRule>
    <cfRule type="cellIs" dxfId="2465" priority="200" operator="equal">
      <formula>1</formula>
    </cfRule>
    <cfRule type="top10" dxfId="2464" priority="201" rank="10"/>
    <cfRule type="top10" dxfId="2463" priority="202" rank="10"/>
    <cfRule type="cellIs" dxfId="2462" priority="197" operator="equal">
      <formula>4</formula>
    </cfRule>
  </conditionalFormatting>
  <conditionalFormatting sqref="V19:V35">
    <cfRule type="cellIs" dxfId="2461" priority="1661" operator="equal">
      <formula>2</formula>
    </cfRule>
    <cfRule type="cellIs" dxfId="2460" priority="1660" operator="equal">
      <formula>4</formula>
    </cfRule>
    <cfRule type="cellIs" dxfId="2459" priority="1662" operator="equal">
      <formula>3</formula>
    </cfRule>
    <cfRule type="cellIs" dxfId="2458" priority="1663" operator="equal">
      <formula>1</formula>
    </cfRule>
  </conditionalFormatting>
  <pageMargins left="1.45" right="0.45" top="0.75" bottom="0.75" header="0.75" footer="0.75"/>
  <pageSetup paperSize="8" scale="21" orientation="landscape" r:id="rId1"/>
  <headerFooter>
    <oddFooter>&amp;CICTMF020-HR&amp;RRev A 
 date 11/03/2024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FFBA-16D6-4197-9F67-A4B029C193D1}">
  <sheetPr>
    <pageSetUpPr fitToPage="1"/>
  </sheetPr>
  <dimension ref="A1:X61"/>
  <sheetViews>
    <sheetView topLeftCell="A24" zoomScale="40" zoomScaleNormal="40" zoomScaleSheetLayoutView="40" workbookViewId="0">
      <selection activeCell="V36" sqref="V36"/>
    </sheetView>
  </sheetViews>
  <sheetFormatPr defaultColWidth="9.109375" defaultRowHeight="14.4"/>
  <cols>
    <col min="1" max="1" width="30.33203125" style="122" customWidth="1"/>
    <col min="2" max="2" width="54.109375" style="122" customWidth="1"/>
    <col min="3" max="3" width="31.6640625" style="122" customWidth="1"/>
    <col min="4" max="4" width="30.33203125" style="122" customWidth="1"/>
    <col min="5" max="5" width="43.88671875" style="122" customWidth="1"/>
    <col min="6" max="22" width="34.6640625" customWidth="1"/>
    <col min="23" max="23" width="34.5546875" customWidth="1"/>
    <col min="24" max="24" width="42.6640625" customWidth="1"/>
  </cols>
  <sheetData>
    <row r="1" spans="1:24" s="1" customFormat="1" ht="164.25" customHeight="1" thickBot="1">
      <c r="A1" s="756"/>
      <c r="B1" s="757"/>
      <c r="C1" s="758"/>
      <c r="D1" s="762" t="s">
        <v>29</v>
      </c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530"/>
      <c r="W1" s="432" t="s">
        <v>0</v>
      </c>
      <c r="X1" s="433" t="s">
        <v>20</v>
      </c>
    </row>
    <row r="2" spans="1:24" s="1" customFormat="1" ht="164.25" customHeight="1" thickBot="1">
      <c r="A2" s="759"/>
      <c r="B2" s="760"/>
      <c r="C2" s="761"/>
      <c r="D2" s="764" t="s">
        <v>30</v>
      </c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432" t="s">
        <v>1</v>
      </c>
      <c r="X2" s="431">
        <v>45358</v>
      </c>
    </row>
    <row r="3" spans="1:24" s="2" customFormat="1" ht="22.5" customHeight="1">
      <c r="A3" s="20"/>
      <c r="B3" s="87" t="s">
        <v>4</v>
      </c>
      <c r="C3" s="87"/>
      <c r="D3" s="115"/>
      <c r="E3" s="115"/>
      <c r="F3" s="5"/>
      <c r="G3" s="5"/>
      <c r="H3" s="3"/>
      <c r="I3" s="5"/>
      <c r="T3" s="766" t="s">
        <v>518</v>
      </c>
      <c r="U3" s="767"/>
      <c r="V3" s="768"/>
      <c r="W3" s="775">
        <f>AVERAGE(W18:W33)</f>
        <v>0.36328125</v>
      </c>
      <c r="X3" s="753">
        <f>AVERAGE(X18:X33)</f>
        <v>0.9692708333333333</v>
      </c>
    </row>
    <row r="4" spans="1:24" s="2" customFormat="1" ht="25.5" customHeight="1">
      <c r="A4" s="116"/>
      <c r="B4" s="234"/>
      <c r="C4" s="117"/>
      <c r="D4" s="20"/>
      <c r="E4" s="20"/>
      <c r="G4" s="8"/>
      <c r="I4" s="5"/>
      <c r="T4" s="769"/>
      <c r="U4" s="770"/>
      <c r="V4" s="771"/>
      <c r="W4" s="776"/>
      <c r="X4" s="754"/>
    </row>
    <row r="5" spans="1:24" s="6" customFormat="1" ht="25.5" customHeight="1">
      <c r="A5" s="116"/>
      <c r="B5" s="435" t="s">
        <v>5</v>
      </c>
      <c r="C5" s="86"/>
      <c r="D5" s="116"/>
      <c r="E5" s="20"/>
      <c r="F5" s="7"/>
      <c r="G5" s="9"/>
      <c r="H5" s="7"/>
      <c r="I5" s="5"/>
      <c r="T5" s="769"/>
      <c r="U5" s="770"/>
      <c r="V5" s="771"/>
      <c r="W5" s="776"/>
      <c r="X5" s="754"/>
    </row>
    <row r="6" spans="1:24" s="6" customFormat="1" ht="25.5" customHeight="1">
      <c r="A6" s="116"/>
      <c r="B6" s="435" t="s">
        <v>6</v>
      </c>
      <c r="C6" s="86"/>
      <c r="D6" s="116"/>
      <c r="E6" s="116"/>
      <c r="F6" s="7"/>
      <c r="G6" s="7"/>
      <c r="H6" s="7"/>
      <c r="I6" s="5"/>
      <c r="T6" s="769"/>
      <c r="U6" s="770"/>
      <c r="V6" s="771"/>
      <c r="W6" s="776"/>
      <c r="X6" s="754"/>
    </row>
    <row r="7" spans="1:24" s="6" customFormat="1" ht="25.5" customHeight="1">
      <c r="A7" s="116"/>
      <c r="B7" s="435" t="s">
        <v>7</v>
      </c>
      <c r="C7" s="86"/>
      <c r="D7" s="116"/>
      <c r="E7" s="116"/>
      <c r="F7" s="630"/>
      <c r="G7" s="630"/>
      <c r="I7" s="5"/>
      <c r="T7" s="769"/>
      <c r="U7" s="770"/>
      <c r="V7" s="771"/>
      <c r="W7" s="776"/>
      <c r="X7" s="754"/>
    </row>
    <row r="8" spans="1:24" s="6" customFormat="1" ht="25.5" customHeight="1">
      <c r="A8" s="116"/>
      <c r="B8" s="435"/>
      <c r="C8" s="86"/>
      <c r="D8" s="116"/>
      <c r="E8" s="116"/>
      <c r="F8" s="9"/>
      <c r="G8" s="9"/>
      <c r="I8" s="5"/>
      <c r="T8" s="769"/>
      <c r="U8" s="770"/>
      <c r="V8" s="771"/>
      <c r="W8" s="776"/>
      <c r="X8" s="754"/>
    </row>
    <row r="9" spans="1:24" s="2" customFormat="1" ht="25.5" customHeight="1">
      <c r="A9" s="116"/>
      <c r="B9" s="435" t="s">
        <v>10</v>
      </c>
      <c r="C9" s="86"/>
      <c r="D9" s="118"/>
      <c r="E9" s="118"/>
      <c r="F9" s="5"/>
      <c r="G9" s="5"/>
      <c r="H9" s="5"/>
      <c r="T9" s="769"/>
      <c r="U9" s="770"/>
      <c r="V9" s="771"/>
      <c r="W9" s="776"/>
      <c r="X9" s="754"/>
    </row>
    <row r="10" spans="1:24" s="2" customFormat="1" ht="16.5" customHeight="1">
      <c r="A10" s="116"/>
      <c r="B10" s="7"/>
      <c r="C10" s="7"/>
      <c r="D10" s="118"/>
      <c r="E10" s="118"/>
      <c r="F10" s="5"/>
      <c r="G10" s="5"/>
      <c r="H10" s="5"/>
      <c r="T10" s="769"/>
      <c r="U10" s="770"/>
      <c r="V10" s="771"/>
      <c r="W10" s="776"/>
      <c r="X10" s="754"/>
    </row>
    <row r="11" spans="1:24" s="2" customFormat="1" ht="16.5" customHeight="1" thickBot="1">
      <c r="A11" s="116"/>
      <c r="B11" s="7"/>
      <c r="C11" s="7"/>
      <c r="D11" s="118"/>
      <c r="E11" s="118"/>
      <c r="F11" s="5"/>
      <c r="G11" s="5"/>
      <c r="H11" s="5"/>
      <c r="T11" s="772"/>
      <c r="U11" s="773"/>
      <c r="V11" s="774"/>
      <c r="W11" s="777"/>
      <c r="X11" s="755"/>
    </row>
    <row r="12" spans="1:24" ht="63" customHeight="1" thickBot="1">
      <c r="A12" s="119"/>
      <c r="B12" s="119"/>
      <c r="C12" s="119"/>
      <c r="D12" s="119"/>
      <c r="E12" s="120"/>
      <c r="F12" s="113"/>
      <c r="G12" s="114"/>
      <c r="H12" s="114"/>
      <c r="I12" s="114"/>
      <c r="J12" s="114"/>
      <c r="K12" s="114"/>
      <c r="L12" s="114"/>
      <c r="M12" s="92"/>
      <c r="N12" s="92"/>
      <c r="O12" s="92"/>
      <c r="P12" s="92"/>
      <c r="Q12" s="92"/>
      <c r="R12" s="92"/>
      <c r="S12" s="92"/>
      <c r="T12" s="778"/>
      <c r="U12" s="778"/>
      <c r="V12" s="778"/>
      <c r="W12" s="779" t="s">
        <v>11</v>
      </c>
      <c r="X12" s="779" t="s">
        <v>517</v>
      </c>
    </row>
    <row r="13" spans="1:24" ht="53.25" customHeight="1" thickBot="1">
      <c r="A13" s="782" t="s">
        <v>2</v>
      </c>
      <c r="B13" s="784" t="s">
        <v>3</v>
      </c>
      <c r="C13" s="782" t="s">
        <v>611</v>
      </c>
      <c r="D13" s="782" t="s">
        <v>8</v>
      </c>
      <c r="E13" s="782" t="s">
        <v>9</v>
      </c>
      <c r="F13" s="436" t="s">
        <v>46</v>
      </c>
      <c r="G13" s="744" t="s">
        <v>47</v>
      </c>
      <c r="H13" s="745"/>
      <c r="I13" s="744" t="s">
        <v>440</v>
      </c>
      <c r="J13" s="746"/>
      <c r="K13" s="436" t="s">
        <v>46</v>
      </c>
      <c r="L13" s="437" t="s">
        <v>49</v>
      </c>
      <c r="M13" s="436" t="s">
        <v>49</v>
      </c>
      <c r="N13" s="436" t="s">
        <v>49</v>
      </c>
      <c r="O13" s="436" t="s">
        <v>49</v>
      </c>
      <c r="P13" s="438" t="s">
        <v>46</v>
      </c>
      <c r="Q13" s="436" t="s">
        <v>49</v>
      </c>
      <c r="R13" s="436" t="s">
        <v>501</v>
      </c>
      <c r="S13" s="439" t="s">
        <v>913</v>
      </c>
      <c r="T13" s="747" t="s">
        <v>66</v>
      </c>
      <c r="U13" s="747" t="s">
        <v>67</v>
      </c>
      <c r="V13" s="747" t="s">
        <v>68</v>
      </c>
      <c r="W13" s="780"/>
      <c r="X13" s="780"/>
    </row>
    <row r="14" spans="1:24" ht="40.5" customHeight="1">
      <c r="A14" s="783"/>
      <c r="B14" s="785"/>
      <c r="C14" s="783"/>
      <c r="D14" s="783"/>
      <c r="E14" s="783"/>
      <c r="F14" s="714" t="s">
        <v>50</v>
      </c>
      <c r="G14" s="714" t="s">
        <v>277</v>
      </c>
      <c r="H14" s="716" t="s">
        <v>51</v>
      </c>
      <c r="I14" s="714" t="s">
        <v>52</v>
      </c>
      <c r="J14" s="718"/>
      <c r="K14" s="714" t="s">
        <v>53</v>
      </c>
      <c r="L14" s="750" t="s">
        <v>54</v>
      </c>
      <c r="M14" s="752" t="s">
        <v>504</v>
      </c>
      <c r="N14" s="714" t="s">
        <v>56</v>
      </c>
      <c r="O14" s="714" t="s">
        <v>57</v>
      </c>
      <c r="P14" s="714" t="s">
        <v>58</v>
      </c>
      <c r="Q14" s="714" t="s">
        <v>59</v>
      </c>
      <c r="R14" s="714" t="s">
        <v>502</v>
      </c>
      <c r="S14" s="697" t="s">
        <v>797</v>
      </c>
      <c r="T14" s="748"/>
      <c r="U14" s="748"/>
      <c r="V14" s="748"/>
      <c r="W14" s="780"/>
      <c r="X14" s="780"/>
    </row>
    <row r="15" spans="1:24" ht="126" customHeight="1" thickBot="1">
      <c r="A15" s="783"/>
      <c r="B15" s="785"/>
      <c r="C15" s="783"/>
      <c r="D15" s="783"/>
      <c r="E15" s="783"/>
      <c r="F15" s="715"/>
      <c r="G15" s="715"/>
      <c r="H15" s="717"/>
      <c r="I15" s="715"/>
      <c r="J15" s="719"/>
      <c r="K15" s="715"/>
      <c r="L15" s="751"/>
      <c r="M15" s="715"/>
      <c r="N15" s="715"/>
      <c r="O15" s="715"/>
      <c r="P15" s="715"/>
      <c r="Q15" s="715"/>
      <c r="R15" s="715"/>
      <c r="S15" s="698"/>
      <c r="T15" s="748"/>
      <c r="U15" s="748"/>
      <c r="V15" s="748"/>
      <c r="W15" s="780"/>
      <c r="X15" s="780"/>
    </row>
    <row r="16" spans="1:24" ht="150.75" customHeight="1" thickBot="1">
      <c r="A16" s="783"/>
      <c r="B16" s="785"/>
      <c r="C16" s="783"/>
      <c r="D16" s="783"/>
      <c r="E16" s="783"/>
      <c r="F16" s="699" t="s">
        <v>503</v>
      </c>
      <c r="G16" s="699" t="s">
        <v>503</v>
      </c>
      <c r="H16" s="699" t="s">
        <v>503</v>
      </c>
      <c r="I16" s="440" t="s">
        <v>62</v>
      </c>
      <c r="J16" s="440" t="s">
        <v>63</v>
      </c>
      <c r="K16" s="699" t="s">
        <v>503</v>
      </c>
      <c r="L16" s="699" t="s">
        <v>503</v>
      </c>
      <c r="M16" s="699" t="s">
        <v>503</v>
      </c>
      <c r="N16" s="699" t="s">
        <v>503</v>
      </c>
      <c r="O16" s="699" t="s">
        <v>503</v>
      </c>
      <c r="P16" s="699" t="s">
        <v>503</v>
      </c>
      <c r="Q16" s="699" t="s">
        <v>503</v>
      </c>
      <c r="R16" s="699" t="s">
        <v>503</v>
      </c>
      <c r="S16" s="699" t="s">
        <v>503</v>
      </c>
      <c r="T16" s="748"/>
      <c r="U16" s="748"/>
      <c r="V16" s="748"/>
      <c r="W16" s="780"/>
      <c r="X16" s="780"/>
    </row>
    <row r="17" spans="1:24" ht="150.75" customHeight="1" thickBot="1">
      <c r="A17" s="783"/>
      <c r="B17" s="785"/>
      <c r="C17" s="783"/>
      <c r="D17" s="783"/>
      <c r="E17" s="783"/>
      <c r="F17" s="713"/>
      <c r="G17" s="713"/>
      <c r="H17" s="713"/>
      <c r="I17" s="441" t="s">
        <v>503</v>
      </c>
      <c r="J17" s="441" t="s">
        <v>503</v>
      </c>
      <c r="K17" s="713"/>
      <c r="L17" s="713"/>
      <c r="M17" s="713"/>
      <c r="N17" s="713"/>
      <c r="O17" s="713"/>
      <c r="P17" s="713"/>
      <c r="Q17" s="713"/>
      <c r="R17" s="713"/>
      <c r="S17" s="700"/>
      <c r="T17" s="749"/>
      <c r="U17" s="749"/>
      <c r="V17" s="442"/>
      <c r="W17" s="781"/>
      <c r="X17" s="781"/>
    </row>
    <row r="18" spans="1:24" s="2" customFormat="1" ht="72" customHeight="1" thickBot="1">
      <c r="A18" s="446" t="s">
        <v>70</v>
      </c>
      <c r="B18" s="447" t="s">
        <v>71</v>
      </c>
      <c r="C18" s="448">
        <v>44567</v>
      </c>
      <c r="D18" s="448" t="s">
        <v>32</v>
      </c>
      <c r="E18" s="447" t="s">
        <v>630</v>
      </c>
      <c r="F18" s="443">
        <v>4</v>
      </c>
      <c r="G18" s="444">
        <v>4</v>
      </c>
      <c r="H18" s="444">
        <v>4</v>
      </c>
      <c r="I18" s="444">
        <v>4</v>
      </c>
      <c r="J18" s="444">
        <v>4</v>
      </c>
      <c r="K18" s="444" t="s">
        <v>91</v>
      </c>
      <c r="L18" s="444" t="s">
        <v>91</v>
      </c>
      <c r="M18" s="444">
        <v>2</v>
      </c>
      <c r="N18" s="444">
        <v>4</v>
      </c>
      <c r="O18" s="444" t="s">
        <v>91</v>
      </c>
      <c r="P18" s="444" t="s">
        <v>91</v>
      </c>
      <c r="Q18" s="444" t="s">
        <v>91</v>
      </c>
      <c r="R18" s="444">
        <v>4</v>
      </c>
      <c r="S18" s="391" t="s">
        <v>69</v>
      </c>
      <c r="T18" s="444">
        <v>4</v>
      </c>
      <c r="U18" s="445">
        <v>4</v>
      </c>
      <c r="V18" s="443" t="s">
        <v>91</v>
      </c>
      <c r="W18" s="176">
        <f>COUNTIF(F18:V18,"&gt;0")/16</f>
        <v>0.625</v>
      </c>
      <c r="X18" s="177">
        <f>+COUNTIF(F18:V18,"&gt;2")/COUNTIF(F18:V18,"&gt;1")</f>
        <v>0.9</v>
      </c>
    </row>
    <row r="19" spans="1:24" s="2" customFormat="1" ht="72" customHeight="1" thickBot="1">
      <c r="A19" s="446" t="s">
        <v>74</v>
      </c>
      <c r="B19" s="447" t="s">
        <v>75</v>
      </c>
      <c r="C19" s="448" t="s">
        <v>617</v>
      </c>
      <c r="D19" s="448" t="s">
        <v>32</v>
      </c>
      <c r="E19" s="447" t="s">
        <v>630</v>
      </c>
      <c r="F19" s="443">
        <v>4</v>
      </c>
      <c r="G19" s="444" t="s">
        <v>91</v>
      </c>
      <c r="H19" s="444" t="s">
        <v>91</v>
      </c>
      <c r="I19" s="444">
        <v>4</v>
      </c>
      <c r="J19" s="444">
        <v>4</v>
      </c>
      <c r="K19" s="444" t="s">
        <v>91</v>
      </c>
      <c r="L19" s="444" t="s">
        <v>91</v>
      </c>
      <c r="M19" s="444" t="s">
        <v>91</v>
      </c>
      <c r="N19" s="444" t="s">
        <v>91</v>
      </c>
      <c r="O19" s="444" t="s">
        <v>91</v>
      </c>
      <c r="P19" s="444" t="s">
        <v>91</v>
      </c>
      <c r="Q19" s="444" t="s">
        <v>91</v>
      </c>
      <c r="R19" s="444" t="s">
        <v>91</v>
      </c>
      <c r="S19" s="391" t="s">
        <v>69</v>
      </c>
      <c r="T19" s="444">
        <v>4</v>
      </c>
      <c r="U19" s="445">
        <v>4</v>
      </c>
      <c r="V19" s="443" t="s">
        <v>91</v>
      </c>
      <c r="W19" s="176">
        <f t="shared" ref="W19:W33" si="0">COUNTIF(F19:V19,"&gt;0")/16</f>
        <v>0.3125</v>
      </c>
      <c r="X19" s="177">
        <f>+COUNTIF(F19:V19,"&gt;2")/COUNTIF(F19:V19,"&gt;1")</f>
        <v>1</v>
      </c>
    </row>
    <row r="20" spans="1:24" s="2" customFormat="1" ht="72" customHeight="1" thickBot="1">
      <c r="A20" s="446" t="s">
        <v>76</v>
      </c>
      <c r="B20" s="447" t="s">
        <v>77</v>
      </c>
      <c r="C20" s="448">
        <v>44958</v>
      </c>
      <c r="D20" s="448" t="s">
        <v>32</v>
      </c>
      <c r="E20" s="447" t="s">
        <v>630</v>
      </c>
      <c r="F20" s="443">
        <v>4</v>
      </c>
      <c r="G20" s="444">
        <v>4</v>
      </c>
      <c r="H20" s="444">
        <v>4</v>
      </c>
      <c r="I20" s="444" t="s">
        <v>91</v>
      </c>
      <c r="J20" s="444" t="s">
        <v>91</v>
      </c>
      <c r="K20" s="444" t="s">
        <v>91</v>
      </c>
      <c r="L20" s="444">
        <v>2</v>
      </c>
      <c r="M20" s="393">
        <v>2</v>
      </c>
      <c r="N20" s="444">
        <v>4</v>
      </c>
      <c r="O20" s="444">
        <v>4</v>
      </c>
      <c r="P20" s="444" t="s">
        <v>91</v>
      </c>
      <c r="Q20" s="444">
        <v>4</v>
      </c>
      <c r="R20" s="444">
        <v>4</v>
      </c>
      <c r="S20" s="391">
        <v>4</v>
      </c>
      <c r="T20" s="444">
        <v>4</v>
      </c>
      <c r="U20" s="445">
        <v>4</v>
      </c>
      <c r="V20" s="443" t="s">
        <v>91</v>
      </c>
      <c r="W20" s="176">
        <f t="shared" si="0"/>
        <v>0.75</v>
      </c>
      <c r="X20" s="177">
        <f t="shared" ref="X20:X33" si="1">+COUNTIF(F20:V20,"&gt;2")/COUNTIF(F20:V20,"&gt;1")</f>
        <v>0.83333333333333337</v>
      </c>
    </row>
    <row r="21" spans="1:24" s="2" customFormat="1" ht="72" customHeight="1" thickBot="1">
      <c r="A21" s="446" t="s">
        <v>78</v>
      </c>
      <c r="B21" s="447" t="s">
        <v>79</v>
      </c>
      <c r="C21" s="448">
        <v>44686</v>
      </c>
      <c r="D21" s="448" t="s">
        <v>32</v>
      </c>
      <c r="E21" s="447" t="s">
        <v>630</v>
      </c>
      <c r="F21" s="443" t="s">
        <v>69</v>
      </c>
      <c r="G21" s="444" t="s">
        <v>91</v>
      </c>
      <c r="H21" s="444" t="s">
        <v>91</v>
      </c>
      <c r="I21" s="444" t="s">
        <v>91</v>
      </c>
      <c r="J21" s="444" t="s">
        <v>91</v>
      </c>
      <c r="K21" s="444">
        <v>4</v>
      </c>
      <c r="L21" s="444" t="s">
        <v>91</v>
      </c>
      <c r="M21" s="444" t="s">
        <v>91</v>
      </c>
      <c r="N21" s="444" t="s">
        <v>91</v>
      </c>
      <c r="O21" s="444" t="s">
        <v>91</v>
      </c>
      <c r="P21" s="444" t="s">
        <v>91</v>
      </c>
      <c r="Q21" s="444" t="s">
        <v>91</v>
      </c>
      <c r="R21" s="444" t="s">
        <v>91</v>
      </c>
      <c r="S21" s="391" t="s">
        <v>69</v>
      </c>
      <c r="T21" s="444">
        <v>4</v>
      </c>
      <c r="U21" s="445">
        <v>4</v>
      </c>
      <c r="V21" s="443" t="s">
        <v>91</v>
      </c>
      <c r="W21" s="176">
        <f t="shared" si="0"/>
        <v>0.1875</v>
      </c>
      <c r="X21" s="177">
        <f t="shared" si="1"/>
        <v>1</v>
      </c>
    </row>
    <row r="22" spans="1:24" s="2" customFormat="1" ht="72" customHeight="1" thickBot="1">
      <c r="A22" s="446" t="s">
        <v>80</v>
      </c>
      <c r="B22" s="447" t="s">
        <v>81</v>
      </c>
      <c r="C22" s="448">
        <v>44958</v>
      </c>
      <c r="D22" s="448" t="s">
        <v>32</v>
      </c>
      <c r="E22" s="447" t="s">
        <v>630</v>
      </c>
      <c r="F22" s="444">
        <v>4</v>
      </c>
      <c r="G22" s="444">
        <v>4</v>
      </c>
      <c r="H22" s="444">
        <v>2</v>
      </c>
      <c r="I22" s="444" t="s">
        <v>91</v>
      </c>
      <c r="J22" s="444" t="s">
        <v>91</v>
      </c>
      <c r="K22" s="444" t="s">
        <v>91</v>
      </c>
      <c r="L22" s="444">
        <v>4</v>
      </c>
      <c r="M22" s="444">
        <v>4</v>
      </c>
      <c r="N22" s="444">
        <v>4</v>
      </c>
      <c r="O22" s="444">
        <v>3</v>
      </c>
      <c r="P22" s="444" t="s">
        <v>91</v>
      </c>
      <c r="Q22" s="444">
        <v>4</v>
      </c>
      <c r="R22" s="444" t="s">
        <v>91</v>
      </c>
      <c r="S22" s="391" t="s">
        <v>69</v>
      </c>
      <c r="T22" s="444">
        <v>4</v>
      </c>
      <c r="U22" s="445">
        <v>4</v>
      </c>
      <c r="V22" s="443" t="s">
        <v>91</v>
      </c>
      <c r="W22" s="176">
        <f>COUNTIF(F22:V22,"&gt;0")/16</f>
        <v>0.625</v>
      </c>
      <c r="X22" s="177">
        <f>+COUNTIF(F22:V22,"&gt;2")/COUNTIF(F22:V22,"&gt;1")</f>
        <v>0.9</v>
      </c>
    </row>
    <row r="23" spans="1:24" s="2" customFormat="1" ht="72" customHeight="1" thickBot="1">
      <c r="A23" s="446" t="s">
        <v>82</v>
      </c>
      <c r="B23" s="447" t="s">
        <v>83</v>
      </c>
      <c r="C23" s="448" t="s">
        <v>610</v>
      </c>
      <c r="D23" s="448" t="s">
        <v>32</v>
      </c>
      <c r="E23" s="447" t="s">
        <v>630</v>
      </c>
      <c r="F23" s="443" t="s">
        <v>69</v>
      </c>
      <c r="G23" s="444" t="s">
        <v>91</v>
      </c>
      <c r="H23" s="444" t="s">
        <v>91</v>
      </c>
      <c r="I23" s="444" t="s">
        <v>91</v>
      </c>
      <c r="J23" s="444" t="s">
        <v>91</v>
      </c>
      <c r="K23" s="444" t="s">
        <v>91</v>
      </c>
      <c r="L23" s="444">
        <v>4</v>
      </c>
      <c r="M23" s="444">
        <v>4</v>
      </c>
      <c r="N23" s="444">
        <v>4</v>
      </c>
      <c r="O23" s="444">
        <v>4</v>
      </c>
      <c r="P23" s="444" t="s">
        <v>91</v>
      </c>
      <c r="Q23" s="444">
        <v>4</v>
      </c>
      <c r="R23" s="444" t="s">
        <v>91</v>
      </c>
      <c r="S23" s="391" t="s">
        <v>69</v>
      </c>
      <c r="T23" s="444">
        <v>4</v>
      </c>
      <c r="U23" s="445">
        <v>4</v>
      </c>
      <c r="V23" s="443" t="s">
        <v>91</v>
      </c>
      <c r="W23" s="176">
        <f t="shared" si="0"/>
        <v>0.4375</v>
      </c>
      <c r="X23" s="177">
        <f t="shared" si="1"/>
        <v>1</v>
      </c>
    </row>
    <row r="24" spans="1:24" s="2" customFormat="1" ht="72" customHeight="1" thickBot="1">
      <c r="A24" s="446" t="s">
        <v>779</v>
      </c>
      <c r="B24" s="447" t="s">
        <v>86</v>
      </c>
      <c r="C24" s="448">
        <v>44938</v>
      </c>
      <c r="D24" s="448" t="s">
        <v>32</v>
      </c>
      <c r="E24" s="447" t="s">
        <v>630</v>
      </c>
      <c r="F24" s="443" t="s">
        <v>91</v>
      </c>
      <c r="G24" s="444" t="s">
        <v>91</v>
      </c>
      <c r="H24" s="444" t="s">
        <v>91</v>
      </c>
      <c r="I24" s="444">
        <v>4</v>
      </c>
      <c r="J24" s="444">
        <v>4</v>
      </c>
      <c r="K24" s="444" t="s">
        <v>91</v>
      </c>
      <c r="L24" s="444">
        <v>4</v>
      </c>
      <c r="M24" s="444">
        <v>4</v>
      </c>
      <c r="N24" s="444">
        <v>4</v>
      </c>
      <c r="O24" s="444">
        <v>3</v>
      </c>
      <c r="P24" s="444">
        <v>4</v>
      </c>
      <c r="Q24" s="444">
        <v>4</v>
      </c>
      <c r="R24" s="444" t="s">
        <v>91</v>
      </c>
      <c r="S24" s="391" t="s">
        <v>69</v>
      </c>
      <c r="T24" s="444">
        <v>4</v>
      </c>
      <c r="U24" s="445">
        <v>4</v>
      </c>
      <c r="V24" s="443" t="s">
        <v>91</v>
      </c>
      <c r="W24" s="176">
        <f t="shared" si="0"/>
        <v>0.625</v>
      </c>
      <c r="X24" s="177">
        <f t="shared" si="1"/>
        <v>1</v>
      </c>
    </row>
    <row r="25" spans="1:24" s="2" customFormat="1" ht="72" customHeight="1" thickBot="1">
      <c r="A25" s="446" t="s">
        <v>87</v>
      </c>
      <c r="B25" s="447" t="s">
        <v>88</v>
      </c>
      <c r="C25" s="448" t="s">
        <v>615</v>
      </c>
      <c r="D25" s="448" t="s">
        <v>32</v>
      </c>
      <c r="E25" s="447" t="s">
        <v>630</v>
      </c>
      <c r="F25" s="443" t="s">
        <v>91</v>
      </c>
      <c r="G25" s="444" t="s">
        <v>91</v>
      </c>
      <c r="H25" s="444" t="s">
        <v>91</v>
      </c>
      <c r="I25" s="444" t="s">
        <v>91</v>
      </c>
      <c r="J25" s="444" t="s">
        <v>91</v>
      </c>
      <c r="K25" s="444" t="s">
        <v>91</v>
      </c>
      <c r="L25" s="444" t="s">
        <v>91</v>
      </c>
      <c r="M25" s="444" t="s">
        <v>91</v>
      </c>
      <c r="N25" s="444" t="s">
        <v>91</v>
      </c>
      <c r="O25" s="444" t="s">
        <v>91</v>
      </c>
      <c r="P25" s="444">
        <v>4</v>
      </c>
      <c r="Q25" s="444" t="s">
        <v>91</v>
      </c>
      <c r="R25" s="444" t="s">
        <v>91</v>
      </c>
      <c r="S25" s="391" t="s">
        <v>69</v>
      </c>
      <c r="T25" s="444">
        <v>4</v>
      </c>
      <c r="U25" s="445">
        <v>4</v>
      </c>
      <c r="V25" s="443" t="s">
        <v>91</v>
      </c>
      <c r="W25" s="176">
        <f t="shared" si="0"/>
        <v>0.1875</v>
      </c>
      <c r="X25" s="177">
        <f t="shared" si="1"/>
        <v>1</v>
      </c>
    </row>
    <row r="26" spans="1:24" s="2" customFormat="1" ht="72" customHeight="1" thickBot="1">
      <c r="A26" s="446" t="s">
        <v>89</v>
      </c>
      <c r="B26" s="447" t="s">
        <v>90</v>
      </c>
      <c r="C26" s="448">
        <v>43924</v>
      </c>
      <c r="D26" s="448" t="s">
        <v>32</v>
      </c>
      <c r="E26" s="447" t="s">
        <v>630</v>
      </c>
      <c r="F26" s="443" t="s">
        <v>91</v>
      </c>
      <c r="G26" s="444" t="s">
        <v>91</v>
      </c>
      <c r="H26" s="444" t="s">
        <v>91</v>
      </c>
      <c r="I26" s="444" t="s">
        <v>91</v>
      </c>
      <c r="J26" s="444" t="s">
        <v>91</v>
      </c>
      <c r="K26" s="444" t="s">
        <v>91</v>
      </c>
      <c r="L26" s="444" t="s">
        <v>91</v>
      </c>
      <c r="M26" s="444" t="s">
        <v>91</v>
      </c>
      <c r="N26" s="444" t="s">
        <v>91</v>
      </c>
      <c r="O26" s="444" t="s">
        <v>91</v>
      </c>
      <c r="P26" s="444">
        <v>4</v>
      </c>
      <c r="Q26" s="444" t="s">
        <v>91</v>
      </c>
      <c r="R26" s="444" t="s">
        <v>91</v>
      </c>
      <c r="S26" s="391" t="s">
        <v>69</v>
      </c>
      <c r="T26" s="444">
        <v>4</v>
      </c>
      <c r="U26" s="445">
        <v>4</v>
      </c>
      <c r="V26" s="443" t="s">
        <v>91</v>
      </c>
      <c r="W26" s="176">
        <f t="shared" si="0"/>
        <v>0.1875</v>
      </c>
      <c r="X26" s="177">
        <f t="shared" si="1"/>
        <v>1</v>
      </c>
    </row>
    <row r="27" spans="1:24" s="2" customFormat="1" ht="72" customHeight="1" thickBot="1">
      <c r="A27" s="446" t="s">
        <v>696</v>
      </c>
      <c r="B27" s="447" t="s">
        <v>718</v>
      </c>
      <c r="C27" s="448">
        <v>45692</v>
      </c>
      <c r="D27" s="448" t="s">
        <v>32</v>
      </c>
      <c r="E27" s="447" t="s">
        <v>630</v>
      </c>
      <c r="F27" s="443" t="s">
        <v>91</v>
      </c>
      <c r="G27" s="444" t="s">
        <v>91</v>
      </c>
      <c r="H27" s="444" t="s">
        <v>91</v>
      </c>
      <c r="I27" s="444" t="s">
        <v>91</v>
      </c>
      <c r="J27" s="444" t="s">
        <v>91</v>
      </c>
      <c r="K27" s="444" t="s">
        <v>91</v>
      </c>
      <c r="L27" s="444" t="s">
        <v>91</v>
      </c>
      <c r="M27" s="444" t="s">
        <v>91</v>
      </c>
      <c r="N27" s="444">
        <v>4</v>
      </c>
      <c r="O27" s="444">
        <v>4</v>
      </c>
      <c r="P27" s="444" t="s">
        <v>91</v>
      </c>
      <c r="Q27" s="444" t="s">
        <v>91</v>
      </c>
      <c r="R27" s="444" t="s">
        <v>91</v>
      </c>
      <c r="S27" s="391" t="s">
        <v>69</v>
      </c>
      <c r="T27" s="444">
        <v>4</v>
      </c>
      <c r="U27" s="445">
        <v>4</v>
      </c>
      <c r="V27" s="443" t="s">
        <v>91</v>
      </c>
      <c r="W27" s="176">
        <f t="shared" si="0"/>
        <v>0.25</v>
      </c>
      <c r="X27" s="177">
        <f t="shared" si="1"/>
        <v>1</v>
      </c>
    </row>
    <row r="28" spans="1:24" s="2" customFormat="1" ht="72" customHeight="1" thickBot="1">
      <c r="A28" s="178" t="s">
        <v>667</v>
      </c>
      <c r="B28" s="214" t="s">
        <v>668</v>
      </c>
      <c r="C28" s="179">
        <v>45642</v>
      </c>
      <c r="D28" s="179" t="s">
        <v>32</v>
      </c>
      <c r="E28" s="214" t="s">
        <v>630</v>
      </c>
      <c r="F28" s="443">
        <v>4</v>
      </c>
      <c r="G28" s="444">
        <v>4</v>
      </c>
      <c r="H28" s="444">
        <v>4</v>
      </c>
      <c r="I28" s="444">
        <v>4</v>
      </c>
      <c r="J28" s="444">
        <v>4</v>
      </c>
      <c r="K28" s="444" t="s">
        <v>91</v>
      </c>
      <c r="L28" s="444" t="s">
        <v>91</v>
      </c>
      <c r="M28" s="444" t="s">
        <v>91</v>
      </c>
      <c r="N28" s="444" t="s">
        <v>91</v>
      </c>
      <c r="O28" s="444" t="s">
        <v>91</v>
      </c>
      <c r="P28" s="444" t="s">
        <v>91</v>
      </c>
      <c r="Q28" s="444">
        <v>2</v>
      </c>
      <c r="R28" s="444" t="s">
        <v>91</v>
      </c>
      <c r="S28" s="391" t="s">
        <v>69</v>
      </c>
      <c r="T28" s="444">
        <v>4</v>
      </c>
      <c r="U28" s="445">
        <v>4</v>
      </c>
      <c r="V28" s="443" t="s">
        <v>91</v>
      </c>
      <c r="W28" s="176">
        <f t="shared" si="0"/>
        <v>0.5</v>
      </c>
      <c r="X28" s="177">
        <f t="shared" si="1"/>
        <v>0.875</v>
      </c>
    </row>
    <row r="29" spans="1:24" s="2" customFormat="1" ht="72" customHeight="1" thickBot="1">
      <c r="A29" s="178" t="s">
        <v>515</v>
      </c>
      <c r="B29" s="214" t="s">
        <v>516</v>
      </c>
      <c r="C29" s="179">
        <v>45580</v>
      </c>
      <c r="D29" s="179" t="s">
        <v>32</v>
      </c>
      <c r="E29" s="214" t="s">
        <v>630</v>
      </c>
      <c r="F29" s="443" t="s">
        <v>91</v>
      </c>
      <c r="G29" s="444" t="s">
        <v>91</v>
      </c>
      <c r="H29" s="444" t="s">
        <v>91</v>
      </c>
      <c r="I29" s="444">
        <v>4</v>
      </c>
      <c r="J29" s="444">
        <v>4</v>
      </c>
      <c r="K29" s="444" t="s">
        <v>91</v>
      </c>
      <c r="L29" s="444" t="s">
        <v>91</v>
      </c>
      <c r="M29" s="444" t="s">
        <v>91</v>
      </c>
      <c r="N29" s="444" t="s">
        <v>91</v>
      </c>
      <c r="O29" s="444" t="s">
        <v>91</v>
      </c>
      <c r="P29" s="444" t="s">
        <v>91</v>
      </c>
      <c r="Q29" s="444" t="s">
        <v>91</v>
      </c>
      <c r="R29" s="444" t="s">
        <v>91</v>
      </c>
      <c r="S29" s="391" t="s">
        <v>69</v>
      </c>
      <c r="T29" s="444">
        <v>4</v>
      </c>
      <c r="U29" s="445">
        <v>4</v>
      </c>
      <c r="V29" s="443" t="s">
        <v>91</v>
      </c>
      <c r="W29" s="176">
        <f t="shared" si="0"/>
        <v>0.25</v>
      </c>
      <c r="X29" s="177">
        <f t="shared" si="1"/>
        <v>1</v>
      </c>
    </row>
    <row r="30" spans="1:24" s="2" customFormat="1" ht="72" customHeight="1" thickBot="1">
      <c r="A30" s="178" t="s">
        <v>166</v>
      </c>
      <c r="B30" s="214" t="s">
        <v>780</v>
      </c>
      <c r="C30" s="179" t="s">
        <v>615</v>
      </c>
      <c r="D30" s="179" t="s">
        <v>32</v>
      </c>
      <c r="E30" s="214" t="s">
        <v>630</v>
      </c>
      <c r="F30" s="443" t="s">
        <v>91</v>
      </c>
      <c r="G30" s="444" t="s">
        <v>91</v>
      </c>
      <c r="H30" s="444" t="s">
        <v>91</v>
      </c>
      <c r="I30" s="444" t="s">
        <v>91</v>
      </c>
      <c r="J30" s="444" t="s">
        <v>91</v>
      </c>
      <c r="K30" s="444">
        <v>4</v>
      </c>
      <c r="L30" s="444" t="s">
        <v>91</v>
      </c>
      <c r="M30" s="444" t="s">
        <v>91</v>
      </c>
      <c r="N30" s="444" t="s">
        <v>91</v>
      </c>
      <c r="O30" s="444" t="s">
        <v>91</v>
      </c>
      <c r="P30" s="444" t="s">
        <v>91</v>
      </c>
      <c r="Q30" s="444" t="s">
        <v>91</v>
      </c>
      <c r="R30" s="444" t="s">
        <v>91</v>
      </c>
      <c r="S30" s="391" t="s">
        <v>69</v>
      </c>
      <c r="T30" s="444">
        <v>4</v>
      </c>
      <c r="U30" s="445">
        <v>4</v>
      </c>
      <c r="V30" s="443" t="s">
        <v>91</v>
      </c>
      <c r="W30" s="176">
        <f t="shared" si="0"/>
        <v>0.1875</v>
      </c>
      <c r="X30" s="177">
        <f t="shared" si="1"/>
        <v>1</v>
      </c>
    </row>
    <row r="31" spans="1:24" s="2" customFormat="1" ht="72" customHeight="1" thickBot="1">
      <c r="A31" s="178" t="s">
        <v>767</v>
      </c>
      <c r="B31" s="214" t="s">
        <v>774</v>
      </c>
      <c r="C31" s="179">
        <v>45782</v>
      </c>
      <c r="D31" s="179" t="s">
        <v>32</v>
      </c>
      <c r="E31" s="214" t="s">
        <v>630</v>
      </c>
      <c r="F31" s="443" t="s">
        <v>91</v>
      </c>
      <c r="G31" s="444" t="s">
        <v>91</v>
      </c>
      <c r="H31" s="444" t="s">
        <v>91</v>
      </c>
      <c r="I31" s="444" t="s">
        <v>91</v>
      </c>
      <c r="J31" s="444" t="s">
        <v>91</v>
      </c>
      <c r="K31" s="444" t="s">
        <v>91</v>
      </c>
      <c r="L31" s="444" t="s">
        <v>91</v>
      </c>
      <c r="M31" s="444" t="s">
        <v>91</v>
      </c>
      <c r="N31" s="444" t="s">
        <v>91</v>
      </c>
      <c r="O31" s="444" t="s">
        <v>91</v>
      </c>
      <c r="P31" s="444">
        <v>3</v>
      </c>
      <c r="Q31" s="444" t="s">
        <v>91</v>
      </c>
      <c r="R31" s="444" t="s">
        <v>91</v>
      </c>
      <c r="S31" s="391" t="s">
        <v>69</v>
      </c>
      <c r="T31" s="444">
        <v>4</v>
      </c>
      <c r="U31" s="445">
        <v>4</v>
      </c>
      <c r="V31" s="443" t="s">
        <v>91</v>
      </c>
      <c r="W31" s="176">
        <f t="shared" si="0"/>
        <v>0.1875</v>
      </c>
      <c r="X31" s="177">
        <f t="shared" si="1"/>
        <v>1</v>
      </c>
    </row>
    <row r="32" spans="1:24" s="2" customFormat="1" ht="72" customHeight="1" thickBot="1">
      <c r="A32" s="178" t="s">
        <v>863</v>
      </c>
      <c r="B32" s="214" t="s">
        <v>864</v>
      </c>
      <c r="C32" s="179">
        <v>45964</v>
      </c>
      <c r="D32" s="179" t="s">
        <v>32</v>
      </c>
      <c r="E32" s="214" t="s">
        <v>630</v>
      </c>
      <c r="F32" s="443" t="s">
        <v>91</v>
      </c>
      <c r="G32" s="444" t="s">
        <v>91</v>
      </c>
      <c r="H32" s="444" t="s">
        <v>91</v>
      </c>
      <c r="I32" s="444" t="s">
        <v>91</v>
      </c>
      <c r="J32" s="444" t="s">
        <v>91</v>
      </c>
      <c r="K32" s="444" t="s">
        <v>91</v>
      </c>
      <c r="L32" s="444">
        <v>3</v>
      </c>
      <c r="M32" s="444">
        <v>4</v>
      </c>
      <c r="N32" s="444" t="s">
        <v>91</v>
      </c>
      <c r="O32" s="444" t="s">
        <v>91</v>
      </c>
      <c r="P32" s="444" t="s">
        <v>91</v>
      </c>
      <c r="Q32" s="444" t="s">
        <v>91</v>
      </c>
      <c r="R32" s="444" t="s">
        <v>91</v>
      </c>
      <c r="S32" s="391" t="s">
        <v>69</v>
      </c>
      <c r="T32" s="444">
        <v>4</v>
      </c>
      <c r="U32" s="445">
        <v>4</v>
      </c>
      <c r="V32" s="443" t="s">
        <v>91</v>
      </c>
      <c r="W32" s="176">
        <f t="shared" si="0"/>
        <v>0.25</v>
      </c>
      <c r="X32" s="177">
        <f t="shared" si="1"/>
        <v>1</v>
      </c>
    </row>
    <row r="33" spans="1:24" s="2" customFormat="1" ht="72" customHeight="1" thickBot="1">
      <c r="A33" s="178" t="s">
        <v>929</v>
      </c>
      <c r="B33" s="214" t="s">
        <v>941</v>
      </c>
      <c r="C33" s="179">
        <v>45992</v>
      </c>
      <c r="D33" s="179" t="s">
        <v>32</v>
      </c>
      <c r="E33" s="214" t="s">
        <v>630</v>
      </c>
      <c r="F33" s="443" t="s">
        <v>91</v>
      </c>
      <c r="G33" s="444" t="s">
        <v>91</v>
      </c>
      <c r="H33" s="444" t="s">
        <v>91</v>
      </c>
      <c r="I33" s="444" t="s">
        <v>91</v>
      </c>
      <c r="J33" s="444" t="s">
        <v>91</v>
      </c>
      <c r="K33" s="444" t="s">
        <v>91</v>
      </c>
      <c r="L33" s="444" t="s">
        <v>91</v>
      </c>
      <c r="M33" s="444" t="s">
        <v>91</v>
      </c>
      <c r="N33" s="444">
        <v>4</v>
      </c>
      <c r="O33" s="444" t="s">
        <v>91</v>
      </c>
      <c r="P33" s="444" t="s">
        <v>91</v>
      </c>
      <c r="Q33" s="444" t="s">
        <v>91</v>
      </c>
      <c r="R33" s="444" t="s">
        <v>91</v>
      </c>
      <c r="S33" s="444">
        <v>3</v>
      </c>
      <c r="T33" s="444">
        <v>4</v>
      </c>
      <c r="U33" s="445">
        <v>4</v>
      </c>
      <c r="V33" s="443" t="s">
        <v>91</v>
      </c>
      <c r="W33" s="176">
        <f t="shared" si="0"/>
        <v>0.25</v>
      </c>
      <c r="X33" s="177">
        <f t="shared" si="1"/>
        <v>1</v>
      </c>
    </row>
    <row r="34" spans="1:24" s="2" customFormat="1" ht="72" customHeight="1" thickBot="1">
      <c r="A34" s="178" t="s">
        <v>641</v>
      </c>
      <c r="B34" s="214" t="s">
        <v>644</v>
      </c>
      <c r="C34" s="179">
        <v>45628</v>
      </c>
      <c r="D34" s="179" t="s">
        <v>32</v>
      </c>
      <c r="E34" s="214" t="s">
        <v>630</v>
      </c>
      <c r="F34" s="443" t="s">
        <v>91</v>
      </c>
      <c r="G34" s="444" t="s">
        <v>91</v>
      </c>
      <c r="H34" s="444" t="s">
        <v>91</v>
      </c>
      <c r="I34" s="444" t="s">
        <v>91</v>
      </c>
      <c r="J34" s="444" t="s">
        <v>91</v>
      </c>
      <c r="K34" s="444" t="s">
        <v>91</v>
      </c>
      <c r="L34" s="444" t="s">
        <v>91</v>
      </c>
      <c r="M34" s="444" t="s">
        <v>91</v>
      </c>
      <c r="N34" s="444" t="s">
        <v>91</v>
      </c>
      <c r="O34" s="444" t="s">
        <v>91</v>
      </c>
      <c r="P34" s="444" t="s">
        <v>91</v>
      </c>
      <c r="Q34" s="444" t="s">
        <v>91</v>
      </c>
      <c r="R34" s="444" t="s">
        <v>91</v>
      </c>
      <c r="S34" s="444" t="s">
        <v>91</v>
      </c>
      <c r="T34" s="444" t="s">
        <v>91</v>
      </c>
      <c r="U34" s="445">
        <v>4</v>
      </c>
      <c r="V34" s="443" t="s">
        <v>91</v>
      </c>
      <c r="W34" s="176">
        <f t="shared" ref="W34" si="2">COUNTIF(F34:V34,"&gt;0")/16</f>
        <v>6.25E-2</v>
      </c>
      <c r="X34" s="177">
        <f t="shared" ref="X34" si="3">+COUNTIF(F34:V34,"&gt;2")/COUNTIF(F34:V34,"&gt;1")</f>
        <v>1</v>
      </c>
    </row>
    <row r="35" spans="1:24" s="2" customFormat="1" ht="72" customHeight="1" thickBot="1">
      <c r="A35" s="178" t="s">
        <v>507</v>
      </c>
      <c r="B35" s="214" t="s">
        <v>508</v>
      </c>
      <c r="C35" s="179" t="s">
        <v>616</v>
      </c>
      <c r="D35" s="179" t="s">
        <v>32</v>
      </c>
      <c r="E35" s="214" t="s">
        <v>630</v>
      </c>
      <c r="F35" s="443" t="s">
        <v>91</v>
      </c>
      <c r="G35" s="444" t="s">
        <v>91</v>
      </c>
      <c r="H35" s="444" t="s">
        <v>91</v>
      </c>
      <c r="I35" s="444" t="s">
        <v>91</v>
      </c>
      <c r="J35" s="444" t="s">
        <v>91</v>
      </c>
      <c r="K35" s="444" t="s">
        <v>91</v>
      </c>
      <c r="L35" s="444" t="s">
        <v>91</v>
      </c>
      <c r="M35" s="444" t="s">
        <v>91</v>
      </c>
      <c r="N35" s="444" t="s">
        <v>91</v>
      </c>
      <c r="O35" s="444" t="s">
        <v>91</v>
      </c>
      <c r="P35" s="444" t="s">
        <v>91</v>
      </c>
      <c r="Q35" s="444" t="s">
        <v>91</v>
      </c>
      <c r="R35" s="444" t="s">
        <v>91</v>
      </c>
      <c r="S35" s="444" t="s">
        <v>91</v>
      </c>
      <c r="T35" s="444" t="s">
        <v>91</v>
      </c>
      <c r="U35" s="445">
        <v>4</v>
      </c>
      <c r="V35" s="443" t="s">
        <v>91</v>
      </c>
      <c r="W35" s="176">
        <f t="shared" ref="W35:W37" si="4">COUNTIF(F35:V35,"&gt;0")/16</f>
        <v>6.25E-2</v>
      </c>
      <c r="X35" s="177">
        <f t="shared" ref="X35:X36" si="5">+COUNTIF(F35:V35,"&gt;2")/COUNTIF(F35:V35,"&gt;1")</f>
        <v>1</v>
      </c>
    </row>
    <row r="36" spans="1:24" s="2" customFormat="1" ht="72" customHeight="1" thickBot="1">
      <c r="A36" s="178" t="s">
        <v>927</v>
      </c>
      <c r="B36" s="214" t="s">
        <v>939</v>
      </c>
      <c r="C36" s="179">
        <v>45992</v>
      </c>
      <c r="D36" s="179" t="s">
        <v>32</v>
      </c>
      <c r="E36" s="214" t="s">
        <v>630</v>
      </c>
      <c r="F36" s="446" t="s">
        <v>91</v>
      </c>
      <c r="G36" s="444" t="s">
        <v>91</v>
      </c>
      <c r="H36" s="444" t="s">
        <v>91</v>
      </c>
      <c r="I36" s="444" t="s">
        <v>91</v>
      </c>
      <c r="J36" s="444" t="s">
        <v>91</v>
      </c>
      <c r="K36" s="444" t="s">
        <v>91</v>
      </c>
      <c r="L36" s="444" t="s">
        <v>91</v>
      </c>
      <c r="M36" s="444" t="s">
        <v>91</v>
      </c>
      <c r="N36" s="444" t="s">
        <v>91</v>
      </c>
      <c r="O36" s="444" t="s">
        <v>91</v>
      </c>
      <c r="P36" s="444" t="s">
        <v>91</v>
      </c>
      <c r="Q36" s="444" t="s">
        <v>91</v>
      </c>
      <c r="R36" s="444" t="s">
        <v>91</v>
      </c>
      <c r="S36" s="444" t="s">
        <v>91</v>
      </c>
      <c r="T36" s="444" t="s">
        <v>91</v>
      </c>
      <c r="U36" s="445">
        <v>4</v>
      </c>
      <c r="V36" s="443" t="s">
        <v>91</v>
      </c>
      <c r="W36" s="176">
        <f t="shared" si="4"/>
        <v>6.25E-2</v>
      </c>
      <c r="X36" s="177">
        <f t="shared" si="5"/>
        <v>1</v>
      </c>
    </row>
    <row r="37" spans="1:24" s="2" customFormat="1" ht="72" customHeight="1" thickBot="1">
      <c r="A37" s="178" t="s">
        <v>974</v>
      </c>
      <c r="B37" s="214" t="s">
        <v>980</v>
      </c>
      <c r="C37" s="179">
        <v>46006</v>
      </c>
      <c r="D37" s="179" t="s">
        <v>32</v>
      </c>
      <c r="E37" s="214" t="s">
        <v>630</v>
      </c>
      <c r="F37" s="446" t="s">
        <v>91</v>
      </c>
      <c r="G37" s="444" t="s">
        <v>91</v>
      </c>
      <c r="H37" s="444" t="s">
        <v>91</v>
      </c>
      <c r="I37" s="444" t="s">
        <v>91</v>
      </c>
      <c r="J37" s="444" t="s">
        <v>91</v>
      </c>
      <c r="K37" s="444" t="s">
        <v>91</v>
      </c>
      <c r="L37" s="444" t="s">
        <v>91</v>
      </c>
      <c r="M37" s="444" t="s">
        <v>91</v>
      </c>
      <c r="N37" s="444" t="s">
        <v>91</v>
      </c>
      <c r="O37" s="444">
        <v>4</v>
      </c>
      <c r="P37" s="444" t="s">
        <v>91</v>
      </c>
      <c r="Q37" s="444" t="s">
        <v>91</v>
      </c>
      <c r="R37" s="444" t="s">
        <v>91</v>
      </c>
      <c r="S37" s="444" t="s">
        <v>91</v>
      </c>
      <c r="T37" s="444">
        <v>4</v>
      </c>
      <c r="U37" s="445">
        <v>4</v>
      </c>
      <c r="V37" s="443"/>
      <c r="W37" s="176">
        <f t="shared" si="4"/>
        <v>0.1875</v>
      </c>
      <c r="X37" s="177"/>
    </row>
    <row r="38" spans="1:24" s="2" customFormat="1" ht="72" customHeight="1" thickBot="1">
      <c r="A38" s="178" t="s">
        <v>925</v>
      </c>
      <c r="B38" s="214" t="s">
        <v>937</v>
      </c>
      <c r="C38" s="179">
        <v>45992</v>
      </c>
      <c r="D38" s="179" t="s">
        <v>32</v>
      </c>
      <c r="E38" s="214" t="s">
        <v>630</v>
      </c>
      <c r="F38" s="445">
        <v>4</v>
      </c>
      <c r="G38" s="444">
        <v>3</v>
      </c>
      <c r="H38" s="444" t="s">
        <v>91</v>
      </c>
      <c r="I38" s="444" t="s">
        <v>91</v>
      </c>
      <c r="J38" s="444" t="s">
        <v>91</v>
      </c>
      <c r="K38" s="444" t="s">
        <v>91</v>
      </c>
      <c r="L38" s="444" t="s">
        <v>91</v>
      </c>
      <c r="M38" s="444" t="s">
        <v>91</v>
      </c>
      <c r="N38" s="444" t="s">
        <v>91</v>
      </c>
      <c r="O38" s="444" t="s">
        <v>91</v>
      </c>
      <c r="P38" s="444" t="s">
        <v>91</v>
      </c>
      <c r="Q38" s="444" t="s">
        <v>91</v>
      </c>
      <c r="R38" s="444" t="s">
        <v>91</v>
      </c>
      <c r="S38" s="444" t="s">
        <v>91</v>
      </c>
      <c r="T38" s="444">
        <v>4</v>
      </c>
      <c r="U38" s="445">
        <v>4</v>
      </c>
      <c r="V38" s="443" t="s">
        <v>91</v>
      </c>
      <c r="W38" s="176">
        <f>COUNTIF(F38:V38,"&gt;0")/16</f>
        <v>0.25</v>
      </c>
      <c r="X38" s="177">
        <f>+COUNTIF(F38:V38,"&gt;2")/COUNTIF(F38:V38,"&gt;1")</f>
        <v>1</v>
      </c>
    </row>
    <row r="39" spans="1:24" s="2" customFormat="1" ht="72" customHeight="1" thickBot="1">
      <c r="A39" s="178" t="s">
        <v>921</v>
      </c>
      <c r="B39" s="214" t="s">
        <v>933</v>
      </c>
      <c r="C39" s="179">
        <v>45992</v>
      </c>
      <c r="D39" s="179" t="s">
        <v>32</v>
      </c>
      <c r="E39" s="214" t="s">
        <v>630</v>
      </c>
      <c r="F39" s="445">
        <v>2</v>
      </c>
      <c r="G39" s="444" t="s">
        <v>91</v>
      </c>
      <c r="H39" s="444" t="s">
        <v>91</v>
      </c>
      <c r="I39" s="444" t="s">
        <v>91</v>
      </c>
      <c r="J39" s="444" t="s">
        <v>91</v>
      </c>
      <c r="K39" s="444" t="s">
        <v>91</v>
      </c>
      <c r="L39" s="444" t="s">
        <v>91</v>
      </c>
      <c r="M39" s="444" t="s">
        <v>91</v>
      </c>
      <c r="N39" s="444" t="s">
        <v>91</v>
      </c>
      <c r="O39" s="444" t="s">
        <v>91</v>
      </c>
      <c r="P39" s="444" t="s">
        <v>91</v>
      </c>
      <c r="Q39" s="444" t="s">
        <v>91</v>
      </c>
      <c r="R39" s="444" t="s">
        <v>91</v>
      </c>
      <c r="S39" s="444" t="s">
        <v>91</v>
      </c>
      <c r="T39" s="444" t="s">
        <v>91</v>
      </c>
      <c r="U39" s="444" t="s">
        <v>91</v>
      </c>
      <c r="V39" s="444" t="s">
        <v>91</v>
      </c>
      <c r="W39" s="176">
        <f>COUNTIF(F39:V39,"&gt;0")/16</f>
        <v>6.25E-2</v>
      </c>
      <c r="X39" s="177">
        <f>+COUNTIF(F39:V39,"&gt;2")/COUNTIF(F39:V39,"&gt;1")</f>
        <v>0</v>
      </c>
    </row>
    <row r="40" spans="1:24" s="136" customFormat="1" ht="72" customHeight="1" thickBot="1">
      <c r="A40" s="122"/>
      <c r="B40" s="122"/>
      <c r="C40" s="122"/>
      <c r="D40" s="122"/>
      <c r="E40" s="12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s="136" customFormat="1" ht="102" customHeight="1" thickBot="1">
      <c r="A41" s="737"/>
      <c r="B41" s="735" t="s">
        <v>17</v>
      </c>
      <c r="C41" s="735"/>
      <c r="D41" s="736"/>
      <c r="E41" s="736"/>
      <c r="F41" s="428">
        <v>6</v>
      </c>
      <c r="G41" s="428">
        <v>4</v>
      </c>
      <c r="H41" s="428">
        <v>4</v>
      </c>
      <c r="I41" s="428">
        <v>3</v>
      </c>
      <c r="J41" s="428">
        <v>3</v>
      </c>
      <c r="K41" s="428">
        <f>COUNT(K17:K26)</f>
        <v>1</v>
      </c>
      <c r="L41" s="428">
        <v>4</v>
      </c>
      <c r="M41" s="428">
        <v>6</v>
      </c>
      <c r="N41" s="428">
        <f t="shared" ref="N41:V41" si="6">COUNT(N17:N26)</f>
        <v>5</v>
      </c>
      <c r="O41" s="428">
        <f t="shared" si="6"/>
        <v>4</v>
      </c>
      <c r="P41" s="428">
        <f t="shared" si="6"/>
        <v>3</v>
      </c>
      <c r="Q41" s="428">
        <f t="shared" si="6"/>
        <v>4</v>
      </c>
      <c r="R41" s="428">
        <f t="shared" si="6"/>
        <v>2</v>
      </c>
      <c r="S41" s="428">
        <v>0</v>
      </c>
      <c r="T41" s="428">
        <f t="shared" si="6"/>
        <v>9</v>
      </c>
      <c r="U41" s="428">
        <f t="shared" si="6"/>
        <v>9</v>
      </c>
      <c r="V41" s="428">
        <f t="shared" si="6"/>
        <v>0</v>
      </c>
      <c r="W41" s="739"/>
      <c r="X41" s="740"/>
    </row>
    <row r="42" spans="1:24" s="14" customFormat="1" ht="83.25" customHeight="1" thickBot="1">
      <c r="A42" s="738"/>
      <c r="B42" s="743" t="s">
        <v>12</v>
      </c>
      <c r="C42" s="743"/>
      <c r="D42" s="743"/>
      <c r="E42" s="735"/>
      <c r="F42" s="428">
        <v>3</v>
      </c>
      <c r="G42" s="428">
        <v>3</v>
      </c>
      <c r="H42" s="428">
        <v>3</v>
      </c>
      <c r="I42" s="428">
        <v>3</v>
      </c>
      <c r="J42" s="428">
        <v>3</v>
      </c>
      <c r="K42" s="428">
        <v>3</v>
      </c>
      <c r="L42" s="428">
        <v>3</v>
      </c>
      <c r="M42" s="428">
        <v>3</v>
      </c>
      <c r="N42" s="428">
        <v>3</v>
      </c>
      <c r="O42" s="428">
        <v>3</v>
      </c>
      <c r="P42" s="428">
        <v>3</v>
      </c>
      <c r="Q42" s="428">
        <v>3</v>
      </c>
      <c r="R42" s="428">
        <v>3</v>
      </c>
      <c r="S42" s="428">
        <v>3</v>
      </c>
      <c r="T42" s="428">
        <v>3</v>
      </c>
      <c r="U42" s="428">
        <v>3</v>
      </c>
      <c r="V42" s="428">
        <v>3</v>
      </c>
      <c r="W42" s="741"/>
      <c r="X42" s="742"/>
    </row>
    <row r="43" spans="1:24" s="14" customFormat="1" ht="15.75" customHeight="1">
      <c r="A43" s="121"/>
      <c r="B43" s="121"/>
      <c r="C43" s="121"/>
      <c r="D43" s="121"/>
      <c r="E43" s="121"/>
    </row>
    <row r="44" spans="1:24" s="14" customFormat="1" ht="15.75" customHeight="1">
      <c r="A44" s="121"/>
      <c r="B44" s="121"/>
      <c r="C44" s="121"/>
      <c r="D44" s="121"/>
      <c r="E44" s="121"/>
    </row>
    <row r="45" spans="1:24" s="14" customFormat="1" ht="36" customHeight="1" thickBot="1">
      <c r="A45" s="121"/>
      <c r="B45" s="121"/>
      <c r="C45" s="121"/>
      <c r="D45" s="121"/>
      <c r="E45" s="121"/>
    </row>
    <row r="46" spans="1:24" s="14" customFormat="1" ht="36" customHeight="1">
      <c r="A46" s="121"/>
      <c r="B46" s="701" t="s">
        <v>13</v>
      </c>
      <c r="C46" s="702"/>
      <c r="D46" s="703"/>
      <c r="E46" s="703"/>
      <c r="F46" s="707" t="s">
        <v>14</v>
      </c>
      <c r="G46" s="707"/>
      <c r="H46" s="709" t="s">
        <v>15</v>
      </c>
      <c r="I46" s="710"/>
    </row>
    <row r="47" spans="1:24" s="14" customFormat="1" ht="36" customHeight="1">
      <c r="A47" s="121"/>
      <c r="B47" s="704"/>
      <c r="C47" s="705"/>
      <c r="D47" s="706"/>
      <c r="E47" s="706"/>
      <c r="F47" s="708"/>
      <c r="G47" s="708"/>
      <c r="H47" s="711"/>
      <c r="I47" s="712"/>
    </row>
    <row r="48" spans="1:24" s="14" customFormat="1" ht="36" customHeight="1">
      <c r="A48" s="121"/>
      <c r="B48" s="721" t="s">
        <v>436</v>
      </c>
      <c r="C48" s="722"/>
      <c r="D48" s="723"/>
      <c r="E48" s="723"/>
      <c r="F48" s="727" t="s">
        <v>437</v>
      </c>
      <c r="G48" s="727"/>
      <c r="H48" s="729" t="s">
        <v>437</v>
      </c>
      <c r="I48" s="730"/>
    </row>
    <row r="49" spans="1:24" s="14" customFormat="1" ht="36" customHeight="1">
      <c r="A49" s="121"/>
      <c r="B49" s="721"/>
      <c r="C49" s="722"/>
      <c r="D49" s="723"/>
      <c r="E49" s="723"/>
      <c r="F49" s="727"/>
      <c r="G49" s="727"/>
      <c r="H49" s="731"/>
      <c r="I49" s="732"/>
    </row>
    <row r="50" spans="1:24" s="14" customFormat="1" ht="96" customHeight="1">
      <c r="A50" s="121"/>
      <c r="B50" s="721"/>
      <c r="C50" s="722"/>
      <c r="D50" s="723"/>
      <c r="E50" s="723"/>
      <c r="F50" s="727"/>
      <c r="G50" s="727"/>
      <c r="H50" s="731"/>
      <c r="I50" s="732"/>
    </row>
    <row r="51" spans="1:24" s="14" customFormat="1" ht="96" customHeight="1">
      <c r="A51" s="121"/>
      <c r="B51" s="721"/>
      <c r="C51" s="722"/>
      <c r="D51" s="723"/>
      <c r="E51" s="723"/>
      <c r="F51" s="727"/>
      <c r="G51" s="727"/>
      <c r="H51" s="731"/>
      <c r="I51" s="732"/>
    </row>
    <row r="52" spans="1:24" s="14" customFormat="1" ht="96" customHeight="1">
      <c r="A52" s="121"/>
      <c r="B52" s="721"/>
      <c r="C52" s="722"/>
      <c r="D52" s="723"/>
      <c r="E52" s="723"/>
      <c r="F52" s="727"/>
      <c r="G52" s="727"/>
      <c r="H52" s="731"/>
      <c r="I52" s="732"/>
    </row>
    <row r="53" spans="1:24" s="14" customFormat="1" ht="96" customHeight="1">
      <c r="A53" s="121"/>
      <c r="B53" s="721"/>
      <c r="C53" s="722"/>
      <c r="D53" s="723"/>
      <c r="E53" s="723"/>
      <c r="F53" s="727"/>
      <c r="G53" s="727"/>
      <c r="H53" s="731"/>
      <c r="I53" s="732"/>
    </row>
    <row r="54" spans="1:24" s="14" customFormat="1" ht="36" customHeight="1">
      <c r="A54" s="121"/>
      <c r="B54" s="721"/>
      <c r="C54" s="722"/>
      <c r="D54" s="723"/>
      <c r="E54" s="723"/>
      <c r="F54" s="727"/>
      <c r="G54" s="727"/>
      <c r="H54" s="731"/>
      <c r="I54" s="732"/>
    </row>
    <row r="55" spans="1:24" s="14" customFormat="1" ht="36" customHeight="1">
      <c r="A55" s="121"/>
      <c r="B55" s="721"/>
      <c r="C55" s="722"/>
      <c r="D55" s="723"/>
      <c r="E55" s="723"/>
      <c r="F55" s="727"/>
      <c r="G55" s="727"/>
      <c r="H55" s="731"/>
      <c r="I55" s="732"/>
    </row>
    <row r="56" spans="1:24" s="14" customFormat="1" ht="36" customHeight="1">
      <c r="A56" s="121"/>
      <c r="B56" s="721"/>
      <c r="C56" s="722"/>
      <c r="D56" s="723"/>
      <c r="E56" s="723"/>
      <c r="F56" s="727"/>
      <c r="G56" s="727"/>
      <c r="H56" s="731"/>
      <c r="I56" s="732"/>
    </row>
    <row r="57" spans="1:24" s="14" customFormat="1" ht="16.5" customHeight="1" thickBot="1">
      <c r="A57" s="121"/>
      <c r="B57" s="724"/>
      <c r="C57" s="725"/>
      <c r="D57" s="726"/>
      <c r="E57" s="726"/>
      <c r="F57" s="728"/>
      <c r="G57" s="728"/>
      <c r="H57" s="733"/>
      <c r="I57" s="734"/>
    </row>
    <row r="58" spans="1:24" ht="15.6">
      <c r="A58" s="121"/>
      <c r="B58" s="121"/>
      <c r="C58" s="121"/>
      <c r="D58" s="121"/>
      <c r="E58" s="121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60" spans="1:24" ht="15.6">
      <c r="A60" s="720" t="s">
        <v>18</v>
      </c>
      <c r="B60" s="720"/>
      <c r="C60" s="720"/>
      <c r="D60" s="720"/>
      <c r="E60" s="720"/>
    </row>
    <row r="61" spans="1:24" ht="15.6">
      <c r="A61" s="720" t="s">
        <v>19</v>
      </c>
      <c r="B61" s="720"/>
      <c r="C61" s="720"/>
      <c r="D61" s="720"/>
      <c r="E61" s="720"/>
    </row>
  </sheetData>
  <mergeCells count="57">
    <mergeCell ref="A61:E61"/>
    <mergeCell ref="X3:X11"/>
    <mergeCell ref="F7:G7"/>
    <mergeCell ref="A1:C2"/>
    <mergeCell ref="D1:V1"/>
    <mergeCell ref="D2:V2"/>
    <mergeCell ref="T3:V11"/>
    <mergeCell ref="W3:W11"/>
    <mergeCell ref="T12:V12"/>
    <mergeCell ref="W12:W17"/>
    <mergeCell ref="X12:X17"/>
    <mergeCell ref="A13:A17"/>
    <mergeCell ref="B13:B17"/>
    <mergeCell ref="C13:C17"/>
    <mergeCell ref="D13:D17"/>
    <mergeCell ref="E13:E17"/>
    <mergeCell ref="G13:H13"/>
    <mergeCell ref="I13:J13"/>
    <mergeCell ref="T13:T17"/>
    <mergeCell ref="U13:U17"/>
    <mergeCell ref="V13:V16"/>
    <mergeCell ref="L14:L15"/>
    <mergeCell ref="M14:M15"/>
    <mergeCell ref="M16:M17"/>
    <mergeCell ref="R16:R17"/>
    <mergeCell ref="N14:N15"/>
    <mergeCell ref="O14:O15"/>
    <mergeCell ref="P14:P15"/>
    <mergeCell ref="Q14:Q15"/>
    <mergeCell ref="R14:R15"/>
    <mergeCell ref="N16:N17"/>
    <mergeCell ref="O16:O17"/>
    <mergeCell ref="W41:X42"/>
    <mergeCell ref="B42:E42"/>
    <mergeCell ref="F16:F17"/>
    <mergeCell ref="G16:G17"/>
    <mergeCell ref="H16:H17"/>
    <mergeCell ref="K16:K17"/>
    <mergeCell ref="L16:L17"/>
    <mergeCell ref="A60:E60"/>
    <mergeCell ref="B48:E57"/>
    <mergeCell ref="F48:G57"/>
    <mergeCell ref="H48:I57"/>
    <mergeCell ref="P16:P17"/>
    <mergeCell ref="B41:E41"/>
    <mergeCell ref="A41:A42"/>
    <mergeCell ref="S14:S15"/>
    <mergeCell ref="S16:S17"/>
    <mergeCell ref="B46:E47"/>
    <mergeCell ref="F46:G47"/>
    <mergeCell ref="H46:I47"/>
    <mergeCell ref="Q16:Q17"/>
    <mergeCell ref="F14:F15"/>
    <mergeCell ref="G14:G15"/>
    <mergeCell ref="H14:H15"/>
    <mergeCell ref="I14:J15"/>
    <mergeCell ref="K14:K15"/>
  </mergeCells>
  <conditionalFormatting sqref="F18:F21 F23:F37">
    <cfRule type="top10" dxfId="2457" priority="310542" rank="10"/>
    <cfRule type="cellIs" dxfId="2456" priority="310543" operator="equal">
      <formula>1</formula>
    </cfRule>
  </conditionalFormatting>
  <conditionalFormatting sqref="F18:R19 F20:L20 N20:S20 F21:R36 S33:S36 N35:P37 F37:N37 P37:S37 G38:S38 G39:V39">
    <cfRule type="containsText" dxfId="2455" priority="633" operator="containsText" text="1">
      <formula>NOT(ISERROR(SEARCH("1",F18)))</formula>
    </cfRule>
    <cfRule type="cellIs" dxfId="2454" priority="634" operator="equal">
      <formula>2</formula>
    </cfRule>
    <cfRule type="containsText" dxfId="2453" priority="631" operator="containsText" text="3">
      <formula>NOT(ISERROR(SEARCH("3",F18)))</formula>
    </cfRule>
    <cfRule type="containsText" dxfId="2452" priority="632" operator="containsText" text="2">
      <formula>NOT(ISERROR(SEARCH("2",F18)))</formula>
    </cfRule>
  </conditionalFormatting>
  <conditionalFormatting sqref="F18:R19 M21:M39 S33:S38">
    <cfRule type="cellIs" dxfId="2451" priority="277263" operator="equal">
      <formula>1</formula>
    </cfRule>
  </conditionalFormatting>
  <conditionalFormatting sqref="F21:R36 F37:S38 F39:V39 F20:L20 N35:P37">
    <cfRule type="cellIs" dxfId="2450" priority="277454" operator="equal">
      <formula>1</formula>
    </cfRule>
  </conditionalFormatting>
  <conditionalFormatting sqref="F20:S20 F21:R39 F18:R19">
    <cfRule type="cellIs" dxfId="2449" priority="201" operator="equal">
      <formula>4</formula>
    </cfRule>
    <cfRule type="cellIs" dxfId="2448" priority="202" operator="equal">
      <formula>3</formula>
    </cfRule>
  </conditionalFormatting>
  <conditionalFormatting sqref="G18 G19:H20 H21">
    <cfRule type="cellIs" dxfId="2447" priority="277462" operator="equal">
      <formula>1</formula>
    </cfRule>
  </conditionalFormatting>
  <conditionalFormatting sqref="G18 G19:H21 F22:G22 G23:G39">
    <cfRule type="top10" dxfId="2446" priority="312559" rank="10"/>
  </conditionalFormatting>
  <conditionalFormatting sqref="H18:H39 G39:V39">
    <cfRule type="cellIs" dxfId="2445" priority="310584" operator="equal">
      <formula>4</formula>
    </cfRule>
    <cfRule type="cellIs" dxfId="2444" priority="310583" operator="equal">
      <formula>1</formula>
    </cfRule>
    <cfRule type="top10" dxfId="2443" priority="310582" rank="10"/>
    <cfRule type="top10" dxfId="2442" priority="310586" rank="10"/>
    <cfRule type="cellIs" dxfId="2441" priority="310585" operator="equal">
      <formula>3</formula>
    </cfRule>
  </conditionalFormatting>
  <conditionalFormatting sqref="H18:I39 L18:L39">
    <cfRule type="cellIs" dxfId="2440" priority="277558" operator="equal">
      <formula>1</formula>
    </cfRule>
  </conditionalFormatting>
  <conditionalFormatting sqref="I18:I39">
    <cfRule type="top10" dxfId="2439" priority="310599" rank="10"/>
    <cfRule type="top10" dxfId="2438" priority="310602" rank="10"/>
    <cfRule type="cellIs" dxfId="2437" priority="310600" operator="equal">
      <formula>1</formula>
    </cfRule>
    <cfRule type="top10" dxfId="2436" priority="310601" rank="10"/>
    <cfRule type="cellIs" dxfId="2435" priority="310603" operator="equal">
      <formula>1</formula>
    </cfRule>
  </conditionalFormatting>
  <conditionalFormatting sqref="J18:J39">
    <cfRule type="top10" dxfId="2434" priority="310609" rank="10"/>
    <cfRule type="cellIs" dxfId="2433" priority="310610" operator="equal">
      <formula>1</formula>
    </cfRule>
  </conditionalFormatting>
  <conditionalFormatting sqref="K18">
    <cfRule type="top10" dxfId="2432" priority="28" rank="10"/>
    <cfRule type="top10" dxfId="2431" priority="25" rank="10"/>
    <cfRule type="top10" dxfId="2430" priority="26" rank="10"/>
    <cfRule type="top10" dxfId="2429" priority="27" rank="10"/>
    <cfRule type="cellIs" dxfId="2428" priority="29" operator="equal">
      <formula>1</formula>
    </cfRule>
    <cfRule type="cellIs" dxfId="2427" priority="30" operator="equal">
      <formula>4</formula>
    </cfRule>
    <cfRule type="cellIs" dxfId="2426" priority="31" operator="equal">
      <formula>3</formula>
    </cfRule>
  </conditionalFormatting>
  <conditionalFormatting sqref="K18:K39">
    <cfRule type="cellIs" dxfId="2425" priority="310618" operator="equal">
      <formula>1</formula>
    </cfRule>
    <cfRule type="top10" dxfId="2424" priority="310617" rank="10"/>
    <cfRule type="cellIs" dxfId="2423" priority="310616" operator="equal">
      <formula>3</formula>
    </cfRule>
    <cfRule type="cellIs" dxfId="2422" priority="310615" operator="equal">
      <formula>4</formula>
    </cfRule>
    <cfRule type="cellIs" dxfId="2421" priority="310614" operator="equal">
      <formula>1</formula>
    </cfRule>
    <cfRule type="top10" dxfId="2420" priority="310613" rank="10"/>
  </conditionalFormatting>
  <conditionalFormatting sqref="M18:M19 M21:M39 S33:S38 P18:P39">
    <cfRule type="cellIs" dxfId="2419" priority="277261" operator="equal">
      <formula>3</formula>
    </cfRule>
    <cfRule type="cellIs" dxfId="2418" priority="277260" operator="equal">
      <formula>4</formula>
    </cfRule>
    <cfRule type="cellIs" dxfId="2417" priority="277259" operator="equal">
      <formula>1</formula>
    </cfRule>
  </conditionalFormatting>
  <conditionalFormatting sqref="M18:M19 S34:S38 M21:M39">
    <cfRule type="top10" dxfId="2416" priority="277258" rank="10"/>
    <cfRule type="top10" dxfId="2415" priority="277262" rank="10"/>
  </conditionalFormatting>
  <conditionalFormatting sqref="M20">
    <cfRule type="containsText" dxfId="2414" priority="194" operator="containsText" text="4">
      <formula>NOT(ISERROR(SEARCH("4",M20)))</formula>
    </cfRule>
    <cfRule type="containsText" dxfId="2413" priority="195" operator="containsText" text="3">
      <formula>NOT(ISERROR(SEARCH("3",M20)))</formula>
    </cfRule>
    <cfRule type="containsText" dxfId="2412" priority="196" operator="containsText" text="2">
      <formula>NOT(ISERROR(SEARCH("2",M20)))</formula>
    </cfRule>
    <cfRule type="cellIs" dxfId="2411" priority="198" operator="equal">
      <formula>2</formula>
    </cfRule>
    <cfRule type="top10" dxfId="2410" priority="199" rank="10"/>
    <cfRule type="cellIs" dxfId="2409" priority="200" operator="equal">
      <formula>1</formula>
    </cfRule>
    <cfRule type="containsText" dxfId="2408" priority="197" operator="containsText" text="1">
      <formula>NOT(ISERROR(SEARCH("1",M20)))</formula>
    </cfRule>
  </conditionalFormatting>
  <conditionalFormatting sqref="N18:N39">
    <cfRule type="top10" dxfId="2407" priority="310645" rank="10"/>
    <cfRule type="cellIs" dxfId="2406" priority="310646" operator="equal">
      <formula>1</formula>
    </cfRule>
    <cfRule type="cellIs" dxfId="2405" priority="310644" operator="equal">
      <formula>3</formula>
    </cfRule>
    <cfRule type="cellIs" dxfId="2404" priority="310643" operator="equal">
      <formula>4</formula>
    </cfRule>
    <cfRule type="cellIs" dxfId="2403" priority="310642" operator="equal">
      <formula>1</formula>
    </cfRule>
    <cfRule type="top10" dxfId="2402" priority="310641" rank="10"/>
  </conditionalFormatting>
  <conditionalFormatting sqref="N34:N39">
    <cfRule type="cellIs" dxfId="2401" priority="157" operator="equal">
      <formula>4</formula>
    </cfRule>
    <cfRule type="cellIs" dxfId="2400" priority="156" operator="equal">
      <formula>1</formula>
    </cfRule>
    <cfRule type="top10" dxfId="2399" priority="155" rank="10"/>
    <cfRule type="cellIs" dxfId="2398" priority="160" operator="equal">
      <formula>1</formula>
    </cfRule>
    <cfRule type="top10" dxfId="2397" priority="159" rank="10"/>
    <cfRule type="cellIs" dxfId="2396" priority="158" operator="equal">
      <formula>3</formula>
    </cfRule>
  </conditionalFormatting>
  <conditionalFormatting sqref="N20:S20 F20:L20 S33:S36 F37:N37 P37:S37 N35:P37 F18:R19 F21:R36 G38:S38 G39:V39">
    <cfRule type="top10" dxfId="2395" priority="312563" rank="10"/>
  </conditionalFormatting>
  <conditionalFormatting sqref="N20:S20 F20:L20 S33:S36 F37:N37 P37:S37 N35:P37 F18:R19 F21:R36 V18:V38 G38:S38 G39:V39">
    <cfRule type="top10" dxfId="2394" priority="312573" rank="10"/>
    <cfRule type="top10" dxfId="2393" priority="312572" rank="10"/>
  </conditionalFormatting>
  <conditionalFormatting sqref="N20:S20 S33:S36 N35:P37 P37:S37 G38:S38 F18:R19 F20:L20 F21:R36 G39:V39">
    <cfRule type="containsText" dxfId="2392" priority="630" operator="containsText" text="4">
      <formula>NOT(ISERROR(SEARCH("4",F18)))</formula>
    </cfRule>
  </conditionalFormatting>
  <conditionalFormatting sqref="N20:S20">
    <cfRule type="cellIs" dxfId="2391" priority="277243" operator="equal">
      <formula>1</formula>
    </cfRule>
  </conditionalFormatting>
  <conditionalFormatting sqref="O18:O36 N35:P37 O38:O39">
    <cfRule type="cellIs" dxfId="2390" priority="310657" operator="equal">
      <formula>4</formula>
    </cfRule>
    <cfRule type="cellIs" dxfId="2389" priority="310658" operator="equal">
      <formula>3</formula>
    </cfRule>
    <cfRule type="cellIs" dxfId="2388" priority="310660" operator="equal">
      <formula>1</formula>
    </cfRule>
    <cfRule type="top10" dxfId="2387" priority="310659" rank="10"/>
    <cfRule type="cellIs" dxfId="2386" priority="310656" operator="equal">
      <formula>1</formula>
    </cfRule>
    <cfRule type="top10" dxfId="2385" priority="310655" rank="10"/>
  </conditionalFormatting>
  <conditionalFormatting sqref="O37 F38:F39 T18:U38">
    <cfRule type="top10" dxfId="2384" priority="310941" rank="10"/>
    <cfRule type="top10" dxfId="2383" priority="310944" rank="10"/>
    <cfRule type="top10" dxfId="2382" priority="310943" rank="10"/>
    <cfRule type="top10" dxfId="2381" priority="310940" rank="10"/>
    <cfRule type="top10" dxfId="2380" priority="310938" rank="10"/>
  </conditionalFormatting>
  <conditionalFormatting sqref="Q18:Q39">
    <cfRule type="top10" dxfId="2379" priority="310675" rank="10"/>
    <cfRule type="top10" dxfId="2378" priority="310679" rank="10"/>
    <cfRule type="cellIs" dxfId="2377" priority="310678" operator="equal">
      <formula>3</formula>
    </cfRule>
    <cfRule type="cellIs" dxfId="2376" priority="310677" operator="equal">
      <formula>4</formula>
    </cfRule>
    <cfRule type="cellIs" dxfId="2375" priority="310676" operator="equal">
      <formula>1</formula>
    </cfRule>
  </conditionalFormatting>
  <conditionalFormatting sqref="R18:R39">
    <cfRule type="top10" dxfId="2374" priority="310685" rank="10"/>
    <cfRule type="cellIs" dxfId="2373" priority="310686" operator="equal">
      <formula>1</formula>
    </cfRule>
  </conditionalFormatting>
  <conditionalFormatting sqref="S18:S32">
    <cfRule type="top10" dxfId="2372" priority="310689" rank="10"/>
  </conditionalFormatting>
  <conditionalFormatting sqref="S19:S21 S27:S38">
    <cfRule type="cellIs" dxfId="2371" priority="396" operator="equal">
      <formula>1</formula>
    </cfRule>
    <cfRule type="cellIs" dxfId="2370" priority="395" operator="equal">
      <formula>3</formula>
    </cfRule>
    <cfRule type="cellIs" dxfId="2369" priority="394" operator="equal">
      <formula>4</formula>
    </cfRule>
  </conditionalFormatting>
  <conditionalFormatting sqref="S20 L18:L39">
    <cfRule type="top10" dxfId="2368" priority="310691" rank="10"/>
    <cfRule type="top10" dxfId="2367" priority="310692" rank="10"/>
  </conditionalFormatting>
  <conditionalFormatting sqref="S24">
    <cfRule type="cellIs" dxfId="2366" priority="402" operator="equal">
      <formula>1</formula>
    </cfRule>
    <cfRule type="cellIs" dxfId="2365" priority="401" operator="equal">
      <formula>3</formula>
    </cfRule>
    <cfRule type="cellIs" dxfId="2364" priority="400" operator="equal">
      <formula>4</formula>
    </cfRule>
  </conditionalFormatting>
  <conditionalFormatting sqref="S27 S21 S24">
    <cfRule type="top10" dxfId="2363" priority="296" rank="10"/>
    <cfRule type="top10" dxfId="2362" priority="295" rank="10"/>
    <cfRule type="top10" dxfId="2361" priority="294" rank="10"/>
    <cfRule type="top10" dxfId="2360" priority="293" rank="10"/>
    <cfRule type="top10" dxfId="2359" priority="292" rank="10"/>
  </conditionalFormatting>
  <conditionalFormatting sqref="S28:S30">
    <cfRule type="cellIs" dxfId="2358" priority="310729" operator="equal">
      <formula>1</formula>
    </cfRule>
    <cfRule type="cellIs" dxfId="2357" priority="310730" operator="equal">
      <formula>4</formula>
    </cfRule>
    <cfRule type="cellIs" dxfId="2356" priority="310731" operator="equal">
      <formula>3</formula>
    </cfRule>
    <cfRule type="top10" dxfId="2355" priority="310732" rank="10"/>
    <cfRule type="top10" dxfId="2354" priority="310733" rank="10"/>
    <cfRule type="cellIs" dxfId="2353" priority="310734" operator="equal">
      <formula>4</formula>
    </cfRule>
    <cfRule type="cellIs" dxfId="2352" priority="310735" operator="equal">
      <formula>3</formula>
    </cfRule>
    <cfRule type="cellIs" dxfId="2351" priority="310736" operator="equal">
      <formula>1</formula>
    </cfRule>
    <cfRule type="top10" dxfId="2350" priority="310737" rank="10"/>
    <cfRule type="cellIs" dxfId="2349" priority="310738" operator="equal">
      <formula>1</formula>
    </cfRule>
    <cfRule type="cellIs" dxfId="2348" priority="310739" operator="equal">
      <formula>4</formula>
    </cfRule>
    <cfRule type="cellIs" dxfId="2347" priority="310740" operator="equal">
      <formula>3</formula>
    </cfRule>
    <cfRule type="top10" dxfId="2346" priority="310741" rank="10"/>
    <cfRule type="cellIs" dxfId="2345" priority="310742" operator="equal">
      <formula>1</formula>
    </cfRule>
    <cfRule type="top10" dxfId="2344" priority="310743" rank="10"/>
    <cfRule type="top10" dxfId="2343" priority="310744" rank="10"/>
    <cfRule type="top10" dxfId="2342" priority="310745" rank="10"/>
    <cfRule type="top10" dxfId="2341" priority="310746" rank="10"/>
    <cfRule type="top10" dxfId="2340" priority="310747" rank="10"/>
    <cfRule type="top10" dxfId="2339" priority="331" rank="10"/>
    <cfRule type="top10" dxfId="2338" priority="332" rank="10"/>
    <cfRule type="top10" dxfId="2337" priority="333" rank="10"/>
    <cfRule type="top10" dxfId="2336" priority="334" rank="10"/>
    <cfRule type="top10" dxfId="2335" priority="335" rank="10"/>
    <cfRule type="top10" dxfId="2334" priority="336" rank="10"/>
    <cfRule type="top10" dxfId="2333" priority="337" rank="10"/>
    <cfRule type="top10" dxfId="2332" priority="338" rank="10"/>
    <cfRule type="top10" dxfId="2331" priority="339" rank="10"/>
    <cfRule type="top10" dxfId="2330" priority="340" rank="10"/>
    <cfRule type="top10" dxfId="2329" priority="341" rank="10"/>
    <cfRule type="top10" dxfId="2328" priority="342" rank="10"/>
    <cfRule type="top10" dxfId="2327" priority="343" rank="10"/>
    <cfRule type="top10" dxfId="2326" priority="344" rank="10"/>
    <cfRule type="top10" dxfId="2325" priority="345" rank="10"/>
    <cfRule type="top10" dxfId="2324" priority="346" rank="10"/>
    <cfRule type="top10" dxfId="2323" priority="347" rank="10"/>
    <cfRule type="top10" dxfId="2322" priority="348" rank="10"/>
    <cfRule type="top10" dxfId="2321" priority="349" rank="10"/>
    <cfRule type="top10" dxfId="2320" priority="350" rank="10"/>
    <cfRule type="top10" dxfId="2319" priority="351" rank="10"/>
    <cfRule type="top10" dxfId="2318" priority="352" rank="10"/>
    <cfRule type="top10" dxfId="2317" priority="353" rank="10"/>
    <cfRule type="top10" dxfId="2316" priority="354" rank="10"/>
    <cfRule type="top10" dxfId="2315" priority="355" rank="10"/>
    <cfRule type="top10" dxfId="2314" priority="356" rank="10"/>
    <cfRule type="top10" dxfId="2313" priority="357" rank="10"/>
    <cfRule type="top10" dxfId="2312" priority="358" rank="10"/>
    <cfRule type="top10" dxfId="2311" priority="359" rank="10"/>
    <cfRule type="top10" dxfId="2310" priority="360" rank="10"/>
    <cfRule type="top10" dxfId="2309" priority="362" rank="10"/>
    <cfRule type="top10" dxfId="2308" priority="363" rank="10"/>
    <cfRule type="top10" dxfId="2307" priority="364" rank="10"/>
    <cfRule type="top10" dxfId="2306" priority="365" rank="10"/>
    <cfRule type="top10" dxfId="2305" priority="366" rank="10"/>
    <cfRule type="top10" dxfId="2304" priority="367" rank="10"/>
    <cfRule type="top10" dxfId="2303" priority="368" rank="10"/>
    <cfRule type="top10" dxfId="2302" priority="369" rank="10"/>
    <cfRule type="top10" dxfId="2301" priority="370" rank="10"/>
    <cfRule type="top10" dxfId="2300" priority="371" rank="10"/>
    <cfRule type="top10" dxfId="2299" priority="372" rank="10"/>
    <cfRule type="top10" dxfId="2298" priority="373" rank="10"/>
    <cfRule type="top10" dxfId="2297" priority="374" rank="10"/>
    <cfRule type="top10" dxfId="2296" priority="375" rank="10"/>
    <cfRule type="top10" dxfId="2295" priority="376" rank="10"/>
    <cfRule type="top10" dxfId="2294" priority="377" rank="10"/>
    <cfRule type="top10" dxfId="2293" priority="378" rank="10"/>
    <cfRule type="top10" dxfId="2292" priority="379" rank="10"/>
    <cfRule type="top10" dxfId="2291" priority="380" rank="10"/>
    <cfRule type="top10" dxfId="2290" priority="381" rank="10"/>
    <cfRule type="top10" dxfId="2289" priority="382" rank="10"/>
    <cfRule type="cellIs" dxfId="2288" priority="383" operator="equal">
      <formula>1</formula>
    </cfRule>
    <cfRule type="top10" dxfId="2287" priority="384" rank="10"/>
    <cfRule type="top10" dxfId="2286" priority="385" rank="10"/>
    <cfRule type="top10" dxfId="2285" priority="361" rank="10"/>
    <cfRule type="top10" dxfId="2284" priority="310706" rank="10"/>
    <cfRule type="cellIs" dxfId="2283" priority="310707" operator="equal">
      <formula>4</formula>
    </cfRule>
    <cfRule type="cellIs" dxfId="2282" priority="310708" operator="equal">
      <formula>3</formula>
    </cfRule>
    <cfRule type="cellIs" dxfId="2281" priority="310709" operator="equal">
      <formula>1</formula>
    </cfRule>
    <cfRule type="top10" dxfId="2280" priority="310710" rank="10"/>
    <cfRule type="top10" dxfId="2279" priority="310711" rank="10"/>
    <cfRule type="top10" dxfId="2278" priority="310712" rank="10"/>
    <cfRule type="top10" dxfId="2277" priority="310713" rank="10"/>
    <cfRule type="top10" dxfId="2276" priority="310714" rank="10"/>
    <cfRule type="cellIs" dxfId="2275" priority="310715" operator="equal">
      <formula>1</formula>
    </cfRule>
    <cfRule type="cellIs" dxfId="2274" priority="310716" operator="equal">
      <formula>4</formula>
    </cfRule>
    <cfRule type="cellIs" dxfId="2273" priority="310717" operator="equal">
      <formula>3</formula>
    </cfRule>
    <cfRule type="top10" dxfId="2272" priority="310718" rank="10"/>
    <cfRule type="top10" dxfId="2271" priority="310719" rank="10"/>
    <cfRule type="cellIs" dxfId="2270" priority="310720" operator="equal">
      <formula>1</formula>
    </cfRule>
    <cfRule type="top10" dxfId="2269" priority="310721" rank="10"/>
    <cfRule type="cellIs" dxfId="2268" priority="310722" operator="equal">
      <formula>1</formula>
    </cfRule>
    <cfRule type="cellIs" dxfId="2267" priority="310723" operator="equal">
      <formula>4</formula>
    </cfRule>
    <cfRule type="cellIs" dxfId="2266" priority="310724" operator="equal">
      <formula>3</formula>
    </cfRule>
    <cfRule type="top10" dxfId="2265" priority="310725" rank="10"/>
    <cfRule type="top10" dxfId="2264" priority="310726" rank="10"/>
    <cfRule type="cellIs" dxfId="2263" priority="310727" operator="equal">
      <formula>1</formula>
    </cfRule>
    <cfRule type="top10" dxfId="2262" priority="310728" rank="10"/>
  </conditionalFormatting>
  <conditionalFormatting sqref="S28:S32 S19:S20">
    <cfRule type="top10" dxfId="2261" priority="310703" rank="10"/>
  </conditionalFormatting>
  <conditionalFormatting sqref="S31:S32">
    <cfRule type="top10" dxfId="2260" priority="310851" rank="10"/>
    <cfRule type="top10" dxfId="2259" priority="310852" rank="10"/>
    <cfRule type="top10" dxfId="2258" priority="310853" rank="10"/>
    <cfRule type="top10" dxfId="2257" priority="310854" rank="10"/>
    <cfRule type="top10" dxfId="2256" priority="310855" rank="10"/>
    <cfRule type="top10" dxfId="2255" priority="310856" rank="10"/>
    <cfRule type="cellIs" dxfId="2254" priority="310772" operator="equal">
      <formula>4</formula>
    </cfRule>
    <cfRule type="top10" dxfId="2253" priority="310858" rank="10"/>
    <cfRule type="top10" dxfId="2252" priority="310859" rank="10"/>
    <cfRule type="top10" dxfId="2251" priority="310860" rank="10"/>
    <cfRule type="top10" dxfId="2250" priority="310861" rank="10"/>
    <cfRule type="top10" dxfId="2249" priority="310862" rank="10"/>
    <cfRule type="top10" dxfId="2248" priority="310863" rank="10"/>
    <cfRule type="top10" dxfId="2247" priority="310864" rank="10"/>
    <cfRule type="top10" dxfId="2246" priority="310865" rank="10"/>
    <cfRule type="top10" dxfId="2245" priority="310866" rank="10"/>
    <cfRule type="top10" dxfId="2244" priority="310867" rank="10"/>
    <cfRule type="top10" dxfId="2243" priority="310868" rank="10"/>
    <cfRule type="top10" dxfId="2242" priority="310785" rank="10"/>
    <cfRule type="top10" dxfId="2241" priority="310869" rank="10"/>
    <cfRule type="top10" dxfId="2240" priority="310870" rank="10"/>
    <cfRule type="top10" dxfId="2239" priority="310871" rank="10"/>
    <cfRule type="top10" dxfId="2238" priority="310872" rank="10"/>
    <cfRule type="top10" dxfId="2237" priority="310873" rank="10"/>
    <cfRule type="top10" dxfId="2236" priority="310887" rank="10"/>
    <cfRule type="top10" dxfId="2235" priority="310888" rank="10"/>
    <cfRule type="top10" dxfId="2234" priority="310889" rank="10"/>
    <cfRule type="top10" dxfId="2233" priority="310890" rank="10"/>
    <cfRule type="top10" dxfId="2232" priority="310891" rank="10"/>
    <cfRule type="top10" dxfId="2231" priority="310892" rank="10"/>
    <cfRule type="top10" dxfId="2230" priority="310893" rank="10"/>
    <cfRule type="top10" dxfId="2229" priority="310894" rank="10"/>
    <cfRule type="top10" dxfId="2228" priority="310896" rank="10"/>
    <cfRule type="cellIs" dxfId="2227" priority="310897" operator="equal">
      <formula>1</formula>
    </cfRule>
    <cfRule type="top10" dxfId="2226" priority="310898" rank="10"/>
    <cfRule type="top10" dxfId="2225" priority="310899" rank="10"/>
    <cfRule type="top10" dxfId="2224" priority="310748" rank="10"/>
    <cfRule type="cellIs" dxfId="2223" priority="310749" operator="equal">
      <formula>4</formula>
    </cfRule>
    <cfRule type="cellIs" dxfId="2222" priority="310750" operator="equal">
      <formula>3</formula>
    </cfRule>
    <cfRule type="cellIs" dxfId="2221" priority="310751" operator="equal">
      <formula>1</formula>
    </cfRule>
    <cfRule type="top10" dxfId="2220" priority="310752" rank="10"/>
    <cfRule type="top10" dxfId="2219" priority="310753" rank="10"/>
    <cfRule type="top10" dxfId="2218" priority="310754" rank="10"/>
    <cfRule type="top10" dxfId="2217" priority="310755" rank="10"/>
    <cfRule type="top10" dxfId="2216" priority="310756" rank="10"/>
    <cfRule type="cellIs" dxfId="2215" priority="310757" operator="equal">
      <formula>1</formula>
    </cfRule>
    <cfRule type="cellIs" dxfId="2214" priority="310758" operator="equal">
      <formula>4</formula>
    </cfRule>
    <cfRule type="cellIs" dxfId="2213" priority="310759" operator="equal">
      <formula>3</formula>
    </cfRule>
    <cfRule type="top10" dxfId="2212" priority="310760" rank="10"/>
    <cfRule type="top10" dxfId="2211" priority="310761" rank="10"/>
    <cfRule type="cellIs" dxfId="2210" priority="310762" operator="equal">
      <formula>1</formula>
    </cfRule>
    <cfRule type="top10" dxfId="2209" priority="310763" rank="10"/>
    <cfRule type="cellIs" dxfId="2208" priority="310764" operator="equal">
      <formula>1</formula>
    </cfRule>
    <cfRule type="cellIs" dxfId="2207" priority="310765" operator="equal">
      <formula>4</formula>
    </cfRule>
    <cfRule type="cellIs" dxfId="2206" priority="310766" operator="equal">
      <formula>3</formula>
    </cfRule>
    <cfRule type="top10" dxfId="2205" priority="310767" rank="10"/>
    <cfRule type="top10" dxfId="2204" priority="310768" rank="10"/>
    <cfRule type="cellIs" dxfId="2203" priority="310769" operator="equal">
      <formula>1</formula>
    </cfRule>
    <cfRule type="top10" dxfId="2202" priority="310770" rank="10"/>
    <cfRule type="cellIs" dxfId="2201" priority="310771" operator="equal">
      <formula>1</formula>
    </cfRule>
    <cfRule type="top10" dxfId="2200" priority="310857" rank="10"/>
    <cfRule type="cellIs" dxfId="2199" priority="310773" operator="equal">
      <formula>3</formula>
    </cfRule>
    <cfRule type="top10" dxfId="2198" priority="310774" rank="10"/>
    <cfRule type="top10" dxfId="2197" priority="310775" rank="10"/>
    <cfRule type="cellIs" dxfId="2196" priority="310776" operator="equal">
      <formula>4</formula>
    </cfRule>
    <cfRule type="cellIs" dxfId="2195" priority="310777" operator="equal">
      <formula>3</formula>
    </cfRule>
    <cfRule type="cellIs" dxfId="2194" priority="310778" operator="equal">
      <formula>1</formula>
    </cfRule>
    <cfRule type="top10" dxfId="2193" priority="310779" rank="10"/>
    <cfRule type="cellIs" dxfId="2192" priority="310780" operator="equal">
      <formula>1</formula>
    </cfRule>
    <cfRule type="cellIs" dxfId="2191" priority="310781" operator="equal">
      <formula>4</formula>
    </cfRule>
    <cfRule type="cellIs" dxfId="2190" priority="310782" operator="equal">
      <formula>3</formula>
    </cfRule>
    <cfRule type="top10" dxfId="2189" priority="310783" rank="10"/>
    <cfRule type="cellIs" dxfId="2188" priority="310784" operator="equal">
      <formula>1</formula>
    </cfRule>
    <cfRule type="top10" dxfId="2187" priority="310895" rank="10"/>
    <cfRule type="top10" dxfId="2186" priority="310786" rank="10"/>
    <cfRule type="top10" dxfId="2185" priority="310787" rank="10"/>
    <cfRule type="top10" dxfId="2184" priority="310788" rank="10"/>
    <cfRule type="top10" dxfId="2183" priority="310789" rank="10"/>
    <cfRule type="top10" dxfId="2182" priority="310832" rank="10"/>
    <cfRule type="top10" dxfId="2181" priority="310833" rank="10"/>
    <cfRule type="top10" dxfId="2180" priority="310834" rank="10"/>
    <cfRule type="top10" dxfId="2179" priority="310835" rank="10"/>
    <cfRule type="top10" dxfId="2178" priority="310836" rank="10"/>
    <cfRule type="top10" dxfId="2177" priority="310837" rank="10"/>
    <cfRule type="top10" dxfId="2176" priority="310838" rank="10"/>
    <cfRule type="top10" dxfId="2175" priority="310839" rank="10"/>
    <cfRule type="top10" dxfId="2174" priority="310840" rank="10"/>
    <cfRule type="top10" dxfId="2173" priority="310841" rank="10"/>
    <cfRule type="top10" dxfId="2172" priority="310842" rank="10"/>
    <cfRule type="top10" dxfId="2171" priority="310843" rank="10"/>
    <cfRule type="top10" dxfId="2170" priority="310844" rank="10"/>
    <cfRule type="top10" dxfId="2169" priority="310845" rank="10"/>
    <cfRule type="top10" dxfId="2168" priority="310846" rank="10"/>
    <cfRule type="top10" dxfId="2167" priority="310847" rank="10"/>
    <cfRule type="top10" dxfId="2166" priority="310848" rank="10"/>
    <cfRule type="top10" dxfId="2165" priority="310849" rank="10"/>
    <cfRule type="top10" dxfId="2164" priority="310850" rank="10"/>
  </conditionalFormatting>
  <conditionalFormatting sqref="S33 P18:P39">
    <cfRule type="top10" dxfId="2163" priority="299879" rank="10"/>
    <cfRule type="top10" dxfId="2162" priority="299883" rank="10"/>
  </conditionalFormatting>
  <conditionalFormatting sqref="S33">
    <cfRule type="cellIs" dxfId="2161" priority="299880" operator="equal">
      <formula>1</formula>
    </cfRule>
    <cfRule type="cellIs" dxfId="2160" priority="299881" operator="equal">
      <formula>4</formula>
    </cfRule>
    <cfRule type="cellIs" dxfId="2159" priority="299882" operator="equal">
      <formula>3</formula>
    </cfRule>
    <cfRule type="cellIs" dxfId="2158" priority="299884" operator="equal">
      <formula>1</formula>
    </cfRule>
  </conditionalFormatting>
  <conditionalFormatting sqref="S33:S38">
    <cfRule type="cellIs" dxfId="2157" priority="154" operator="equal">
      <formula>3</formula>
    </cfRule>
    <cfRule type="cellIs" dxfId="2156" priority="153" operator="equal">
      <formula>4</formula>
    </cfRule>
  </conditionalFormatting>
  <conditionalFormatting sqref="S34:S38">
    <cfRule type="cellIs" dxfId="2155" priority="152" operator="equal">
      <formula>1</formula>
    </cfRule>
    <cfRule type="top10" dxfId="2154" priority="147" rank="10"/>
    <cfRule type="cellIs" dxfId="2153" priority="148" operator="equal">
      <formula>1</formula>
    </cfRule>
    <cfRule type="cellIs" dxfId="2152" priority="149" operator="equal">
      <formula>4</formula>
    </cfRule>
    <cfRule type="cellIs" dxfId="2151" priority="150" operator="equal">
      <formula>3</formula>
    </cfRule>
    <cfRule type="top10" dxfId="2150" priority="151" rank="10"/>
  </conditionalFormatting>
  <conditionalFormatting sqref="S18:V38 F37:O37 F38:F39">
    <cfRule type="containsText" dxfId="2149" priority="386" operator="containsText" text="4">
      <formula>NOT(ISERROR(SEARCH("4",F18)))</formula>
    </cfRule>
  </conditionalFormatting>
  <conditionalFormatting sqref="S18:V38 O37 F38:F39">
    <cfRule type="cellIs" dxfId="2148" priority="397" operator="equal">
      <formula>2</formula>
    </cfRule>
    <cfRule type="containsText" dxfId="2147" priority="389" operator="containsText" text="1">
      <formula>NOT(ISERROR(SEARCH("1",F18)))</formula>
    </cfRule>
    <cfRule type="containsText" dxfId="2146" priority="388" operator="containsText" text="2">
      <formula>NOT(ISERROR(SEARCH("2",F18)))</formula>
    </cfRule>
    <cfRule type="containsText" dxfId="2145" priority="387" operator="containsText" text="3">
      <formula>NOT(ISERROR(SEARCH("3",F18)))</formula>
    </cfRule>
  </conditionalFormatting>
  <conditionalFormatting sqref="S18:V38">
    <cfRule type="cellIs" dxfId="2144" priority="277548" operator="equal">
      <formula>1</formula>
    </cfRule>
    <cfRule type="cellIs" dxfId="2143" priority="285" operator="equal">
      <formula>3</formula>
    </cfRule>
    <cfRule type="cellIs" dxfId="2142" priority="284" operator="equal">
      <formula>4</formula>
    </cfRule>
  </conditionalFormatting>
  <conditionalFormatting sqref="S39:V39">
    <cfRule type="cellIs" dxfId="2141" priority="1" operator="equal">
      <formula>4</formula>
    </cfRule>
    <cfRule type="cellIs" dxfId="2140" priority="2" operator="equal">
      <formula>3</formula>
    </cfRule>
  </conditionalFormatting>
  <conditionalFormatting sqref="T34:T36">
    <cfRule type="top10" dxfId="2139" priority="130" rank="10"/>
    <cfRule type="cellIs" dxfId="2138" priority="131" operator="equal">
      <formula>1</formula>
    </cfRule>
    <cfRule type="cellIs" dxfId="2137" priority="132" operator="equal">
      <formula>4</formula>
    </cfRule>
    <cfRule type="cellIs" dxfId="2136" priority="133" operator="equal">
      <formula>3</formula>
    </cfRule>
    <cfRule type="top10" dxfId="2135" priority="134" rank="10"/>
    <cfRule type="top10" dxfId="2134" priority="136" rank="10"/>
    <cfRule type="top10" dxfId="2133" priority="137" rank="10"/>
    <cfRule type="top10" dxfId="2132" priority="138" rank="10"/>
    <cfRule type="containsText" dxfId="2131" priority="146" operator="containsText" text="4">
      <formula>NOT(ISERROR(SEARCH("4",T34)))</formula>
    </cfRule>
    <cfRule type="cellIs" dxfId="2130" priority="145" operator="equal">
      <formula>1</formula>
    </cfRule>
    <cfRule type="cellIs" dxfId="2129" priority="144" operator="equal">
      <formula>2</formula>
    </cfRule>
    <cfRule type="containsText" dxfId="2128" priority="143" operator="containsText" text="1">
      <formula>NOT(ISERROR(SEARCH("1",T34)))</formula>
    </cfRule>
    <cfRule type="cellIs" dxfId="2127" priority="135" operator="equal">
      <formula>1</formula>
    </cfRule>
    <cfRule type="containsText" dxfId="2126" priority="142" operator="containsText" text="2">
      <formula>NOT(ISERROR(SEARCH("2",T34)))</formula>
    </cfRule>
    <cfRule type="containsText" dxfId="2125" priority="141" operator="containsText" text="3">
      <formula>NOT(ISERROR(SEARCH("3",T34)))</formula>
    </cfRule>
    <cfRule type="cellIs" dxfId="2124" priority="140" operator="equal">
      <formula>3</formula>
    </cfRule>
    <cfRule type="cellIs" dxfId="2123" priority="139" operator="equal">
      <formula>4</formula>
    </cfRule>
  </conditionalFormatting>
  <conditionalFormatting sqref="T18:U38 O37 F38:F39">
    <cfRule type="cellIs" dxfId="2122" priority="310939" operator="equal">
      <formula>1</formula>
    </cfRule>
    <cfRule type="cellIs" dxfId="2121" priority="310942" operator="equal">
      <formula>1</formula>
    </cfRule>
    <cfRule type="cellIs" dxfId="2120" priority="310945" operator="equal">
      <formula>1</formula>
    </cfRule>
  </conditionalFormatting>
  <conditionalFormatting sqref="V18:V38">
    <cfRule type="top10" dxfId="2119" priority="310936" rank="10"/>
    <cfRule type="cellIs" dxfId="2118" priority="310937" operator="equal">
      <formula>1</formula>
    </cfRule>
  </conditionalFormatting>
  <conditionalFormatting sqref="W18:W39">
    <cfRule type="cellIs" dxfId="2117" priority="622" operator="equal">
      <formula>4</formula>
    </cfRule>
    <cfRule type="cellIs" dxfId="2116" priority="623" operator="equal">
      <formula>2</formula>
    </cfRule>
    <cfRule type="cellIs" dxfId="2115" priority="624" operator="equal">
      <formula>3</formula>
    </cfRule>
    <cfRule type="cellIs" dxfId="2114" priority="625" operator="equal">
      <formula>1</formula>
    </cfRule>
  </conditionalFormatting>
  <pageMargins left="0" right="0" top="0" bottom="0" header="0" footer="0"/>
  <pageSetup paperSize="8" scale="23" firstPageNumber="0" orientation="landscape" useFirstPageNumber="1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0D4D-277D-489B-9AF6-28C4BD104E03}">
  <sheetPr filterMode="1"/>
  <dimension ref="A1:DW753"/>
  <sheetViews>
    <sheetView view="pageBreakPreview" topLeftCell="A6" zoomScale="42" zoomScaleNormal="50" zoomScaleSheetLayoutView="42" workbookViewId="0">
      <pane xSplit="2" topLeftCell="C1" activePane="topRight" state="frozen"/>
      <selection activeCell="B14" sqref="B14"/>
      <selection pane="topRight" activeCell="H96" sqref="H96"/>
    </sheetView>
  </sheetViews>
  <sheetFormatPr defaultColWidth="13.6640625" defaultRowHeight="17.399999999999999"/>
  <cols>
    <col min="1" max="1" width="24.88671875" style="147" customWidth="1"/>
    <col min="2" max="2" width="107.88671875" style="147" bestFit="1" customWidth="1"/>
    <col min="3" max="4" width="47.44140625" style="147" bestFit="1" customWidth="1"/>
    <col min="5" max="5" width="47.44140625" style="147" customWidth="1"/>
    <col min="6" max="6" width="16.88671875" style="30" customWidth="1"/>
    <col min="7" max="10" width="13.6640625" style="30"/>
    <col min="11" max="11" width="13.6640625" style="30" customWidth="1"/>
    <col min="12" max="12" width="15.44140625" style="30" customWidth="1"/>
    <col min="13" max="13" width="13.6640625" style="30" customWidth="1"/>
    <col min="14" max="14" width="15.5546875" style="30" customWidth="1"/>
    <col min="15" max="26" width="13.6640625" style="30" customWidth="1"/>
    <col min="27" max="29" width="13.6640625" style="103" customWidth="1"/>
    <col min="30" max="43" width="13.6640625" style="30" customWidth="1"/>
    <col min="44" max="50" width="13.6640625" style="30"/>
    <col min="51" max="76" width="13.6640625" style="30" customWidth="1"/>
    <col min="77" max="77" width="19.88671875" style="30" customWidth="1"/>
    <col min="78" max="109" width="13.6640625" style="30" customWidth="1"/>
    <col min="110" max="110" width="21.5546875" style="30" customWidth="1"/>
    <col min="111" max="118" width="13.6640625" style="30" customWidth="1"/>
    <col min="119" max="124" width="13.6640625" customWidth="1"/>
    <col min="127" max="127" width="20.33203125" customWidth="1"/>
  </cols>
  <sheetData>
    <row r="1" spans="1:127" s="1" customFormat="1" ht="85.5" customHeight="1" thickBot="1">
      <c r="A1" s="786"/>
      <c r="B1" s="786"/>
      <c r="C1" s="786"/>
      <c r="D1" s="788" t="s">
        <v>29</v>
      </c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788"/>
      <c r="BL1" s="788"/>
      <c r="BM1" s="788"/>
      <c r="BN1" s="788"/>
      <c r="BO1" s="788"/>
      <c r="BP1" s="788"/>
      <c r="BQ1" s="788"/>
      <c r="BR1" s="788"/>
      <c r="BS1" s="788"/>
      <c r="BT1" s="788"/>
      <c r="BU1" s="788"/>
      <c r="BV1" s="788"/>
      <c r="BW1" s="788"/>
      <c r="BX1" s="788"/>
      <c r="BY1" s="788"/>
      <c r="BZ1" s="788"/>
      <c r="CA1" s="788"/>
      <c r="CB1" s="788"/>
      <c r="CC1" s="788"/>
      <c r="CD1" s="788"/>
      <c r="CE1" s="788"/>
      <c r="CF1" s="788"/>
      <c r="CG1" s="788"/>
      <c r="CH1" s="788"/>
      <c r="CI1" s="788"/>
      <c r="CJ1" s="788"/>
      <c r="CK1" s="788"/>
      <c r="CL1" s="788"/>
      <c r="CM1" s="788"/>
      <c r="CN1" s="788"/>
      <c r="CO1" s="788"/>
      <c r="CP1" s="788"/>
      <c r="CQ1" s="788"/>
      <c r="CR1" s="788"/>
      <c r="CS1" s="788"/>
      <c r="CT1" s="788"/>
      <c r="CU1" s="788"/>
      <c r="CV1" s="788"/>
      <c r="CW1" s="788"/>
      <c r="CX1" s="788"/>
      <c r="CY1" s="788"/>
      <c r="CZ1" s="788"/>
      <c r="DA1" s="788"/>
      <c r="DB1" s="788"/>
      <c r="DC1" s="788"/>
      <c r="DD1" s="788"/>
      <c r="DE1" s="788"/>
      <c r="DF1" s="788"/>
      <c r="DG1" s="788"/>
      <c r="DH1" s="788"/>
      <c r="DI1" s="788"/>
      <c r="DJ1" s="788"/>
      <c r="DK1" s="788"/>
      <c r="DL1" s="788"/>
      <c r="DM1" s="788"/>
      <c r="DN1" s="788"/>
      <c r="DO1" s="788"/>
      <c r="DP1" s="788"/>
      <c r="DQ1" s="788"/>
      <c r="DR1" s="788"/>
      <c r="DS1" s="788"/>
      <c r="DT1" s="788"/>
      <c r="DU1" s="129" t="s">
        <v>0</v>
      </c>
      <c r="DV1" s="789" t="s">
        <v>597</v>
      </c>
      <c r="DW1" s="790"/>
    </row>
    <row r="2" spans="1:127" s="1" customFormat="1" ht="85.5" customHeight="1" thickBot="1">
      <c r="A2" s="787"/>
      <c r="B2" s="787"/>
      <c r="C2" s="787"/>
      <c r="D2" s="791" t="s">
        <v>30</v>
      </c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791"/>
      <c r="AD2" s="791"/>
      <c r="AE2" s="791"/>
      <c r="AF2" s="791"/>
      <c r="AG2" s="791"/>
      <c r="AH2" s="791"/>
      <c r="AI2" s="791"/>
      <c r="AJ2" s="791"/>
      <c r="AK2" s="791"/>
      <c r="AL2" s="791"/>
      <c r="AM2" s="791"/>
      <c r="AN2" s="791"/>
      <c r="AO2" s="791"/>
      <c r="AP2" s="791"/>
      <c r="AQ2" s="791"/>
      <c r="AR2" s="791"/>
      <c r="AS2" s="791"/>
      <c r="AT2" s="791"/>
      <c r="AU2" s="791"/>
      <c r="AV2" s="791"/>
      <c r="AW2" s="791"/>
      <c r="AX2" s="791"/>
      <c r="AY2" s="791"/>
      <c r="AZ2" s="791"/>
      <c r="BA2" s="791"/>
      <c r="BB2" s="791"/>
      <c r="BC2" s="791"/>
      <c r="BD2" s="791"/>
      <c r="BE2" s="791"/>
      <c r="BF2" s="791"/>
      <c r="BG2" s="791"/>
      <c r="BH2" s="791"/>
      <c r="BI2" s="791"/>
      <c r="BJ2" s="791"/>
      <c r="BK2" s="791"/>
      <c r="BL2" s="791"/>
      <c r="BM2" s="791"/>
      <c r="BN2" s="791"/>
      <c r="BO2" s="791"/>
      <c r="BP2" s="791"/>
      <c r="BQ2" s="791"/>
      <c r="BR2" s="791"/>
      <c r="BS2" s="791"/>
      <c r="BT2" s="791"/>
      <c r="BU2" s="791"/>
      <c r="BV2" s="791"/>
      <c r="BW2" s="791"/>
      <c r="BX2" s="791"/>
      <c r="BY2" s="791"/>
      <c r="BZ2" s="791"/>
      <c r="CA2" s="791"/>
      <c r="CB2" s="791"/>
      <c r="CC2" s="791"/>
      <c r="CD2" s="791"/>
      <c r="CE2" s="791"/>
      <c r="CF2" s="791"/>
      <c r="CG2" s="791"/>
      <c r="CH2" s="791"/>
      <c r="CI2" s="791"/>
      <c r="CJ2" s="791"/>
      <c r="CK2" s="791"/>
      <c r="CL2" s="791"/>
      <c r="CM2" s="791"/>
      <c r="CN2" s="791"/>
      <c r="CO2" s="791"/>
      <c r="CP2" s="791"/>
      <c r="CQ2" s="791"/>
      <c r="CR2" s="791"/>
      <c r="CS2" s="791"/>
      <c r="CT2" s="791"/>
      <c r="CU2" s="791"/>
      <c r="CV2" s="791"/>
      <c r="CW2" s="791"/>
      <c r="CX2" s="791"/>
      <c r="CY2" s="791"/>
      <c r="CZ2" s="791"/>
      <c r="DA2" s="791"/>
      <c r="DB2" s="791"/>
      <c r="DC2" s="791"/>
      <c r="DD2" s="791"/>
      <c r="DE2" s="791"/>
      <c r="DF2" s="791"/>
      <c r="DG2" s="791"/>
      <c r="DH2" s="791"/>
      <c r="DI2" s="791"/>
      <c r="DJ2" s="791"/>
      <c r="DK2" s="791"/>
      <c r="DL2" s="791"/>
      <c r="DM2" s="791"/>
      <c r="DN2" s="791"/>
      <c r="DO2" s="791"/>
      <c r="DP2" s="791"/>
      <c r="DQ2" s="791"/>
      <c r="DR2" s="791"/>
      <c r="DS2" s="791"/>
      <c r="DT2" s="791"/>
      <c r="DU2" s="129" t="s">
        <v>1</v>
      </c>
      <c r="DV2" s="792">
        <v>45358</v>
      </c>
      <c r="DW2" s="793"/>
    </row>
    <row r="3" spans="1:127" s="2" customFormat="1" ht="22.5" customHeight="1">
      <c r="A3" s="141"/>
      <c r="B3" s="142"/>
      <c r="D3" s="141"/>
      <c r="E3" s="14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3"/>
      <c r="DP3" s="3"/>
      <c r="DQ3" s="3"/>
      <c r="DR3" s="3"/>
      <c r="DS3" s="794" t="s">
        <v>518</v>
      </c>
      <c r="DT3" s="794"/>
      <c r="DU3" s="794"/>
      <c r="DV3" s="795">
        <f>+AVERAGE(DV16:DV98)</f>
        <v>0.23202487368830171</v>
      </c>
      <c r="DW3" s="795">
        <f>+AVERAGE(DW16:DW910)</f>
        <v>0.59845945594989469</v>
      </c>
    </row>
    <row r="4" spans="1:127" s="2" customFormat="1" ht="29.25" customHeight="1">
      <c r="A4" s="142"/>
      <c r="B4" s="215" t="s">
        <v>4</v>
      </c>
      <c r="D4" s="142"/>
      <c r="E4" s="142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S4" s="794"/>
      <c r="DT4" s="794"/>
      <c r="DU4" s="794"/>
      <c r="DV4" s="796"/>
      <c r="DW4" s="796"/>
    </row>
    <row r="5" spans="1:127" s="6" customFormat="1" ht="29.25" customHeight="1">
      <c r="A5" s="142"/>
      <c r="B5" s="143" t="s">
        <v>5</v>
      </c>
      <c r="D5" s="142"/>
      <c r="E5" s="142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7"/>
      <c r="DP5" s="7"/>
      <c r="DQ5" s="7"/>
      <c r="DR5" s="7"/>
      <c r="DS5" s="794"/>
      <c r="DT5" s="794"/>
      <c r="DU5" s="794"/>
      <c r="DV5" s="796"/>
      <c r="DW5" s="796"/>
    </row>
    <row r="6" spans="1:127" s="6" customFormat="1" ht="29.25" customHeight="1">
      <c r="A6" s="142"/>
      <c r="B6" s="143" t="s">
        <v>6</v>
      </c>
      <c r="D6" s="142"/>
      <c r="E6" s="142"/>
      <c r="F6" s="27" t="s">
        <v>213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7"/>
      <c r="DP6" s="7"/>
      <c r="DQ6" s="7"/>
      <c r="DR6" s="7"/>
      <c r="DS6" s="794"/>
      <c r="DT6" s="794"/>
      <c r="DU6" s="794"/>
      <c r="DV6" s="796"/>
      <c r="DW6" s="796"/>
    </row>
    <row r="7" spans="1:127" s="6" customFormat="1" ht="29.25" customHeight="1">
      <c r="A7" s="142"/>
      <c r="B7" s="143" t="s">
        <v>7</v>
      </c>
      <c r="D7" s="142"/>
      <c r="E7" s="14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9"/>
      <c r="DL7" s="9"/>
      <c r="DM7" s="9"/>
      <c r="DN7" s="9"/>
      <c r="DS7" s="794"/>
      <c r="DT7" s="794"/>
      <c r="DU7" s="794"/>
      <c r="DV7" s="796"/>
      <c r="DW7" s="796"/>
    </row>
    <row r="8" spans="1:127" s="6" customFormat="1" ht="29.25" customHeight="1">
      <c r="A8" s="142"/>
      <c r="B8" s="143"/>
      <c r="D8" s="142"/>
      <c r="E8" s="142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S8" s="794"/>
      <c r="DT8" s="794"/>
      <c r="DU8" s="794"/>
      <c r="DV8" s="796"/>
      <c r="DW8" s="796"/>
    </row>
    <row r="9" spans="1:127" s="2" customFormat="1" ht="29.25" customHeight="1">
      <c r="A9" s="144"/>
      <c r="B9" s="143" t="s">
        <v>10</v>
      </c>
      <c r="D9" s="144"/>
      <c r="E9" s="14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5"/>
      <c r="DP9" s="5"/>
      <c r="DQ9" s="5"/>
      <c r="DR9" s="5"/>
      <c r="DS9" s="794"/>
      <c r="DT9" s="794"/>
      <c r="DU9" s="794"/>
      <c r="DV9" s="796"/>
      <c r="DW9" s="796"/>
    </row>
    <row r="10" spans="1:127" s="2" customFormat="1" ht="16.5" customHeight="1" thickBot="1">
      <c r="A10" s="144"/>
      <c r="B10" s="143"/>
      <c r="C10" s="144"/>
      <c r="D10" s="144"/>
      <c r="E10" s="14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5"/>
      <c r="DP10" s="5"/>
      <c r="DQ10" s="5"/>
      <c r="DR10" s="5"/>
      <c r="DS10" s="794"/>
      <c r="DT10" s="794"/>
      <c r="DU10" s="794"/>
      <c r="DV10" s="797"/>
      <c r="DW10" s="797"/>
    </row>
    <row r="11" spans="1:127" ht="71.25" customHeight="1" thickBot="1">
      <c r="A11" s="145"/>
      <c r="B11" s="145"/>
      <c r="C11" s="145"/>
      <c r="D11" s="144"/>
      <c r="E11" s="144"/>
      <c r="F11" s="269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798"/>
      <c r="V11" s="799"/>
      <c r="W11" s="799"/>
      <c r="X11" s="799"/>
      <c r="Y11" s="799"/>
      <c r="Z11" s="799"/>
      <c r="AA11" s="799"/>
      <c r="AB11" s="799"/>
      <c r="AC11" s="80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0"/>
      <c r="AU11" s="270"/>
      <c r="AV11" s="270"/>
      <c r="AW11" s="270"/>
      <c r="AX11" s="270"/>
      <c r="AY11" s="270"/>
      <c r="AZ11" s="270"/>
      <c r="BA11" s="270"/>
      <c r="BB11" s="270"/>
      <c r="BC11" s="270"/>
      <c r="BD11" s="270"/>
      <c r="BE11" s="270"/>
      <c r="BF11" s="270"/>
      <c r="BG11" s="270"/>
      <c r="BH11" s="270"/>
      <c r="BI11" s="270"/>
      <c r="BJ11" s="270"/>
      <c r="BK11" s="270"/>
      <c r="BL11" s="270"/>
      <c r="BM11" s="270"/>
      <c r="BN11" s="270"/>
      <c r="BO11" s="270"/>
      <c r="BP11" s="270"/>
      <c r="BQ11" s="270"/>
      <c r="BR11" s="270"/>
      <c r="BS11" s="270"/>
      <c r="BT11" s="270"/>
      <c r="BU11" s="270"/>
      <c r="BV11" s="270"/>
      <c r="BW11" s="270"/>
      <c r="BX11" s="270"/>
      <c r="BY11" s="270"/>
      <c r="BZ11" s="270"/>
      <c r="CA11" s="270"/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/>
      <c r="CO11" s="270"/>
      <c r="CP11" s="270"/>
      <c r="CQ11" s="270"/>
      <c r="CR11" s="270"/>
      <c r="CS11" s="270"/>
      <c r="CT11" s="270"/>
      <c r="CU11" s="270"/>
      <c r="CV11" s="270"/>
      <c r="CW11" s="270"/>
      <c r="CX11" s="270"/>
      <c r="CY11" s="270"/>
      <c r="CZ11" s="270"/>
      <c r="DA11" s="270"/>
      <c r="DB11" s="799"/>
      <c r="DC11" s="799"/>
      <c r="DD11" s="799"/>
      <c r="DE11" s="799"/>
      <c r="DF11" s="799"/>
      <c r="DG11" s="270"/>
      <c r="DH11" s="270"/>
      <c r="DI11" s="270"/>
      <c r="DJ11" s="270"/>
      <c r="DK11" s="270"/>
      <c r="DL11" s="270"/>
      <c r="DM11" s="270"/>
      <c r="DN11" s="270"/>
      <c r="DO11" s="270"/>
      <c r="DP11" s="270"/>
      <c r="DQ11" s="270"/>
      <c r="DR11" s="270"/>
      <c r="DS11" s="801"/>
      <c r="DT11" s="801"/>
      <c r="DU11" s="802"/>
      <c r="DV11" s="803" t="s">
        <v>11</v>
      </c>
      <c r="DW11" s="803" t="s">
        <v>517</v>
      </c>
    </row>
    <row r="12" spans="1:127" ht="137.25" customHeight="1" thickBot="1">
      <c r="A12" s="805" t="s">
        <v>2</v>
      </c>
      <c r="B12" s="805" t="s">
        <v>3</v>
      </c>
      <c r="C12" s="808" t="s">
        <v>611</v>
      </c>
      <c r="D12" s="811" t="s">
        <v>9</v>
      </c>
      <c r="E12" s="264"/>
      <c r="F12" s="814" t="s">
        <v>487</v>
      </c>
      <c r="G12" s="814"/>
      <c r="H12" s="814"/>
      <c r="I12" s="814"/>
      <c r="J12" s="814"/>
      <c r="K12" s="814"/>
      <c r="L12" s="814"/>
      <c r="M12" s="814"/>
      <c r="N12" s="814"/>
      <c r="O12" s="814"/>
      <c r="P12" s="814"/>
      <c r="Q12" s="814"/>
      <c r="R12" s="815"/>
      <c r="S12" s="842" t="s">
        <v>486</v>
      </c>
      <c r="T12" s="814"/>
      <c r="U12" s="814"/>
      <c r="V12" s="814"/>
      <c r="W12" s="814"/>
      <c r="X12" s="814"/>
      <c r="Y12" s="814"/>
      <c r="Z12" s="814"/>
      <c r="AA12" s="814"/>
      <c r="AB12" s="814"/>
      <c r="AC12" s="815"/>
      <c r="AD12" s="842" t="s">
        <v>479</v>
      </c>
      <c r="AE12" s="814"/>
      <c r="AF12" s="814"/>
      <c r="AG12" s="814"/>
      <c r="AH12" s="814"/>
      <c r="AI12" s="814"/>
      <c r="AJ12" s="814"/>
      <c r="AK12" s="815"/>
      <c r="AL12" s="842" t="s">
        <v>480</v>
      </c>
      <c r="AM12" s="814"/>
      <c r="AN12" s="814"/>
      <c r="AO12" s="814"/>
      <c r="AP12" s="814"/>
      <c r="AQ12" s="815"/>
      <c r="AR12" s="843" t="s">
        <v>442</v>
      </c>
      <c r="AS12" s="844"/>
      <c r="AT12" s="844"/>
      <c r="AU12" s="844"/>
      <c r="AV12" s="844"/>
      <c r="AW12" s="844"/>
      <c r="AX12" s="844"/>
      <c r="AY12" s="844"/>
      <c r="AZ12" s="844"/>
      <c r="BA12" s="844"/>
      <c r="BB12" s="844"/>
      <c r="BC12" s="844"/>
      <c r="BD12" s="844"/>
      <c r="BE12" s="844"/>
      <c r="BF12" s="845"/>
      <c r="BG12" s="843" t="s">
        <v>442</v>
      </c>
      <c r="BH12" s="844"/>
      <c r="BI12" s="845"/>
      <c r="BJ12" s="266" t="s">
        <v>446</v>
      </c>
      <c r="BK12" s="266" t="s">
        <v>482</v>
      </c>
      <c r="BL12" s="843" t="s">
        <v>443</v>
      </c>
      <c r="BM12" s="844"/>
      <c r="BN12" s="845"/>
      <c r="BO12" s="827" t="s">
        <v>442</v>
      </c>
      <c r="BP12" s="829"/>
      <c r="BQ12" s="828"/>
      <c r="BR12" s="827" t="s">
        <v>440</v>
      </c>
      <c r="BS12" s="828"/>
      <c r="BT12" s="839" t="s">
        <v>444</v>
      </c>
      <c r="BU12" s="840"/>
      <c r="BV12" s="840"/>
      <c r="BW12" s="840"/>
      <c r="BX12" s="841"/>
      <c r="BY12" s="267"/>
      <c r="BZ12" s="266" t="s">
        <v>445</v>
      </c>
      <c r="CA12" s="827" t="s">
        <v>478</v>
      </c>
      <c r="CB12" s="829"/>
      <c r="CC12" s="828"/>
      <c r="CD12" s="266" t="s">
        <v>488</v>
      </c>
      <c r="CE12" s="827" t="s">
        <v>477</v>
      </c>
      <c r="CF12" s="829"/>
      <c r="CG12" s="829"/>
      <c r="CH12" s="828"/>
      <c r="CI12" s="827" t="s">
        <v>442</v>
      </c>
      <c r="CJ12" s="828"/>
      <c r="CK12" s="827" t="s">
        <v>442</v>
      </c>
      <c r="CL12" s="828"/>
      <c r="CM12" s="827" t="s">
        <v>447</v>
      </c>
      <c r="CN12" s="829"/>
      <c r="CO12" s="829"/>
      <c r="CP12" s="829"/>
      <c r="CQ12" s="828"/>
      <c r="CR12" s="827" t="s">
        <v>447</v>
      </c>
      <c r="CS12" s="829"/>
      <c r="CT12" s="829"/>
      <c r="CU12" s="828"/>
      <c r="CV12" s="827" t="s">
        <v>447</v>
      </c>
      <c r="CW12" s="828"/>
      <c r="CX12" s="827" t="s">
        <v>457</v>
      </c>
      <c r="CY12" s="828"/>
      <c r="CZ12" s="266" t="s">
        <v>495</v>
      </c>
      <c r="DA12" s="830" t="s">
        <v>489</v>
      </c>
      <c r="DB12" s="831"/>
      <c r="DC12" s="831"/>
      <c r="DD12" s="831"/>
      <c r="DE12" s="831"/>
      <c r="DF12" s="832"/>
      <c r="DG12" s="827" t="s">
        <v>446</v>
      </c>
      <c r="DH12" s="828"/>
      <c r="DI12" s="266" t="s">
        <v>443</v>
      </c>
      <c r="DJ12" s="266" t="s">
        <v>443</v>
      </c>
      <c r="DK12" s="827" t="s">
        <v>475</v>
      </c>
      <c r="DL12" s="829"/>
      <c r="DM12" s="828"/>
      <c r="DN12" s="827" t="s">
        <v>442</v>
      </c>
      <c r="DO12" s="829"/>
      <c r="DP12" s="829"/>
      <c r="DQ12" s="828"/>
      <c r="DR12" s="268" t="s">
        <v>795</v>
      </c>
      <c r="DS12" s="816" t="s">
        <v>66</v>
      </c>
      <c r="DT12" s="816" t="s">
        <v>67</v>
      </c>
      <c r="DU12" s="816" t="s">
        <v>68</v>
      </c>
      <c r="DV12" s="803"/>
      <c r="DW12" s="803"/>
    </row>
    <row r="13" spans="1:127" ht="34.5" customHeight="1">
      <c r="A13" s="806"/>
      <c r="B13" s="806"/>
      <c r="C13" s="809"/>
      <c r="D13" s="812"/>
      <c r="E13" s="244"/>
      <c r="F13" s="833" t="s">
        <v>636</v>
      </c>
      <c r="G13" s="834"/>
      <c r="H13" s="837" t="s">
        <v>618</v>
      </c>
      <c r="I13" s="833"/>
      <c r="J13" s="834"/>
      <c r="K13" s="837" t="s">
        <v>523</v>
      </c>
      <c r="L13" s="834"/>
      <c r="M13" s="837" t="s">
        <v>524</v>
      </c>
      <c r="N13" s="834"/>
      <c r="O13" s="837" t="s">
        <v>526</v>
      </c>
      <c r="P13" s="834"/>
      <c r="Q13" s="837" t="s">
        <v>525</v>
      </c>
      <c r="R13" s="834"/>
      <c r="S13" s="837" t="s">
        <v>530</v>
      </c>
      <c r="T13" s="833"/>
      <c r="U13" s="834"/>
      <c r="V13" s="837" t="s">
        <v>528</v>
      </c>
      <c r="W13" s="834"/>
      <c r="X13" s="837" t="s">
        <v>527</v>
      </c>
      <c r="Y13" s="833"/>
      <c r="Z13" s="834"/>
      <c r="AA13" s="837" t="s">
        <v>529</v>
      </c>
      <c r="AB13" s="833"/>
      <c r="AC13" s="834"/>
      <c r="AD13" s="837" t="s">
        <v>533</v>
      </c>
      <c r="AE13" s="834"/>
      <c r="AF13" s="837" t="s">
        <v>532</v>
      </c>
      <c r="AG13" s="834"/>
      <c r="AH13" s="837" t="s">
        <v>531</v>
      </c>
      <c r="AI13" s="834"/>
      <c r="AJ13" s="837" t="s">
        <v>534</v>
      </c>
      <c r="AK13" s="834"/>
      <c r="AL13" s="837" t="s">
        <v>569</v>
      </c>
      <c r="AM13" s="834"/>
      <c r="AN13" s="837" t="s">
        <v>584</v>
      </c>
      <c r="AO13" s="834"/>
      <c r="AP13" s="837" t="s">
        <v>570</v>
      </c>
      <c r="AQ13" s="834"/>
      <c r="AR13" s="837" t="s">
        <v>574</v>
      </c>
      <c r="AS13" s="833"/>
      <c r="AT13" s="834"/>
      <c r="AU13" s="837" t="s">
        <v>573</v>
      </c>
      <c r="AV13" s="833"/>
      <c r="AW13" s="834"/>
      <c r="AX13" s="837" t="s">
        <v>572</v>
      </c>
      <c r="AY13" s="833"/>
      <c r="AZ13" s="834"/>
      <c r="BA13" s="837" t="s">
        <v>571</v>
      </c>
      <c r="BB13" s="833"/>
      <c r="BC13" s="834"/>
      <c r="BD13" s="837" t="s">
        <v>575</v>
      </c>
      <c r="BE13" s="833"/>
      <c r="BF13" s="834"/>
      <c r="BG13" s="819" t="s">
        <v>576</v>
      </c>
      <c r="BH13" s="819" t="s">
        <v>577</v>
      </c>
      <c r="BI13" s="819" t="s">
        <v>578</v>
      </c>
      <c r="BJ13" s="819" t="s">
        <v>796</v>
      </c>
      <c r="BK13" s="819" t="s">
        <v>183</v>
      </c>
      <c r="BL13" s="846" t="s">
        <v>579</v>
      </c>
      <c r="BM13" s="846" t="s">
        <v>580</v>
      </c>
      <c r="BN13" s="846" t="s">
        <v>581</v>
      </c>
      <c r="BO13" s="846" t="s">
        <v>582</v>
      </c>
      <c r="BP13" s="846" t="s">
        <v>583</v>
      </c>
      <c r="BQ13" s="846" t="s">
        <v>449</v>
      </c>
      <c r="BR13" s="837" t="s">
        <v>186</v>
      </c>
      <c r="BS13" s="834"/>
      <c r="BT13" s="837" t="s">
        <v>448</v>
      </c>
      <c r="BU13" s="833"/>
      <c r="BV13" s="834"/>
      <c r="BW13" s="821" t="s">
        <v>189</v>
      </c>
      <c r="BX13" s="823"/>
      <c r="BY13" s="819" t="s">
        <v>585</v>
      </c>
      <c r="BZ13" s="848" t="s">
        <v>594</v>
      </c>
      <c r="CA13" s="821" t="s">
        <v>190</v>
      </c>
      <c r="CB13" s="822"/>
      <c r="CC13" s="823"/>
      <c r="CD13" s="850" t="s">
        <v>192</v>
      </c>
      <c r="CE13" s="837" t="s">
        <v>193</v>
      </c>
      <c r="CF13" s="834"/>
      <c r="CG13" s="821" t="s">
        <v>194</v>
      </c>
      <c r="CH13" s="823"/>
      <c r="CI13" s="837" t="s">
        <v>498</v>
      </c>
      <c r="CJ13" s="834"/>
      <c r="CK13" s="837" t="s">
        <v>496</v>
      </c>
      <c r="CL13" s="834"/>
      <c r="CM13" s="837" t="s">
        <v>678</v>
      </c>
      <c r="CN13" s="833"/>
      <c r="CO13" s="833"/>
      <c r="CP13" s="833"/>
      <c r="CQ13" s="834"/>
      <c r="CR13" s="882" t="s">
        <v>679</v>
      </c>
      <c r="CS13" s="883"/>
      <c r="CT13" s="883"/>
      <c r="CU13" s="884"/>
      <c r="CV13" s="821" t="s">
        <v>586</v>
      </c>
      <c r="CW13" s="823"/>
      <c r="CX13" s="821" t="s">
        <v>453</v>
      </c>
      <c r="CY13" s="823"/>
      <c r="CZ13" s="819" t="s">
        <v>472</v>
      </c>
      <c r="DA13" s="821" t="s">
        <v>595</v>
      </c>
      <c r="DB13" s="823"/>
      <c r="DC13" s="821" t="s">
        <v>596</v>
      </c>
      <c r="DD13" s="823"/>
      <c r="DE13" s="819" t="s">
        <v>510</v>
      </c>
      <c r="DF13" s="819" t="s">
        <v>463</v>
      </c>
      <c r="DG13" s="821" t="s">
        <v>455</v>
      </c>
      <c r="DH13" s="823"/>
      <c r="DI13" s="819" t="s">
        <v>209</v>
      </c>
      <c r="DJ13" s="819" t="s">
        <v>456</v>
      </c>
      <c r="DK13" s="821" t="s">
        <v>461</v>
      </c>
      <c r="DL13" s="822"/>
      <c r="DM13" s="823"/>
      <c r="DN13" s="821" t="s">
        <v>466</v>
      </c>
      <c r="DO13" s="823"/>
      <c r="DP13" s="821" t="s">
        <v>460</v>
      </c>
      <c r="DQ13" s="822"/>
      <c r="DR13" s="819" t="s">
        <v>797</v>
      </c>
      <c r="DS13" s="817"/>
      <c r="DT13" s="816"/>
      <c r="DU13" s="816"/>
      <c r="DV13" s="803"/>
      <c r="DW13" s="803"/>
    </row>
    <row r="14" spans="1:127" ht="201.75" customHeight="1" thickBot="1">
      <c r="A14" s="806"/>
      <c r="B14" s="806"/>
      <c r="C14" s="809"/>
      <c r="D14" s="812"/>
      <c r="E14" s="244" t="s">
        <v>901</v>
      </c>
      <c r="F14" s="835"/>
      <c r="G14" s="836"/>
      <c r="H14" s="838"/>
      <c r="I14" s="835"/>
      <c r="J14" s="836"/>
      <c r="K14" s="838"/>
      <c r="L14" s="836"/>
      <c r="M14" s="838"/>
      <c r="N14" s="836"/>
      <c r="O14" s="838"/>
      <c r="P14" s="836"/>
      <c r="Q14" s="838"/>
      <c r="R14" s="836"/>
      <c r="S14" s="838"/>
      <c r="T14" s="835"/>
      <c r="U14" s="836"/>
      <c r="V14" s="838"/>
      <c r="W14" s="836"/>
      <c r="X14" s="838"/>
      <c r="Y14" s="835"/>
      <c r="Z14" s="836"/>
      <c r="AA14" s="838"/>
      <c r="AB14" s="835"/>
      <c r="AC14" s="836"/>
      <c r="AD14" s="838"/>
      <c r="AE14" s="836"/>
      <c r="AF14" s="838"/>
      <c r="AG14" s="836"/>
      <c r="AH14" s="838"/>
      <c r="AI14" s="836"/>
      <c r="AJ14" s="838"/>
      <c r="AK14" s="836"/>
      <c r="AL14" s="838"/>
      <c r="AM14" s="836"/>
      <c r="AN14" s="838"/>
      <c r="AO14" s="836"/>
      <c r="AP14" s="838"/>
      <c r="AQ14" s="836"/>
      <c r="AR14" s="838"/>
      <c r="AS14" s="835"/>
      <c r="AT14" s="836"/>
      <c r="AU14" s="838"/>
      <c r="AV14" s="835"/>
      <c r="AW14" s="836"/>
      <c r="AX14" s="838"/>
      <c r="AY14" s="835"/>
      <c r="AZ14" s="836"/>
      <c r="BA14" s="838"/>
      <c r="BB14" s="835"/>
      <c r="BC14" s="836"/>
      <c r="BD14" s="838"/>
      <c r="BE14" s="835"/>
      <c r="BF14" s="836"/>
      <c r="BG14" s="820"/>
      <c r="BH14" s="820"/>
      <c r="BI14" s="820"/>
      <c r="BJ14" s="820"/>
      <c r="BK14" s="820"/>
      <c r="BL14" s="847"/>
      <c r="BM14" s="847"/>
      <c r="BN14" s="847"/>
      <c r="BO14" s="847"/>
      <c r="BP14" s="847"/>
      <c r="BQ14" s="847"/>
      <c r="BR14" s="838"/>
      <c r="BS14" s="836"/>
      <c r="BT14" s="838"/>
      <c r="BU14" s="835"/>
      <c r="BV14" s="836"/>
      <c r="BW14" s="824"/>
      <c r="BX14" s="826"/>
      <c r="BY14" s="820"/>
      <c r="BZ14" s="849"/>
      <c r="CA14" s="824"/>
      <c r="CB14" s="825"/>
      <c r="CC14" s="826"/>
      <c r="CD14" s="851"/>
      <c r="CE14" s="838"/>
      <c r="CF14" s="836"/>
      <c r="CG14" s="824"/>
      <c r="CH14" s="826"/>
      <c r="CI14" s="838"/>
      <c r="CJ14" s="836"/>
      <c r="CK14" s="838"/>
      <c r="CL14" s="836"/>
      <c r="CM14" s="838"/>
      <c r="CN14" s="835"/>
      <c r="CO14" s="835"/>
      <c r="CP14" s="835"/>
      <c r="CQ14" s="836"/>
      <c r="CR14" s="885"/>
      <c r="CS14" s="886"/>
      <c r="CT14" s="886"/>
      <c r="CU14" s="887"/>
      <c r="CV14" s="824"/>
      <c r="CW14" s="826"/>
      <c r="CX14" s="824"/>
      <c r="CY14" s="826"/>
      <c r="CZ14" s="820"/>
      <c r="DA14" s="824"/>
      <c r="DB14" s="826"/>
      <c r="DC14" s="824"/>
      <c r="DD14" s="826"/>
      <c r="DE14" s="820"/>
      <c r="DF14" s="820"/>
      <c r="DG14" s="824"/>
      <c r="DH14" s="826"/>
      <c r="DI14" s="820"/>
      <c r="DJ14" s="820"/>
      <c r="DK14" s="824"/>
      <c r="DL14" s="825"/>
      <c r="DM14" s="826"/>
      <c r="DN14" s="824"/>
      <c r="DO14" s="826"/>
      <c r="DP14" s="824"/>
      <c r="DQ14" s="825"/>
      <c r="DR14" s="820"/>
      <c r="DS14" s="817"/>
      <c r="DT14" s="816"/>
      <c r="DU14" s="816"/>
      <c r="DV14" s="803"/>
      <c r="DW14" s="803"/>
    </row>
    <row r="15" spans="1:127" s="217" customFormat="1" ht="201" customHeight="1" thickBot="1">
      <c r="A15" s="807"/>
      <c r="B15" s="807"/>
      <c r="C15" s="810"/>
      <c r="D15" s="813"/>
      <c r="E15" s="265"/>
      <c r="F15" s="258" t="s">
        <v>175</v>
      </c>
      <c r="G15" s="216" t="s">
        <v>64</v>
      </c>
      <c r="H15" s="216" t="s">
        <v>175</v>
      </c>
      <c r="I15" s="216" t="s">
        <v>179</v>
      </c>
      <c r="J15" s="216" t="s">
        <v>64</v>
      </c>
      <c r="K15" s="216" t="s">
        <v>175</v>
      </c>
      <c r="L15" s="216" t="s">
        <v>64</v>
      </c>
      <c r="M15" s="216" t="s">
        <v>175</v>
      </c>
      <c r="N15" s="216" t="s">
        <v>64</v>
      </c>
      <c r="O15" s="216" t="s">
        <v>175</v>
      </c>
      <c r="P15" s="216" t="s">
        <v>64</v>
      </c>
      <c r="Q15" s="216" t="s">
        <v>175</v>
      </c>
      <c r="R15" s="216" t="s">
        <v>64</v>
      </c>
      <c r="S15" s="216" t="s">
        <v>177</v>
      </c>
      <c r="T15" s="216" t="s">
        <v>175</v>
      </c>
      <c r="U15" s="216" t="s">
        <v>64</v>
      </c>
      <c r="V15" s="216" t="s">
        <v>177</v>
      </c>
      <c r="W15" s="216" t="s">
        <v>64</v>
      </c>
      <c r="X15" s="216" t="s">
        <v>177</v>
      </c>
      <c r="Y15" s="216" t="s">
        <v>175</v>
      </c>
      <c r="Z15" s="216" t="s">
        <v>64</v>
      </c>
      <c r="AA15" s="216" t="s">
        <v>175</v>
      </c>
      <c r="AB15" s="216" t="s">
        <v>177</v>
      </c>
      <c r="AC15" s="216" t="s">
        <v>64</v>
      </c>
      <c r="AD15" s="216" t="s">
        <v>175</v>
      </c>
      <c r="AE15" s="216" t="s">
        <v>64</v>
      </c>
      <c r="AF15" s="216" t="s">
        <v>175</v>
      </c>
      <c r="AG15" s="216" t="s">
        <v>64</v>
      </c>
      <c r="AH15" s="216" t="s">
        <v>175</v>
      </c>
      <c r="AI15" s="216" t="s">
        <v>64</v>
      </c>
      <c r="AJ15" s="216" t="s">
        <v>175</v>
      </c>
      <c r="AK15" s="216" t="s">
        <v>64</v>
      </c>
      <c r="AL15" s="216" t="s">
        <v>175</v>
      </c>
      <c r="AM15" s="216" t="s">
        <v>64</v>
      </c>
      <c r="AN15" s="216" t="s">
        <v>175</v>
      </c>
      <c r="AO15" s="216" t="s">
        <v>64</v>
      </c>
      <c r="AP15" s="216" t="s">
        <v>175</v>
      </c>
      <c r="AQ15" s="216" t="s">
        <v>64</v>
      </c>
      <c r="AR15" s="216" t="s">
        <v>175</v>
      </c>
      <c r="AS15" s="216" t="s">
        <v>179</v>
      </c>
      <c r="AT15" s="216" t="s">
        <v>180</v>
      </c>
      <c r="AU15" s="216" t="s">
        <v>175</v>
      </c>
      <c r="AV15" s="216" t="s">
        <v>179</v>
      </c>
      <c r="AW15" s="216" t="s">
        <v>180</v>
      </c>
      <c r="AX15" s="216" t="s">
        <v>175</v>
      </c>
      <c r="AY15" s="216" t="s">
        <v>179</v>
      </c>
      <c r="AZ15" s="216" t="s">
        <v>180</v>
      </c>
      <c r="BA15" s="216" t="s">
        <v>175</v>
      </c>
      <c r="BB15" s="216" t="s">
        <v>179</v>
      </c>
      <c r="BC15" s="216" t="s">
        <v>180</v>
      </c>
      <c r="BD15" s="216" t="s">
        <v>175</v>
      </c>
      <c r="BE15" s="216" t="s">
        <v>179</v>
      </c>
      <c r="BF15" s="216" t="s">
        <v>180</v>
      </c>
      <c r="BG15" s="216" t="s">
        <v>458</v>
      </c>
      <c r="BH15" s="216" t="s">
        <v>458</v>
      </c>
      <c r="BI15" s="216" t="s">
        <v>458</v>
      </c>
      <c r="BJ15" s="216" t="s">
        <v>471</v>
      </c>
      <c r="BK15" s="216" t="s">
        <v>471</v>
      </c>
      <c r="BL15" s="216" t="s">
        <v>458</v>
      </c>
      <c r="BM15" s="216" t="s">
        <v>458</v>
      </c>
      <c r="BN15" s="216" t="s">
        <v>458</v>
      </c>
      <c r="BO15" s="216" t="s">
        <v>471</v>
      </c>
      <c r="BP15" s="216" t="s">
        <v>471</v>
      </c>
      <c r="BQ15" s="216" t="s">
        <v>471</v>
      </c>
      <c r="BR15" s="216" t="s">
        <v>175</v>
      </c>
      <c r="BS15" s="216" t="s">
        <v>64</v>
      </c>
      <c r="BT15" s="216" t="s">
        <v>187</v>
      </c>
      <c r="BU15" s="216" t="s">
        <v>60</v>
      </c>
      <c r="BV15" s="216" t="s">
        <v>188</v>
      </c>
      <c r="BW15" s="216" t="s">
        <v>60</v>
      </c>
      <c r="BX15" s="216" t="s">
        <v>188</v>
      </c>
      <c r="BY15" s="216" t="s">
        <v>471</v>
      </c>
      <c r="BZ15" s="216" t="s">
        <v>471</v>
      </c>
      <c r="CA15" s="216" t="s">
        <v>177</v>
      </c>
      <c r="CB15" s="216" t="s">
        <v>191</v>
      </c>
      <c r="CC15" s="216" t="s">
        <v>64</v>
      </c>
      <c r="CD15" s="216" t="s">
        <v>64</v>
      </c>
      <c r="CE15" s="216" t="s">
        <v>195</v>
      </c>
      <c r="CF15" s="216" t="s">
        <v>64</v>
      </c>
      <c r="CG15" s="216" t="s">
        <v>175</v>
      </c>
      <c r="CH15" s="216" t="s">
        <v>64</v>
      </c>
      <c r="CI15" s="216" t="s">
        <v>197</v>
      </c>
      <c r="CJ15" s="216" t="s">
        <v>198</v>
      </c>
      <c r="CK15" s="216" t="s">
        <v>197</v>
      </c>
      <c r="CL15" s="216" t="s">
        <v>198</v>
      </c>
      <c r="CM15" s="216" t="s">
        <v>199</v>
      </c>
      <c r="CN15" s="216" t="s">
        <v>200</v>
      </c>
      <c r="CO15" s="216" t="s">
        <v>677</v>
      </c>
      <c r="CP15" s="216" t="s">
        <v>204</v>
      </c>
      <c r="CQ15" s="216" t="s">
        <v>64</v>
      </c>
      <c r="CR15" s="216" t="s">
        <v>680</v>
      </c>
      <c r="CS15" s="216" t="s">
        <v>681</v>
      </c>
      <c r="CT15" s="216" t="s">
        <v>682</v>
      </c>
      <c r="CU15" s="216" t="s">
        <v>64</v>
      </c>
      <c r="CV15" s="216" t="s">
        <v>208</v>
      </c>
      <c r="CW15" s="216" t="s">
        <v>64</v>
      </c>
      <c r="CX15" s="216" t="s">
        <v>205</v>
      </c>
      <c r="CY15" s="216" t="s">
        <v>206</v>
      </c>
      <c r="CZ15" s="216" t="s">
        <v>471</v>
      </c>
      <c r="DA15" s="216" t="s">
        <v>175</v>
      </c>
      <c r="DB15" s="216" t="s">
        <v>64</v>
      </c>
      <c r="DC15" s="216" t="s">
        <v>175</v>
      </c>
      <c r="DD15" s="216" t="s">
        <v>64</v>
      </c>
      <c r="DE15" s="216" t="s">
        <v>485</v>
      </c>
      <c r="DF15" s="216" t="s">
        <v>206</v>
      </c>
      <c r="DG15" s="216" t="s">
        <v>175</v>
      </c>
      <c r="DH15" s="216" t="s">
        <v>64</v>
      </c>
      <c r="DI15" s="216" t="s">
        <v>64</v>
      </c>
      <c r="DJ15" s="216" t="s">
        <v>485</v>
      </c>
      <c r="DK15" s="216" t="s">
        <v>175</v>
      </c>
      <c r="DL15" s="216" t="s">
        <v>462</v>
      </c>
      <c r="DM15" s="216" t="s">
        <v>206</v>
      </c>
      <c r="DN15" s="216" t="s">
        <v>175</v>
      </c>
      <c r="DO15" s="216" t="s">
        <v>206</v>
      </c>
      <c r="DP15" s="216" t="s">
        <v>175</v>
      </c>
      <c r="DQ15" s="216" t="s">
        <v>798</v>
      </c>
      <c r="DR15" s="241" t="s">
        <v>799</v>
      </c>
      <c r="DS15" s="818"/>
      <c r="DT15" s="818"/>
      <c r="DU15" s="818"/>
      <c r="DV15" s="804"/>
      <c r="DW15" s="804"/>
    </row>
    <row r="16" spans="1:127" ht="42" hidden="1" customHeight="1" thickBot="1">
      <c r="A16" s="259" t="s">
        <v>281</v>
      </c>
      <c r="B16" s="260" t="s">
        <v>282</v>
      </c>
      <c r="C16" s="261">
        <v>43621</v>
      </c>
      <c r="D16" s="262" t="s">
        <v>434</v>
      </c>
      <c r="E16" s="263" t="s">
        <v>897</v>
      </c>
      <c r="F16" s="167">
        <v>4</v>
      </c>
      <c r="G16" s="167">
        <v>4</v>
      </c>
      <c r="H16" s="167">
        <v>4</v>
      </c>
      <c r="I16" s="167" t="s">
        <v>69</v>
      </c>
      <c r="J16" s="167">
        <v>4</v>
      </c>
      <c r="K16" s="167" t="s">
        <v>69</v>
      </c>
      <c r="L16" s="167" t="s">
        <v>69</v>
      </c>
      <c r="M16" s="167" t="s">
        <v>69</v>
      </c>
      <c r="N16" s="167" t="s">
        <v>69</v>
      </c>
      <c r="O16" s="167">
        <v>4</v>
      </c>
      <c r="P16" s="167">
        <v>4</v>
      </c>
      <c r="Q16" s="167" t="s">
        <v>69</v>
      </c>
      <c r="R16" s="167">
        <v>4</v>
      </c>
      <c r="S16" s="167" t="s">
        <v>69</v>
      </c>
      <c r="T16" s="167" t="s">
        <v>69</v>
      </c>
      <c r="U16" s="167" t="s">
        <v>69</v>
      </c>
      <c r="V16" s="167" t="s">
        <v>69</v>
      </c>
      <c r="W16" s="167" t="s">
        <v>69</v>
      </c>
      <c r="X16" s="167" t="s">
        <v>69</v>
      </c>
      <c r="Y16" s="167" t="s">
        <v>69</v>
      </c>
      <c r="Z16" s="167" t="s">
        <v>69</v>
      </c>
      <c r="AA16" s="167">
        <v>4</v>
      </c>
      <c r="AB16" s="167" t="s">
        <v>69</v>
      </c>
      <c r="AC16" s="167">
        <v>4</v>
      </c>
      <c r="AD16" s="167" t="s">
        <v>69</v>
      </c>
      <c r="AE16" s="167" t="s">
        <v>69</v>
      </c>
      <c r="AF16" s="167">
        <v>3</v>
      </c>
      <c r="AG16" s="167">
        <v>3</v>
      </c>
      <c r="AH16" s="167">
        <v>3</v>
      </c>
      <c r="AI16" s="167">
        <v>3</v>
      </c>
      <c r="AJ16" s="167" t="s">
        <v>69</v>
      </c>
      <c r="AK16" s="167" t="s">
        <v>69</v>
      </c>
      <c r="AL16" s="167" t="s">
        <v>69</v>
      </c>
      <c r="AM16" s="167" t="s">
        <v>69</v>
      </c>
      <c r="AN16" s="167" t="s">
        <v>69</v>
      </c>
      <c r="AO16" s="167" t="s">
        <v>69</v>
      </c>
      <c r="AP16" s="167" t="s">
        <v>69</v>
      </c>
      <c r="AQ16" s="167">
        <v>4</v>
      </c>
      <c r="AR16" s="167">
        <v>4</v>
      </c>
      <c r="AS16" s="167" t="s">
        <v>69</v>
      </c>
      <c r="AT16" s="167">
        <v>4</v>
      </c>
      <c r="AU16" s="167">
        <v>4</v>
      </c>
      <c r="AV16" s="167" t="s">
        <v>69</v>
      </c>
      <c r="AW16" s="167" t="s">
        <v>69</v>
      </c>
      <c r="AX16" s="167">
        <v>4</v>
      </c>
      <c r="AY16" s="167" t="s">
        <v>69</v>
      </c>
      <c r="AZ16" s="167">
        <v>4</v>
      </c>
      <c r="BA16" s="167" t="s">
        <v>69</v>
      </c>
      <c r="BB16" s="167" t="s">
        <v>69</v>
      </c>
      <c r="BC16" s="167" t="s">
        <v>69</v>
      </c>
      <c r="BD16" s="167" t="s">
        <v>69</v>
      </c>
      <c r="BE16" s="167" t="s">
        <v>69</v>
      </c>
      <c r="BF16" s="167" t="s">
        <v>69</v>
      </c>
      <c r="BG16" s="167" t="s">
        <v>69</v>
      </c>
      <c r="BH16" s="167" t="s">
        <v>69</v>
      </c>
      <c r="BI16" s="167" t="s">
        <v>69</v>
      </c>
      <c r="BJ16" s="167" t="s">
        <v>69</v>
      </c>
      <c r="BK16" s="167" t="s">
        <v>69</v>
      </c>
      <c r="BL16" s="167" t="s">
        <v>69</v>
      </c>
      <c r="BM16" s="167" t="s">
        <v>69</v>
      </c>
      <c r="BN16" s="167" t="s">
        <v>69</v>
      </c>
      <c r="BO16" s="167" t="s">
        <v>69</v>
      </c>
      <c r="BP16" s="167" t="s">
        <v>69</v>
      </c>
      <c r="BQ16" s="167" t="s">
        <v>69</v>
      </c>
      <c r="BR16" s="167">
        <v>4</v>
      </c>
      <c r="BS16" s="167" t="s">
        <v>69</v>
      </c>
      <c r="BT16" s="167" t="s">
        <v>69</v>
      </c>
      <c r="BU16" s="167">
        <v>3</v>
      </c>
      <c r="BV16" s="167">
        <v>3</v>
      </c>
      <c r="BW16" s="167" t="s">
        <v>69</v>
      </c>
      <c r="BX16" s="167" t="s">
        <v>69</v>
      </c>
      <c r="BY16" s="167">
        <v>4</v>
      </c>
      <c r="BZ16" s="167" t="s">
        <v>69</v>
      </c>
      <c r="CA16" s="167" t="s">
        <v>69</v>
      </c>
      <c r="CB16" s="167" t="s">
        <v>69</v>
      </c>
      <c r="CC16" s="167" t="s">
        <v>69</v>
      </c>
      <c r="CD16" s="167" t="s">
        <v>69</v>
      </c>
      <c r="CE16" s="167" t="s">
        <v>69</v>
      </c>
      <c r="CF16" s="167" t="s">
        <v>69</v>
      </c>
      <c r="CG16" s="167">
        <v>4</v>
      </c>
      <c r="CH16" s="167" t="s">
        <v>69</v>
      </c>
      <c r="CI16" s="167" t="s">
        <v>69</v>
      </c>
      <c r="CJ16" s="167" t="s">
        <v>69</v>
      </c>
      <c r="CK16" s="167" t="s">
        <v>69</v>
      </c>
      <c r="CL16" s="167" t="s">
        <v>69</v>
      </c>
      <c r="CM16" s="167" t="s">
        <v>69</v>
      </c>
      <c r="CN16" s="167" t="s">
        <v>69</v>
      </c>
      <c r="CO16" s="167" t="s">
        <v>69</v>
      </c>
      <c r="CP16" s="167" t="s">
        <v>69</v>
      </c>
      <c r="CQ16" s="167" t="s">
        <v>69</v>
      </c>
      <c r="CR16" s="167" t="s">
        <v>69</v>
      </c>
      <c r="CS16" s="167" t="s">
        <v>69</v>
      </c>
      <c r="CT16" s="167" t="s">
        <v>69</v>
      </c>
      <c r="CU16" s="167" t="s">
        <v>69</v>
      </c>
      <c r="CV16" s="167" t="s">
        <v>69</v>
      </c>
      <c r="CW16" s="167" t="s">
        <v>69</v>
      </c>
      <c r="CX16" s="167" t="s">
        <v>69</v>
      </c>
      <c r="CY16" s="167" t="s">
        <v>69</v>
      </c>
      <c r="CZ16" s="167" t="s">
        <v>69</v>
      </c>
      <c r="DA16" s="167">
        <v>4</v>
      </c>
      <c r="DB16" s="167">
        <v>4</v>
      </c>
      <c r="DC16" s="167">
        <v>4</v>
      </c>
      <c r="DD16" s="167">
        <v>4</v>
      </c>
      <c r="DE16" s="167" t="s">
        <v>69</v>
      </c>
      <c r="DF16" s="167" t="s">
        <v>69</v>
      </c>
      <c r="DG16" s="167" t="s">
        <v>69</v>
      </c>
      <c r="DH16" s="167" t="s">
        <v>69</v>
      </c>
      <c r="DI16" s="167">
        <v>3</v>
      </c>
      <c r="DJ16" s="167" t="s">
        <v>69</v>
      </c>
      <c r="DK16" s="167" t="s">
        <v>69</v>
      </c>
      <c r="DL16" s="167" t="s">
        <v>69</v>
      </c>
      <c r="DM16" s="167" t="s">
        <v>69</v>
      </c>
      <c r="DN16" s="167" t="s">
        <v>69</v>
      </c>
      <c r="DO16" s="167" t="s">
        <v>69</v>
      </c>
      <c r="DP16" s="167" t="s">
        <v>69</v>
      </c>
      <c r="DQ16" s="167" t="s">
        <v>69</v>
      </c>
      <c r="DR16" s="167" t="s">
        <v>69</v>
      </c>
      <c r="DS16" s="167" t="s">
        <v>69</v>
      </c>
      <c r="DT16" s="167" t="s">
        <v>69</v>
      </c>
      <c r="DU16" s="167">
        <v>4</v>
      </c>
      <c r="DV16" s="110">
        <f>COUNTIF(F16:DU16,"&gt;0")/62</f>
        <v>0.4838709677419355</v>
      </c>
      <c r="DW16" s="104">
        <f>+COUNTIF(F16:DU16,"&gt;2")/COUNTIF(F16:DU16,"&gt;1")</f>
        <v>1</v>
      </c>
    </row>
    <row r="17" spans="1:127" ht="42" hidden="1" customHeight="1" thickBot="1">
      <c r="A17" s="250" t="s">
        <v>283</v>
      </c>
      <c r="B17" s="242" t="s">
        <v>284</v>
      </c>
      <c r="C17" s="208">
        <v>44077</v>
      </c>
      <c r="D17" s="220" t="s">
        <v>434</v>
      </c>
      <c r="E17" s="256" t="s">
        <v>897</v>
      </c>
      <c r="F17" s="167">
        <v>4</v>
      </c>
      <c r="G17" s="167">
        <v>4</v>
      </c>
      <c r="H17" s="167">
        <v>4</v>
      </c>
      <c r="I17" s="167" t="s">
        <v>69</v>
      </c>
      <c r="J17" s="167" t="s">
        <v>69</v>
      </c>
      <c r="K17" s="167" t="s">
        <v>69</v>
      </c>
      <c r="L17" s="167" t="s">
        <v>69</v>
      </c>
      <c r="M17" s="167" t="s">
        <v>69</v>
      </c>
      <c r="N17" s="167" t="s">
        <v>69</v>
      </c>
      <c r="O17" s="167">
        <v>4</v>
      </c>
      <c r="P17" s="167">
        <v>4</v>
      </c>
      <c r="Q17" s="167" t="s">
        <v>69</v>
      </c>
      <c r="R17" s="167">
        <v>4</v>
      </c>
      <c r="S17" s="167" t="s">
        <v>69</v>
      </c>
      <c r="T17" s="167" t="s">
        <v>69</v>
      </c>
      <c r="U17" s="167" t="s">
        <v>69</v>
      </c>
      <c r="V17" s="167" t="s">
        <v>69</v>
      </c>
      <c r="W17" s="167" t="s">
        <v>69</v>
      </c>
      <c r="X17" s="167" t="s">
        <v>69</v>
      </c>
      <c r="Y17" s="167" t="s">
        <v>69</v>
      </c>
      <c r="Z17" s="167" t="s">
        <v>69</v>
      </c>
      <c r="AA17" s="167">
        <v>4</v>
      </c>
      <c r="AB17" s="167" t="s">
        <v>69</v>
      </c>
      <c r="AC17" s="167">
        <v>4</v>
      </c>
      <c r="AD17" s="167" t="s">
        <v>69</v>
      </c>
      <c r="AE17" s="167" t="s">
        <v>69</v>
      </c>
      <c r="AF17" s="167" t="s">
        <v>69</v>
      </c>
      <c r="AG17" s="167" t="s">
        <v>69</v>
      </c>
      <c r="AH17" s="167" t="s">
        <v>69</v>
      </c>
      <c r="AI17" s="167" t="s">
        <v>69</v>
      </c>
      <c r="AJ17" s="167" t="s">
        <v>69</v>
      </c>
      <c r="AK17" s="167" t="s">
        <v>69</v>
      </c>
      <c r="AL17" s="167">
        <v>3</v>
      </c>
      <c r="AM17" s="167">
        <v>4</v>
      </c>
      <c r="AN17" s="167">
        <v>4</v>
      </c>
      <c r="AO17" s="167">
        <v>4</v>
      </c>
      <c r="AP17" s="167">
        <v>4</v>
      </c>
      <c r="AQ17" s="167">
        <v>4</v>
      </c>
      <c r="AR17" s="167">
        <v>4</v>
      </c>
      <c r="AS17" s="167">
        <v>4</v>
      </c>
      <c r="AT17" s="167">
        <v>4</v>
      </c>
      <c r="AU17" s="167">
        <v>4</v>
      </c>
      <c r="AV17" s="167" t="s">
        <v>69</v>
      </c>
      <c r="AW17" s="167" t="s">
        <v>69</v>
      </c>
      <c r="AX17" s="167">
        <v>4</v>
      </c>
      <c r="AY17" s="167">
        <v>4</v>
      </c>
      <c r="AZ17" s="167">
        <v>3</v>
      </c>
      <c r="BA17" s="167" t="s">
        <v>69</v>
      </c>
      <c r="BB17" s="167" t="s">
        <v>69</v>
      </c>
      <c r="BC17" s="167">
        <v>4</v>
      </c>
      <c r="BD17" s="167" t="s">
        <v>69</v>
      </c>
      <c r="BE17" s="167" t="s">
        <v>69</v>
      </c>
      <c r="BF17" s="167" t="s">
        <v>69</v>
      </c>
      <c r="BG17" s="167" t="s">
        <v>69</v>
      </c>
      <c r="BH17" s="167" t="s">
        <v>69</v>
      </c>
      <c r="BI17" s="167" t="s">
        <v>69</v>
      </c>
      <c r="BJ17" s="167">
        <v>4</v>
      </c>
      <c r="BK17" s="167" t="s">
        <v>69</v>
      </c>
      <c r="BL17" s="167">
        <v>4</v>
      </c>
      <c r="BM17" s="167">
        <v>4</v>
      </c>
      <c r="BN17" s="167">
        <v>4</v>
      </c>
      <c r="BO17" s="167" t="s">
        <v>69</v>
      </c>
      <c r="BP17" s="167" t="s">
        <v>69</v>
      </c>
      <c r="BQ17" s="167" t="s">
        <v>69</v>
      </c>
      <c r="BR17" s="167">
        <v>4</v>
      </c>
      <c r="BS17" s="167" t="s">
        <v>69</v>
      </c>
      <c r="BT17" s="167" t="s">
        <v>69</v>
      </c>
      <c r="BU17" s="167" t="s">
        <v>69</v>
      </c>
      <c r="BV17" s="167" t="s">
        <v>69</v>
      </c>
      <c r="BW17" s="167" t="s">
        <v>69</v>
      </c>
      <c r="BX17" s="167" t="s">
        <v>69</v>
      </c>
      <c r="BY17" s="167">
        <v>4</v>
      </c>
      <c r="BZ17" s="167" t="s">
        <v>69</v>
      </c>
      <c r="CA17" s="167" t="s">
        <v>69</v>
      </c>
      <c r="CB17" s="167" t="s">
        <v>69</v>
      </c>
      <c r="CC17" s="167" t="s">
        <v>69</v>
      </c>
      <c r="CD17" s="167" t="s">
        <v>69</v>
      </c>
      <c r="CE17" s="167" t="s">
        <v>69</v>
      </c>
      <c r="CF17" s="167" t="s">
        <v>69</v>
      </c>
      <c r="CG17" s="167">
        <v>4</v>
      </c>
      <c r="CH17" s="167" t="s">
        <v>69</v>
      </c>
      <c r="CI17" s="167" t="s">
        <v>69</v>
      </c>
      <c r="CJ17" s="167" t="s">
        <v>69</v>
      </c>
      <c r="CK17" s="167" t="s">
        <v>69</v>
      </c>
      <c r="CL17" s="167" t="s">
        <v>69</v>
      </c>
      <c r="CM17" s="167" t="s">
        <v>69</v>
      </c>
      <c r="CN17" s="167" t="s">
        <v>69</v>
      </c>
      <c r="CO17" s="167" t="s">
        <v>69</v>
      </c>
      <c r="CP17" s="167" t="s">
        <v>69</v>
      </c>
      <c r="CQ17" s="167" t="s">
        <v>69</v>
      </c>
      <c r="CR17" s="167" t="s">
        <v>69</v>
      </c>
      <c r="CS17" s="167" t="s">
        <v>69</v>
      </c>
      <c r="CT17" s="167" t="s">
        <v>69</v>
      </c>
      <c r="CU17" s="167" t="s">
        <v>69</v>
      </c>
      <c r="CV17" s="167">
        <v>4</v>
      </c>
      <c r="CW17" s="167">
        <v>4</v>
      </c>
      <c r="CX17" s="167" t="s">
        <v>69</v>
      </c>
      <c r="CY17" s="167" t="s">
        <v>69</v>
      </c>
      <c r="CZ17" s="167" t="s">
        <v>69</v>
      </c>
      <c r="DA17" s="167" t="s">
        <v>69</v>
      </c>
      <c r="DB17" s="167" t="s">
        <v>69</v>
      </c>
      <c r="DC17" s="167" t="s">
        <v>69</v>
      </c>
      <c r="DD17" s="167" t="s">
        <v>69</v>
      </c>
      <c r="DE17" s="167" t="s">
        <v>69</v>
      </c>
      <c r="DF17" s="167" t="s">
        <v>69</v>
      </c>
      <c r="DG17" s="167" t="s">
        <v>69</v>
      </c>
      <c r="DH17" s="167" t="s">
        <v>69</v>
      </c>
      <c r="DI17" s="167" t="s">
        <v>69</v>
      </c>
      <c r="DJ17" s="167" t="s">
        <v>69</v>
      </c>
      <c r="DK17" s="167" t="s">
        <v>69</v>
      </c>
      <c r="DL17" s="167" t="s">
        <v>69</v>
      </c>
      <c r="DM17" s="167" t="s">
        <v>69</v>
      </c>
      <c r="DN17" s="167" t="s">
        <v>69</v>
      </c>
      <c r="DO17" s="167" t="s">
        <v>69</v>
      </c>
      <c r="DP17" s="167" t="s">
        <v>69</v>
      </c>
      <c r="DQ17" s="167" t="s">
        <v>69</v>
      </c>
      <c r="DR17" s="167" t="s">
        <v>69</v>
      </c>
      <c r="DS17" s="167">
        <v>2</v>
      </c>
      <c r="DT17" s="167" t="s">
        <v>69</v>
      </c>
      <c r="DU17" s="167">
        <v>4</v>
      </c>
      <c r="DV17" s="110">
        <f t="shared" ref="DV17:DV80" si="0">COUNTIF(F17:DU17,"&gt;0")/62</f>
        <v>0.532258064516129</v>
      </c>
      <c r="DW17" s="104">
        <f t="shared" ref="DW17:DW80" si="1">+COUNTIF(F17:DU17,"&gt;2")/COUNTIF(F17:DU17,"&gt;1")</f>
        <v>0.96969696969696972</v>
      </c>
    </row>
    <row r="18" spans="1:127" ht="42" hidden="1" customHeight="1" thickBot="1">
      <c r="A18" s="250" t="s">
        <v>289</v>
      </c>
      <c r="B18" s="242" t="s">
        <v>290</v>
      </c>
      <c r="C18" s="208">
        <v>44175</v>
      </c>
      <c r="D18" s="220" t="s">
        <v>434</v>
      </c>
      <c r="E18" s="256" t="s">
        <v>897</v>
      </c>
      <c r="F18" s="167" t="s">
        <v>69</v>
      </c>
      <c r="G18" s="167" t="s">
        <v>69</v>
      </c>
      <c r="H18" s="167" t="s">
        <v>69</v>
      </c>
      <c r="I18" s="167" t="s">
        <v>69</v>
      </c>
      <c r="J18" s="167" t="s">
        <v>69</v>
      </c>
      <c r="K18" s="167" t="s">
        <v>69</v>
      </c>
      <c r="L18" s="167" t="s">
        <v>69</v>
      </c>
      <c r="M18" s="167" t="s">
        <v>69</v>
      </c>
      <c r="N18" s="167" t="s">
        <v>69</v>
      </c>
      <c r="O18" s="167">
        <v>4</v>
      </c>
      <c r="P18" s="167" t="s">
        <v>69</v>
      </c>
      <c r="Q18" s="167" t="s">
        <v>69</v>
      </c>
      <c r="R18" s="167" t="s">
        <v>69</v>
      </c>
      <c r="S18" s="167">
        <v>2</v>
      </c>
      <c r="T18" s="167" t="s">
        <v>69</v>
      </c>
      <c r="U18" s="167" t="s">
        <v>69</v>
      </c>
      <c r="V18" s="167" t="s">
        <v>69</v>
      </c>
      <c r="W18" s="167" t="s">
        <v>69</v>
      </c>
      <c r="X18" s="167" t="s">
        <v>69</v>
      </c>
      <c r="Y18" s="167" t="s">
        <v>69</v>
      </c>
      <c r="Z18" s="167" t="s">
        <v>69</v>
      </c>
      <c r="AA18" s="167">
        <v>4</v>
      </c>
      <c r="AB18" s="167" t="s">
        <v>69</v>
      </c>
      <c r="AC18" s="167" t="s">
        <v>69</v>
      </c>
      <c r="AD18" s="167" t="s">
        <v>69</v>
      </c>
      <c r="AE18" s="167" t="s">
        <v>69</v>
      </c>
      <c r="AF18" s="167" t="s">
        <v>69</v>
      </c>
      <c r="AG18" s="167" t="s">
        <v>69</v>
      </c>
      <c r="AH18" s="167" t="s">
        <v>69</v>
      </c>
      <c r="AI18" s="167" t="s">
        <v>69</v>
      </c>
      <c r="AJ18" s="167" t="s">
        <v>69</v>
      </c>
      <c r="AK18" s="167" t="s">
        <v>69</v>
      </c>
      <c r="AL18" s="167" t="s">
        <v>69</v>
      </c>
      <c r="AM18" s="167" t="s">
        <v>69</v>
      </c>
      <c r="AN18" s="167" t="s">
        <v>69</v>
      </c>
      <c r="AO18" s="167" t="s">
        <v>69</v>
      </c>
      <c r="AP18" s="167" t="s">
        <v>69</v>
      </c>
      <c r="AQ18" s="167" t="s">
        <v>69</v>
      </c>
      <c r="AR18" s="167" t="s">
        <v>69</v>
      </c>
      <c r="AS18" s="167" t="s">
        <v>69</v>
      </c>
      <c r="AT18" s="167" t="s">
        <v>69</v>
      </c>
      <c r="AU18" s="167" t="s">
        <v>69</v>
      </c>
      <c r="AV18" s="167" t="s">
        <v>69</v>
      </c>
      <c r="AW18" s="167" t="s">
        <v>69</v>
      </c>
      <c r="AX18" s="167" t="s">
        <v>69</v>
      </c>
      <c r="AY18" s="167" t="s">
        <v>69</v>
      </c>
      <c r="AZ18" s="167" t="s">
        <v>69</v>
      </c>
      <c r="BA18" s="167" t="s">
        <v>69</v>
      </c>
      <c r="BB18" s="167" t="s">
        <v>69</v>
      </c>
      <c r="BC18" s="167" t="s">
        <v>69</v>
      </c>
      <c r="BD18" s="167" t="s">
        <v>69</v>
      </c>
      <c r="BE18" s="167" t="s">
        <v>69</v>
      </c>
      <c r="BF18" s="167" t="s">
        <v>69</v>
      </c>
      <c r="BG18" s="167" t="s">
        <v>69</v>
      </c>
      <c r="BH18" s="167" t="s">
        <v>69</v>
      </c>
      <c r="BI18" s="167" t="s">
        <v>69</v>
      </c>
      <c r="BJ18" s="167" t="s">
        <v>69</v>
      </c>
      <c r="BK18" s="167" t="s">
        <v>69</v>
      </c>
      <c r="BL18" s="167">
        <v>4</v>
      </c>
      <c r="BM18" s="167">
        <v>4</v>
      </c>
      <c r="BN18" s="167">
        <v>4</v>
      </c>
      <c r="BO18" s="167" t="s">
        <v>69</v>
      </c>
      <c r="BP18" s="167" t="s">
        <v>69</v>
      </c>
      <c r="BQ18" s="167" t="s">
        <v>69</v>
      </c>
      <c r="BR18" s="167">
        <v>4</v>
      </c>
      <c r="BS18" s="167" t="s">
        <v>69</v>
      </c>
      <c r="BT18" s="167" t="s">
        <v>69</v>
      </c>
      <c r="BU18" s="167" t="s">
        <v>69</v>
      </c>
      <c r="BV18" s="167" t="s">
        <v>69</v>
      </c>
      <c r="BW18" s="167" t="s">
        <v>69</v>
      </c>
      <c r="BX18" s="167" t="s">
        <v>69</v>
      </c>
      <c r="BY18" s="167" t="s">
        <v>69</v>
      </c>
      <c r="BZ18" s="167" t="s">
        <v>69</v>
      </c>
      <c r="CA18" s="167">
        <v>3</v>
      </c>
      <c r="CB18" s="167">
        <v>4</v>
      </c>
      <c r="CC18" s="167">
        <v>4</v>
      </c>
      <c r="CD18" s="167" t="s">
        <v>69</v>
      </c>
      <c r="CE18" s="167" t="s">
        <v>69</v>
      </c>
      <c r="CF18" s="167" t="s">
        <v>69</v>
      </c>
      <c r="CG18" s="167">
        <v>4</v>
      </c>
      <c r="CH18" s="167">
        <v>4</v>
      </c>
      <c r="CI18" s="167" t="s">
        <v>69</v>
      </c>
      <c r="CJ18" s="167" t="s">
        <v>69</v>
      </c>
      <c r="CK18" s="167" t="s">
        <v>69</v>
      </c>
      <c r="CL18" s="167" t="s">
        <v>69</v>
      </c>
      <c r="CM18" s="167" t="s">
        <v>69</v>
      </c>
      <c r="CN18" s="167" t="s">
        <v>69</v>
      </c>
      <c r="CO18" s="167" t="s">
        <v>69</v>
      </c>
      <c r="CP18" s="167" t="s">
        <v>69</v>
      </c>
      <c r="CQ18" s="167" t="s">
        <v>69</v>
      </c>
      <c r="CR18" s="167" t="s">
        <v>69</v>
      </c>
      <c r="CS18" s="167" t="s">
        <v>69</v>
      </c>
      <c r="CT18" s="167" t="s">
        <v>69</v>
      </c>
      <c r="CU18" s="167" t="s">
        <v>69</v>
      </c>
      <c r="CV18" s="167" t="s">
        <v>69</v>
      </c>
      <c r="CW18" s="167" t="s">
        <v>69</v>
      </c>
      <c r="CX18" s="167" t="s">
        <v>69</v>
      </c>
      <c r="CY18" s="167" t="s">
        <v>69</v>
      </c>
      <c r="CZ18" s="167" t="s">
        <v>69</v>
      </c>
      <c r="DA18" s="167" t="s">
        <v>69</v>
      </c>
      <c r="DB18" s="167" t="s">
        <v>69</v>
      </c>
      <c r="DC18" s="167" t="s">
        <v>69</v>
      </c>
      <c r="DD18" s="167" t="s">
        <v>69</v>
      </c>
      <c r="DE18" s="167" t="s">
        <v>69</v>
      </c>
      <c r="DF18" s="167">
        <v>4</v>
      </c>
      <c r="DG18" s="167" t="s">
        <v>69</v>
      </c>
      <c r="DH18" s="167" t="s">
        <v>69</v>
      </c>
      <c r="DI18" s="167" t="s">
        <v>69</v>
      </c>
      <c r="DJ18" s="167">
        <v>2</v>
      </c>
      <c r="DK18" s="167">
        <v>3</v>
      </c>
      <c r="DL18" s="167">
        <v>3</v>
      </c>
      <c r="DM18" s="167" t="s">
        <v>69</v>
      </c>
      <c r="DN18" s="167" t="s">
        <v>69</v>
      </c>
      <c r="DO18" s="167" t="s">
        <v>69</v>
      </c>
      <c r="DP18" s="167" t="s">
        <v>69</v>
      </c>
      <c r="DQ18" s="167" t="s">
        <v>69</v>
      </c>
      <c r="DR18" s="167" t="s">
        <v>69</v>
      </c>
      <c r="DS18" s="167" t="s">
        <v>69</v>
      </c>
      <c r="DT18" s="167" t="s">
        <v>69</v>
      </c>
      <c r="DU18" s="167">
        <v>4</v>
      </c>
      <c r="DV18" s="110">
        <f t="shared" si="0"/>
        <v>0.27419354838709675</v>
      </c>
      <c r="DW18" s="104">
        <f t="shared" si="1"/>
        <v>0.88235294117647056</v>
      </c>
    </row>
    <row r="19" spans="1:127" ht="42" hidden="1" customHeight="1" thickBot="1">
      <c r="A19" s="250" t="s">
        <v>291</v>
      </c>
      <c r="B19" s="242" t="s">
        <v>292</v>
      </c>
      <c r="C19" s="208">
        <v>44055</v>
      </c>
      <c r="D19" s="220" t="s">
        <v>434</v>
      </c>
      <c r="E19" s="256" t="s">
        <v>897</v>
      </c>
      <c r="F19" s="167" t="s">
        <v>69</v>
      </c>
      <c r="G19" s="167" t="s">
        <v>69</v>
      </c>
      <c r="H19" s="167" t="s">
        <v>69</v>
      </c>
      <c r="I19" s="167" t="s">
        <v>69</v>
      </c>
      <c r="J19" s="167" t="s">
        <v>69</v>
      </c>
      <c r="K19" s="167" t="s">
        <v>69</v>
      </c>
      <c r="L19" s="167" t="s">
        <v>69</v>
      </c>
      <c r="M19" s="167">
        <v>3</v>
      </c>
      <c r="N19" s="167" t="s">
        <v>69</v>
      </c>
      <c r="O19" s="167" t="s">
        <v>69</v>
      </c>
      <c r="P19" s="167" t="s">
        <v>69</v>
      </c>
      <c r="Q19" s="167" t="s">
        <v>69</v>
      </c>
      <c r="R19" s="167">
        <v>4</v>
      </c>
      <c r="S19" s="167" t="s">
        <v>69</v>
      </c>
      <c r="T19" s="167" t="s">
        <v>69</v>
      </c>
      <c r="U19" s="167" t="s">
        <v>69</v>
      </c>
      <c r="V19" s="167" t="s">
        <v>69</v>
      </c>
      <c r="W19" s="167" t="s">
        <v>69</v>
      </c>
      <c r="X19" s="167" t="s">
        <v>69</v>
      </c>
      <c r="Y19" s="167" t="s">
        <v>69</v>
      </c>
      <c r="Z19" s="167" t="s">
        <v>69</v>
      </c>
      <c r="AA19" s="167">
        <v>4</v>
      </c>
      <c r="AB19" s="167" t="s">
        <v>69</v>
      </c>
      <c r="AC19" s="167" t="s">
        <v>69</v>
      </c>
      <c r="AD19" s="167" t="s">
        <v>69</v>
      </c>
      <c r="AE19" s="167" t="s">
        <v>69</v>
      </c>
      <c r="AF19" s="167" t="s">
        <v>69</v>
      </c>
      <c r="AG19" s="167" t="s">
        <v>69</v>
      </c>
      <c r="AH19" s="167" t="s">
        <v>69</v>
      </c>
      <c r="AI19" s="167" t="s">
        <v>69</v>
      </c>
      <c r="AJ19" s="167">
        <v>4</v>
      </c>
      <c r="AK19" s="167">
        <v>4</v>
      </c>
      <c r="AL19" s="167" t="s">
        <v>69</v>
      </c>
      <c r="AM19" s="167" t="s">
        <v>69</v>
      </c>
      <c r="AN19" s="167" t="s">
        <v>69</v>
      </c>
      <c r="AO19" s="167" t="s">
        <v>69</v>
      </c>
      <c r="AP19" s="167" t="s">
        <v>69</v>
      </c>
      <c r="AQ19" s="167" t="s">
        <v>69</v>
      </c>
      <c r="AR19" s="167" t="s">
        <v>69</v>
      </c>
      <c r="AS19" s="167" t="s">
        <v>69</v>
      </c>
      <c r="AT19" s="167" t="s">
        <v>69</v>
      </c>
      <c r="AU19" s="167">
        <v>4</v>
      </c>
      <c r="AV19" s="167" t="s">
        <v>69</v>
      </c>
      <c r="AW19" s="167" t="s">
        <v>69</v>
      </c>
      <c r="AX19" s="167" t="s">
        <v>69</v>
      </c>
      <c r="AY19" s="167" t="s">
        <v>69</v>
      </c>
      <c r="AZ19" s="167" t="s">
        <v>69</v>
      </c>
      <c r="BA19" s="167" t="s">
        <v>69</v>
      </c>
      <c r="BB19" s="167" t="s">
        <v>69</v>
      </c>
      <c r="BC19" s="167" t="s">
        <v>69</v>
      </c>
      <c r="BD19" s="167" t="s">
        <v>69</v>
      </c>
      <c r="BE19" s="167">
        <v>2</v>
      </c>
      <c r="BF19" s="167">
        <v>2</v>
      </c>
      <c r="BG19" s="167" t="s">
        <v>69</v>
      </c>
      <c r="BH19" s="167" t="s">
        <v>69</v>
      </c>
      <c r="BI19" s="167" t="s">
        <v>69</v>
      </c>
      <c r="BJ19" s="167" t="s">
        <v>69</v>
      </c>
      <c r="BK19" s="167" t="s">
        <v>69</v>
      </c>
      <c r="BL19" s="167">
        <v>4</v>
      </c>
      <c r="BM19" s="167" t="s">
        <v>69</v>
      </c>
      <c r="BN19" s="167" t="s">
        <v>69</v>
      </c>
      <c r="BO19" s="167">
        <v>4</v>
      </c>
      <c r="BP19" s="167" t="s">
        <v>69</v>
      </c>
      <c r="BQ19" s="167" t="s">
        <v>69</v>
      </c>
      <c r="BR19" s="167">
        <v>4</v>
      </c>
      <c r="BS19" s="167" t="s">
        <v>69</v>
      </c>
      <c r="BT19" s="167" t="s">
        <v>69</v>
      </c>
      <c r="BU19" s="167">
        <v>4</v>
      </c>
      <c r="BV19" s="167">
        <v>4</v>
      </c>
      <c r="BW19" s="167">
        <v>4</v>
      </c>
      <c r="BX19" s="167">
        <v>4</v>
      </c>
      <c r="BY19" s="167">
        <v>4</v>
      </c>
      <c r="BZ19" s="167" t="s">
        <v>69</v>
      </c>
      <c r="CA19" s="167">
        <v>4</v>
      </c>
      <c r="CB19" s="167">
        <v>4</v>
      </c>
      <c r="CC19" s="167">
        <v>4</v>
      </c>
      <c r="CD19" s="167" t="s">
        <v>69</v>
      </c>
      <c r="CE19" s="167" t="s">
        <v>69</v>
      </c>
      <c r="CF19" s="167" t="s">
        <v>69</v>
      </c>
      <c r="CG19" s="167">
        <v>4</v>
      </c>
      <c r="CH19" s="167" t="s">
        <v>69</v>
      </c>
      <c r="CI19" s="167" t="s">
        <v>69</v>
      </c>
      <c r="CJ19" s="167" t="s">
        <v>69</v>
      </c>
      <c r="CK19" s="167" t="s">
        <v>69</v>
      </c>
      <c r="CL19" s="167" t="s">
        <v>69</v>
      </c>
      <c r="CM19" s="167" t="s">
        <v>69</v>
      </c>
      <c r="CN19" s="167" t="s">
        <v>69</v>
      </c>
      <c r="CO19" s="167" t="s">
        <v>69</v>
      </c>
      <c r="CP19" s="167" t="s">
        <v>69</v>
      </c>
      <c r="CQ19" s="167" t="s">
        <v>69</v>
      </c>
      <c r="CR19" s="167" t="s">
        <v>69</v>
      </c>
      <c r="CS19" s="167" t="s">
        <v>69</v>
      </c>
      <c r="CT19" s="167" t="s">
        <v>69</v>
      </c>
      <c r="CU19" s="167" t="s">
        <v>69</v>
      </c>
      <c r="CV19" s="167" t="s">
        <v>69</v>
      </c>
      <c r="CW19" s="167" t="s">
        <v>69</v>
      </c>
      <c r="CX19" s="167" t="s">
        <v>69</v>
      </c>
      <c r="CY19" s="167" t="s">
        <v>69</v>
      </c>
      <c r="CZ19" s="167" t="s">
        <v>69</v>
      </c>
      <c r="DA19" s="167" t="s">
        <v>69</v>
      </c>
      <c r="DB19" s="167" t="s">
        <v>69</v>
      </c>
      <c r="DC19" s="167" t="s">
        <v>69</v>
      </c>
      <c r="DD19" s="167" t="s">
        <v>69</v>
      </c>
      <c r="DE19" s="167" t="s">
        <v>69</v>
      </c>
      <c r="DF19" s="167" t="s">
        <v>69</v>
      </c>
      <c r="DG19" s="167" t="s">
        <v>69</v>
      </c>
      <c r="DH19" s="167" t="s">
        <v>69</v>
      </c>
      <c r="DI19" s="167" t="s">
        <v>69</v>
      </c>
      <c r="DJ19" s="167" t="s">
        <v>69</v>
      </c>
      <c r="DK19" s="167" t="s">
        <v>69</v>
      </c>
      <c r="DL19" s="167" t="s">
        <v>69</v>
      </c>
      <c r="DM19" s="167" t="s">
        <v>69</v>
      </c>
      <c r="DN19" s="167" t="s">
        <v>69</v>
      </c>
      <c r="DO19" s="167" t="s">
        <v>69</v>
      </c>
      <c r="DP19" s="167" t="s">
        <v>69</v>
      </c>
      <c r="DQ19" s="167" t="s">
        <v>69</v>
      </c>
      <c r="DR19" s="167" t="s">
        <v>69</v>
      </c>
      <c r="DS19" s="167" t="s">
        <v>69</v>
      </c>
      <c r="DT19" s="167" t="s">
        <v>69</v>
      </c>
      <c r="DU19" s="167">
        <v>4</v>
      </c>
      <c r="DV19" s="110">
        <f t="shared" si="0"/>
        <v>0.33870967741935482</v>
      </c>
      <c r="DW19" s="104">
        <f t="shared" si="1"/>
        <v>0.90476190476190477</v>
      </c>
    </row>
    <row r="20" spans="1:127" ht="42" hidden="1" customHeight="1" thickBot="1">
      <c r="A20" s="251" t="s">
        <v>468</v>
      </c>
      <c r="B20" s="252" t="s">
        <v>297</v>
      </c>
      <c r="C20" s="208">
        <v>44197</v>
      </c>
      <c r="D20" s="220" t="s">
        <v>434</v>
      </c>
      <c r="E20" s="256" t="s">
        <v>897</v>
      </c>
      <c r="F20" s="167">
        <v>4</v>
      </c>
      <c r="G20" s="167" t="s">
        <v>69</v>
      </c>
      <c r="H20" s="167" t="s">
        <v>69</v>
      </c>
      <c r="I20" s="167" t="s">
        <v>69</v>
      </c>
      <c r="J20" s="167" t="s">
        <v>69</v>
      </c>
      <c r="K20" s="167" t="s">
        <v>69</v>
      </c>
      <c r="L20" s="167">
        <v>2</v>
      </c>
      <c r="M20" s="167">
        <v>4</v>
      </c>
      <c r="N20" s="167" t="s">
        <v>69</v>
      </c>
      <c r="O20" s="167">
        <v>4</v>
      </c>
      <c r="P20" s="167" t="s">
        <v>69</v>
      </c>
      <c r="Q20" s="167">
        <v>4</v>
      </c>
      <c r="R20" s="167" t="s">
        <v>69</v>
      </c>
      <c r="S20" s="167" t="s">
        <v>69</v>
      </c>
      <c r="T20" s="167" t="s">
        <v>69</v>
      </c>
      <c r="U20" s="167" t="s">
        <v>69</v>
      </c>
      <c r="V20" s="167" t="s">
        <v>69</v>
      </c>
      <c r="W20" s="167" t="s">
        <v>69</v>
      </c>
      <c r="X20" s="167" t="s">
        <v>69</v>
      </c>
      <c r="Y20" s="167" t="s">
        <v>69</v>
      </c>
      <c r="Z20" s="167" t="s">
        <v>69</v>
      </c>
      <c r="AA20" s="167">
        <v>4</v>
      </c>
      <c r="AB20" s="167" t="s">
        <v>69</v>
      </c>
      <c r="AC20" s="167" t="s">
        <v>69</v>
      </c>
      <c r="AD20" s="167">
        <v>4</v>
      </c>
      <c r="AE20" s="167">
        <v>4</v>
      </c>
      <c r="AF20" s="167">
        <v>4</v>
      </c>
      <c r="AG20" s="167">
        <v>4</v>
      </c>
      <c r="AH20" s="167" t="s">
        <v>69</v>
      </c>
      <c r="AI20" s="167" t="s">
        <v>69</v>
      </c>
      <c r="AJ20" s="167" t="s">
        <v>69</v>
      </c>
      <c r="AK20" s="167" t="s">
        <v>69</v>
      </c>
      <c r="AL20" s="167" t="s">
        <v>69</v>
      </c>
      <c r="AM20" s="167" t="s">
        <v>69</v>
      </c>
      <c r="AN20" s="167" t="s">
        <v>69</v>
      </c>
      <c r="AO20" s="167" t="s">
        <v>69</v>
      </c>
      <c r="AP20" s="167">
        <v>2</v>
      </c>
      <c r="AQ20" s="167" t="s">
        <v>69</v>
      </c>
      <c r="AR20" s="167" t="s">
        <v>69</v>
      </c>
      <c r="AS20" s="167">
        <v>4</v>
      </c>
      <c r="AT20" s="167" t="s">
        <v>69</v>
      </c>
      <c r="AU20" s="167" t="s">
        <v>69</v>
      </c>
      <c r="AV20" s="167">
        <v>4</v>
      </c>
      <c r="AW20" s="167" t="s">
        <v>69</v>
      </c>
      <c r="AX20" s="167" t="s">
        <v>69</v>
      </c>
      <c r="AY20" s="167">
        <v>4</v>
      </c>
      <c r="AZ20" s="167" t="s">
        <v>69</v>
      </c>
      <c r="BA20" s="167" t="s">
        <v>69</v>
      </c>
      <c r="BB20" s="167">
        <v>4</v>
      </c>
      <c r="BC20" s="167" t="s">
        <v>69</v>
      </c>
      <c r="BD20" s="167" t="s">
        <v>69</v>
      </c>
      <c r="BE20" s="167">
        <v>4</v>
      </c>
      <c r="BF20" s="167" t="s">
        <v>69</v>
      </c>
      <c r="BG20" s="167" t="s">
        <v>69</v>
      </c>
      <c r="BH20" s="167" t="s">
        <v>69</v>
      </c>
      <c r="BI20" s="167" t="s">
        <v>69</v>
      </c>
      <c r="BJ20" s="167" t="s">
        <v>69</v>
      </c>
      <c r="BK20" s="167" t="s">
        <v>69</v>
      </c>
      <c r="BL20" s="167" t="s">
        <v>69</v>
      </c>
      <c r="BM20" s="167">
        <v>3</v>
      </c>
      <c r="BN20" s="167" t="s">
        <v>69</v>
      </c>
      <c r="BO20" s="167" t="s">
        <v>69</v>
      </c>
      <c r="BP20" s="167">
        <v>4</v>
      </c>
      <c r="BQ20" s="167">
        <v>4</v>
      </c>
      <c r="BR20" s="167">
        <v>4</v>
      </c>
      <c r="BS20" s="167" t="s">
        <v>69</v>
      </c>
      <c r="BT20" s="167" t="s">
        <v>69</v>
      </c>
      <c r="BU20" s="167">
        <v>4</v>
      </c>
      <c r="BV20" s="167">
        <v>4</v>
      </c>
      <c r="BW20" s="167" t="s">
        <v>69</v>
      </c>
      <c r="BX20" s="167" t="s">
        <v>69</v>
      </c>
      <c r="BY20" s="167">
        <v>4</v>
      </c>
      <c r="BZ20" s="167">
        <v>2</v>
      </c>
      <c r="CA20" s="167" t="s">
        <v>69</v>
      </c>
      <c r="CB20" s="167" t="s">
        <v>69</v>
      </c>
      <c r="CC20" s="167" t="s">
        <v>69</v>
      </c>
      <c r="CD20" s="167" t="s">
        <v>69</v>
      </c>
      <c r="CE20" s="167" t="s">
        <v>69</v>
      </c>
      <c r="CF20" s="167" t="s">
        <v>69</v>
      </c>
      <c r="CG20" s="167">
        <v>4</v>
      </c>
      <c r="CH20" s="167" t="s">
        <v>69</v>
      </c>
      <c r="CI20" s="167" t="s">
        <v>69</v>
      </c>
      <c r="CJ20" s="167" t="s">
        <v>69</v>
      </c>
      <c r="CK20" s="167" t="s">
        <v>69</v>
      </c>
      <c r="CL20" s="167" t="s">
        <v>69</v>
      </c>
      <c r="CM20" s="167" t="s">
        <v>69</v>
      </c>
      <c r="CN20" s="167" t="s">
        <v>69</v>
      </c>
      <c r="CO20" s="167" t="s">
        <v>69</v>
      </c>
      <c r="CP20" s="167" t="s">
        <v>69</v>
      </c>
      <c r="CQ20" s="167" t="s">
        <v>69</v>
      </c>
      <c r="CR20" s="167" t="s">
        <v>69</v>
      </c>
      <c r="CS20" s="167" t="s">
        <v>69</v>
      </c>
      <c r="CT20" s="167">
        <v>3</v>
      </c>
      <c r="CU20" s="167" t="s">
        <v>69</v>
      </c>
      <c r="CV20" s="167">
        <v>4</v>
      </c>
      <c r="CW20" s="167">
        <v>4</v>
      </c>
      <c r="CX20" s="167">
        <v>3</v>
      </c>
      <c r="CY20" s="167" t="s">
        <v>69</v>
      </c>
      <c r="CZ20" s="167" t="s">
        <v>69</v>
      </c>
      <c r="DA20" s="167">
        <v>4</v>
      </c>
      <c r="DB20" s="167">
        <v>4</v>
      </c>
      <c r="DC20" s="167">
        <v>4</v>
      </c>
      <c r="DD20" s="167">
        <v>4</v>
      </c>
      <c r="DE20" s="167">
        <v>4</v>
      </c>
      <c r="DF20" s="167" t="s">
        <v>69</v>
      </c>
      <c r="DG20" s="167" t="s">
        <v>69</v>
      </c>
      <c r="DH20" s="167" t="s">
        <v>69</v>
      </c>
      <c r="DI20" s="167" t="s">
        <v>69</v>
      </c>
      <c r="DJ20" s="167" t="s">
        <v>69</v>
      </c>
      <c r="DK20" s="167" t="s">
        <v>69</v>
      </c>
      <c r="DL20" s="167" t="s">
        <v>69</v>
      </c>
      <c r="DM20" s="167" t="s">
        <v>69</v>
      </c>
      <c r="DN20" s="167" t="s">
        <v>69</v>
      </c>
      <c r="DO20" s="167" t="s">
        <v>69</v>
      </c>
      <c r="DP20" s="167" t="s">
        <v>69</v>
      </c>
      <c r="DQ20" s="167" t="s">
        <v>69</v>
      </c>
      <c r="DR20" s="167" t="s">
        <v>69</v>
      </c>
      <c r="DS20" s="167">
        <v>2</v>
      </c>
      <c r="DT20" s="167" t="s">
        <v>69</v>
      </c>
      <c r="DU20" s="167">
        <v>4</v>
      </c>
      <c r="DV20" s="110">
        <f t="shared" si="0"/>
        <v>0.58064516129032262</v>
      </c>
      <c r="DW20" s="104">
        <f t="shared" si="1"/>
        <v>0.88888888888888884</v>
      </c>
    </row>
    <row r="21" spans="1:127" ht="42" hidden="1" customHeight="1" thickBot="1">
      <c r="A21" s="250" t="s">
        <v>298</v>
      </c>
      <c r="B21" s="242" t="s">
        <v>299</v>
      </c>
      <c r="C21" s="208">
        <v>44441</v>
      </c>
      <c r="D21" s="220" t="s">
        <v>434</v>
      </c>
      <c r="E21" s="256" t="s">
        <v>897</v>
      </c>
      <c r="F21" s="167">
        <v>4</v>
      </c>
      <c r="G21" s="167">
        <v>4</v>
      </c>
      <c r="H21" s="167">
        <v>4</v>
      </c>
      <c r="I21" s="167" t="s">
        <v>69</v>
      </c>
      <c r="J21" s="167" t="s">
        <v>69</v>
      </c>
      <c r="K21" s="167">
        <v>2</v>
      </c>
      <c r="L21" s="167">
        <v>2</v>
      </c>
      <c r="M21" s="167" t="s">
        <v>69</v>
      </c>
      <c r="N21" s="167" t="s">
        <v>69</v>
      </c>
      <c r="O21" s="167">
        <v>4</v>
      </c>
      <c r="P21" s="167">
        <v>3</v>
      </c>
      <c r="Q21" s="167">
        <v>3</v>
      </c>
      <c r="R21" s="167" t="s">
        <v>69</v>
      </c>
      <c r="S21" s="167" t="s">
        <v>69</v>
      </c>
      <c r="T21" s="167" t="s">
        <v>69</v>
      </c>
      <c r="U21" s="167" t="s">
        <v>69</v>
      </c>
      <c r="V21" s="167" t="s">
        <v>69</v>
      </c>
      <c r="W21" s="167" t="s">
        <v>69</v>
      </c>
      <c r="X21" s="167" t="s">
        <v>69</v>
      </c>
      <c r="Y21" s="167" t="s">
        <v>69</v>
      </c>
      <c r="Z21" s="167" t="s">
        <v>69</v>
      </c>
      <c r="AA21" s="167" t="s">
        <v>69</v>
      </c>
      <c r="AB21" s="167" t="s">
        <v>69</v>
      </c>
      <c r="AC21" s="167" t="s">
        <v>69</v>
      </c>
      <c r="AD21" s="167">
        <v>4</v>
      </c>
      <c r="AE21" s="167" t="s">
        <v>69</v>
      </c>
      <c r="AF21" s="167">
        <v>4</v>
      </c>
      <c r="AG21" s="167">
        <v>2</v>
      </c>
      <c r="AH21" s="167">
        <v>4</v>
      </c>
      <c r="AI21" s="167" t="s">
        <v>69</v>
      </c>
      <c r="AJ21" s="167" t="s">
        <v>69</v>
      </c>
      <c r="AK21" s="167" t="s">
        <v>69</v>
      </c>
      <c r="AL21" s="167" t="s">
        <v>69</v>
      </c>
      <c r="AM21" s="167" t="s">
        <v>69</v>
      </c>
      <c r="AN21" s="167" t="s">
        <v>69</v>
      </c>
      <c r="AO21" s="167" t="s">
        <v>69</v>
      </c>
      <c r="AP21" s="167" t="s">
        <v>69</v>
      </c>
      <c r="AQ21" s="167" t="s">
        <v>69</v>
      </c>
      <c r="AR21" s="167">
        <v>4</v>
      </c>
      <c r="AS21" s="167" t="s">
        <v>69</v>
      </c>
      <c r="AT21" s="167" t="s">
        <v>69</v>
      </c>
      <c r="AU21" s="167">
        <v>4</v>
      </c>
      <c r="AV21" s="167" t="s">
        <v>69</v>
      </c>
      <c r="AW21" s="167" t="s">
        <v>69</v>
      </c>
      <c r="AX21" s="167">
        <v>4</v>
      </c>
      <c r="AY21" s="167" t="s">
        <v>69</v>
      </c>
      <c r="AZ21" s="167" t="s">
        <v>69</v>
      </c>
      <c r="BA21" s="167" t="s">
        <v>69</v>
      </c>
      <c r="BB21" s="167" t="s">
        <v>69</v>
      </c>
      <c r="BC21" s="167" t="s">
        <v>69</v>
      </c>
      <c r="BD21" s="167">
        <v>2</v>
      </c>
      <c r="BE21" s="167">
        <v>4</v>
      </c>
      <c r="BF21" s="167">
        <v>4</v>
      </c>
      <c r="BG21" s="167" t="s">
        <v>69</v>
      </c>
      <c r="BH21" s="167" t="s">
        <v>69</v>
      </c>
      <c r="BI21" s="167" t="s">
        <v>69</v>
      </c>
      <c r="BJ21" s="167" t="s">
        <v>69</v>
      </c>
      <c r="BK21" s="167" t="s">
        <v>69</v>
      </c>
      <c r="BL21" s="167" t="s">
        <v>69</v>
      </c>
      <c r="BM21" s="167" t="s">
        <v>69</v>
      </c>
      <c r="BN21" s="167">
        <v>2</v>
      </c>
      <c r="BO21" s="167" t="s">
        <v>69</v>
      </c>
      <c r="BP21" s="167">
        <v>3</v>
      </c>
      <c r="BQ21" s="167" t="s">
        <v>69</v>
      </c>
      <c r="BR21" s="167">
        <v>4</v>
      </c>
      <c r="BS21" s="167" t="s">
        <v>69</v>
      </c>
      <c r="BT21" s="167" t="s">
        <v>69</v>
      </c>
      <c r="BU21" s="167">
        <v>4</v>
      </c>
      <c r="BV21" s="167">
        <v>4</v>
      </c>
      <c r="BW21" s="167" t="s">
        <v>69</v>
      </c>
      <c r="BX21" s="167" t="s">
        <v>69</v>
      </c>
      <c r="BY21" s="167">
        <v>3</v>
      </c>
      <c r="BZ21" s="167" t="s">
        <v>69</v>
      </c>
      <c r="CA21" s="167">
        <v>4</v>
      </c>
      <c r="CB21" s="167">
        <v>4</v>
      </c>
      <c r="CC21" s="167" t="s">
        <v>69</v>
      </c>
      <c r="CD21" s="167" t="s">
        <v>69</v>
      </c>
      <c r="CE21" s="167" t="s">
        <v>69</v>
      </c>
      <c r="CF21" s="167" t="s">
        <v>69</v>
      </c>
      <c r="CG21" s="167">
        <v>4</v>
      </c>
      <c r="CH21" s="167" t="s">
        <v>69</v>
      </c>
      <c r="CI21" s="167">
        <v>4</v>
      </c>
      <c r="CJ21" s="167">
        <v>4</v>
      </c>
      <c r="CK21" s="167" t="s">
        <v>69</v>
      </c>
      <c r="CL21" s="167" t="s">
        <v>69</v>
      </c>
      <c r="CM21" s="167" t="s">
        <v>69</v>
      </c>
      <c r="CN21" s="167" t="s">
        <v>69</v>
      </c>
      <c r="CO21" s="167" t="s">
        <v>69</v>
      </c>
      <c r="CP21" s="167" t="s">
        <v>69</v>
      </c>
      <c r="CQ21" s="167" t="s">
        <v>69</v>
      </c>
      <c r="CR21" s="167" t="s">
        <v>69</v>
      </c>
      <c r="CS21" s="167" t="s">
        <v>69</v>
      </c>
      <c r="CT21" s="167" t="s">
        <v>69</v>
      </c>
      <c r="CU21" s="167" t="s">
        <v>69</v>
      </c>
      <c r="CV21" s="167" t="s">
        <v>69</v>
      </c>
      <c r="CW21" s="167" t="s">
        <v>69</v>
      </c>
      <c r="CX21" s="167">
        <v>3</v>
      </c>
      <c r="CY21" s="167" t="s">
        <v>69</v>
      </c>
      <c r="CZ21" s="167" t="s">
        <v>69</v>
      </c>
      <c r="DA21" s="167" t="s">
        <v>69</v>
      </c>
      <c r="DB21" s="167">
        <v>4</v>
      </c>
      <c r="DC21" s="167" t="s">
        <v>69</v>
      </c>
      <c r="DD21" s="167">
        <v>4</v>
      </c>
      <c r="DE21" s="167" t="s">
        <v>69</v>
      </c>
      <c r="DF21" s="167" t="s">
        <v>69</v>
      </c>
      <c r="DG21" s="167" t="s">
        <v>69</v>
      </c>
      <c r="DH21" s="167">
        <v>4</v>
      </c>
      <c r="DI21" s="167" t="s">
        <v>69</v>
      </c>
      <c r="DJ21" s="167" t="s">
        <v>69</v>
      </c>
      <c r="DK21" s="167" t="s">
        <v>69</v>
      </c>
      <c r="DL21" s="167" t="s">
        <v>69</v>
      </c>
      <c r="DM21" s="167" t="s">
        <v>69</v>
      </c>
      <c r="DN21" s="167" t="s">
        <v>69</v>
      </c>
      <c r="DO21" s="167" t="s">
        <v>69</v>
      </c>
      <c r="DP21" s="167" t="s">
        <v>69</v>
      </c>
      <c r="DQ21" s="167" t="s">
        <v>69</v>
      </c>
      <c r="DR21" s="167" t="s">
        <v>69</v>
      </c>
      <c r="DS21" s="167" t="s">
        <v>69</v>
      </c>
      <c r="DT21" s="167" t="s">
        <v>69</v>
      </c>
      <c r="DU21" s="167">
        <v>4</v>
      </c>
      <c r="DV21" s="110">
        <f t="shared" si="0"/>
        <v>0.54838709677419351</v>
      </c>
      <c r="DW21" s="104">
        <f t="shared" si="1"/>
        <v>0.8529411764705882</v>
      </c>
    </row>
    <row r="22" spans="1:127" ht="42" hidden="1" customHeight="1" thickBot="1">
      <c r="A22" s="250" t="s">
        <v>300</v>
      </c>
      <c r="B22" s="242" t="s">
        <v>301</v>
      </c>
      <c r="C22" s="208">
        <v>44441</v>
      </c>
      <c r="D22" s="220" t="s">
        <v>434</v>
      </c>
      <c r="E22" s="256" t="s">
        <v>897</v>
      </c>
      <c r="F22" s="167" t="s">
        <v>69</v>
      </c>
      <c r="G22" s="167" t="s">
        <v>69</v>
      </c>
      <c r="H22" s="167" t="s">
        <v>69</v>
      </c>
      <c r="I22" s="167" t="s">
        <v>69</v>
      </c>
      <c r="J22" s="167" t="s">
        <v>69</v>
      </c>
      <c r="K22" s="167" t="s">
        <v>69</v>
      </c>
      <c r="L22" s="167" t="s">
        <v>69</v>
      </c>
      <c r="M22" s="167" t="s">
        <v>69</v>
      </c>
      <c r="N22" s="167" t="s">
        <v>69</v>
      </c>
      <c r="O22" s="167" t="s">
        <v>69</v>
      </c>
      <c r="P22" s="167" t="s">
        <v>69</v>
      </c>
      <c r="Q22" s="167">
        <v>3</v>
      </c>
      <c r="R22" s="167" t="s">
        <v>69</v>
      </c>
      <c r="S22" s="167" t="s">
        <v>69</v>
      </c>
      <c r="T22" s="167" t="s">
        <v>69</v>
      </c>
      <c r="U22" s="167" t="s">
        <v>69</v>
      </c>
      <c r="V22" s="167" t="s">
        <v>69</v>
      </c>
      <c r="W22" s="167" t="s">
        <v>69</v>
      </c>
      <c r="X22" s="167" t="s">
        <v>69</v>
      </c>
      <c r="Y22" s="167" t="s">
        <v>69</v>
      </c>
      <c r="Z22" s="167" t="s">
        <v>69</v>
      </c>
      <c r="AA22" s="167">
        <v>4</v>
      </c>
      <c r="AB22" s="167" t="s">
        <v>69</v>
      </c>
      <c r="AC22" s="167" t="s">
        <v>69</v>
      </c>
      <c r="AD22" s="167">
        <v>4</v>
      </c>
      <c r="AE22" s="167" t="s">
        <v>69</v>
      </c>
      <c r="AF22" s="167" t="s">
        <v>69</v>
      </c>
      <c r="AG22" s="167" t="s">
        <v>69</v>
      </c>
      <c r="AH22" s="167">
        <v>4</v>
      </c>
      <c r="AI22" s="167">
        <v>4</v>
      </c>
      <c r="AJ22" s="167" t="s">
        <v>69</v>
      </c>
      <c r="AK22" s="167" t="s">
        <v>69</v>
      </c>
      <c r="AL22" s="167" t="s">
        <v>69</v>
      </c>
      <c r="AM22" s="167" t="s">
        <v>69</v>
      </c>
      <c r="AN22" s="167" t="s">
        <v>69</v>
      </c>
      <c r="AO22" s="167" t="s">
        <v>69</v>
      </c>
      <c r="AP22" s="167">
        <v>3</v>
      </c>
      <c r="AQ22" s="167" t="s">
        <v>69</v>
      </c>
      <c r="AR22" s="167" t="s">
        <v>69</v>
      </c>
      <c r="AS22" s="167" t="s">
        <v>69</v>
      </c>
      <c r="AT22" s="167" t="s">
        <v>69</v>
      </c>
      <c r="AU22" s="167" t="s">
        <v>69</v>
      </c>
      <c r="AV22" s="167" t="s">
        <v>69</v>
      </c>
      <c r="AW22" s="167" t="s">
        <v>69</v>
      </c>
      <c r="AX22" s="167" t="s">
        <v>69</v>
      </c>
      <c r="AY22" s="167" t="s">
        <v>69</v>
      </c>
      <c r="AZ22" s="167" t="s">
        <v>69</v>
      </c>
      <c r="BA22" s="167" t="s">
        <v>69</v>
      </c>
      <c r="BB22" s="167" t="s">
        <v>69</v>
      </c>
      <c r="BC22" s="167" t="s">
        <v>69</v>
      </c>
      <c r="BD22" s="167" t="s">
        <v>69</v>
      </c>
      <c r="BE22" s="167">
        <v>2</v>
      </c>
      <c r="BF22" s="167" t="s">
        <v>69</v>
      </c>
      <c r="BG22" s="167" t="s">
        <v>69</v>
      </c>
      <c r="BH22" s="167" t="s">
        <v>69</v>
      </c>
      <c r="BI22" s="167" t="s">
        <v>69</v>
      </c>
      <c r="BJ22" s="167" t="s">
        <v>69</v>
      </c>
      <c r="BK22" s="167" t="s">
        <v>69</v>
      </c>
      <c r="BL22" s="167" t="s">
        <v>69</v>
      </c>
      <c r="BM22" s="167" t="s">
        <v>69</v>
      </c>
      <c r="BN22" s="167" t="s">
        <v>69</v>
      </c>
      <c r="BO22" s="167" t="s">
        <v>69</v>
      </c>
      <c r="BP22" s="167" t="s">
        <v>69</v>
      </c>
      <c r="BQ22" s="167" t="s">
        <v>69</v>
      </c>
      <c r="BR22" s="167">
        <v>4</v>
      </c>
      <c r="BS22" s="167" t="s">
        <v>69</v>
      </c>
      <c r="BT22" s="167" t="s">
        <v>69</v>
      </c>
      <c r="BU22" s="167" t="s">
        <v>69</v>
      </c>
      <c r="BV22" s="167" t="s">
        <v>69</v>
      </c>
      <c r="BW22" s="167" t="s">
        <v>69</v>
      </c>
      <c r="BX22" s="167" t="s">
        <v>69</v>
      </c>
      <c r="BY22" s="167" t="s">
        <v>69</v>
      </c>
      <c r="BZ22" s="167" t="s">
        <v>69</v>
      </c>
      <c r="CA22" s="167" t="s">
        <v>69</v>
      </c>
      <c r="CB22" s="167" t="s">
        <v>69</v>
      </c>
      <c r="CC22" s="167" t="s">
        <v>69</v>
      </c>
      <c r="CD22" s="167" t="s">
        <v>69</v>
      </c>
      <c r="CE22" s="167" t="s">
        <v>69</v>
      </c>
      <c r="CF22" s="167" t="s">
        <v>69</v>
      </c>
      <c r="CG22" s="167">
        <v>4</v>
      </c>
      <c r="CH22" s="167" t="s">
        <v>69</v>
      </c>
      <c r="CI22" s="167" t="s">
        <v>69</v>
      </c>
      <c r="CJ22" s="167" t="s">
        <v>69</v>
      </c>
      <c r="CK22" s="167" t="s">
        <v>69</v>
      </c>
      <c r="CL22" s="167" t="s">
        <v>69</v>
      </c>
      <c r="CM22" s="167" t="s">
        <v>69</v>
      </c>
      <c r="CN22" s="167" t="s">
        <v>69</v>
      </c>
      <c r="CO22" s="167" t="s">
        <v>69</v>
      </c>
      <c r="CP22" s="167" t="s">
        <v>69</v>
      </c>
      <c r="CQ22" s="167"/>
      <c r="CR22" s="167" t="s">
        <v>69</v>
      </c>
      <c r="CS22" s="167" t="s">
        <v>69</v>
      </c>
      <c r="CT22" s="167">
        <v>3</v>
      </c>
      <c r="CU22" s="167">
        <v>3</v>
      </c>
      <c r="CV22" s="167">
        <v>4</v>
      </c>
      <c r="CW22" s="167" t="s">
        <v>69</v>
      </c>
      <c r="CX22" s="167" t="s">
        <v>69</v>
      </c>
      <c r="CY22" s="167" t="s">
        <v>69</v>
      </c>
      <c r="CZ22" s="167" t="s">
        <v>69</v>
      </c>
      <c r="DA22" s="167" t="s">
        <v>69</v>
      </c>
      <c r="DB22" s="167" t="s">
        <v>69</v>
      </c>
      <c r="DC22" s="167" t="s">
        <v>69</v>
      </c>
      <c r="DD22" s="167" t="s">
        <v>69</v>
      </c>
      <c r="DE22" s="167" t="s">
        <v>69</v>
      </c>
      <c r="DF22" s="167" t="s">
        <v>69</v>
      </c>
      <c r="DG22" s="167" t="s">
        <v>69</v>
      </c>
      <c r="DH22" s="167" t="s">
        <v>69</v>
      </c>
      <c r="DI22" s="167" t="s">
        <v>69</v>
      </c>
      <c r="DJ22" s="167" t="s">
        <v>69</v>
      </c>
      <c r="DK22" s="167" t="s">
        <v>69</v>
      </c>
      <c r="DL22" s="167">
        <v>3</v>
      </c>
      <c r="DM22" s="167" t="s">
        <v>69</v>
      </c>
      <c r="DN22" s="167" t="s">
        <v>69</v>
      </c>
      <c r="DO22" s="167" t="s">
        <v>69</v>
      </c>
      <c r="DP22" s="167" t="s">
        <v>69</v>
      </c>
      <c r="DQ22" s="167" t="s">
        <v>69</v>
      </c>
      <c r="DR22" s="167" t="s">
        <v>69</v>
      </c>
      <c r="DS22" s="167" t="s">
        <v>69</v>
      </c>
      <c r="DT22" s="167" t="s">
        <v>69</v>
      </c>
      <c r="DU22" s="167">
        <v>4</v>
      </c>
      <c r="DV22" s="110">
        <f t="shared" si="0"/>
        <v>0.22580645161290322</v>
      </c>
      <c r="DW22" s="104">
        <f t="shared" si="1"/>
        <v>0.9285714285714286</v>
      </c>
    </row>
    <row r="23" spans="1:127" ht="42" hidden="1" customHeight="1" thickBot="1">
      <c r="A23" s="250" t="s">
        <v>306</v>
      </c>
      <c r="B23" s="242" t="s">
        <v>307</v>
      </c>
      <c r="C23" s="208" t="s">
        <v>621</v>
      </c>
      <c r="D23" s="220" t="s">
        <v>434</v>
      </c>
      <c r="E23" s="256" t="s">
        <v>897</v>
      </c>
      <c r="F23" s="167" t="s">
        <v>69</v>
      </c>
      <c r="G23" s="167" t="s">
        <v>69</v>
      </c>
      <c r="H23" s="167" t="s">
        <v>69</v>
      </c>
      <c r="I23" s="167" t="s">
        <v>69</v>
      </c>
      <c r="J23" s="167" t="s">
        <v>69</v>
      </c>
      <c r="K23" s="167" t="s">
        <v>69</v>
      </c>
      <c r="L23" s="167" t="s">
        <v>69</v>
      </c>
      <c r="M23" s="167" t="s">
        <v>69</v>
      </c>
      <c r="N23" s="167" t="s">
        <v>69</v>
      </c>
      <c r="O23" s="167" t="s">
        <v>69</v>
      </c>
      <c r="P23" s="167" t="s">
        <v>69</v>
      </c>
      <c r="Q23" s="167">
        <v>3</v>
      </c>
      <c r="R23" s="167" t="s">
        <v>69</v>
      </c>
      <c r="S23" s="167" t="s">
        <v>69</v>
      </c>
      <c r="T23" s="167" t="s">
        <v>69</v>
      </c>
      <c r="U23" s="167" t="s">
        <v>69</v>
      </c>
      <c r="V23" s="167">
        <v>4</v>
      </c>
      <c r="W23" s="167">
        <v>3</v>
      </c>
      <c r="X23" s="167" t="s">
        <v>69</v>
      </c>
      <c r="Y23" s="167" t="s">
        <v>69</v>
      </c>
      <c r="Z23" s="167" t="s">
        <v>69</v>
      </c>
      <c r="AA23" s="167">
        <v>4</v>
      </c>
      <c r="AB23" s="167" t="s">
        <v>69</v>
      </c>
      <c r="AC23" s="167" t="s">
        <v>69</v>
      </c>
      <c r="AD23" s="167" t="s">
        <v>69</v>
      </c>
      <c r="AE23" s="167" t="s">
        <v>69</v>
      </c>
      <c r="AF23" s="167" t="s">
        <v>69</v>
      </c>
      <c r="AG23" s="167" t="s">
        <v>69</v>
      </c>
      <c r="AH23" s="167" t="s">
        <v>69</v>
      </c>
      <c r="AI23" s="167" t="s">
        <v>69</v>
      </c>
      <c r="AJ23" s="167" t="s">
        <v>69</v>
      </c>
      <c r="AK23" s="167" t="s">
        <v>69</v>
      </c>
      <c r="AL23" s="167" t="s">
        <v>69</v>
      </c>
      <c r="AM23" s="167" t="s">
        <v>69</v>
      </c>
      <c r="AN23" s="167" t="s">
        <v>69</v>
      </c>
      <c r="AO23" s="167" t="s">
        <v>69</v>
      </c>
      <c r="AP23" s="167" t="s">
        <v>69</v>
      </c>
      <c r="AQ23" s="167" t="s">
        <v>69</v>
      </c>
      <c r="AR23" s="167" t="s">
        <v>69</v>
      </c>
      <c r="AS23" s="167" t="s">
        <v>69</v>
      </c>
      <c r="AT23" s="167" t="s">
        <v>69</v>
      </c>
      <c r="AU23" s="167" t="s">
        <v>69</v>
      </c>
      <c r="AV23" s="167" t="s">
        <v>69</v>
      </c>
      <c r="AW23" s="167" t="s">
        <v>69</v>
      </c>
      <c r="AX23" s="167" t="s">
        <v>69</v>
      </c>
      <c r="AY23" s="167" t="s">
        <v>69</v>
      </c>
      <c r="AZ23" s="167" t="s">
        <v>69</v>
      </c>
      <c r="BA23" s="167" t="s">
        <v>69</v>
      </c>
      <c r="BB23" s="167" t="s">
        <v>69</v>
      </c>
      <c r="BC23" s="167" t="s">
        <v>69</v>
      </c>
      <c r="BD23" s="167" t="s">
        <v>69</v>
      </c>
      <c r="BE23" s="167" t="s">
        <v>69</v>
      </c>
      <c r="BF23" s="167" t="s">
        <v>69</v>
      </c>
      <c r="BG23" s="167" t="s">
        <v>69</v>
      </c>
      <c r="BH23" s="167" t="s">
        <v>69</v>
      </c>
      <c r="BI23" s="167" t="s">
        <v>69</v>
      </c>
      <c r="BJ23" s="167" t="s">
        <v>69</v>
      </c>
      <c r="BK23" s="167">
        <v>4</v>
      </c>
      <c r="BL23" s="167">
        <v>4</v>
      </c>
      <c r="BM23" s="167">
        <v>4</v>
      </c>
      <c r="BN23" s="167">
        <v>4</v>
      </c>
      <c r="BO23" s="167" t="s">
        <v>69</v>
      </c>
      <c r="BP23" s="167">
        <v>4</v>
      </c>
      <c r="BQ23" s="167" t="s">
        <v>69</v>
      </c>
      <c r="BR23" s="167">
        <v>4</v>
      </c>
      <c r="BS23" s="167" t="s">
        <v>69</v>
      </c>
      <c r="BT23" s="167" t="s">
        <v>69</v>
      </c>
      <c r="BU23" s="167" t="s">
        <v>69</v>
      </c>
      <c r="BV23" s="167" t="s">
        <v>69</v>
      </c>
      <c r="BW23" s="167" t="s">
        <v>69</v>
      </c>
      <c r="BX23" s="167" t="s">
        <v>69</v>
      </c>
      <c r="BY23" s="167">
        <v>4</v>
      </c>
      <c r="BZ23" s="167" t="s">
        <v>69</v>
      </c>
      <c r="CA23" s="167">
        <v>3</v>
      </c>
      <c r="CB23" s="167">
        <v>3</v>
      </c>
      <c r="CC23" s="167" t="s">
        <v>69</v>
      </c>
      <c r="CD23" s="167" t="s">
        <v>69</v>
      </c>
      <c r="CE23" s="167" t="s">
        <v>69</v>
      </c>
      <c r="CF23" s="167" t="s">
        <v>69</v>
      </c>
      <c r="CG23" s="167">
        <v>4</v>
      </c>
      <c r="CH23" s="167">
        <v>4</v>
      </c>
      <c r="CI23" s="167" t="s">
        <v>69</v>
      </c>
      <c r="CJ23" s="167" t="s">
        <v>69</v>
      </c>
      <c r="CK23" s="167" t="s">
        <v>69</v>
      </c>
      <c r="CL23" s="167" t="s">
        <v>69</v>
      </c>
      <c r="CM23" s="167" t="s">
        <v>69</v>
      </c>
      <c r="CN23" s="167" t="s">
        <v>69</v>
      </c>
      <c r="CO23" s="167" t="s">
        <v>69</v>
      </c>
      <c r="CP23" s="167" t="s">
        <v>69</v>
      </c>
      <c r="CQ23" s="167" t="s">
        <v>69</v>
      </c>
      <c r="CR23" s="167" t="s">
        <v>69</v>
      </c>
      <c r="CS23" s="167" t="s">
        <v>69</v>
      </c>
      <c r="CT23" s="167" t="s">
        <v>69</v>
      </c>
      <c r="CU23" s="167">
        <v>4</v>
      </c>
      <c r="CV23" s="167">
        <v>4</v>
      </c>
      <c r="CW23" s="167">
        <v>3</v>
      </c>
      <c r="CX23" s="167">
        <v>3</v>
      </c>
      <c r="CY23" s="167">
        <v>3</v>
      </c>
      <c r="CZ23" s="167" t="s">
        <v>69</v>
      </c>
      <c r="DA23" s="167" t="s">
        <v>69</v>
      </c>
      <c r="DB23" s="167" t="s">
        <v>69</v>
      </c>
      <c r="DC23" s="167" t="s">
        <v>69</v>
      </c>
      <c r="DD23" s="167" t="s">
        <v>69</v>
      </c>
      <c r="DE23" s="167" t="s">
        <v>69</v>
      </c>
      <c r="DF23" s="167">
        <v>2</v>
      </c>
      <c r="DG23" s="167" t="s">
        <v>69</v>
      </c>
      <c r="DH23" s="167" t="s">
        <v>69</v>
      </c>
      <c r="DI23" s="167" t="s">
        <v>69</v>
      </c>
      <c r="DJ23" s="167" t="s">
        <v>69</v>
      </c>
      <c r="DK23" s="167" t="s">
        <v>69</v>
      </c>
      <c r="DL23" s="167" t="s">
        <v>69</v>
      </c>
      <c r="DM23" s="167" t="s">
        <v>69</v>
      </c>
      <c r="DN23" s="167" t="s">
        <v>69</v>
      </c>
      <c r="DO23" s="167">
        <v>2</v>
      </c>
      <c r="DP23" s="167" t="s">
        <v>69</v>
      </c>
      <c r="DQ23" s="167" t="s">
        <v>69</v>
      </c>
      <c r="DR23" s="167" t="s">
        <v>69</v>
      </c>
      <c r="DS23" s="167" t="s">
        <v>69</v>
      </c>
      <c r="DT23" s="167" t="s">
        <v>69</v>
      </c>
      <c r="DU23" s="167">
        <v>4</v>
      </c>
      <c r="DV23" s="110">
        <f t="shared" si="0"/>
        <v>0.37096774193548387</v>
      </c>
      <c r="DW23" s="104">
        <f t="shared" si="1"/>
        <v>0.91304347826086951</v>
      </c>
    </row>
    <row r="24" spans="1:127" ht="42" hidden="1" customHeight="1" thickBot="1">
      <c r="A24" s="250" t="s">
        <v>313</v>
      </c>
      <c r="B24" s="242" t="s">
        <v>314</v>
      </c>
      <c r="C24" s="208">
        <v>44292</v>
      </c>
      <c r="D24" s="220" t="s">
        <v>434</v>
      </c>
      <c r="E24" s="256" t="s">
        <v>897</v>
      </c>
      <c r="F24" s="167" t="s">
        <v>69</v>
      </c>
      <c r="G24" s="167" t="s">
        <v>69</v>
      </c>
      <c r="H24" s="167" t="s">
        <v>69</v>
      </c>
      <c r="I24" s="167" t="s">
        <v>69</v>
      </c>
      <c r="J24" s="167" t="s">
        <v>69</v>
      </c>
      <c r="K24" s="167" t="s">
        <v>69</v>
      </c>
      <c r="L24" s="167" t="s">
        <v>69</v>
      </c>
      <c r="M24" s="167" t="s">
        <v>69</v>
      </c>
      <c r="N24" s="167" t="s">
        <v>69</v>
      </c>
      <c r="O24" s="167">
        <v>4</v>
      </c>
      <c r="P24" s="167" t="s">
        <v>69</v>
      </c>
      <c r="Q24" s="167" t="s">
        <v>69</v>
      </c>
      <c r="R24" s="167" t="s">
        <v>69</v>
      </c>
      <c r="S24" s="167" t="s">
        <v>69</v>
      </c>
      <c r="T24" s="167" t="s">
        <v>69</v>
      </c>
      <c r="U24" s="167" t="s">
        <v>69</v>
      </c>
      <c r="V24" s="167" t="s">
        <v>69</v>
      </c>
      <c r="W24" s="167" t="s">
        <v>69</v>
      </c>
      <c r="X24" s="167">
        <v>4</v>
      </c>
      <c r="Y24" s="167" t="s">
        <v>69</v>
      </c>
      <c r="Z24" s="167" t="s">
        <v>69</v>
      </c>
      <c r="AA24" s="167">
        <v>4</v>
      </c>
      <c r="AB24" s="167" t="s">
        <v>69</v>
      </c>
      <c r="AC24" s="167" t="s">
        <v>69</v>
      </c>
      <c r="AD24" s="167" t="s">
        <v>69</v>
      </c>
      <c r="AE24" s="167" t="s">
        <v>69</v>
      </c>
      <c r="AF24" s="167" t="s">
        <v>69</v>
      </c>
      <c r="AG24" s="167" t="s">
        <v>69</v>
      </c>
      <c r="AH24" s="167" t="s">
        <v>69</v>
      </c>
      <c r="AI24" s="167" t="s">
        <v>69</v>
      </c>
      <c r="AJ24" s="167" t="s">
        <v>69</v>
      </c>
      <c r="AK24" s="167" t="s">
        <v>69</v>
      </c>
      <c r="AL24" s="167" t="s">
        <v>69</v>
      </c>
      <c r="AM24" s="167" t="s">
        <v>69</v>
      </c>
      <c r="AN24" s="167" t="s">
        <v>69</v>
      </c>
      <c r="AO24" s="167" t="s">
        <v>69</v>
      </c>
      <c r="AP24" s="167">
        <v>3</v>
      </c>
      <c r="AQ24" s="167" t="s">
        <v>69</v>
      </c>
      <c r="AR24" s="167" t="s">
        <v>69</v>
      </c>
      <c r="AS24" s="167">
        <v>4</v>
      </c>
      <c r="AT24" s="167" t="s">
        <v>69</v>
      </c>
      <c r="AU24" s="167">
        <v>4</v>
      </c>
      <c r="AV24" s="167">
        <v>4</v>
      </c>
      <c r="AW24" s="167" t="s">
        <v>69</v>
      </c>
      <c r="AX24" s="167" t="s">
        <v>69</v>
      </c>
      <c r="AY24" s="167">
        <v>4</v>
      </c>
      <c r="AZ24" s="167" t="s">
        <v>69</v>
      </c>
      <c r="BA24" s="167">
        <v>4</v>
      </c>
      <c r="BB24" s="167" t="s">
        <v>69</v>
      </c>
      <c r="BC24" s="167" t="s">
        <v>69</v>
      </c>
      <c r="BD24" s="167" t="s">
        <v>69</v>
      </c>
      <c r="BE24" s="167">
        <v>4</v>
      </c>
      <c r="BF24" s="167"/>
      <c r="BG24" s="167" t="s">
        <v>69</v>
      </c>
      <c r="BH24" s="167" t="s">
        <v>69</v>
      </c>
      <c r="BI24" s="167" t="s">
        <v>69</v>
      </c>
      <c r="BJ24" s="167" t="s">
        <v>69</v>
      </c>
      <c r="BK24" s="167">
        <v>2</v>
      </c>
      <c r="BL24" s="167" t="s">
        <v>69</v>
      </c>
      <c r="BM24" s="167" t="s">
        <v>69</v>
      </c>
      <c r="BN24" s="167" t="s">
        <v>69</v>
      </c>
      <c r="BO24" s="167" t="s">
        <v>69</v>
      </c>
      <c r="BP24" s="167" t="s">
        <v>69</v>
      </c>
      <c r="BQ24" s="167" t="s">
        <v>69</v>
      </c>
      <c r="BR24" s="167">
        <v>4</v>
      </c>
      <c r="BS24" s="167" t="s">
        <v>69</v>
      </c>
      <c r="BT24" s="167" t="s">
        <v>69</v>
      </c>
      <c r="BU24" s="167" t="s">
        <v>69</v>
      </c>
      <c r="BV24" s="167" t="s">
        <v>69</v>
      </c>
      <c r="BW24" s="167" t="s">
        <v>69</v>
      </c>
      <c r="BX24" s="167" t="s">
        <v>69</v>
      </c>
      <c r="BY24" s="167" t="s">
        <v>69</v>
      </c>
      <c r="BZ24" s="167">
        <v>4</v>
      </c>
      <c r="CA24" s="167"/>
      <c r="CB24" s="167" t="s">
        <v>69</v>
      </c>
      <c r="CC24" s="167" t="s">
        <v>69</v>
      </c>
      <c r="CD24" s="167" t="s">
        <v>69</v>
      </c>
      <c r="CE24" s="167" t="s">
        <v>69</v>
      </c>
      <c r="CF24" s="167" t="s">
        <v>69</v>
      </c>
      <c r="CG24" s="167">
        <v>4</v>
      </c>
      <c r="CH24" s="167" t="s">
        <v>69</v>
      </c>
      <c r="CI24" s="167" t="s">
        <v>69</v>
      </c>
      <c r="CJ24" s="167" t="s">
        <v>69</v>
      </c>
      <c r="CK24" s="167" t="s">
        <v>69</v>
      </c>
      <c r="CL24" s="167" t="s">
        <v>69</v>
      </c>
      <c r="CM24" s="167">
        <v>3</v>
      </c>
      <c r="CN24" s="167" t="s">
        <v>69</v>
      </c>
      <c r="CO24" s="167">
        <v>3</v>
      </c>
      <c r="CP24" s="167">
        <v>3</v>
      </c>
      <c r="CQ24" s="167" t="s">
        <v>69</v>
      </c>
      <c r="CR24" s="167">
        <v>3</v>
      </c>
      <c r="CS24" s="167" t="s">
        <v>69</v>
      </c>
      <c r="CT24" s="167" t="s">
        <v>69</v>
      </c>
      <c r="CU24" s="167" t="s">
        <v>69</v>
      </c>
      <c r="CV24" s="167" t="s">
        <v>69</v>
      </c>
      <c r="CW24" s="167" t="s">
        <v>69</v>
      </c>
      <c r="CX24" s="167" t="s">
        <v>69</v>
      </c>
      <c r="CY24" s="167" t="s">
        <v>69</v>
      </c>
      <c r="CZ24" s="167" t="s">
        <v>69</v>
      </c>
      <c r="DA24" s="167" t="s">
        <v>69</v>
      </c>
      <c r="DB24" s="167" t="s">
        <v>69</v>
      </c>
      <c r="DC24" s="167" t="s">
        <v>69</v>
      </c>
      <c r="DD24" s="167" t="s">
        <v>69</v>
      </c>
      <c r="DE24" s="167" t="s">
        <v>69</v>
      </c>
      <c r="DF24" s="167" t="s">
        <v>69</v>
      </c>
      <c r="DG24" s="167" t="s">
        <v>69</v>
      </c>
      <c r="DH24" s="167" t="s">
        <v>69</v>
      </c>
      <c r="DI24" s="167" t="s">
        <v>69</v>
      </c>
      <c r="DJ24" s="167" t="s">
        <v>69</v>
      </c>
      <c r="DK24" s="167">
        <v>3</v>
      </c>
      <c r="DL24" s="167">
        <v>4</v>
      </c>
      <c r="DM24" s="167" t="s">
        <v>69</v>
      </c>
      <c r="DN24" s="167" t="s">
        <v>69</v>
      </c>
      <c r="DO24" s="167" t="s">
        <v>69</v>
      </c>
      <c r="DP24" s="167" t="s">
        <v>69</v>
      </c>
      <c r="DQ24" s="167" t="s">
        <v>69</v>
      </c>
      <c r="DR24" s="167" t="s">
        <v>69</v>
      </c>
      <c r="DS24" s="167" t="s">
        <v>69</v>
      </c>
      <c r="DT24" s="167" t="s">
        <v>69</v>
      </c>
      <c r="DU24" s="167">
        <v>4</v>
      </c>
      <c r="DV24" s="110">
        <f t="shared" si="0"/>
        <v>0.33870967741935482</v>
      </c>
      <c r="DW24" s="104">
        <f t="shared" si="1"/>
        <v>0.95238095238095233</v>
      </c>
    </row>
    <row r="25" spans="1:127" ht="42" hidden="1" customHeight="1" thickBot="1">
      <c r="A25" s="250" t="s">
        <v>315</v>
      </c>
      <c r="B25" s="242" t="s">
        <v>316</v>
      </c>
      <c r="C25" s="208">
        <v>44292</v>
      </c>
      <c r="D25" s="220" t="s">
        <v>434</v>
      </c>
      <c r="E25" s="256" t="s">
        <v>897</v>
      </c>
      <c r="F25" s="167">
        <v>4</v>
      </c>
      <c r="G25" s="167">
        <v>4</v>
      </c>
      <c r="H25" s="167" t="s">
        <v>69</v>
      </c>
      <c r="I25" s="167" t="s">
        <v>69</v>
      </c>
      <c r="J25" s="167">
        <v>4</v>
      </c>
      <c r="K25" s="167" t="s">
        <v>69</v>
      </c>
      <c r="L25" s="167" t="s">
        <v>69</v>
      </c>
      <c r="M25" s="167" t="s">
        <v>69</v>
      </c>
      <c r="N25" s="167" t="s">
        <v>69</v>
      </c>
      <c r="O25" s="167">
        <v>4</v>
      </c>
      <c r="P25" s="167">
        <v>4</v>
      </c>
      <c r="Q25" s="167" t="s">
        <v>69</v>
      </c>
      <c r="R25" s="167" t="s">
        <v>69</v>
      </c>
      <c r="S25" s="167">
        <v>4</v>
      </c>
      <c r="T25" s="167" t="s">
        <v>69</v>
      </c>
      <c r="U25" s="167" t="s">
        <v>69</v>
      </c>
      <c r="V25" s="167" t="s">
        <v>69</v>
      </c>
      <c r="W25" s="167" t="s">
        <v>69</v>
      </c>
      <c r="X25" s="167" t="s">
        <v>69</v>
      </c>
      <c r="Y25" s="167">
        <v>4</v>
      </c>
      <c r="Z25" s="167">
        <v>4</v>
      </c>
      <c r="AA25" s="167" t="s">
        <v>69</v>
      </c>
      <c r="AB25" s="167" t="s">
        <v>69</v>
      </c>
      <c r="AC25" s="167">
        <v>4</v>
      </c>
      <c r="AD25" s="167" t="s">
        <v>69</v>
      </c>
      <c r="AE25" s="167" t="s">
        <v>69</v>
      </c>
      <c r="AF25" s="167" t="s">
        <v>69</v>
      </c>
      <c r="AG25" s="167" t="s">
        <v>69</v>
      </c>
      <c r="AH25" s="167" t="s">
        <v>69</v>
      </c>
      <c r="AI25" s="167" t="s">
        <v>69</v>
      </c>
      <c r="AJ25" s="167" t="s">
        <v>69</v>
      </c>
      <c r="AK25" s="167" t="s">
        <v>69</v>
      </c>
      <c r="AL25" s="167" t="s">
        <v>69</v>
      </c>
      <c r="AM25" s="167" t="s">
        <v>69</v>
      </c>
      <c r="AN25" s="167" t="s">
        <v>69</v>
      </c>
      <c r="AO25" s="167" t="s">
        <v>69</v>
      </c>
      <c r="AP25" s="167">
        <v>4</v>
      </c>
      <c r="AQ25" s="167">
        <v>4</v>
      </c>
      <c r="AR25" s="167" t="s">
        <v>69</v>
      </c>
      <c r="AS25" s="167" t="s">
        <v>69</v>
      </c>
      <c r="AT25" s="167">
        <v>4</v>
      </c>
      <c r="AU25" s="167" t="s">
        <v>69</v>
      </c>
      <c r="AV25" s="167" t="s">
        <v>69</v>
      </c>
      <c r="AW25" s="167">
        <v>4</v>
      </c>
      <c r="AX25" s="167" t="s">
        <v>69</v>
      </c>
      <c r="AY25" s="167" t="s">
        <v>69</v>
      </c>
      <c r="AZ25" s="167">
        <v>4</v>
      </c>
      <c r="BA25" s="167" t="s">
        <v>69</v>
      </c>
      <c r="BB25" s="167" t="s">
        <v>69</v>
      </c>
      <c r="BC25" s="167">
        <v>4</v>
      </c>
      <c r="BD25" s="167" t="s">
        <v>69</v>
      </c>
      <c r="BE25" s="167" t="s">
        <v>69</v>
      </c>
      <c r="BF25" s="167">
        <v>4</v>
      </c>
      <c r="BG25" s="167" t="s">
        <v>69</v>
      </c>
      <c r="BH25" s="167" t="s">
        <v>69</v>
      </c>
      <c r="BI25" s="167" t="s">
        <v>69</v>
      </c>
      <c r="BJ25" s="167" t="s">
        <v>69</v>
      </c>
      <c r="BK25" s="167" t="s">
        <v>69</v>
      </c>
      <c r="BL25" s="167" t="s">
        <v>69</v>
      </c>
      <c r="BM25" s="167" t="s">
        <v>69</v>
      </c>
      <c r="BN25" s="167" t="s">
        <v>69</v>
      </c>
      <c r="BO25" s="167" t="s">
        <v>69</v>
      </c>
      <c r="BP25" s="167" t="s">
        <v>69</v>
      </c>
      <c r="BQ25" s="167">
        <v>4</v>
      </c>
      <c r="BR25" s="167">
        <v>4</v>
      </c>
      <c r="BS25" s="167">
        <v>4</v>
      </c>
      <c r="BT25" s="167" t="s">
        <v>69</v>
      </c>
      <c r="BU25" s="167" t="s">
        <v>69</v>
      </c>
      <c r="BV25" s="167" t="s">
        <v>69</v>
      </c>
      <c r="BW25" s="167" t="s">
        <v>69</v>
      </c>
      <c r="BX25" s="167" t="s">
        <v>69</v>
      </c>
      <c r="BY25" s="167" t="s">
        <v>69</v>
      </c>
      <c r="BZ25" s="167" t="s">
        <v>69</v>
      </c>
      <c r="CA25" s="167" t="s">
        <v>69</v>
      </c>
      <c r="CB25" s="167">
        <v>4</v>
      </c>
      <c r="CC25" s="167">
        <v>4</v>
      </c>
      <c r="CD25" s="167" t="s">
        <v>69</v>
      </c>
      <c r="CE25" s="167" t="s">
        <v>69</v>
      </c>
      <c r="CF25" s="167" t="s">
        <v>69</v>
      </c>
      <c r="CG25" s="167">
        <v>4</v>
      </c>
      <c r="CH25" s="167">
        <v>4</v>
      </c>
      <c r="CI25" s="167">
        <v>4</v>
      </c>
      <c r="CJ25" s="167">
        <v>4</v>
      </c>
      <c r="CK25" s="167" t="s">
        <v>69</v>
      </c>
      <c r="CL25" s="167" t="s">
        <v>69</v>
      </c>
      <c r="CM25" s="167" t="s">
        <v>69</v>
      </c>
      <c r="CN25" s="167" t="s">
        <v>69</v>
      </c>
      <c r="CO25" s="167" t="s">
        <v>69</v>
      </c>
      <c r="CP25" s="167" t="s">
        <v>69</v>
      </c>
      <c r="CQ25" s="167"/>
      <c r="CR25" s="167" t="s">
        <v>69</v>
      </c>
      <c r="CS25" s="167" t="s">
        <v>69</v>
      </c>
      <c r="CT25" s="167" t="s">
        <v>69</v>
      </c>
      <c r="CU25" s="167" t="s">
        <v>69</v>
      </c>
      <c r="CV25" s="167" t="s">
        <v>69</v>
      </c>
      <c r="CW25" s="167" t="s">
        <v>69</v>
      </c>
      <c r="CX25" s="167" t="s">
        <v>69</v>
      </c>
      <c r="CY25" s="167">
        <v>4</v>
      </c>
      <c r="CZ25" s="167" t="s">
        <v>69</v>
      </c>
      <c r="DA25" s="167" t="s">
        <v>69</v>
      </c>
      <c r="DB25" s="167" t="s">
        <v>69</v>
      </c>
      <c r="DC25" s="167">
        <v>4</v>
      </c>
      <c r="DD25" s="167">
        <v>2</v>
      </c>
      <c r="DE25" s="167" t="s">
        <v>69</v>
      </c>
      <c r="DF25" s="167" t="s">
        <v>69</v>
      </c>
      <c r="DG25" s="167" t="s">
        <v>69</v>
      </c>
      <c r="DH25" s="167" t="s">
        <v>69</v>
      </c>
      <c r="DI25" s="167" t="s">
        <v>69</v>
      </c>
      <c r="DJ25" s="167">
        <v>4</v>
      </c>
      <c r="DK25" s="167">
        <v>4</v>
      </c>
      <c r="DL25" s="167">
        <v>4</v>
      </c>
      <c r="DM25" s="167">
        <v>4</v>
      </c>
      <c r="DN25" s="167" t="s">
        <v>69</v>
      </c>
      <c r="DO25" s="167" t="s">
        <v>69</v>
      </c>
      <c r="DP25" s="167" t="s">
        <v>69</v>
      </c>
      <c r="DQ25" s="167" t="s">
        <v>69</v>
      </c>
      <c r="DR25" s="167" t="s">
        <v>69</v>
      </c>
      <c r="DS25" s="167">
        <v>3</v>
      </c>
      <c r="DT25" s="167" t="s">
        <v>69</v>
      </c>
      <c r="DU25" s="167">
        <v>4</v>
      </c>
      <c r="DV25" s="110">
        <f t="shared" si="0"/>
        <v>0.54838709677419351</v>
      </c>
      <c r="DW25" s="104">
        <f t="shared" si="1"/>
        <v>0.97058823529411764</v>
      </c>
    </row>
    <row r="26" spans="1:127" ht="42" hidden="1" customHeight="1" thickBot="1">
      <c r="A26" s="250" t="s">
        <v>319</v>
      </c>
      <c r="B26" s="242" t="s">
        <v>320</v>
      </c>
      <c r="C26" s="208">
        <v>44052</v>
      </c>
      <c r="D26" s="220" t="s">
        <v>434</v>
      </c>
      <c r="E26" s="256" t="s">
        <v>897</v>
      </c>
      <c r="F26" s="167" t="s">
        <v>69</v>
      </c>
      <c r="G26" s="167" t="s">
        <v>69</v>
      </c>
      <c r="H26" s="167" t="s">
        <v>69</v>
      </c>
      <c r="I26" s="167">
        <v>4</v>
      </c>
      <c r="J26" s="167" t="s">
        <v>69</v>
      </c>
      <c r="K26" s="167" t="s">
        <v>69</v>
      </c>
      <c r="L26" s="167" t="s">
        <v>69</v>
      </c>
      <c r="M26" s="167" t="s">
        <v>69</v>
      </c>
      <c r="N26" s="167" t="s">
        <v>69</v>
      </c>
      <c r="O26" s="167">
        <v>4</v>
      </c>
      <c r="P26" s="167">
        <v>4</v>
      </c>
      <c r="Q26" s="167">
        <v>2</v>
      </c>
      <c r="R26" s="167" t="s">
        <v>69</v>
      </c>
      <c r="S26" s="167" t="s">
        <v>69</v>
      </c>
      <c r="T26" s="167" t="s">
        <v>69</v>
      </c>
      <c r="U26" s="167" t="s">
        <v>69</v>
      </c>
      <c r="V26" s="167">
        <v>4</v>
      </c>
      <c r="W26" s="167">
        <v>4</v>
      </c>
      <c r="X26" s="167" t="s">
        <v>69</v>
      </c>
      <c r="Y26" s="167" t="s">
        <v>69</v>
      </c>
      <c r="Z26" s="167" t="s">
        <v>69</v>
      </c>
      <c r="AA26" s="167" t="s">
        <v>69</v>
      </c>
      <c r="AB26" s="167" t="s">
        <v>69</v>
      </c>
      <c r="AC26" s="167" t="s">
        <v>69</v>
      </c>
      <c r="AD26" s="167" t="s">
        <v>69</v>
      </c>
      <c r="AE26" s="167" t="s">
        <v>69</v>
      </c>
      <c r="AF26" s="167" t="s">
        <v>69</v>
      </c>
      <c r="AG26" s="167" t="s">
        <v>69</v>
      </c>
      <c r="AH26" s="167" t="s">
        <v>69</v>
      </c>
      <c r="AI26" s="167" t="s">
        <v>69</v>
      </c>
      <c r="AJ26" s="167" t="s">
        <v>69</v>
      </c>
      <c r="AK26" s="167" t="s">
        <v>69</v>
      </c>
      <c r="AL26" s="167" t="s">
        <v>69</v>
      </c>
      <c r="AM26" s="167" t="s">
        <v>69</v>
      </c>
      <c r="AN26" s="167" t="s">
        <v>69</v>
      </c>
      <c r="AO26" s="167" t="s">
        <v>69</v>
      </c>
      <c r="AP26" s="167" t="s">
        <v>69</v>
      </c>
      <c r="AQ26" s="167" t="s">
        <v>69</v>
      </c>
      <c r="AR26" s="167" t="s">
        <v>69</v>
      </c>
      <c r="AS26" s="167" t="s">
        <v>69</v>
      </c>
      <c r="AT26" s="167" t="s">
        <v>69</v>
      </c>
      <c r="AU26" s="167" t="s">
        <v>69</v>
      </c>
      <c r="AV26" s="167" t="s">
        <v>69</v>
      </c>
      <c r="AW26" s="167" t="s">
        <v>69</v>
      </c>
      <c r="AX26" s="167" t="s">
        <v>69</v>
      </c>
      <c r="AY26" s="167" t="s">
        <v>69</v>
      </c>
      <c r="AZ26" s="167" t="s">
        <v>69</v>
      </c>
      <c r="BA26" s="167" t="s">
        <v>69</v>
      </c>
      <c r="BB26" s="167" t="s">
        <v>69</v>
      </c>
      <c r="BC26" s="167" t="s">
        <v>69</v>
      </c>
      <c r="BD26" s="167" t="s">
        <v>69</v>
      </c>
      <c r="BE26" s="167" t="s">
        <v>69</v>
      </c>
      <c r="BF26" s="167" t="s">
        <v>69</v>
      </c>
      <c r="BG26" s="167" t="s">
        <v>69</v>
      </c>
      <c r="BH26" s="167"/>
      <c r="BI26" s="167" t="s">
        <v>69</v>
      </c>
      <c r="BJ26" s="167" t="s">
        <v>69</v>
      </c>
      <c r="BK26" s="167" t="s">
        <v>69</v>
      </c>
      <c r="BL26" s="167" t="s">
        <v>69</v>
      </c>
      <c r="BM26" s="167" t="s">
        <v>69</v>
      </c>
      <c r="BN26" s="167" t="s">
        <v>69</v>
      </c>
      <c r="BO26" s="167" t="s">
        <v>69</v>
      </c>
      <c r="BP26" s="167">
        <v>4</v>
      </c>
      <c r="BQ26" s="167" t="s">
        <v>69</v>
      </c>
      <c r="BR26" s="167">
        <v>4</v>
      </c>
      <c r="BS26" s="167" t="s">
        <v>69</v>
      </c>
      <c r="BT26" s="167" t="s">
        <v>69</v>
      </c>
      <c r="BU26" s="167">
        <v>4</v>
      </c>
      <c r="BV26" s="167">
        <v>4</v>
      </c>
      <c r="BW26" s="167" t="s">
        <v>69</v>
      </c>
      <c r="BX26" s="167" t="s">
        <v>69</v>
      </c>
      <c r="BY26" s="167">
        <v>4</v>
      </c>
      <c r="BZ26" s="167" t="s">
        <v>69</v>
      </c>
      <c r="CA26" s="167" t="s">
        <v>69</v>
      </c>
      <c r="CB26" s="167" t="s">
        <v>69</v>
      </c>
      <c r="CC26" s="167" t="s">
        <v>69</v>
      </c>
      <c r="CD26" s="167" t="s">
        <v>69</v>
      </c>
      <c r="CE26" s="167" t="s">
        <v>69</v>
      </c>
      <c r="CF26" s="167" t="s">
        <v>69</v>
      </c>
      <c r="CG26" s="167">
        <v>4</v>
      </c>
      <c r="CH26" s="167">
        <v>4</v>
      </c>
      <c r="CI26" s="167" t="s">
        <v>69</v>
      </c>
      <c r="CJ26" s="167" t="s">
        <v>69</v>
      </c>
      <c r="CK26" s="167" t="s">
        <v>69</v>
      </c>
      <c r="CL26" s="167" t="s">
        <v>69</v>
      </c>
      <c r="CM26" s="167" t="s">
        <v>69</v>
      </c>
      <c r="CN26" s="167" t="s">
        <v>69</v>
      </c>
      <c r="CO26" s="167" t="s">
        <v>69</v>
      </c>
      <c r="CP26" s="167" t="s">
        <v>69</v>
      </c>
      <c r="CQ26" s="167" t="s">
        <v>69</v>
      </c>
      <c r="CR26" s="167" t="s">
        <v>69</v>
      </c>
      <c r="CS26" s="167" t="s">
        <v>69</v>
      </c>
      <c r="CT26" s="167" t="s">
        <v>69</v>
      </c>
      <c r="CU26" s="167" t="s">
        <v>69</v>
      </c>
      <c r="CV26" s="167">
        <v>4</v>
      </c>
      <c r="CW26" s="167">
        <v>4</v>
      </c>
      <c r="CX26" s="167" t="s">
        <v>69</v>
      </c>
      <c r="CY26" s="167" t="s">
        <v>69</v>
      </c>
      <c r="CZ26" s="167" t="s">
        <v>69</v>
      </c>
      <c r="DA26" s="167">
        <v>2</v>
      </c>
      <c r="DB26" s="167">
        <v>4</v>
      </c>
      <c r="DC26" s="167" t="s">
        <v>69</v>
      </c>
      <c r="DD26" s="167" t="s">
        <v>69</v>
      </c>
      <c r="DE26" s="167" t="s">
        <v>69</v>
      </c>
      <c r="DF26" s="167" t="s">
        <v>69</v>
      </c>
      <c r="DG26" s="167" t="s">
        <v>69</v>
      </c>
      <c r="DH26" s="167" t="s">
        <v>69</v>
      </c>
      <c r="DI26" s="167" t="s">
        <v>69</v>
      </c>
      <c r="DJ26" s="167" t="s">
        <v>69</v>
      </c>
      <c r="DK26" s="167" t="s">
        <v>69</v>
      </c>
      <c r="DL26" s="167">
        <v>4</v>
      </c>
      <c r="DM26" s="167">
        <v>4</v>
      </c>
      <c r="DN26" s="167" t="s">
        <v>69</v>
      </c>
      <c r="DO26" s="167">
        <v>2</v>
      </c>
      <c r="DP26" s="167" t="s">
        <v>69</v>
      </c>
      <c r="DQ26" s="167">
        <v>2</v>
      </c>
      <c r="DR26" s="167" t="s">
        <v>69</v>
      </c>
      <c r="DS26" s="167" t="s">
        <v>69</v>
      </c>
      <c r="DT26" s="167" t="s">
        <v>69</v>
      </c>
      <c r="DU26" s="167">
        <v>4</v>
      </c>
      <c r="DV26" s="110">
        <f t="shared" si="0"/>
        <v>0.35483870967741937</v>
      </c>
      <c r="DW26" s="104">
        <f t="shared" si="1"/>
        <v>0.81818181818181823</v>
      </c>
    </row>
    <row r="27" spans="1:127" ht="42" hidden="1" customHeight="1" thickBot="1">
      <c r="A27" s="251" t="s">
        <v>335</v>
      </c>
      <c r="B27" s="252" t="s">
        <v>336</v>
      </c>
      <c r="C27" s="208">
        <v>43565</v>
      </c>
      <c r="D27" s="220" t="s">
        <v>434</v>
      </c>
      <c r="E27" s="256" t="s">
        <v>897</v>
      </c>
      <c r="F27" s="167" t="s">
        <v>69</v>
      </c>
      <c r="G27" s="167" t="s">
        <v>69</v>
      </c>
      <c r="H27" s="167" t="s">
        <v>69</v>
      </c>
      <c r="I27" s="167" t="s">
        <v>69</v>
      </c>
      <c r="J27" s="167" t="s">
        <v>69</v>
      </c>
      <c r="K27" s="167" t="s">
        <v>69</v>
      </c>
      <c r="L27" s="167" t="s">
        <v>69</v>
      </c>
      <c r="M27" s="167">
        <v>4</v>
      </c>
      <c r="N27" s="167">
        <v>4</v>
      </c>
      <c r="O27" s="167" t="s">
        <v>69</v>
      </c>
      <c r="P27" s="167" t="s">
        <v>69</v>
      </c>
      <c r="Q27" s="167" t="s">
        <v>69</v>
      </c>
      <c r="R27" s="167" t="s">
        <v>69</v>
      </c>
      <c r="S27" s="167" t="s">
        <v>69</v>
      </c>
      <c r="T27" s="167" t="s">
        <v>69</v>
      </c>
      <c r="U27" s="167" t="s">
        <v>69</v>
      </c>
      <c r="V27" s="167" t="s">
        <v>69</v>
      </c>
      <c r="W27" s="167" t="s">
        <v>69</v>
      </c>
      <c r="X27" s="167" t="s">
        <v>69</v>
      </c>
      <c r="Y27" s="167" t="s">
        <v>69</v>
      </c>
      <c r="Z27" s="167" t="s">
        <v>69</v>
      </c>
      <c r="AA27" s="167" t="s">
        <v>69</v>
      </c>
      <c r="AB27" s="167" t="s">
        <v>69</v>
      </c>
      <c r="AC27" s="167" t="s">
        <v>69</v>
      </c>
      <c r="AD27" s="167" t="s">
        <v>69</v>
      </c>
      <c r="AE27" s="167" t="s">
        <v>69</v>
      </c>
      <c r="AF27" s="167" t="s">
        <v>69</v>
      </c>
      <c r="AG27" s="167" t="s">
        <v>69</v>
      </c>
      <c r="AH27" s="167" t="s">
        <v>69</v>
      </c>
      <c r="AI27" s="167" t="s">
        <v>69</v>
      </c>
      <c r="AJ27" s="167" t="s">
        <v>69</v>
      </c>
      <c r="AK27" s="167" t="s">
        <v>69</v>
      </c>
      <c r="AL27" s="167" t="s">
        <v>69</v>
      </c>
      <c r="AM27" s="167" t="s">
        <v>69</v>
      </c>
      <c r="AN27" s="167" t="s">
        <v>69</v>
      </c>
      <c r="AO27" s="167" t="s">
        <v>69</v>
      </c>
      <c r="AP27" s="167" t="s">
        <v>69</v>
      </c>
      <c r="AQ27" s="167" t="s">
        <v>69</v>
      </c>
      <c r="AR27" s="167" t="s">
        <v>69</v>
      </c>
      <c r="AS27" s="167" t="s">
        <v>69</v>
      </c>
      <c r="AT27" s="167" t="s">
        <v>69</v>
      </c>
      <c r="AU27" s="167" t="s">
        <v>69</v>
      </c>
      <c r="AV27" s="167" t="s">
        <v>69</v>
      </c>
      <c r="AW27" s="167" t="s">
        <v>69</v>
      </c>
      <c r="AX27" s="167" t="s">
        <v>69</v>
      </c>
      <c r="AY27" s="167" t="s">
        <v>69</v>
      </c>
      <c r="AZ27" s="167" t="s">
        <v>69</v>
      </c>
      <c r="BA27" s="167" t="s">
        <v>69</v>
      </c>
      <c r="BB27" s="167" t="s">
        <v>69</v>
      </c>
      <c r="BC27" s="167" t="s">
        <v>69</v>
      </c>
      <c r="BD27" s="167" t="s">
        <v>69</v>
      </c>
      <c r="BE27" s="167" t="s">
        <v>69</v>
      </c>
      <c r="BF27" s="167" t="s">
        <v>69</v>
      </c>
      <c r="BG27" s="167" t="s">
        <v>69</v>
      </c>
      <c r="BH27" s="167" t="s">
        <v>69</v>
      </c>
      <c r="BI27" s="167">
        <v>4</v>
      </c>
      <c r="BJ27" s="167" t="s">
        <v>69</v>
      </c>
      <c r="BK27" s="167" t="s">
        <v>69</v>
      </c>
      <c r="BL27" s="167" t="s">
        <v>69</v>
      </c>
      <c r="BM27" s="167" t="s">
        <v>69</v>
      </c>
      <c r="BN27" s="167" t="s">
        <v>69</v>
      </c>
      <c r="BO27" s="167">
        <v>2</v>
      </c>
      <c r="BP27" s="167">
        <v>3</v>
      </c>
      <c r="BQ27" s="167" t="s">
        <v>69</v>
      </c>
      <c r="BR27" s="167" t="s">
        <v>69</v>
      </c>
      <c r="BS27" s="167" t="s">
        <v>69</v>
      </c>
      <c r="BT27" s="167" t="s">
        <v>69</v>
      </c>
      <c r="BU27" s="167" t="s">
        <v>69</v>
      </c>
      <c r="BV27" s="167" t="s">
        <v>69</v>
      </c>
      <c r="BW27" s="167" t="s">
        <v>69</v>
      </c>
      <c r="BX27" s="167" t="s">
        <v>69</v>
      </c>
      <c r="BY27" s="167" t="s">
        <v>69</v>
      </c>
      <c r="BZ27" s="167" t="s">
        <v>69</v>
      </c>
      <c r="CA27" s="167" t="s">
        <v>69</v>
      </c>
      <c r="CB27" s="167" t="s">
        <v>69</v>
      </c>
      <c r="CC27" s="167" t="s">
        <v>69</v>
      </c>
      <c r="CD27" s="167" t="s">
        <v>69</v>
      </c>
      <c r="CE27" s="167" t="s">
        <v>69</v>
      </c>
      <c r="CF27" s="167" t="s">
        <v>69</v>
      </c>
      <c r="CG27" s="167" t="s">
        <v>69</v>
      </c>
      <c r="CH27" s="167" t="s">
        <v>69</v>
      </c>
      <c r="CI27" s="167">
        <v>3</v>
      </c>
      <c r="CJ27" s="167">
        <v>3</v>
      </c>
      <c r="CK27" s="167" t="s">
        <v>69</v>
      </c>
      <c r="CL27" s="167" t="s">
        <v>69</v>
      </c>
      <c r="CM27" s="167" t="s">
        <v>69</v>
      </c>
      <c r="CN27" s="167" t="s">
        <v>69</v>
      </c>
      <c r="CO27" s="167" t="s">
        <v>69</v>
      </c>
      <c r="CP27" s="167" t="s">
        <v>69</v>
      </c>
      <c r="CQ27" s="167" t="s">
        <v>69</v>
      </c>
      <c r="CR27" s="167" t="s">
        <v>69</v>
      </c>
      <c r="CS27" s="167" t="s">
        <v>69</v>
      </c>
      <c r="CT27" s="167" t="s">
        <v>69</v>
      </c>
      <c r="CU27" s="167" t="s">
        <v>69</v>
      </c>
      <c r="CV27" s="167">
        <v>4</v>
      </c>
      <c r="CW27" s="167">
        <v>4</v>
      </c>
      <c r="CX27" s="167" t="s">
        <v>69</v>
      </c>
      <c r="CY27" s="167">
        <v>4</v>
      </c>
      <c r="CZ27" s="167" t="s">
        <v>69</v>
      </c>
      <c r="DA27" s="167" t="s">
        <v>69</v>
      </c>
      <c r="DB27" s="167">
        <v>2</v>
      </c>
      <c r="DC27" s="167" t="s">
        <v>69</v>
      </c>
      <c r="DD27" s="167">
        <v>2</v>
      </c>
      <c r="DE27" s="167" t="s">
        <v>69</v>
      </c>
      <c r="DF27" s="167">
        <v>4</v>
      </c>
      <c r="DG27" s="167" t="s">
        <v>69</v>
      </c>
      <c r="DH27" s="167" t="s">
        <v>69</v>
      </c>
      <c r="DI27" s="167">
        <v>4</v>
      </c>
      <c r="DJ27" s="167" t="s">
        <v>69</v>
      </c>
      <c r="DK27" s="167" t="s">
        <v>69</v>
      </c>
      <c r="DL27" s="167" t="s">
        <v>69</v>
      </c>
      <c r="DM27" s="167" t="s">
        <v>69</v>
      </c>
      <c r="DN27" s="167" t="s">
        <v>69</v>
      </c>
      <c r="DO27" s="167" t="s">
        <v>69</v>
      </c>
      <c r="DP27" s="167" t="s">
        <v>69</v>
      </c>
      <c r="DQ27" s="167" t="s">
        <v>69</v>
      </c>
      <c r="DR27" s="167" t="s">
        <v>69</v>
      </c>
      <c r="DS27" s="167" t="s">
        <v>69</v>
      </c>
      <c r="DT27" s="167" t="s">
        <v>69</v>
      </c>
      <c r="DU27" s="167">
        <v>4</v>
      </c>
      <c r="DV27" s="110">
        <f t="shared" si="0"/>
        <v>0.24193548387096775</v>
      </c>
      <c r="DW27" s="104">
        <f t="shared" si="1"/>
        <v>0.8</v>
      </c>
    </row>
    <row r="28" spans="1:127" ht="42" hidden="1" customHeight="1" thickBot="1">
      <c r="A28" s="250" t="s">
        <v>173</v>
      </c>
      <c r="B28" s="242" t="s">
        <v>174</v>
      </c>
      <c r="C28" s="208" t="s">
        <v>609</v>
      </c>
      <c r="D28" s="220" t="s">
        <v>434</v>
      </c>
      <c r="E28" s="256" t="s">
        <v>897</v>
      </c>
      <c r="F28" s="167">
        <v>4</v>
      </c>
      <c r="G28" s="167" t="s">
        <v>69</v>
      </c>
      <c r="H28" s="167" t="s">
        <v>69</v>
      </c>
      <c r="I28" s="167" t="s">
        <v>69</v>
      </c>
      <c r="J28" s="167" t="s">
        <v>69</v>
      </c>
      <c r="K28" s="167" t="s">
        <v>69</v>
      </c>
      <c r="L28" s="167" t="s">
        <v>69</v>
      </c>
      <c r="M28" s="167" t="s">
        <v>69</v>
      </c>
      <c r="N28" s="167" t="s">
        <v>69</v>
      </c>
      <c r="O28" s="167" t="s">
        <v>69</v>
      </c>
      <c r="P28" s="167" t="s">
        <v>69</v>
      </c>
      <c r="Q28" s="167">
        <v>2</v>
      </c>
      <c r="R28" s="167" t="s">
        <v>69</v>
      </c>
      <c r="S28" s="167" t="s">
        <v>69</v>
      </c>
      <c r="T28" s="167" t="s">
        <v>69</v>
      </c>
      <c r="U28" s="167" t="s">
        <v>69</v>
      </c>
      <c r="V28" s="167" t="s">
        <v>69</v>
      </c>
      <c r="W28" s="167" t="s">
        <v>69</v>
      </c>
      <c r="X28" s="167" t="s">
        <v>69</v>
      </c>
      <c r="Y28" s="167">
        <v>4</v>
      </c>
      <c r="Z28" s="167" t="s">
        <v>69</v>
      </c>
      <c r="AA28" s="167" t="s">
        <v>69</v>
      </c>
      <c r="AB28" s="167" t="s">
        <v>69</v>
      </c>
      <c r="AC28" s="167" t="s">
        <v>69</v>
      </c>
      <c r="AD28" s="167" t="s">
        <v>69</v>
      </c>
      <c r="AE28" s="167" t="s">
        <v>69</v>
      </c>
      <c r="AF28" s="167" t="s">
        <v>69</v>
      </c>
      <c r="AG28" s="167" t="s">
        <v>69</v>
      </c>
      <c r="AH28" s="167" t="s">
        <v>69</v>
      </c>
      <c r="AI28" s="167" t="s">
        <v>69</v>
      </c>
      <c r="AJ28" s="167" t="s">
        <v>69</v>
      </c>
      <c r="AK28" s="167" t="s">
        <v>69</v>
      </c>
      <c r="AL28" s="167" t="s">
        <v>69</v>
      </c>
      <c r="AM28" s="167" t="s">
        <v>69</v>
      </c>
      <c r="AN28" s="167" t="s">
        <v>69</v>
      </c>
      <c r="AO28" s="167" t="s">
        <v>69</v>
      </c>
      <c r="AP28" s="167" t="s">
        <v>69</v>
      </c>
      <c r="AQ28" s="167" t="s">
        <v>69</v>
      </c>
      <c r="AR28" s="167" t="s">
        <v>69</v>
      </c>
      <c r="AS28" s="167" t="s">
        <v>69</v>
      </c>
      <c r="AT28" s="167" t="s">
        <v>69</v>
      </c>
      <c r="AU28" s="167" t="s">
        <v>69</v>
      </c>
      <c r="AV28" s="167" t="s">
        <v>69</v>
      </c>
      <c r="AW28" s="167" t="s">
        <v>69</v>
      </c>
      <c r="AX28" s="167" t="s">
        <v>69</v>
      </c>
      <c r="AY28" s="167" t="s">
        <v>69</v>
      </c>
      <c r="AZ28" s="167" t="s">
        <v>69</v>
      </c>
      <c r="BA28" s="167" t="s">
        <v>69</v>
      </c>
      <c r="BB28" s="167" t="s">
        <v>69</v>
      </c>
      <c r="BC28" s="167" t="s">
        <v>69</v>
      </c>
      <c r="BD28" s="167" t="s">
        <v>69</v>
      </c>
      <c r="BE28" s="167" t="s">
        <v>69</v>
      </c>
      <c r="BF28" s="167" t="s">
        <v>69</v>
      </c>
      <c r="BG28" s="167" t="s">
        <v>69</v>
      </c>
      <c r="BH28" s="167" t="s">
        <v>69</v>
      </c>
      <c r="BI28" s="167" t="s">
        <v>69</v>
      </c>
      <c r="BJ28" s="167" t="s">
        <v>69</v>
      </c>
      <c r="BK28" s="167" t="s">
        <v>69</v>
      </c>
      <c r="BL28" s="167">
        <v>4</v>
      </c>
      <c r="BM28" s="167" t="s">
        <v>69</v>
      </c>
      <c r="BN28" s="167">
        <v>2</v>
      </c>
      <c r="BO28" s="167" t="s">
        <v>69</v>
      </c>
      <c r="BP28" s="167">
        <v>4</v>
      </c>
      <c r="BQ28" s="167">
        <v>4</v>
      </c>
      <c r="BR28" s="167">
        <v>4</v>
      </c>
      <c r="BS28" s="167" t="s">
        <v>69</v>
      </c>
      <c r="BT28" s="167" t="s">
        <v>69</v>
      </c>
      <c r="BU28" s="167" t="s">
        <v>69</v>
      </c>
      <c r="BV28" s="167" t="s">
        <v>69</v>
      </c>
      <c r="BW28" s="167" t="s">
        <v>69</v>
      </c>
      <c r="BX28" s="167" t="s">
        <v>69</v>
      </c>
      <c r="BY28" s="167">
        <v>4</v>
      </c>
      <c r="BZ28" s="167" t="s">
        <v>69</v>
      </c>
      <c r="CA28" s="167" t="s">
        <v>69</v>
      </c>
      <c r="CB28" s="167" t="s">
        <v>69</v>
      </c>
      <c r="CC28" s="167" t="s">
        <v>69</v>
      </c>
      <c r="CD28" s="167" t="s">
        <v>69</v>
      </c>
      <c r="CE28" s="167" t="s">
        <v>69</v>
      </c>
      <c r="CF28" s="167" t="s">
        <v>69</v>
      </c>
      <c r="CG28" s="167">
        <v>4</v>
      </c>
      <c r="CH28" s="167">
        <v>4</v>
      </c>
      <c r="CI28" s="167">
        <v>4</v>
      </c>
      <c r="CJ28" s="167">
        <v>4</v>
      </c>
      <c r="CK28" s="167" t="s">
        <v>69</v>
      </c>
      <c r="CL28" s="167" t="s">
        <v>69</v>
      </c>
      <c r="CM28" s="167" t="s">
        <v>69</v>
      </c>
      <c r="CN28" s="167" t="s">
        <v>69</v>
      </c>
      <c r="CO28" s="167" t="s">
        <v>69</v>
      </c>
      <c r="CP28" s="167" t="s">
        <v>69</v>
      </c>
      <c r="CQ28" s="167">
        <v>3</v>
      </c>
      <c r="CR28" s="167" t="s">
        <v>69</v>
      </c>
      <c r="CS28" s="167" t="s">
        <v>69</v>
      </c>
      <c r="CT28" s="167">
        <v>3</v>
      </c>
      <c r="CU28" s="167" t="s">
        <v>69</v>
      </c>
      <c r="CV28" s="167" t="s">
        <v>69</v>
      </c>
      <c r="CW28" s="167" t="s">
        <v>69</v>
      </c>
      <c r="CX28" s="167" t="s">
        <v>69</v>
      </c>
      <c r="CY28" s="167" t="s">
        <v>69</v>
      </c>
      <c r="CZ28" s="167" t="s">
        <v>69</v>
      </c>
      <c r="DA28" s="167" t="s">
        <v>69</v>
      </c>
      <c r="DB28" s="167" t="s">
        <v>69</v>
      </c>
      <c r="DC28" s="167" t="s">
        <v>69</v>
      </c>
      <c r="DD28" s="167" t="s">
        <v>69</v>
      </c>
      <c r="DE28" s="167" t="s">
        <v>69</v>
      </c>
      <c r="DF28" s="167" t="s">
        <v>69</v>
      </c>
      <c r="DG28" s="167" t="s">
        <v>69</v>
      </c>
      <c r="DH28" s="167">
        <v>2</v>
      </c>
      <c r="DI28" s="167" t="s">
        <v>69</v>
      </c>
      <c r="DJ28" s="167" t="s">
        <v>69</v>
      </c>
      <c r="DK28" s="167">
        <v>2</v>
      </c>
      <c r="DL28" s="167">
        <v>4</v>
      </c>
      <c r="DM28" s="167">
        <v>3</v>
      </c>
      <c r="DN28" s="167" t="s">
        <v>69</v>
      </c>
      <c r="DO28" s="167" t="s">
        <v>69</v>
      </c>
      <c r="DP28" s="167" t="s">
        <v>69</v>
      </c>
      <c r="DQ28" s="167" t="s">
        <v>69</v>
      </c>
      <c r="DR28" s="167" t="s">
        <v>69</v>
      </c>
      <c r="DS28" s="167" t="s">
        <v>69</v>
      </c>
      <c r="DT28" s="167" t="s">
        <v>69</v>
      </c>
      <c r="DU28" s="167">
        <v>4</v>
      </c>
      <c r="DV28" s="110">
        <f t="shared" si="0"/>
        <v>0.32258064516129031</v>
      </c>
      <c r="DW28" s="104">
        <f t="shared" si="1"/>
        <v>0.8</v>
      </c>
    </row>
    <row r="29" spans="1:127" ht="42" hidden="1" customHeight="1" thickBot="1">
      <c r="A29" s="250" t="s">
        <v>337</v>
      </c>
      <c r="B29" s="242" t="s">
        <v>338</v>
      </c>
      <c r="C29" s="208">
        <v>43016</v>
      </c>
      <c r="D29" s="220" t="s">
        <v>434</v>
      </c>
      <c r="E29" s="256" t="s">
        <v>897</v>
      </c>
      <c r="F29" s="167">
        <v>4</v>
      </c>
      <c r="G29" s="167" t="s">
        <v>69</v>
      </c>
      <c r="H29" s="167" t="s">
        <v>69</v>
      </c>
      <c r="I29" s="167" t="s">
        <v>69</v>
      </c>
      <c r="J29" s="167" t="s">
        <v>69</v>
      </c>
      <c r="K29" s="167">
        <v>2</v>
      </c>
      <c r="L29" s="167" t="s">
        <v>69</v>
      </c>
      <c r="M29" s="167" t="s">
        <v>69</v>
      </c>
      <c r="N29" s="167" t="s">
        <v>69</v>
      </c>
      <c r="O29" s="167">
        <v>4</v>
      </c>
      <c r="P29" s="167" t="s">
        <v>69</v>
      </c>
      <c r="Q29" s="167">
        <v>4</v>
      </c>
      <c r="R29" s="167" t="s">
        <v>69</v>
      </c>
      <c r="S29" s="167">
        <v>3</v>
      </c>
      <c r="T29" s="167">
        <v>3</v>
      </c>
      <c r="U29" s="167">
        <v>3</v>
      </c>
      <c r="V29" s="167" t="s">
        <v>69</v>
      </c>
      <c r="W29" s="167" t="s">
        <v>69</v>
      </c>
      <c r="X29" s="167" t="s">
        <v>69</v>
      </c>
      <c r="Y29" s="167" t="s">
        <v>69</v>
      </c>
      <c r="Z29" s="167" t="s">
        <v>69</v>
      </c>
      <c r="AA29" s="167" t="s">
        <v>69</v>
      </c>
      <c r="AB29" s="167" t="s">
        <v>69</v>
      </c>
      <c r="AC29" s="167" t="s">
        <v>69</v>
      </c>
      <c r="AD29" s="167">
        <v>3</v>
      </c>
      <c r="AE29" s="167" t="s">
        <v>69</v>
      </c>
      <c r="AF29" s="167" t="s">
        <v>69</v>
      </c>
      <c r="AG29" s="167" t="s">
        <v>69</v>
      </c>
      <c r="AH29" s="167" t="s">
        <v>69</v>
      </c>
      <c r="AI29" s="167" t="s">
        <v>69</v>
      </c>
      <c r="AJ29" s="167">
        <v>3</v>
      </c>
      <c r="AK29" s="167">
        <v>2</v>
      </c>
      <c r="AL29" s="167">
        <v>4</v>
      </c>
      <c r="AM29" s="167">
        <v>4</v>
      </c>
      <c r="AN29" s="167">
        <v>4</v>
      </c>
      <c r="AO29" s="167">
        <v>4</v>
      </c>
      <c r="AP29" s="167">
        <v>4</v>
      </c>
      <c r="AQ29" s="167">
        <v>4</v>
      </c>
      <c r="AR29" s="167" t="s">
        <v>69</v>
      </c>
      <c r="AS29" s="167">
        <v>3</v>
      </c>
      <c r="AT29" s="167">
        <v>2</v>
      </c>
      <c r="AU29" s="167" t="s">
        <v>69</v>
      </c>
      <c r="AV29" s="167">
        <v>4</v>
      </c>
      <c r="AW29" s="167" t="s">
        <v>69</v>
      </c>
      <c r="AX29" s="167" t="s">
        <v>69</v>
      </c>
      <c r="AY29" s="167">
        <v>4</v>
      </c>
      <c r="AZ29" s="167" t="s">
        <v>69</v>
      </c>
      <c r="BA29" s="167" t="s">
        <v>69</v>
      </c>
      <c r="BB29" s="167" t="s">
        <v>69</v>
      </c>
      <c r="BC29" s="167">
        <v>4</v>
      </c>
      <c r="BD29" s="167" t="s">
        <v>69</v>
      </c>
      <c r="BE29" s="167">
        <v>4</v>
      </c>
      <c r="BF29" s="167" t="s">
        <v>69</v>
      </c>
      <c r="BG29" s="167" t="s">
        <v>69</v>
      </c>
      <c r="BH29" s="167" t="s">
        <v>69</v>
      </c>
      <c r="BI29" s="167" t="s">
        <v>69</v>
      </c>
      <c r="BJ29" s="167" t="s">
        <v>69</v>
      </c>
      <c r="BK29" s="167" t="s">
        <v>69</v>
      </c>
      <c r="BL29" s="167" t="s">
        <v>69</v>
      </c>
      <c r="BM29" s="167" t="s">
        <v>69</v>
      </c>
      <c r="BN29" s="167" t="s">
        <v>69</v>
      </c>
      <c r="BO29" s="167" t="s">
        <v>69</v>
      </c>
      <c r="BP29" s="167" t="s">
        <v>69</v>
      </c>
      <c r="BQ29" s="167" t="s">
        <v>69</v>
      </c>
      <c r="BR29" s="167">
        <v>4</v>
      </c>
      <c r="BS29" s="167" t="s">
        <v>69</v>
      </c>
      <c r="BT29" s="167" t="s">
        <v>69</v>
      </c>
      <c r="BU29" s="167" t="s">
        <v>69</v>
      </c>
      <c r="BV29" s="167" t="s">
        <v>69</v>
      </c>
      <c r="BW29" s="167" t="s">
        <v>69</v>
      </c>
      <c r="BX29" s="167" t="s">
        <v>69</v>
      </c>
      <c r="BY29" s="167">
        <v>3</v>
      </c>
      <c r="BZ29" s="167" t="s">
        <v>69</v>
      </c>
      <c r="CA29" s="167">
        <v>4</v>
      </c>
      <c r="CB29" s="167" t="s">
        <v>69</v>
      </c>
      <c r="CC29" s="167" t="s">
        <v>69</v>
      </c>
      <c r="CD29" s="167" t="s">
        <v>69</v>
      </c>
      <c r="CE29" s="167" t="s">
        <v>69</v>
      </c>
      <c r="CF29" s="167" t="s">
        <v>69</v>
      </c>
      <c r="CG29" s="167">
        <v>4</v>
      </c>
      <c r="CH29" s="167" t="s">
        <v>69</v>
      </c>
      <c r="CI29" s="167" t="s">
        <v>69</v>
      </c>
      <c r="CJ29" s="167" t="s">
        <v>69</v>
      </c>
      <c r="CK29" s="167" t="s">
        <v>69</v>
      </c>
      <c r="CL29" s="167" t="s">
        <v>69</v>
      </c>
      <c r="CM29" s="167">
        <v>4</v>
      </c>
      <c r="CN29" s="167">
        <v>4</v>
      </c>
      <c r="CO29" s="167">
        <v>4</v>
      </c>
      <c r="CP29" s="167">
        <v>4</v>
      </c>
      <c r="CQ29" s="167" t="s">
        <v>69</v>
      </c>
      <c r="CR29" s="167">
        <v>3</v>
      </c>
      <c r="CS29" s="167" t="s">
        <v>69</v>
      </c>
      <c r="CT29" s="167" t="s">
        <v>69</v>
      </c>
      <c r="CU29" s="167" t="s">
        <v>69</v>
      </c>
      <c r="CV29" s="167">
        <v>4</v>
      </c>
      <c r="CW29" s="167">
        <v>4</v>
      </c>
      <c r="CX29" s="167" t="s">
        <v>69</v>
      </c>
      <c r="CY29" s="167" t="s">
        <v>69</v>
      </c>
      <c r="CZ29" s="167" t="s">
        <v>69</v>
      </c>
      <c r="DA29" s="167">
        <v>2</v>
      </c>
      <c r="DB29" s="167" t="s">
        <v>69</v>
      </c>
      <c r="DC29" s="167" t="s">
        <v>69</v>
      </c>
      <c r="DD29" s="167" t="s">
        <v>69</v>
      </c>
      <c r="DE29" s="167" t="s">
        <v>69</v>
      </c>
      <c r="DF29" s="167" t="s">
        <v>69</v>
      </c>
      <c r="DG29" s="167" t="s">
        <v>69</v>
      </c>
      <c r="DH29" s="167" t="s">
        <v>69</v>
      </c>
      <c r="DI29" s="167" t="s">
        <v>69</v>
      </c>
      <c r="DJ29" s="167" t="s">
        <v>69</v>
      </c>
      <c r="DK29" s="167" t="s">
        <v>69</v>
      </c>
      <c r="DL29" s="167" t="s">
        <v>69</v>
      </c>
      <c r="DM29" s="167" t="s">
        <v>69</v>
      </c>
      <c r="DN29" s="167" t="s">
        <v>69</v>
      </c>
      <c r="DO29" s="167" t="s">
        <v>69</v>
      </c>
      <c r="DP29" s="167" t="s">
        <v>69</v>
      </c>
      <c r="DQ29" s="167" t="s">
        <v>69</v>
      </c>
      <c r="DR29" s="167">
        <v>2</v>
      </c>
      <c r="DS29" s="167" t="s">
        <v>69</v>
      </c>
      <c r="DT29" s="167" t="s">
        <v>69</v>
      </c>
      <c r="DU29" s="167">
        <v>4</v>
      </c>
      <c r="DV29" s="110">
        <f t="shared" si="0"/>
        <v>0.58064516129032262</v>
      </c>
      <c r="DW29" s="104">
        <f t="shared" si="1"/>
        <v>0.86111111111111116</v>
      </c>
    </row>
    <row r="30" spans="1:127" ht="42" hidden="1" customHeight="1" thickBot="1">
      <c r="A30" s="250" t="s">
        <v>339</v>
      </c>
      <c r="B30" s="242" t="s">
        <v>340</v>
      </c>
      <c r="C30" s="208">
        <v>43529</v>
      </c>
      <c r="D30" s="220" t="s">
        <v>434</v>
      </c>
      <c r="E30" s="256" t="s">
        <v>897</v>
      </c>
      <c r="F30" s="167" t="s">
        <v>69</v>
      </c>
      <c r="G30" s="167" t="s">
        <v>69</v>
      </c>
      <c r="H30" s="167" t="s">
        <v>69</v>
      </c>
      <c r="I30" s="167" t="s">
        <v>69</v>
      </c>
      <c r="J30" s="167" t="s">
        <v>69</v>
      </c>
      <c r="K30" s="167" t="s">
        <v>69</v>
      </c>
      <c r="L30" s="167" t="s">
        <v>69</v>
      </c>
      <c r="M30" s="167" t="s">
        <v>69</v>
      </c>
      <c r="N30" s="167" t="s">
        <v>69</v>
      </c>
      <c r="O30" s="167">
        <v>4</v>
      </c>
      <c r="P30" s="167" t="s">
        <v>69</v>
      </c>
      <c r="Q30" s="167" t="s">
        <v>69</v>
      </c>
      <c r="R30" s="167" t="s">
        <v>69</v>
      </c>
      <c r="S30" s="167" t="s">
        <v>69</v>
      </c>
      <c r="T30" s="167" t="s">
        <v>69</v>
      </c>
      <c r="U30" s="167" t="s">
        <v>69</v>
      </c>
      <c r="V30" s="167" t="s">
        <v>69</v>
      </c>
      <c r="W30" s="167" t="s">
        <v>69</v>
      </c>
      <c r="X30" s="167" t="s">
        <v>69</v>
      </c>
      <c r="Y30" s="167" t="s">
        <v>69</v>
      </c>
      <c r="Z30" s="167" t="s">
        <v>69</v>
      </c>
      <c r="AA30" s="167" t="s">
        <v>69</v>
      </c>
      <c r="AB30" s="167" t="s">
        <v>69</v>
      </c>
      <c r="AC30" s="167" t="s">
        <v>69</v>
      </c>
      <c r="AD30" s="167" t="s">
        <v>69</v>
      </c>
      <c r="AE30" s="167" t="s">
        <v>69</v>
      </c>
      <c r="AF30" s="167" t="s">
        <v>69</v>
      </c>
      <c r="AG30" s="167" t="s">
        <v>69</v>
      </c>
      <c r="AH30" s="167" t="s">
        <v>69</v>
      </c>
      <c r="AI30" s="167" t="s">
        <v>69</v>
      </c>
      <c r="AJ30" s="167" t="s">
        <v>69</v>
      </c>
      <c r="AK30" s="167" t="s">
        <v>69</v>
      </c>
      <c r="AL30" s="167" t="s">
        <v>69</v>
      </c>
      <c r="AM30" s="167" t="s">
        <v>69</v>
      </c>
      <c r="AN30" s="167" t="s">
        <v>69</v>
      </c>
      <c r="AO30" s="167" t="s">
        <v>69</v>
      </c>
      <c r="AP30" s="167" t="s">
        <v>69</v>
      </c>
      <c r="AQ30" s="167" t="s">
        <v>69</v>
      </c>
      <c r="AR30" s="167" t="s">
        <v>69</v>
      </c>
      <c r="AS30" s="167">
        <v>4</v>
      </c>
      <c r="AT30" s="167" t="s">
        <v>69</v>
      </c>
      <c r="AU30" s="167">
        <v>3</v>
      </c>
      <c r="AV30" s="167">
        <v>4</v>
      </c>
      <c r="AW30" s="167" t="s">
        <v>69</v>
      </c>
      <c r="AX30" s="167" t="s">
        <v>69</v>
      </c>
      <c r="AY30" s="167">
        <v>4</v>
      </c>
      <c r="AZ30" s="167" t="s">
        <v>69</v>
      </c>
      <c r="BA30" s="167" t="s">
        <v>69</v>
      </c>
      <c r="BB30" s="167">
        <v>4</v>
      </c>
      <c r="BC30" s="167" t="s">
        <v>69</v>
      </c>
      <c r="BD30" s="167" t="s">
        <v>69</v>
      </c>
      <c r="BE30" s="167">
        <v>4</v>
      </c>
      <c r="BF30" s="167">
        <v>4</v>
      </c>
      <c r="BG30" s="167">
        <v>4</v>
      </c>
      <c r="BH30" s="167">
        <v>4</v>
      </c>
      <c r="BI30" s="167" t="s">
        <v>69</v>
      </c>
      <c r="BJ30" s="167" t="s">
        <v>69</v>
      </c>
      <c r="BK30" s="167" t="s">
        <v>69</v>
      </c>
      <c r="BL30" s="167" t="s">
        <v>69</v>
      </c>
      <c r="BM30" s="167" t="s">
        <v>69</v>
      </c>
      <c r="BN30" s="167" t="s">
        <v>69</v>
      </c>
      <c r="BO30" s="167" t="s">
        <v>69</v>
      </c>
      <c r="BP30" s="167" t="s">
        <v>69</v>
      </c>
      <c r="BQ30" s="167" t="s">
        <v>69</v>
      </c>
      <c r="BR30" s="167">
        <v>4</v>
      </c>
      <c r="BS30" s="167" t="s">
        <v>69</v>
      </c>
      <c r="BT30" s="167" t="s">
        <v>69</v>
      </c>
      <c r="BU30" s="167" t="s">
        <v>69</v>
      </c>
      <c r="BV30" s="167" t="s">
        <v>69</v>
      </c>
      <c r="BW30" s="167" t="s">
        <v>69</v>
      </c>
      <c r="BX30" s="167" t="s">
        <v>69</v>
      </c>
      <c r="BY30" s="167" t="s">
        <v>69</v>
      </c>
      <c r="BZ30" s="167" t="s">
        <v>69</v>
      </c>
      <c r="CA30" s="167" t="s">
        <v>69</v>
      </c>
      <c r="CB30" s="167" t="s">
        <v>69</v>
      </c>
      <c r="CC30" s="167" t="s">
        <v>69</v>
      </c>
      <c r="CD30" s="167" t="s">
        <v>69</v>
      </c>
      <c r="CE30" s="167" t="s">
        <v>69</v>
      </c>
      <c r="CF30" s="167" t="s">
        <v>69</v>
      </c>
      <c r="CG30" s="167" t="s">
        <v>69</v>
      </c>
      <c r="CH30" s="167" t="s">
        <v>69</v>
      </c>
      <c r="CI30" s="167" t="s">
        <v>69</v>
      </c>
      <c r="CJ30" s="167" t="s">
        <v>69</v>
      </c>
      <c r="CK30" s="167" t="s">
        <v>69</v>
      </c>
      <c r="CL30" s="167" t="s">
        <v>69</v>
      </c>
      <c r="CM30" s="167">
        <v>4</v>
      </c>
      <c r="CN30" s="167">
        <v>4</v>
      </c>
      <c r="CO30" s="167">
        <v>4</v>
      </c>
      <c r="CP30" s="167">
        <v>4</v>
      </c>
      <c r="CQ30" s="167">
        <v>3</v>
      </c>
      <c r="CR30" s="167">
        <v>4</v>
      </c>
      <c r="CS30" s="167">
        <v>3</v>
      </c>
      <c r="CT30" s="167" t="s">
        <v>69</v>
      </c>
      <c r="CU30" s="167" t="s">
        <v>69</v>
      </c>
      <c r="CV30" s="167" t="s">
        <v>69</v>
      </c>
      <c r="CW30" s="167" t="s">
        <v>69</v>
      </c>
      <c r="CX30" s="167">
        <v>4</v>
      </c>
      <c r="CY30" s="167">
        <v>2</v>
      </c>
      <c r="CZ30" s="167" t="s">
        <v>69</v>
      </c>
      <c r="DA30" s="167">
        <v>4</v>
      </c>
      <c r="DB30" s="167">
        <v>4</v>
      </c>
      <c r="DC30" s="167">
        <v>3</v>
      </c>
      <c r="DD30" s="167">
        <v>3</v>
      </c>
      <c r="DE30" s="167" t="s">
        <v>69</v>
      </c>
      <c r="DF30" s="167" t="s">
        <v>69</v>
      </c>
      <c r="DG30" s="167" t="s">
        <v>69</v>
      </c>
      <c r="DH30" s="167" t="s">
        <v>69</v>
      </c>
      <c r="DI30" s="167" t="s">
        <v>69</v>
      </c>
      <c r="DJ30" s="167" t="s">
        <v>69</v>
      </c>
      <c r="DK30" s="167">
        <v>2</v>
      </c>
      <c r="DL30" s="167">
        <v>4</v>
      </c>
      <c r="DM30" s="167" t="s">
        <v>69</v>
      </c>
      <c r="DN30" s="167" t="s">
        <v>69</v>
      </c>
      <c r="DO30" s="167" t="s">
        <v>69</v>
      </c>
      <c r="DP30" s="167" t="s">
        <v>69</v>
      </c>
      <c r="DQ30" s="167" t="s">
        <v>69</v>
      </c>
      <c r="DR30" s="167" t="s">
        <v>69</v>
      </c>
      <c r="DS30" s="167" t="s">
        <v>69</v>
      </c>
      <c r="DT30" s="167" t="s">
        <v>69</v>
      </c>
      <c r="DU30" s="167">
        <v>4</v>
      </c>
      <c r="DV30" s="110">
        <f t="shared" si="0"/>
        <v>0.43548387096774194</v>
      </c>
      <c r="DW30" s="104">
        <f t="shared" si="1"/>
        <v>0.92592592592592593</v>
      </c>
    </row>
    <row r="31" spans="1:127" ht="42" hidden="1" customHeight="1" thickBot="1">
      <c r="A31" s="250" t="s">
        <v>343</v>
      </c>
      <c r="B31" s="242" t="s">
        <v>344</v>
      </c>
      <c r="C31" s="208" t="s">
        <v>622</v>
      </c>
      <c r="D31" s="220" t="s">
        <v>434</v>
      </c>
      <c r="E31" s="256" t="s">
        <v>897</v>
      </c>
      <c r="F31" s="167">
        <v>2</v>
      </c>
      <c r="G31" s="167" t="s">
        <v>69</v>
      </c>
      <c r="H31" s="167" t="s">
        <v>69</v>
      </c>
      <c r="I31" s="167" t="s">
        <v>69</v>
      </c>
      <c r="J31" s="167" t="s">
        <v>69</v>
      </c>
      <c r="K31" s="167" t="s">
        <v>69</v>
      </c>
      <c r="L31" s="167" t="s">
        <v>69</v>
      </c>
      <c r="M31" s="167" t="s">
        <v>69</v>
      </c>
      <c r="N31" s="167" t="s">
        <v>69</v>
      </c>
      <c r="O31" s="167" t="s">
        <v>69</v>
      </c>
      <c r="P31" s="167" t="s">
        <v>69</v>
      </c>
      <c r="Q31" s="167" t="s">
        <v>69</v>
      </c>
      <c r="R31" s="167" t="s">
        <v>69</v>
      </c>
      <c r="S31" s="167" t="s">
        <v>69</v>
      </c>
      <c r="T31" s="167" t="s">
        <v>69</v>
      </c>
      <c r="U31" s="167" t="s">
        <v>69</v>
      </c>
      <c r="V31" s="167" t="s">
        <v>69</v>
      </c>
      <c r="W31" s="167" t="s">
        <v>69</v>
      </c>
      <c r="X31" s="167" t="s">
        <v>69</v>
      </c>
      <c r="Y31" s="167" t="s">
        <v>69</v>
      </c>
      <c r="Z31" s="167" t="s">
        <v>69</v>
      </c>
      <c r="AA31" s="167" t="s">
        <v>69</v>
      </c>
      <c r="AB31" s="167" t="s">
        <v>69</v>
      </c>
      <c r="AC31" s="167" t="s">
        <v>69</v>
      </c>
      <c r="AD31" s="167" t="s">
        <v>69</v>
      </c>
      <c r="AE31" s="167" t="s">
        <v>69</v>
      </c>
      <c r="AF31" s="167" t="s">
        <v>69</v>
      </c>
      <c r="AG31" s="167" t="s">
        <v>69</v>
      </c>
      <c r="AH31" s="167" t="s">
        <v>69</v>
      </c>
      <c r="AI31" s="167" t="s">
        <v>69</v>
      </c>
      <c r="AJ31" s="167" t="s">
        <v>69</v>
      </c>
      <c r="AK31" s="167" t="s">
        <v>69</v>
      </c>
      <c r="AL31" s="167" t="s">
        <v>69</v>
      </c>
      <c r="AM31" s="167" t="s">
        <v>69</v>
      </c>
      <c r="AN31" s="167" t="s">
        <v>69</v>
      </c>
      <c r="AO31" s="167" t="s">
        <v>69</v>
      </c>
      <c r="AP31" s="167" t="s">
        <v>69</v>
      </c>
      <c r="AQ31" s="167" t="s">
        <v>69</v>
      </c>
      <c r="AR31" s="167" t="s">
        <v>69</v>
      </c>
      <c r="AS31" s="167" t="s">
        <v>69</v>
      </c>
      <c r="AT31" s="167" t="s">
        <v>69</v>
      </c>
      <c r="AU31" s="167" t="s">
        <v>69</v>
      </c>
      <c r="AV31" s="167" t="s">
        <v>69</v>
      </c>
      <c r="AW31" s="167" t="s">
        <v>69</v>
      </c>
      <c r="AX31" s="167" t="s">
        <v>69</v>
      </c>
      <c r="AY31" s="167" t="s">
        <v>69</v>
      </c>
      <c r="AZ31" s="167" t="s">
        <v>69</v>
      </c>
      <c r="BA31" s="167" t="s">
        <v>69</v>
      </c>
      <c r="BB31" s="167" t="s">
        <v>69</v>
      </c>
      <c r="BC31" s="167" t="s">
        <v>69</v>
      </c>
      <c r="BD31" s="167" t="s">
        <v>69</v>
      </c>
      <c r="BE31" s="167">
        <v>2</v>
      </c>
      <c r="BF31" s="167" t="s">
        <v>69</v>
      </c>
      <c r="BG31" s="167" t="s">
        <v>69</v>
      </c>
      <c r="BH31" s="167" t="s">
        <v>69</v>
      </c>
      <c r="BI31" s="167" t="s">
        <v>69</v>
      </c>
      <c r="BJ31" s="167" t="s">
        <v>69</v>
      </c>
      <c r="BK31" s="167" t="s">
        <v>69</v>
      </c>
      <c r="BL31" s="167">
        <v>2</v>
      </c>
      <c r="BM31" s="167" t="s">
        <v>69</v>
      </c>
      <c r="BN31" s="167" t="s">
        <v>69</v>
      </c>
      <c r="BO31" s="167" t="s">
        <v>69</v>
      </c>
      <c r="BP31" s="167" t="s">
        <v>69</v>
      </c>
      <c r="BQ31" s="167" t="s">
        <v>69</v>
      </c>
      <c r="BR31" s="167">
        <v>4</v>
      </c>
      <c r="BS31" s="167" t="s">
        <v>69</v>
      </c>
      <c r="BT31" s="167" t="s">
        <v>69</v>
      </c>
      <c r="BU31" s="167" t="s">
        <v>69</v>
      </c>
      <c r="BV31" s="167" t="s">
        <v>69</v>
      </c>
      <c r="BW31" s="167" t="s">
        <v>69</v>
      </c>
      <c r="BX31" s="167" t="s">
        <v>69</v>
      </c>
      <c r="BY31" s="167" t="s">
        <v>69</v>
      </c>
      <c r="BZ31" s="167" t="s">
        <v>69</v>
      </c>
      <c r="CA31" s="167" t="s">
        <v>69</v>
      </c>
      <c r="CB31" s="167" t="s">
        <v>69</v>
      </c>
      <c r="CC31" s="167" t="s">
        <v>69</v>
      </c>
      <c r="CD31" s="167" t="s">
        <v>69</v>
      </c>
      <c r="CE31" s="167" t="s">
        <v>69</v>
      </c>
      <c r="CF31" s="167" t="s">
        <v>69</v>
      </c>
      <c r="CG31" s="167">
        <v>3</v>
      </c>
      <c r="CH31" s="167" t="s">
        <v>69</v>
      </c>
      <c r="CI31" s="167">
        <v>4</v>
      </c>
      <c r="CJ31" s="167">
        <v>3</v>
      </c>
      <c r="CK31" s="167">
        <v>3</v>
      </c>
      <c r="CL31" s="167">
        <v>3</v>
      </c>
      <c r="CM31" s="167" t="s">
        <v>69</v>
      </c>
      <c r="CN31" s="167" t="s">
        <v>69</v>
      </c>
      <c r="CO31" s="167" t="s">
        <v>69</v>
      </c>
      <c r="CP31" s="167" t="s">
        <v>69</v>
      </c>
      <c r="CQ31" s="167" t="s">
        <v>69</v>
      </c>
      <c r="CR31" s="167" t="s">
        <v>69</v>
      </c>
      <c r="CS31" s="167" t="s">
        <v>69</v>
      </c>
      <c r="CT31" s="167">
        <v>3</v>
      </c>
      <c r="CU31" s="167" t="s">
        <v>69</v>
      </c>
      <c r="CV31" s="167" t="s">
        <v>69</v>
      </c>
      <c r="CW31" s="167" t="s">
        <v>69</v>
      </c>
      <c r="CX31" s="167" t="s">
        <v>69</v>
      </c>
      <c r="CY31" s="167" t="s">
        <v>69</v>
      </c>
      <c r="CZ31" s="167" t="s">
        <v>69</v>
      </c>
      <c r="DA31" s="167" t="s">
        <v>69</v>
      </c>
      <c r="DB31" s="167" t="s">
        <v>69</v>
      </c>
      <c r="DC31" s="167" t="s">
        <v>69</v>
      </c>
      <c r="DD31" s="167" t="s">
        <v>69</v>
      </c>
      <c r="DE31" s="167" t="s">
        <v>69</v>
      </c>
      <c r="DF31" s="167" t="s">
        <v>69</v>
      </c>
      <c r="DG31" s="167" t="s">
        <v>69</v>
      </c>
      <c r="DH31" s="167" t="s">
        <v>69</v>
      </c>
      <c r="DI31" s="167" t="s">
        <v>69</v>
      </c>
      <c r="DJ31" s="167" t="s">
        <v>69</v>
      </c>
      <c r="DK31" s="167" t="s">
        <v>69</v>
      </c>
      <c r="DL31" s="167" t="s">
        <v>69</v>
      </c>
      <c r="DM31" s="167" t="s">
        <v>69</v>
      </c>
      <c r="DN31" s="167" t="s">
        <v>69</v>
      </c>
      <c r="DO31" s="167" t="s">
        <v>69</v>
      </c>
      <c r="DP31" s="167" t="s">
        <v>69</v>
      </c>
      <c r="DQ31" s="167" t="s">
        <v>69</v>
      </c>
      <c r="DR31" s="167" t="s">
        <v>69</v>
      </c>
      <c r="DS31" s="167" t="s">
        <v>69</v>
      </c>
      <c r="DT31" s="167" t="s">
        <v>69</v>
      </c>
      <c r="DU31" s="167">
        <v>3</v>
      </c>
      <c r="DV31" s="110">
        <f t="shared" si="0"/>
        <v>0.17741935483870969</v>
      </c>
      <c r="DW31" s="104">
        <f t="shared" si="1"/>
        <v>0.72727272727272729</v>
      </c>
    </row>
    <row r="32" spans="1:127" ht="42" hidden="1" customHeight="1" thickBot="1">
      <c r="A32" s="250" t="s">
        <v>345</v>
      </c>
      <c r="B32" s="242" t="s">
        <v>346</v>
      </c>
      <c r="C32" s="208">
        <v>44851</v>
      </c>
      <c r="D32" s="220" t="s">
        <v>434</v>
      </c>
      <c r="E32" s="256" t="s">
        <v>897</v>
      </c>
      <c r="F32" s="167">
        <v>4</v>
      </c>
      <c r="G32" s="167">
        <v>3</v>
      </c>
      <c r="H32" s="167" t="s">
        <v>69</v>
      </c>
      <c r="I32" s="167" t="s">
        <v>69</v>
      </c>
      <c r="J32" s="167" t="s">
        <v>69</v>
      </c>
      <c r="K32" s="167">
        <v>3</v>
      </c>
      <c r="L32" s="167">
        <v>2</v>
      </c>
      <c r="M32" s="167" t="s">
        <v>69</v>
      </c>
      <c r="N32" s="167" t="s">
        <v>69</v>
      </c>
      <c r="O32" s="167" t="s">
        <v>69</v>
      </c>
      <c r="P32" s="167" t="s">
        <v>69</v>
      </c>
      <c r="Q32" s="167" t="s">
        <v>69</v>
      </c>
      <c r="R32" s="167" t="s">
        <v>69</v>
      </c>
      <c r="S32" s="167" t="s">
        <v>69</v>
      </c>
      <c r="T32" s="167" t="s">
        <v>69</v>
      </c>
      <c r="U32" s="167" t="s">
        <v>69</v>
      </c>
      <c r="V32" s="167" t="s">
        <v>69</v>
      </c>
      <c r="W32" s="167" t="s">
        <v>69</v>
      </c>
      <c r="X32" s="167" t="s">
        <v>69</v>
      </c>
      <c r="Y32" s="167">
        <v>4</v>
      </c>
      <c r="Z32" s="167">
        <v>4</v>
      </c>
      <c r="AA32" s="167" t="s">
        <v>69</v>
      </c>
      <c r="AB32" s="167" t="s">
        <v>69</v>
      </c>
      <c r="AC32" s="167" t="s">
        <v>69</v>
      </c>
      <c r="AD32" s="167" t="s">
        <v>69</v>
      </c>
      <c r="AE32" s="167" t="s">
        <v>69</v>
      </c>
      <c r="AF32" s="167" t="s">
        <v>69</v>
      </c>
      <c r="AG32" s="167" t="s">
        <v>69</v>
      </c>
      <c r="AH32" s="167" t="s">
        <v>69</v>
      </c>
      <c r="AI32" s="167" t="s">
        <v>69</v>
      </c>
      <c r="AJ32" s="167" t="s">
        <v>69</v>
      </c>
      <c r="AK32" s="167" t="s">
        <v>69</v>
      </c>
      <c r="AL32" s="167" t="s">
        <v>69</v>
      </c>
      <c r="AM32" s="167" t="s">
        <v>69</v>
      </c>
      <c r="AN32" s="167" t="s">
        <v>69</v>
      </c>
      <c r="AO32" s="167" t="s">
        <v>69</v>
      </c>
      <c r="AP32" s="167" t="s">
        <v>69</v>
      </c>
      <c r="AQ32" s="167">
        <v>2</v>
      </c>
      <c r="AR32" s="167" t="s">
        <v>69</v>
      </c>
      <c r="AS32" s="167" t="s">
        <v>69</v>
      </c>
      <c r="AT32" s="167" t="s">
        <v>69</v>
      </c>
      <c r="AU32" s="167" t="s">
        <v>69</v>
      </c>
      <c r="AV32" s="167" t="s">
        <v>69</v>
      </c>
      <c r="AW32" s="167" t="s">
        <v>69</v>
      </c>
      <c r="AX32" s="167" t="s">
        <v>69</v>
      </c>
      <c r="AY32" s="167" t="s">
        <v>69</v>
      </c>
      <c r="AZ32" s="167" t="s">
        <v>69</v>
      </c>
      <c r="BA32" s="167" t="s">
        <v>69</v>
      </c>
      <c r="BB32" s="167" t="s">
        <v>69</v>
      </c>
      <c r="BC32" s="167" t="s">
        <v>69</v>
      </c>
      <c r="BD32" s="167">
        <v>3</v>
      </c>
      <c r="BE32" s="167">
        <v>3</v>
      </c>
      <c r="BF32" s="167">
        <v>3</v>
      </c>
      <c r="BG32" s="167" t="s">
        <v>69</v>
      </c>
      <c r="BH32" s="167">
        <v>2</v>
      </c>
      <c r="BI32" s="167">
        <v>4</v>
      </c>
      <c r="BJ32" s="167" t="s">
        <v>69</v>
      </c>
      <c r="BK32" s="167" t="s">
        <v>69</v>
      </c>
      <c r="BL32" s="167" t="s">
        <v>69</v>
      </c>
      <c r="BM32" s="167" t="s">
        <v>69</v>
      </c>
      <c r="BN32" s="167" t="s">
        <v>69</v>
      </c>
      <c r="BO32" s="167" t="s">
        <v>69</v>
      </c>
      <c r="BP32" s="167" t="s">
        <v>69</v>
      </c>
      <c r="BQ32" s="167" t="s">
        <v>69</v>
      </c>
      <c r="BR32" s="167">
        <v>4</v>
      </c>
      <c r="BS32" s="167" t="s">
        <v>69</v>
      </c>
      <c r="BT32" s="167"/>
      <c r="BU32" s="167">
        <v>4</v>
      </c>
      <c r="BV32" s="167">
        <v>4</v>
      </c>
      <c r="BW32" s="167" t="s">
        <v>69</v>
      </c>
      <c r="BX32" s="167" t="s">
        <v>69</v>
      </c>
      <c r="BY32" s="167" t="s">
        <v>69</v>
      </c>
      <c r="BZ32" s="167" t="s">
        <v>69</v>
      </c>
      <c r="CA32" s="167" t="s">
        <v>69</v>
      </c>
      <c r="CB32" s="167" t="s">
        <v>69</v>
      </c>
      <c r="CC32" s="167" t="s">
        <v>69</v>
      </c>
      <c r="CD32" s="167" t="s">
        <v>69</v>
      </c>
      <c r="CE32" s="167" t="s">
        <v>69</v>
      </c>
      <c r="CF32" s="167" t="s">
        <v>69</v>
      </c>
      <c r="CG32" s="167" t="s">
        <v>69</v>
      </c>
      <c r="CH32" s="167" t="s">
        <v>69</v>
      </c>
      <c r="CI32" s="167" t="s">
        <v>69</v>
      </c>
      <c r="CJ32" s="167" t="s">
        <v>69</v>
      </c>
      <c r="CK32" s="167" t="s">
        <v>69</v>
      </c>
      <c r="CL32" s="167" t="s">
        <v>69</v>
      </c>
      <c r="CM32" s="167">
        <v>4</v>
      </c>
      <c r="CN32" s="167">
        <v>4</v>
      </c>
      <c r="CO32" s="167">
        <v>4</v>
      </c>
      <c r="CP32" s="167">
        <v>4</v>
      </c>
      <c r="CQ32" s="167">
        <v>4</v>
      </c>
      <c r="CR32" s="167" t="s">
        <v>69</v>
      </c>
      <c r="CS32" s="167" t="s">
        <v>69</v>
      </c>
      <c r="CT32" s="167">
        <v>4</v>
      </c>
      <c r="CU32" s="167">
        <v>4</v>
      </c>
      <c r="CV32" s="167" t="s">
        <v>69</v>
      </c>
      <c r="CW32" s="167" t="s">
        <v>69</v>
      </c>
      <c r="CX32" s="167" t="s">
        <v>69</v>
      </c>
      <c r="CY32" s="167" t="s">
        <v>69</v>
      </c>
      <c r="CZ32" s="167" t="s">
        <v>69</v>
      </c>
      <c r="DA32" s="167" t="s">
        <v>69</v>
      </c>
      <c r="DB32" s="167" t="s">
        <v>69</v>
      </c>
      <c r="DC32" s="167" t="s">
        <v>69</v>
      </c>
      <c r="DD32" s="167" t="s">
        <v>69</v>
      </c>
      <c r="DE32" s="167" t="s">
        <v>69</v>
      </c>
      <c r="DF32" s="167" t="s">
        <v>69</v>
      </c>
      <c r="DG32" s="167" t="s">
        <v>69</v>
      </c>
      <c r="DH32" s="167" t="s">
        <v>69</v>
      </c>
      <c r="DI32" s="167" t="s">
        <v>69</v>
      </c>
      <c r="DJ32" s="167" t="s">
        <v>69</v>
      </c>
      <c r="DK32" s="167" t="s">
        <v>69</v>
      </c>
      <c r="DL32" s="167" t="s">
        <v>69</v>
      </c>
      <c r="DM32" s="167">
        <v>3</v>
      </c>
      <c r="DN32" s="167" t="s">
        <v>69</v>
      </c>
      <c r="DO32" s="167" t="s">
        <v>69</v>
      </c>
      <c r="DP32" s="167" t="s">
        <v>69</v>
      </c>
      <c r="DQ32" s="167" t="s">
        <v>69</v>
      </c>
      <c r="DR32" s="167" t="s">
        <v>69</v>
      </c>
      <c r="DS32" s="167" t="s">
        <v>69</v>
      </c>
      <c r="DT32" s="167" t="s">
        <v>69</v>
      </c>
      <c r="DU32" s="167">
        <v>3</v>
      </c>
      <c r="DV32" s="110">
        <f t="shared" si="0"/>
        <v>0.38709677419354838</v>
      </c>
      <c r="DW32" s="104">
        <f t="shared" si="1"/>
        <v>0.875</v>
      </c>
    </row>
    <row r="33" spans="1:127" ht="42" hidden="1" customHeight="1" thickBot="1">
      <c r="A33" s="250" t="s">
        <v>349</v>
      </c>
      <c r="B33" s="242" t="s">
        <v>350</v>
      </c>
      <c r="C33" s="208" t="s">
        <v>623</v>
      </c>
      <c r="D33" s="220" t="s">
        <v>434</v>
      </c>
      <c r="E33" s="256" t="s">
        <v>897</v>
      </c>
      <c r="F33" s="167">
        <v>4</v>
      </c>
      <c r="G33" s="167" t="s">
        <v>69</v>
      </c>
      <c r="H33" s="167" t="s">
        <v>69</v>
      </c>
      <c r="I33" s="167" t="s">
        <v>69</v>
      </c>
      <c r="J33" s="167" t="s">
        <v>69</v>
      </c>
      <c r="K33" s="167">
        <v>2</v>
      </c>
      <c r="L33" s="167" t="s">
        <v>69</v>
      </c>
      <c r="M33" s="167" t="s">
        <v>69</v>
      </c>
      <c r="N33" s="167" t="s">
        <v>69</v>
      </c>
      <c r="O33" s="167">
        <v>4</v>
      </c>
      <c r="P33" s="167" t="s">
        <v>69</v>
      </c>
      <c r="Q33" s="167">
        <v>3</v>
      </c>
      <c r="R33" s="167" t="s">
        <v>69</v>
      </c>
      <c r="S33" s="167" t="s">
        <v>69</v>
      </c>
      <c r="T33" s="167" t="s">
        <v>69</v>
      </c>
      <c r="U33" s="167" t="s">
        <v>69</v>
      </c>
      <c r="V33" s="167" t="s">
        <v>69</v>
      </c>
      <c r="W33" s="167" t="s">
        <v>69</v>
      </c>
      <c r="X33" s="167" t="s">
        <v>69</v>
      </c>
      <c r="Y33" s="167" t="s">
        <v>69</v>
      </c>
      <c r="Z33" s="167" t="s">
        <v>69</v>
      </c>
      <c r="AA33" s="167" t="s">
        <v>69</v>
      </c>
      <c r="AB33" s="167" t="s">
        <v>69</v>
      </c>
      <c r="AC33" s="167" t="s">
        <v>69</v>
      </c>
      <c r="AD33" s="167" t="s">
        <v>69</v>
      </c>
      <c r="AE33" s="167" t="s">
        <v>69</v>
      </c>
      <c r="AF33" s="167" t="s">
        <v>69</v>
      </c>
      <c r="AG33" s="167" t="s">
        <v>69</v>
      </c>
      <c r="AH33" s="167" t="s">
        <v>69</v>
      </c>
      <c r="AI33" s="167" t="s">
        <v>69</v>
      </c>
      <c r="AJ33" s="167" t="s">
        <v>69</v>
      </c>
      <c r="AK33" s="167" t="s">
        <v>69</v>
      </c>
      <c r="AL33" s="167" t="s">
        <v>69</v>
      </c>
      <c r="AM33" s="167" t="s">
        <v>69</v>
      </c>
      <c r="AN33" s="167" t="s">
        <v>69</v>
      </c>
      <c r="AO33" s="167" t="s">
        <v>69</v>
      </c>
      <c r="AP33" s="167" t="s">
        <v>69</v>
      </c>
      <c r="AQ33" s="167" t="s">
        <v>69</v>
      </c>
      <c r="AR33" s="167">
        <v>4</v>
      </c>
      <c r="AS33" s="167">
        <v>4</v>
      </c>
      <c r="AT33" s="167" t="s">
        <v>69</v>
      </c>
      <c r="AU33" s="167">
        <v>3</v>
      </c>
      <c r="AV33" s="167">
        <v>3</v>
      </c>
      <c r="AW33" s="167" t="s">
        <v>69</v>
      </c>
      <c r="AX33" s="167">
        <v>4</v>
      </c>
      <c r="AY33" s="167">
        <v>4</v>
      </c>
      <c r="AZ33" s="167" t="s">
        <v>69</v>
      </c>
      <c r="BA33" s="167" t="s">
        <v>69</v>
      </c>
      <c r="BB33" s="167">
        <v>4</v>
      </c>
      <c r="BC33" s="167" t="s">
        <v>69</v>
      </c>
      <c r="BD33" s="167">
        <v>3</v>
      </c>
      <c r="BE33" s="167">
        <v>4</v>
      </c>
      <c r="BF33" s="167" t="s">
        <v>69</v>
      </c>
      <c r="BG33" s="167" t="s">
        <v>69</v>
      </c>
      <c r="BH33" s="167" t="s">
        <v>69</v>
      </c>
      <c r="BI33" s="167" t="s">
        <v>69</v>
      </c>
      <c r="BJ33" s="167" t="s">
        <v>69</v>
      </c>
      <c r="BK33" s="167" t="s">
        <v>69</v>
      </c>
      <c r="BL33" s="167" t="s">
        <v>69</v>
      </c>
      <c r="BM33" s="167" t="s">
        <v>69</v>
      </c>
      <c r="BN33" s="167" t="s">
        <v>69</v>
      </c>
      <c r="BO33" s="167" t="s">
        <v>69</v>
      </c>
      <c r="BP33" s="167" t="s">
        <v>69</v>
      </c>
      <c r="BQ33" s="167" t="s">
        <v>69</v>
      </c>
      <c r="BR33" s="167">
        <v>4</v>
      </c>
      <c r="BS33" s="167" t="s">
        <v>69</v>
      </c>
      <c r="BT33" s="167" t="s">
        <v>69</v>
      </c>
      <c r="BU33" s="167" t="s">
        <v>69</v>
      </c>
      <c r="BV33" s="167" t="s">
        <v>69</v>
      </c>
      <c r="BW33" s="167" t="s">
        <v>69</v>
      </c>
      <c r="BX33" s="167" t="s">
        <v>69</v>
      </c>
      <c r="BY33" s="167" t="s">
        <v>69</v>
      </c>
      <c r="BZ33" s="167" t="s">
        <v>69</v>
      </c>
      <c r="CA33" s="167" t="s">
        <v>69</v>
      </c>
      <c r="CB33" s="167" t="s">
        <v>69</v>
      </c>
      <c r="CC33" s="167" t="s">
        <v>69</v>
      </c>
      <c r="CD33" s="167" t="s">
        <v>69</v>
      </c>
      <c r="CE33" s="167" t="s">
        <v>69</v>
      </c>
      <c r="CF33" s="167" t="s">
        <v>69</v>
      </c>
      <c r="CG33" s="167" t="s">
        <v>69</v>
      </c>
      <c r="CH33" s="167" t="s">
        <v>69</v>
      </c>
      <c r="CI33" s="167" t="s">
        <v>69</v>
      </c>
      <c r="CJ33" s="167" t="s">
        <v>69</v>
      </c>
      <c r="CK33" s="167" t="s">
        <v>69</v>
      </c>
      <c r="CL33" s="167" t="s">
        <v>69</v>
      </c>
      <c r="CM33" s="167">
        <v>4</v>
      </c>
      <c r="CN33" s="167">
        <v>4</v>
      </c>
      <c r="CO33" s="167">
        <v>4</v>
      </c>
      <c r="CP33" s="167">
        <v>4</v>
      </c>
      <c r="CQ33" s="167">
        <v>4</v>
      </c>
      <c r="CR33" s="167">
        <v>4</v>
      </c>
      <c r="CS33" s="167">
        <v>3</v>
      </c>
      <c r="CT33" s="167" t="s">
        <v>69</v>
      </c>
      <c r="CU33" s="167" t="s">
        <v>69</v>
      </c>
      <c r="CV33" s="167" t="s">
        <v>69</v>
      </c>
      <c r="CW33" s="167" t="s">
        <v>69</v>
      </c>
      <c r="CX33" s="167" t="s">
        <v>69</v>
      </c>
      <c r="CY33" s="167" t="s">
        <v>69</v>
      </c>
      <c r="CZ33" s="167" t="s">
        <v>69</v>
      </c>
      <c r="DA33" s="167" t="s">
        <v>69</v>
      </c>
      <c r="DB33" s="167" t="s">
        <v>69</v>
      </c>
      <c r="DC33" s="167">
        <v>2</v>
      </c>
      <c r="DD33" s="167" t="s">
        <v>69</v>
      </c>
      <c r="DE33" s="167" t="s">
        <v>69</v>
      </c>
      <c r="DF33" s="167">
        <v>2</v>
      </c>
      <c r="DG33" s="167" t="s">
        <v>69</v>
      </c>
      <c r="DH33" s="167" t="s">
        <v>69</v>
      </c>
      <c r="DI33" s="167" t="s">
        <v>69</v>
      </c>
      <c r="DJ33" s="167" t="s">
        <v>69</v>
      </c>
      <c r="DK33" s="167">
        <v>3</v>
      </c>
      <c r="DL33" s="167">
        <v>3</v>
      </c>
      <c r="DM33" s="167" t="s">
        <v>69</v>
      </c>
      <c r="DN33" s="167" t="s">
        <v>69</v>
      </c>
      <c r="DO33" s="167" t="s">
        <v>69</v>
      </c>
      <c r="DP33" s="167" t="s">
        <v>69</v>
      </c>
      <c r="DQ33" s="167" t="s">
        <v>69</v>
      </c>
      <c r="DR33" s="167" t="s">
        <v>69</v>
      </c>
      <c r="DS33" s="167" t="s">
        <v>69</v>
      </c>
      <c r="DT33" s="167" t="s">
        <v>69</v>
      </c>
      <c r="DU33" s="167">
        <v>3</v>
      </c>
      <c r="DV33" s="110">
        <f t="shared" si="0"/>
        <v>0.41935483870967744</v>
      </c>
      <c r="DW33" s="104">
        <f t="shared" si="1"/>
        <v>0.88461538461538458</v>
      </c>
    </row>
    <row r="34" spans="1:127" ht="42" hidden="1" customHeight="1" thickBot="1">
      <c r="A34" s="250" t="s">
        <v>353</v>
      </c>
      <c r="B34" s="242" t="s">
        <v>354</v>
      </c>
      <c r="C34" s="208">
        <v>42771</v>
      </c>
      <c r="D34" s="220" t="s">
        <v>434</v>
      </c>
      <c r="E34" s="256" t="s">
        <v>897</v>
      </c>
      <c r="F34" s="167">
        <v>4</v>
      </c>
      <c r="G34" s="167" t="s">
        <v>69</v>
      </c>
      <c r="H34" s="167" t="s">
        <v>69</v>
      </c>
      <c r="I34" s="167" t="s">
        <v>69</v>
      </c>
      <c r="J34" s="167" t="s">
        <v>69</v>
      </c>
      <c r="K34" s="167" t="s">
        <v>69</v>
      </c>
      <c r="L34" s="167" t="s">
        <v>69</v>
      </c>
      <c r="M34" s="167" t="s">
        <v>69</v>
      </c>
      <c r="N34" s="167" t="s">
        <v>69</v>
      </c>
      <c r="O34" s="167" t="s">
        <v>69</v>
      </c>
      <c r="P34" s="167" t="s">
        <v>69</v>
      </c>
      <c r="Q34" s="167" t="s">
        <v>69</v>
      </c>
      <c r="R34" s="167" t="s">
        <v>69</v>
      </c>
      <c r="S34" s="167" t="s">
        <v>69</v>
      </c>
      <c r="T34" s="167" t="s">
        <v>69</v>
      </c>
      <c r="U34" s="167" t="s">
        <v>69</v>
      </c>
      <c r="V34" s="167" t="s">
        <v>69</v>
      </c>
      <c r="W34" s="167" t="s">
        <v>69</v>
      </c>
      <c r="X34" s="167" t="s">
        <v>69</v>
      </c>
      <c r="Y34" s="167" t="s">
        <v>69</v>
      </c>
      <c r="Z34" s="167" t="s">
        <v>69</v>
      </c>
      <c r="AA34" s="167">
        <v>4</v>
      </c>
      <c r="AB34" s="167">
        <v>4</v>
      </c>
      <c r="AC34" s="167" t="s">
        <v>69</v>
      </c>
      <c r="AD34" s="167" t="s">
        <v>69</v>
      </c>
      <c r="AE34" s="167" t="s">
        <v>69</v>
      </c>
      <c r="AF34" s="167">
        <v>3</v>
      </c>
      <c r="AG34" s="167" t="s">
        <v>69</v>
      </c>
      <c r="AH34" s="167" t="s">
        <v>69</v>
      </c>
      <c r="AI34" s="167" t="s">
        <v>69</v>
      </c>
      <c r="AJ34" s="167" t="s">
        <v>69</v>
      </c>
      <c r="AK34" s="167" t="s">
        <v>69</v>
      </c>
      <c r="AL34" s="167" t="s">
        <v>69</v>
      </c>
      <c r="AM34" s="167" t="s">
        <v>69</v>
      </c>
      <c r="AN34" s="167">
        <v>3</v>
      </c>
      <c r="AO34" s="167" t="s">
        <v>69</v>
      </c>
      <c r="AP34" s="167" t="s">
        <v>69</v>
      </c>
      <c r="AQ34" s="167" t="s">
        <v>69</v>
      </c>
      <c r="AR34" s="167" t="s">
        <v>69</v>
      </c>
      <c r="AS34" s="167" t="s">
        <v>69</v>
      </c>
      <c r="AT34" s="167" t="s">
        <v>69</v>
      </c>
      <c r="AU34" s="167" t="s">
        <v>69</v>
      </c>
      <c r="AV34" s="167" t="s">
        <v>69</v>
      </c>
      <c r="AW34" s="167" t="s">
        <v>69</v>
      </c>
      <c r="AX34" s="167" t="s">
        <v>69</v>
      </c>
      <c r="AY34" s="167" t="s">
        <v>69</v>
      </c>
      <c r="AZ34" s="167" t="s">
        <v>69</v>
      </c>
      <c r="BA34" s="167" t="s">
        <v>69</v>
      </c>
      <c r="BB34" s="167" t="s">
        <v>69</v>
      </c>
      <c r="BC34" s="167" t="s">
        <v>69</v>
      </c>
      <c r="BD34" s="167">
        <v>2</v>
      </c>
      <c r="BE34" s="167">
        <v>4</v>
      </c>
      <c r="BF34" s="167"/>
      <c r="BG34" s="167">
        <v>4</v>
      </c>
      <c r="BH34" s="167">
        <v>4</v>
      </c>
      <c r="BI34" s="167" t="s">
        <v>69</v>
      </c>
      <c r="BJ34" s="167" t="s">
        <v>69</v>
      </c>
      <c r="BK34" s="167" t="s">
        <v>69</v>
      </c>
      <c r="BL34" s="167" t="s">
        <v>69</v>
      </c>
      <c r="BM34" s="167" t="s">
        <v>69</v>
      </c>
      <c r="BN34" s="167" t="s">
        <v>69</v>
      </c>
      <c r="BO34" s="167" t="s">
        <v>69</v>
      </c>
      <c r="BP34" s="167" t="s">
        <v>69</v>
      </c>
      <c r="BQ34" s="167" t="s">
        <v>69</v>
      </c>
      <c r="BR34" s="167">
        <v>4</v>
      </c>
      <c r="BS34" s="167" t="s">
        <v>69</v>
      </c>
      <c r="BT34" s="167" t="s">
        <v>69</v>
      </c>
      <c r="BU34" s="167" t="s">
        <v>69</v>
      </c>
      <c r="BV34" s="167" t="s">
        <v>69</v>
      </c>
      <c r="BW34" s="167" t="s">
        <v>69</v>
      </c>
      <c r="BX34" s="167" t="s">
        <v>69</v>
      </c>
      <c r="BY34" s="167" t="s">
        <v>69</v>
      </c>
      <c r="BZ34" s="167" t="s">
        <v>69</v>
      </c>
      <c r="CA34" s="167" t="s">
        <v>69</v>
      </c>
      <c r="CB34" s="167" t="s">
        <v>69</v>
      </c>
      <c r="CC34" s="167" t="s">
        <v>69</v>
      </c>
      <c r="CD34" s="167" t="s">
        <v>69</v>
      </c>
      <c r="CE34" s="167" t="s">
        <v>69</v>
      </c>
      <c r="CF34" s="167" t="s">
        <v>69</v>
      </c>
      <c r="CG34" s="167">
        <v>4</v>
      </c>
      <c r="CH34" s="167" t="s">
        <v>69</v>
      </c>
      <c r="CI34" s="167" t="s">
        <v>69</v>
      </c>
      <c r="CJ34" s="167" t="s">
        <v>69</v>
      </c>
      <c r="CK34" s="167" t="s">
        <v>69</v>
      </c>
      <c r="CL34" s="167" t="s">
        <v>69</v>
      </c>
      <c r="CM34" s="167">
        <v>4</v>
      </c>
      <c r="CN34" s="167">
        <v>4</v>
      </c>
      <c r="CO34" s="167">
        <v>4</v>
      </c>
      <c r="CP34" s="167">
        <v>4</v>
      </c>
      <c r="CQ34" s="167">
        <v>4</v>
      </c>
      <c r="CR34" s="167">
        <v>4</v>
      </c>
      <c r="CS34" s="167">
        <v>3</v>
      </c>
      <c r="CT34" s="167" t="s">
        <v>69</v>
      </c>
      <c r="CU34" s="167">
        <v>4</v>
      </c>
      <c r="CV34" s="167" t="s">
        <v>69</v>
      </c>
      <c r="CW34" s="167" t="s">
        <v>69</v>
      </c>
      <c r="CX34" s="167">
        <v>3</v>
      </c>
      <c r="CY34" s="167" t="s">
        <v>69</v>
      </c>
      <c r="CZ34" s="167">
        <v>2</v>
      </c>
      <c r="DA34" s="167">
        <v>3</v>
      </c>
      <c r="DB34" s="167" t="s">
        <v>69</v>
      </c>
      <c r="DC34" s="167">
        <v>3</v>
      </c>
      <c r="DD34" s="167" t="s">
        <v>69</v>
      </c>
      <c r="DE34" s="167" t="s">
        <v>69</v>
      </c>
      <c r="DF34" s="167" t="s">
        <v>69</v>
      </c>
      <c r="DG34" s="167" t="s">
        <v>69</v>
      </c>
      <c r="DH34" s="167" t="s">
        <v>69</v>
      </c>
      <c r="DI34" s="167" t="s">
        <v>69</v>
      </c>
      <c r="DJ34" s="167" t="s">
        <v>69</v>
      </c>
      <c r="DK34" s="167">
        <v>3</v>
      </c>
      <c r="DL34" s="167" t="s">
        <v>69</v>
      </c>
      <c r="DM34" s="167" t="s">
        <v>69</v>
      </c>
      <c r="DN34" s="167" t="s">
        <v>69</v>
      </c>
      <c r="DO34" s="167" t="s">
        <v>69</v>
      </c>
      <c r="DP34" s="167" t="s">
        <v>69</v>
      </c>
      <c r="DQ34" s="167" t="s">
        <v>69</v>
      </c>
      <c r="DR34" s="167" t="s">
        <v>69</v>
      </c>
      <c r="DS34" s="167" t="s">
        <v>69</v>
      </c>
      <c r="DT34" s="167" t="s">
        <v>69</v>
      </c>
      <c r="DU34" s="167">
        <v>3</v>
      </c>
      <c r="DV34" s="110">
        <f t="shared" si="0"/>
        <v>0.40322580645161288</v>
      </c>
      <c r="DW34" s="104">
        <f t="shared" si="1"/>
        <v>0.92</v>
      </c>
    </row>
    <row r="35" spans="1:127" ht="42" hidden="1" customHeight="1" thickBot="1">
      <c r="A35" s="250" t="s">
        <v>355</v>
      </c>
      <c r="B35" s="242" t="s">
        <v>356</v>
      </c>
      <c r="C35" s="208">
        <v>44846</v>
      </c>
      <c r="D35" s="220" t="s">
        <v>434</v>
      </c>
      <c r="E35" s="256" t="s">
        <v>897</v>
      </c>
      <c r="F35" s="167" t="s">
        <v>69</v>
      </c>
      <c r="G35" s="167" t="s">
        <v>69</v>
      </c>
      <c r="H35" s="167" t="s">
        <v>69</v>
      </c>
      <c r="I35" s="167" t="s">
        <v>69</v>
      </c>
      <c r="J35" s="167" t="s">
        <v>69</v>
      </c>
      <c r="K35" s="167" t="s">
        <v>69</v>
      </c>
      <c r="L35" s="167" t="s">
        <v>69</v>
      </c>
      <c r="M35" s="167" t="s">
        <v>69</v>
      </c>
      <c r="N35" s="167" t="s">
        <v>69</v>
      </c>
      <c r="O35" s="167" t="s">
        <v>69</v>
      </c>
      <c r="P35" s="167" t="s">
        <v>69</v>
      </c>
      <c r="Q35" s="167" t="s">
        <v>69</v>
      </c>
      <c r="R35" s="167" t="s">
        <v>69</v>
      </c>
      <c r="S35" s="167" t="s">
        <v>69</v>
      </c>
      <c r="T35" s="167" t="s">
        <v>69</v>
      </c>
      <c r="U35" s="167" t="s">
        <v>69</v>
      </c>
      <c r="V35" s="167" t="s">
        <v>69</v>
      </c>
      <c r="W35" s="167" t="s">
        <v>69</v>
      </c>
      <c r="X35" s="167" t="s">
        <v>69</v>
      </c>
      <c r="Y35" s="167" t="s">
        <v>69</v>
      </c>
      <c r="Z35" s="167" t="s">
        <v>69</v>
      </c>
      <c r="AA35" s="167" t="s">
        <v>69</v>
      </c>
      <c r="AB35" s="167" t="s">
        <v>69</v>
      </c>
      <c r="AC35" s="167" t="s">
        <v>69</v>
      </c>
      <c r="AD35" s="167" t="s">
        <v>69</v>
      </c>
      <c r="AE35" s="167" t="s">
        <v>69</v>
      </c>
      <c r="AF35" s="167" t="s">
        <v>69</v>
      </c>
      <c r="AG35" s="167" t="s">
        <v>69</v>
      </c>
      <c r="AH35" s="167" t="s">
        <v>69</v>
      </c>
      <c r="AI35" s="167" t="s">
        <v>69</v>
      </c>
      <c r="AJ35" s="167" t="s">
        <v>69</v>
      </c>
      <c r="AK35" s="167" t="s">
        <v>69</v>
      </c>
      <c r="AL35" s="167" t="s">
        <v>69</v>
      </c>
      <c r="AM35" s="167" t="s">
        <v>69</v>
      </c>
      <c r="AN35" s="167" t="s">
        <v>69</v>
      </c>
      <c r="AO35" s="167" t="s">
        <v>69</v>
      </c>
      <c r="AP35" s="167" t="s">
        <v>69</v>
      </c>
      <c r="AQ35" s="167" t="s">
        <v>69</v>
      </c>
      <c r="AR35" s="167" t="s">
        <v>69</v>
      </c>
      <c r="AS35" s="167" t="s">
        <v>69</v>
      </c>
      <c r="AT35" s="167" t="s">
        <v>69</v>
      </c>
      <c r="AU35" s="167" t="s">
        <v>69</v>
      </c>
      <c r="AV35" s="167" t="s">
        <v>69</v>
      </c>
      <c r="AW35" s="167" t="s">
        <v>69</v>
      </c>
      <c r="AX35" s="167" t="s">
        <v>69</v>
      </c>
      <c r="AY35" s="167" t="s">
        <v>69</v>
      </c>
      <c r="AZ35" s="167" t="s">
        <v>69</v>
      </c>
      <c r="BA35" s="167" t="s">
        <v>69</v>
      </c>
      <c r="BB35" s="167" t="s">
        <v>69</v>
      </c>
      <c r="BC35" s="167" t="s">
        <v>69</v>
      </c>
      <c r="BD35" s="167" t="s">
        <v>69</v>
      </c>
      <c r="BE35" s="167" t="s">
        <v>69</v>
      </c>
      <c r="BF35" s="167">
        <v>4</v>
      </c>
      <c r="BG35" s="167" t="s">
        <v>69</v>
      </c>
      <c r="BH35" s="167" t="s">
        <v>69</v>
      </c>
      <c r="BI35" s="167" t="s">
        <v>69</v>
      </c>
      <c r="BJ35" s="167" t="s">
        <v>69</v>
      </c>
      <c r="BK35" s="167" t="s">
        <v>69</v>
      </c>
      <c r="BL35" s="167" t="s">
        <v>69</v>
      </c>
      <c r="BM35" s="167" t="s">
        <v>69</v>
      </c>
      <c r="BN35" s="167" t="s">
        <v>69</v>
      </c>
      <c r="BO35" s="167" t="s">
        <v>69</v>
      </c>
      <c r="BP35" s="167" t="s">
        <v>69</v>
      </c>
      <c r="BQ35" s="167" t="s">
        <v>69</v>
      </c>
      <c r="BR35" s="167" t="s">
        <v>69</v>
      </c>
      <c r="BS35" s="167" t="s">
        <v>69</v>
      </c>
      <c r="BT35" s="167" t="s">
        <v>69</v>
      </c>
      <c r="BU35" s="167" t="s">
        <v>69</v>
      </c>
      <c r="BV35" s="167" t="s">
        <v>69</v>
      </c>
      <c r="BW35" s="167" t="s">
        <v>69</v>
      </c>
      <c r="BX35" s="167" t="s">
        <v>69</v>
      </c>
      <c r="BY35" s="167" t="s">
        <v>69</v>
      </c>
      <c r="BZ35" s="167" t="s">
        <v>69</v>
      </c>
      <c r="CA35" s="167" t="s">
        <v>69</v>
      </c>
      <c r="CB35" s="167" t="s">
        <v>69</v>
      </c>
      <c r="CC35" s="167" t="s">
        <v>69</v>
      </c>
      <c r="CD35" s="167" t="s">
        <v>69</v>
      </c>
      <c r="CE35" s="167" t="s">
        <v>69</v>
      </c>
      <c r="CF35" s="167" t="s">
        <v>69</v>
      </c>
      <c r="CG35" s="167" t="s">
        <v>69</v>
      </c>
      <c r="CH35" s="167" t="s">
        <v>69</v>
      </c>
      <c r="CI35" s="167" t="s">
        <v>69</v>
      </c>
      <c r="CJ35" s="167" t="s">
        <v>69</v>
      </c>
      <c r="CK35" s="167" t="s">
        <v>69</v>
      </c>
      <c r="CL35" s="167" t="s">
        <v>69</v>
      </c>
      <c r="CM35" s="167">
        <v>4</v>
      </c>
      <c r="CN35" s="167">
        <v>4</v>
      </c>
      <c r="CO35" s="167">
        <v>4</v>
      </c>
      <c r="CP35" s="167">
        <v>4</v>
      </c>
      <c r="CQ35" s="167">
        <v>4</v>
      </c>
      <c r="CR35" s="167" t="s">
        <v>69</v>
      </c>
      <c r="CS35" s="167">
        <v>4</v>
      </c>
      <c r="CT35" s="167" t="s">
        <v>69</v>
      </c>
      <c r="CU35" s="167">
        <v>4</v>
      </c>
      <c r="CV35" s="167" t="s">
        <v>69</v>
      </c>
      <c r="CW35" s="167" t="s">
        <v>69</v>
      </c>
      <c r="CX35" s="167">
        <v>3</v>
      </c>
      <c r="CY35" s="167" t="s">
        <v>69</v>
      </c>
      <c r="CZ35" s="167" t="s">
        <v>69</v>
      </c>
      <c r="DA35" s="167" t="s">
        <v>69</v>
      </c>
      <c r="DB35" s="167">
        <v>3</v>
      </c>
      <c r="DC35" s="167" t="s">
        <v>69</v>
      </c>
      <c r="DD35" s="167" t="s">
        <v>69</v>
      </c>
      <c r="DE35" s="167" t="s">
        <v>69</v>
      </c>
      <c r="DF35" s="167" t="s">
        <v>69</v>
      </c>
      <c r="DG35" s="167" t="s">
        <v>69</v>
      </c>
      <c r="DH35" s="167" t="s">
        <v>69</v>
      </c>
      <c r="DI35" s="167" t="s">
        <v>69</v>
      </c>
      <c r="DJ35" s="167" t="s">
        <v>69</v>
      </c>
      <c r="DK35" s="167" t="s">
        <v>69</v>
      </c>
      <c r="DL35" s="167" t="s">
        <v>69</v>
      </c>
      <c r="DM35" s="167" t="s">
        <v>69</v>
      </c>
      <c r="DN35" s="167" t="s">
        <v>69</v>
      </c>
      <c r="DO35" s="167" t="s">
        <v>69</v>
      </c>
      <c r="DP35" s="167" t="s">
        <v>69</v>
      </c>
      <c r="DQ35" s="167" t="s">
        <v>69</v>
      </c>
      <c r="DR35" s="167" t="s">
        <v>69</v>
      </c>
      <c r="DS35" s="167" t="s">
        <v>69</v>
      </c>
      <c r="DT35" s="167" t="s">
        <v>69</v>
      </c>
      <c r="DU35" s="167">
        <v>3</v>
      </c>
      <c r="DV35" s="110">
        <f t="shared" si="0"/>
        <v>0.17741935483870969</v>
      </c>
      <c r="DW35" s="104">
        <f t="shared" si="1"/>
        <v>1</v>
      </c>
    </row>
    <row r="36" spans="1:127" ht="42" hidden="1" customHeight="1" thickBot="1">
      <c r="A36" s="250" t="s">
        <v>375</v>
      </c>
      <c r="B36" s="242" t="s">
        <v>822</v>
      </c>
      <c r="C36" s="208">
        <v>45265</v>
      </c>
      <c r="D36" s="220" t="s">
        <v>434</v>
      </c>
      <c r="E36" s="256" t="s">
        <v>897</v>
      </c>
      <c r="F36" s="167">
        <v>4</v>
      </c>
      <c r="G36" s="167" t="s">
        <v>69</v>
      </c>
      <c r="H36" s="167">
        <v>4</v>
      </c>
      <c r="I36" s="167" t="s">
        <v>69</v>
      </c>
      <c r="J36" s="167" t="s">
        <v>69</v>
      </c>
      <c r="K36" s="167">
        <v>2</v>
      </c>
      <c r="L36" s="167" t="s">
        <v>69</v>
      </c>
      <c r="M36" s="167" t="s">
        <v>69</v>
      </c>
      <c r="N36" s="167" t="s">
        <v>69</v>
      </c>
      <c r="O36" s="167">
        <v>4</v>
      </c>
      <c r="P36" s="167" t="s">
        <v>69</v>
      </c>
      <c r="Q36" s="167" t="s">
        <v>69</v>
      </c>
      <c r="R36" s="167" t="s">
        <v>69</v>
      </c>
      <c r="S36" s="167" t="s">
        <v>69</v>
      </c>
      <c r="T36" s="167" t="s">
        <v>69</v>
      </c>
      <c r="U36" s="167" t="s">
        <v>69</v>
      </c>
      <c r="V36" s="167" t="s">
        <v>69</v>
      </c>
      <c r="W36" s="167" t="s">
        <v>69</v>
      </c>
      <c r="X36" s="167" t="s">
        <v>69</v>
      </c>
      <c r="Y36" s="167" t="s">
        <v>69</v>
      </c>
      <c r="Z36" s="167" t="s">
        <v>69</v>
      </c>
      <c r="AA36" s="167" t="s">
        <v>69</v>
      </c>
      <c r="AB36" s="167" t="s">
        <v>69</v>
      </c>
      <c r="AC36" s="167" t="s">
        <v>69</v>
      </c>
      <c r="AD36" s="167" t="s">
        <v>69</v>
      </c>
      <c r="AE36" s="167" t="s">
        <v>69</v>
      </c>
      <c r="AF36" s="167" t="s">
        <v>69</v>
      </c>
      <c r="AG36" s="167" t="s">
        <v>69</v>
      </c>
      <c r="AH36" s="167" t="s">
        <v>69</v>
      </c>
      <c r="AI36" s="167" t="s">
        <v>69</v>
      </c>
      <c r="AJ36" s="167" t="s">
        <v>69</v>
      </c>
      <c r="AK36" s="167" t="s">
        <v>69</v>
      </c>
      <c r="AL36" s="167" t="s">
        <v>69</v>
      </c>
      <c r="AM36" s="167" t="s">
        <v>69</v>
      </c>
      <c r="AN36" s="167" t="s">
        <v>69</v>
      </c>
      <c r="AO36" s="167" t="s">
        <v>69</v>
      </c>
      <c r="AP36" s="167" t="s">
        <v>69</v>
      </c>
      <c r="AQ36" s="167" t="s">
        <v>69</v>
      </c>
      <c r="AR36" s="167">
        <v>4</v>
      </c>
      <c r="AS36" s="167" t="s">
        <v>69</v>
      </c>
      <c r="AT36" s="167" t="s">
        <v>69</v>
      </c>
      <c r="AU36" s="167">
        <v>3</v>
      </c>
      <c r="AV36" s="167" t="s">
        <v>69</v>
      </c>
      <c r="AW36" s="167" t="s">
        <v>69</v>
      </c>
      <c r="AX36" s="167">
        <v>4</v>
      </c>
      <c r="AY36" s="167" t="s">
        <v>69</v>
      </c>
      <c r="AZ36" s="167" t="s">
        <v>69</v>
      </c>
      <c r="BA36" s="167" t="s">
        <v>69</v>
      </c>
      <c r="BB36" s="167" t="s">
        <v>69</v>
      </c>
      <c r="BC36" s="167" t="s">
        <v>69</v>
      </c>
      <c r="BD36" s="167">
        <v>3</v>
      </c>
      <c r="BE36" s="167">
        <v>3</v>
      </c>
      <c r="BF36" s="167" t="s">
        <v>69</v>
      </c>
      <c r="BG36" s="167" t="s">
        <v>69</v>
      </c>
      <c r="BH36" s="167" t="s">
        <v>69</v>
      </c>
      <c r="BI36" s="167" t="s">
        <v>69</v>
      </c>
      <c r="BJ36" s="167">
        <v>3</v>
      </c>
      <c r="BK36" s="167" t="s">
        <v>69</v>
      </c>
      <c r="BL36" s="167" t="s">
        <v>69</v>
      </c>
      <c r="BM36" s="167" t="s">
        <v>69</v>
      </c>
      <c r="BN36" s="167" t="s">
        <v>69</v>
      </c>
      <c r="BO36" s="167" t="s">
        <v>69</v>
      </c>
      <c r="BP36" s="167" t="s">
        <v>69</v>
      </c>
      <c r="BQ36" s="167" t="s">
        <v>69</v>
      </c>
      <c r="BR36" s="167">
        <v>4</v>
      </c>
      <c r="BS36" s="167" t="s">
        <v>69</v>
      </c>
      <c r="BT36" s="167" t="s">
        <v>69</v>
      </c>
      <c r="BU36" s="167" t="s">
        <v>69</v>
      </c>
      <c r="BV36" s="167" t="s">
        <v>69</v>
      </c>
      <c r="BW36" s="167" t="s">
        <v>69</v>
      </c>
      <c r="BX36" s="167" t="s">
        <v>69</v>
      </c>
      <c r="BY36" s="167">
        <v>3</v>
      </c>
      <c r="BZ36" s="167" t="s">
        <v>69</v>
      </c>
      <c r="CA36" s="167" t="s">
        <v>69</v>
      </c>
      <c r="CB36" s="167" t="s">
        <v>69</v>
      </c>
      <c r="CC36" s="167" t="s">
        <v>69</v>
      </c>
      <c r="CD36" s="167" t="s">
        <v>69</v>
      </c>
      <c r="CE36" s="167" t="s">
        <v>69</v>
      </c>
      <c r="CF36" s="167" t="s">
        <v>69</v>
      </c>
      <c r="CG36" s="167">
        <v>3</v>
      </c>
      <c r="CH36" s="167" t="s">
        <v>69</v>
      </c>
      <c r="CI36" s="167" t="s">
        <v>69</v>
      </c>
      <c r="CJ36" s="167" t="s">
        <v>69</v>
      </c>
      <c r="CK36" s="167" t="s">
        <v>69</v>
      </c>
      <c r="CL36" s="167" t="s">
        <v>69</v>
      </c>
      <c r="CM36" s="167" t="s">
        <v>69</v>
      </c>
      <c r="CN36" s="167" t="s">
        <v>69</v>
      </c>
      <c r="CO36" s="167" t="s">
        <v>69</v>
      </c>
      <c r="CP36" s="167">
        <v>4</v>
      </c>
      <c r="CQ36" s="167" t="s">
        <v>69</v>
      </c>
      <c r="CR36" s="167" t="s">
        <v>69</v>
      </c>
      <c r="CS36" s="167" t="s">
        <v>69</v>
      </c>
      <c r="CT36" s="167">
        <v>3</v>
      </c>
      <c r="CU36" s="167" t="s">
        <v>69</v>
      </c>
      <c r="CV36" s="167" t="s">
        <v>69</v>
      </c>
      <c r="CW36" s="167" t="s">
        <v>69</v>
      </c>
      <c r="CX36" s="167">
        <v>3</v>
      </c>
      <c r="CY36" s="167" t="s">
        <v>69</v>
      </c>
      <c r="CZ36" s="167" t="s">
        <v>69</v>
      </c>
      <c r="DA36" s="167" t="s">
        <v>69</v>
      </c>
      <c r="DB36" s="167" t="s">
        <v>69</v>
      </c>
      <c r="DC36" s="167" t="s">
        <v>69</v>
      </c>
      <c r="DD36" s="167" t="s">
        <v>69</v>
      </c>
      <c r="DE36" s="167" t="s">
        <v>69</v>
      </c>
      <c r="DF36" s="167" t="s">
        <v>69</v>
      </c>
      <c r="DG36" s="167" t="s">
        <v>69</v>
      </c>
      <c r="DH36" s="167" t="s">
        <v>69</v>
      </c>
      <c r="DI36" s="167" t="s">
        <v>69</v>
      </c>
      <c r="DJ36" s="167">
        <v>3</v>
      </c>
      <c r="DK36" s="167">
        <v>4</v>
      </c>
      <c r="DL36" s="167" t="s">
        <v>69</v>
      </c>
      <c r="DM36" s="167" t="s">
        <v>69</v>
      </c>
      <c r="DN36" s="167" t="s">
        <v>69</v>
      </c>
      <c r="DO36" s="167" t="s">
        <v>69</v>
      </c>
      <c r="DP36" s="167" t="s">
        <v>69</v>
      </c>
      <c r="DQ36" s="167" t="s">
        <v>69</v>
      </c>
      <c r="DR36" s="167" t="s">
        <v>69</v>
      </c>
      <c r="DS36" s="167" t="s">
        <v>69</v>
      </c>
      <c r="DT36" s="167" t="s">
        <v>69</v>
      </c>
      <c r="DU36" s="167">
        <v>3</v>
      </c>
      <c r="DV36" s="110">
        <f t="shared" si="0"/>
        <v>0.30645161290322581</v>
      </c>
      <c r="DW36" s="104">
        <f t="shared" si="1"/>
        <v>0.94736842105263153</v>
      </c>
    </row>
    <row r="37" spans="1:127" ht="42" hidden="1" customHeight="1" thickBot="1">
      <c r="A37" s="250" t="s">
        <v>393</v>
      </c>
      <c r="B37" s="242" t="s">
        <v>394</v>
      </c>
      <c r="C37" s="208">
        <v>45177</v>
      </c>
      <c r="D37" s="220" t="s">
        <v>434</v>
      </c>
      <c r="E37" s="256" t="s">
        <v>897</v>
      </c>
      <c r="F37" s="167" t="s">
        <v>69</v>
      </c>
      <c r="G37" s="167" t="s">
        <v>69</v>
      </c>
      <c r="H37" s="167" t="s">
        <v>69</v>
      </c>
      <c r="I37" s="167" t="s">
        <v>69</v>
      </c>
      <c r="J37" s="167" t="s">
        <v>69</v>
      </c>
      <c r="K37" s="167" t="s">
        <v>69</v>
      </c>
      <c r="L37" s="167" t="s">
        <v>69</v>
      </c>
      <c r="M37" s="167" t="s">
        <v>69</v>
      </c>
      <c r="N37" s="167" t="s">
        <v>69</v>
      </c>
      <c r="O37" s="167">
        <v>2</v>
      </c>
      <c r="P37" s="167" t="s">
        <v>69</v>
      </c>
      <c r="Q37" s="167" t="s">
        <v>69</v>
      </c>
      <c r="R37" s="167" t="s">
        <v>69</v>
      </c>
      <c r="S37" s="167" t="s">
        <v>69</v>
      </c>
      <c r="T37" s="167" t="s">
        <v>69</v>
      </c>
      <c r="U37" s="167" t="s">
        <v>69</v>
      </c>
      <c r="V37" s="167" t="s">
        <v>69</v>
      </c>
      <c r="W37" s="167" t="s">
        <v>69</v>
      </c>
      <c r="X37" s="167" t="s">
        <v>69</v>
      </c>
      <c r="Y37" s="167" t="s">
        <v>69</v>
      </c>
      <c r="Z37" s="167" t="s">
        <v>69</v>
      </c>
      <c r="AA37" s="167" t="s">
        <v>69</v>
      </c>
      <c r="AB37" s="167" t="s">
        <v>69</v>
      </c>
      <c r="AC37" s="167" t="s">
        <v>69</v>
      </c>
      <c r="AD37" s="167">
        <v>2</v>
      </c>
      <c r="AE37" s="167" t="s">
        <v>69</v>
      </c>
      <c r="AF37" s="167" t="s">
        <v>69</v>
      </c>
      <c r="AG37" s="167" t="s">
        <v>69</v>
      </c>
      <c r="AH37" s="167" t="s">
        <v>69</v>
      </c>
      <c r="AI37" s="167" t="s">
        <v>69</v>
      </c>
      <c r="AJ37" s="167" t="s">
        <v>69</v>
      </c>
      <c r="AK37" s="167" t="s">
        <v>69</v>
      </c>
      <c r="AL37" s="167" t="s">
        <v>69</v>
      </c>
      <c r="AM37" s="167" t="s">
        <v>69</v>
      </c>
      <c r="AN37" s="167" t="s">
        <v>69</v>
      </c>
      <c r="AO37" s="167" t="s">
        <v>69</v>
      </c>
      <c r="AP37" s="167">
        <v>2</v>
      </c>
      <c r="AQ37" s="167" t="s">
        <v>69</v>
      </c>
      <c r="AR37" s="167" t="s">
        <v>69</v>
      </c>
      <c r="AS37" s="167">
        <v>4</v>
      </c>
      <c r="AT37" s="167" t="s">
        <v>69</v>
      </c>
      <c r="AU37" s="167" t="s">
        <v>69</v>
      </c>
      <c r="AV37" s="167" t="s">
        <v>69</v>
      </c>
      <c r="AW37" s="167" t="s">
        <v>69</v>
      </c>
      <c r="AX37" s="167" t="s">
        <v>69</v>
      </c>
      <c r="AY37" s="167" t="s">
        <v>69</v>
      </c>
      <c r="AZ37" s="167" t="s">
        <v>69</v>
      </c>
      <c r="BA37" s="167" t="s">
        <v>69</v>
      </c>
      <c r="BB37" s="167" t="s">
        <v>69</v>
      </c>
      <c r="BC37" s="167" t="s">
        <v>69</v>
      </c>
      <c r="BD37" s="167" t="s">
        <v>69</v>
      </c>
      <c r="BE37" s="167" t="s">
        <v>69</v>
      </c>
      <c r="BF37" s="167" t="s">
        <v>69</v>
      </c>
      <c r="BG37" s="167" t="s">
        <v>69</v>
      </c>
      <c r="BH37" s="167" t="s">
        <v>69</v>
      </c>
      <c r="BI37" s="167" t="s">
        <v>69</v>
      </c>
      <c r="BJ37" s="167" t="s">
        <v>69</v>
      </c>
      <c r="BK37" s="167" t="s">
        <v>69</v>
      </c>
      <c r="BL37" s="167" t="s">
        <v>69</v>
      </c>
      <c r="BM37" s="167" t="s">
        <v>69</v>
      </c>
      <c r="BN37" s="167" t="s">
        <v>69</v>
      </c>
      <c r="BO37" s="167" t="s">
        <v>69</v>
      </c>
      <c r="BP37" s="167" t="s">
        <v>69</v>
      </c>
      <c r="BQ37" s="167" t="s">
        <v>69</v>
      </c>
      <c r="BR37" s="167">
        <v>4</v>
      </c>
      <c r="BS37" s="167" t="s">
        <v>69</v>
      </c>
      <c r="BT37" s="167" t="s">
        <v>69</v>
      </c>
      <c r="BU37" s="167" t="s">
        <v>69</v>
      </c>
      <c r="BV37" s="167" t="s">
        <v>69</v>
      </c>
      <c r="BW37" s="167" t="s">
        <v>69</v>
      </c>
      <c r="BX37" s="167" t="s">
        <v>69</v>
      </c>
      <c r="BY37" s="167" t="s">
        <v>69</v>
      </c>
      <c r="BZ37" s="167">
        <v>3</v>
      </c>
      <c r="CA37" s="167">
        <v>3</v>
      </c>
      <c r="CB37" s="167" t="s">
        <v>69</v>
      </c>
      <c r="CC37" s="167" t="s">
        <v>69</v>
      </c>
      <c r="CD37" s="167" t="s">
        <v>69</v>
      </c>
      <c r="CE37" s="167" t="s">
        <v>69</v>
      </c>
      <c r="CF37" s="167" t="s">
        <v>69</v>
      </c>
      <c r="CG37" s="167" t="s">
        <v>69</v>
      </c>
      <c r="CH37" s="167" t="s">
        <v>69</v>
      </c>
      <c r="CI37" s="167" t="s">
        <v>69</v>
      </c>
      <c r="CJ37" s="167" t="s">
        <v>69</v>
      </c>
      <c r="CK37" s="167" t="s">
        <v>69</v>
      </c>
      <c r="CL37" s="167" t="s">
        <v>69</v>
      </c>
      <c r="CM37" s="167">
        <v>4</v>
      </c>
      <c r="CN37" s="167" t="s">
        <v>69</v>
      </c>
      <c r="CO37" s="167">
        <v>3</v>
      </c>
      <c r="CP37" s="167" t="s">
        <v>69</v>
      </c>
      <c r="CQ37" s="167" t="s">
        <v>69</v>
      </c>
      <c r="CR37" s="167" t="s">
        <v>69</v>
      </c>
      <c r="CS37" s="167" t="s">
        <v>69</v>
      </c>
      <c r="CT37" s="167" t="s">
        <v>69</v>
      </c>
      <c r="CU37" s="167" t="s">
        <v>69</v>
      </c>
      <c r="CV37" s="167" t="s">
        <v>69</v>
      </c>
      <c r="CW37" s="167" t="s">
        <v>69</v>
      </c>
      <c r="CX37" s="167" t="s">
        <v>69</v>
      </c>
      <c r="CY37" s="167" t="s">
        <v>69</v>
      </c>
      <c r="CZ37" s="167" t="s">
        <v>69</v>
      </c>
      <c r="DA37" s="167" t="s">
        <v>69</v>
      </c>
      <c r="DB37" s="167" t="s">
        <v>69</v>
      </c>
      <c r="DC37" s="167" t="s">
        <v>69</v>
      </c>
      <c r="DD37" s="167" t="s">
        <v>69</v>
      </c>
      <c r="DE37" s="167" t="s">
        <v>69</v>
      </c>
      <c r="DF37" s="167" t="s">
        <v>69</v>
      </c>
      <c r="DG37" s="167">
        <v>3</v>
      </c>
      <c r="DH37" s="167" t="s">
        <v>69</v>
      </c>
      <c r="DI37" s="167" t="s">
        <v>69</v>
      </c>
      <c r="DJ37" s="167" t="s">
        <v>69</v>
      </c>
      <c r="DK37" s="167" t="s">
        <v>69</v>
      </c>
      <c r="DL37" s="167" t="s">
        <v>69</v>
      </c>
      <c r="DM37" s="167" t="s">
        <v>69</v>
      </c>
      <c r="DN37" s="167" t="s">
        <v>69</v>
      </c>
      <c r="DO37" s="167" t="s">
        <v>69</v>
      </c>
      <c r="DP37" s="167">
        <v>2</v>
      </c>
      <c r="DQ37" s="167" t="s">
        <v>69</v>
      </c>
      <c r="DR37" s="167" t="s">
        <v>69</v>
      </c>
      <c r="DS37" s="167" t="s">
        <v>69</v>
      </c>
      <c r="DT37" s="167">
        <v>4</v>
      </c>
      <c r="DU37" s="167">
        <v>3</v>
      </c>
      <c r="DV37" s="110">
        <f t="shared" si="0"/>
        <v>0.20967741935483872</v>
      </c>
      <c r="DW37" s="104">
        <f t="shared" si="1"/>
        <v>0.69230769230769229</v>
      </c>
    </row>
    <row r="38" spans="1:127" ht="42" hidden="1" customHeight="1" thickBot="1">
      <c r="A38" s="250" t="s">
        <v>33</v>
      </c>
      <c r="B38" s="242" t="s">
        <v>235</v>
      </c>
      <c r="C38" s="208" t="s">
        <v>625</v>
      </c>
      <c r="D38" s="220" t="s">
        <v>434</v>
      </c>
      <c r="E38" s="256" t="s">
        <v>897</v>
      </c>
      <c r="F38" s="167">
        <v>4</v>
      </c>
      <c r="G38" s="167" t="s">
        <v>69</v>
      </c>
      <c r="H38" s="167">
        <v>3</v>
      </c>
      <c r="I38" s="167" t="s">
        <v>69</v>
      </c>
      <c r="J38" s="167" t="s">
        <v>69</v>
      </c>
      <c r="K38" s="167" t="s">
        <v>69</v>
      </c>
      <c r="L38" s="167" t="s">
        <v>69</v>
      </c>
      <c r="M38" s="167">
        <v>4</v>
      </c>
      <c r="N38" s="167" t="s">
        <v>69</v>
      </c>
      <c r="O38" s="167" t="s">
        <v>69</v>
      </c>
      <c r="P38" s="167" t="s">
        <v>69</v>
      </c>
      <c r="Q38" s="167">
        <v>3</v>
      </c>
      <c r="R38" s="167" t="s">
        <v>69</v>
      </c>
      <c r="S38" s="167" t="s">
        <v>69</v>
      </c>
      <c r="T38" s="167" t="s">
        <v>69</v>
      </c>
      <c r="U38" s="167" t="s">
        <v>69</v>
      </c>
      <c r="V38" s="167">
        <v>3</v>
      </c>
      <c r="W38" s="167" t="s">
        <v>69</v>
      </c>
      <c r="X38" s="167">
        <v>3</v>
      </c>
      <c r="Y38" s="167">
        <v>3</v>
      </c>
      <c r="Z38" s="167" t="s">
        <v>69</v>
      </c>
      <c r="AA38" s="167">
        <v>4</v>
      </c>
      <c r="AB38" s="167">
        <v>4</v>
      </c>
      <c r="AC38" s="167" t="s">
        <v>69</v>
      </c>
      <c r="AD38" s="167">
        <v>3</v>
      </c>
      <c r="AE38" s="167" t="s">
        <v>69</v>
      </c>
      <c r="AF38" s="167" t="s">
        <v>69</v>
      </c>
      <c r="AG38" s="167" t="s">
        <v>69</v>
      </c>
      <c r="AH38" s="167" t="s">
        <v>69</v>
      </c>
      <c r="AI38" s="167" t="s">
        <v>69</v>
      </c>
      <c r="AJ38" s="167">
        <v>3</v>
      </c>
      <c r="AK38" s="167" t="s">
        <v>69</v>
      </c>
      <c r="AL38" s="167" t="s">
        <v>69</v>
      </c>
      <c r="AM38" s="167" t="s">
        <v>69</v>
      </c>
      <c r="AN38" s="167" t="s">
        <v>69</v>
      </c>
      <c r="AO38" s="167" t="s">
        <v>69</v>
      </c>
      <c r="AP38" s="167">
        <v>3</v>
      </c>
      <c r="AQ38" s="167" t="s">
        <v>69</v>
      </c>
      <c r="AR38" s="167" t="s">
        <v>69</v>
      </c>
      <c r="AS38" s="167" t="s">
        <v>69</v>
      </c>
      <c r="AT38" s="167" t="s">
        <v>69</v>
      </c>
      <c r="AU38" s="167" t="s">
        <v>69</v>
      </c>
      <c r="AV38" s="167" t="s">
        <v>69</v>
      </c>
      <c r="AW38" s="167" t="s">
        <v>69</v>
      </c>
      <c r="AX38" s="167" t="s">
        <v>69</v>
      </c>
      <c r="AY38" s="167" t="s">
        <v>69</v>
      </c>
      <c r="AZ38" s="167" t="s">
        <v>69</v>
      </c>
      <c r="BA38" s="167">
        <v>4</v>
      </c>
      <c r="BB38" s="167" t="s">
        <v>69</v>
      </c>
      <c r="BC38" s="167" t="s">
        <v>69</v>
      </c>
      <c r="BD38" s="167" t="s">
        <v>69</v>
      </c>
      <c r="BE38" s="167">
        <v>2</v>
      </c>
      <c r="BF38" s="167" t="s">
        <v>69</v>
      </c>
      <c r="BG38" s="167" t="s">
        <v>69</v>
      </c>
      <c r="BH38" s="167" t="s">
        <v>69</v>
      </c>
      <c r="BI38" s="167" t="s">
        <v>69</v>
      </c>
      <c r="BJ38" s="167" t="s">
        <v>69</v>
      </c>
      <c r="BK38" s="167" t="s">
        <v>69</v>
      </c>
      <c r="BL38" s="167" t="s">
        <v>69</v>
      </c>
      <c r="BM38" s="167" t="s">
        <v>69</v>
      </c>
      <c r="BN38" s="167" t="s">
        <v>69</v>
      </c>
      <c r="BO38" s="167" t="s">
        <v>69</v>
      </c>
      <c r="BP38" s="167" t="s">
        <v>69</v>
      </c>
      <c r="BQ38" s="167">
        <v>4</v>
      </c>
      <c r="BR38" s="167">
        <v>4</v>
      </c>
      <c r="BS38" s="167" t="s">
        <v>69</v>
      </c>
      <c r="BT38" s="167" t="s">
        <v>69</v>
      </c>
      <c r="BU38" s="167" t="s">
        <v>69</v>
      </c>
      <c r="BV38" s="167" t="s">
        <v>69</v>
      </c>
      <c r="BW38" s="167" t="s">
        <v>69</v>
      </c>
      <c r="BX38" s="167" t="s">
        <v>69</v>
      </c>
      <c r="BY38" s="167" t="s">
        <v>69</v>
      </c>
      <c r="BZ38" s="167">
        <v>4</v>
      </c>
      <c r="CA38" s="167">
        <v>4</v>
      </c>
      <c r="CB38" s="167" t="s">
        <v>69</v>
      </c>
      <c r="CC38" s="167" t="s">
        <v>69</v>
      </c>
      <c r="CD38" s="167" t="s">
        <v>69</v>
      </c>
      <c r="CE38" s="167" t="s">
        <v>69</v>
      </c>
      <c r="CF38" s="167" t="s">
        <v>69</v>
      </c>
      <c r="CG38" s="167">
        <v>4</v>
      </c>
      <c r="CH38" s="167" t="s">
        <v>69</v>
      </c>
      <c r="CI38" s="167" t="s">
        <v>69</v>
      </c>
      <c r="CJ38" s="167" t="s">
        <v>69</v>
      </c>
      <c r="CK38" s="167" t="s">
        <v>69</v>
      </c>
      <c r="CL38" s="167" t="s">
        <v>69</v>
      </c>
      <c r="CM38" s="167">
        <v>4</v>
      </c>
      <c r="CN38" s="167">
        <v>4</v>
      </c>
      <c r="CO38" s="167">
        <v>4</v>
      </c>
      <c r="CP38" s="167">
        <v>4</v>
      </c>
      <c r="CQ38" s="167" t="s">
        <v>69</v>
      </c>
      <c r="CR38" s="167" t="s">
        <v>69</v>
      </c>
      <c r="CS38" s="167">
        <v>3</v>
      </c>
      <c r="CT38" s="167" t="s">
        <v>69</v>
      </c>
      <c r="CU38" s="167" t="s">
        <v>69</v>
      </c>
      <c r="CV38" s="167" t="s">
        <v>69</v>
      </c>
      <c r="CW38" s="167" t="s">
        <v>69</v>
      </c>
      <c r="CX38" s="167" t="s">
        <v>69</v>
      </c>
      <c r="CY38" s="167" t="s">
        <v>69</v>
      </c>
      <c r="CZ38" s="167">
        <v>2</v>
      </c>
      <c r="DA38" s="167" t="s">
        <v>69</v>
      </c>
      <c r="DB38" s="167" t="s">
        <v>69</v>
      </c>
      <c r="DC38" s="167" t="s">
        <v>69</v>
      </c>
      <c r="DD38" s="167" t="s">
        <v>69</v>
      </c>
      <c r="DE38" s="167" t="s">
        <v>69</v>
      </c>
      <c r="DF38" s="167">
        <v>2</v>
      </c>
      <c r="DG38" s="167" t="s">
        <v>69</v>
      </c>
      <c r="DH38" s="167" t="s">
        <v>69</v>
      </c>
      <c r="DI38" s="167" t="s">
        <v>69</v>
      </c>
      <c r="DJ38" s="167" t="s">
        <v>69</v>
      </c>
      <c r="DK38" s="167">
        <v>3</v>
      </c>
      <c r="DL38" s="167" t="s">
        <v>69</v>
      </c>
      <c r="DM38" s="167" t="s">
        <v>69</v>
      </c>
      <c r="DN38" s="167" t="s">
        <v>69</v>
      </c>
      <c r="DO38" s="167" t="s">
        <v>69</v>
      </c>
      <c r="DP38" s="167" t="s">
        <v>69</v>
      </c>
      <c r="DQ38" s="167" t="s">
        <v>69</v>
      </c>
      <c r="DR38" s="167">
        <v>2</v>
      </c>
      <c r="DS38" s="167" t="s">
        <v>69</v>
      </c>
      <c r="DT38" s="167">
        <v>3</v>
      </c>
      <c r="DU38" s="167">
        <v>4</v>
      </c>
      <c r="DV38" s="110">
        <f t="shared" si="0"/>
        <v>0.4838709677419355</v>
      </c>
      <c r="DW38" s="104">
        <f t="shared" si="1"/>
        <v>0.8666666666666667</v>
      </c>
    </row>
    <row r="39" spans="1:127" ht="42" hidden="1" customHeight="1" thickBot="1">
      <c r="A39" s="250" t="s">
        <v>415</v>
      </c>
      <c r="B39" s="242" t="s">
        <v>416</v>
      </c>
      <c r="C39" s="208">
        <v>45024</v>
      </c>
      <c r="D39" s="220" t="s">
        <v>434</v>
      </c>
      <c r="E39" s="256" t="s">
        <v>897</v>
      </c>
      <c r="F39" s="167">
        <v>4</v>
      </c>
      <c r="G39" s="167">
        <v>4</v>
      </c>
      <c r="H39" s="167" t="s">
        <v>69</v>
      </c>
      <c r="I39" s="167" t="s">
        <v>69</v>
      </c>
      <c r="J39" s="167" t="s">
        <v>69</v>
      </c>
      <c r="K39" s="167" t="s">
        <v>69</v>
      </c>
      <c r="L39" s="167">
        <v>3</v>
      </c>
      <c r="M39" s="167">
        <v>3</v>
      </c>
      <c r="N39" s="167">
        <v>3</v>
      </c>
      <c r="O39" s="167">
        <v>3</v>
      </c>
      <c r="P39" s="167" t="s">
        <v>69</v>
      </c>
      <c r="Q39" s="167" t="s">
        <v>69</v>
      </c>
      <c r="R39" s="167" t="s">
        <v>69</v>
      </c>
      <c r="S39" s="167">
        <v>3</v>
      </c>
      <c r="T39" s="167">
        <v>3</v>
      </c>
      <c r="U39" s="167">
        <v>3</v>
      </c>
      <c r="V39" s="167" t="s">
        <v>69</v>
      </c>
      <c r="W39" s="167" t="s">
        <v>69</v>
      </c>
      <c r="X39" s="167" t="s">
        <v>69</v>
      </c>
      <c r="Y39" s="167" t="s">
        <v>69</v>
      </c>
      <c r="Z39" s="167" t="s">
        <v>69</v>
      </c>
      <c r="AA39" s="167" t="s">
        <v>69</v>
      </c>
      <c r="AB39" s="167" t="s">
        <v>69</v>
      </c>
      <c r="AC39" s="167">
        <v>3</v>
      </c>
      <c r="AD39" s="167" t="s">
        <v>69</v>
      </c>
      <c r="AE39" s="167" t="s">
        <v>69</v>
      </c>
      <c r="AF39" s="167" t="s">
        <v>69</v>
      </c>
      <c r="AG39" s="167" t="s">
        <v>69</v>
      </c>
      <c r="AH39" s="167" t="s">
        <v>69</v>
      </c>
      <c r="AI39" s="167" t="s">
        <v>69</v>
      </c>
      <c r="AJ39" s="167" t="s">
        <v>69</v>
      </c>
      <c r="AK39" s="167" t="s">
        <v>69</v>
      </c>
      <c r="AL39" s="167" t="s">
        <v>69</v>
      </c>
      <c r="AM39" s="167" t="s">
        <v>69</v>
      </c>
      <c r="AN39" s="167" t="s">
        <v>69</v>
      </c>
      <c r="AO39" s="167" t="s">
        <v>69</v>
      </c>
      <c r="AP39" s="167">
        <v>2</v>
      </c>
      <c r="AQ39" s="167" t="s">
        <v>69</v>
      </c>
      <c r="AR39" s="167" t="s">
        <v>69</v>
      </c>
      <c r="AS39" s="167" t="s">
        <v>69</v>
      </c>
      <c r="AT39" s="167" t="s">
        <v>69</v>
      </c>
      <c r="AU39" s="167" t="s">
        <v>69</v>
      </c>
      <c r="AV39" s="167" t="s">
        <v>69</v>
      </c>
      <c r="AW39" s="167" t="s">
        <v>69</v>
      </c>
      <c r="AX39" s="167" t="s">
        <v>69</v>
      </c>
      <c r="AY39" s="167" t="s">
        <v>69</v>
      </c>
      <c r="AZ39" s="167" t="s">
        <v>69</v>
      </c>
      <c r="BA39" s="167" t="s">
        <v>69</v>
      </c>
      <c r="BB39" s="167" t="s">
        <v>69</v>
      </c>
      <c r="BC39" s="167">
        <v>3</v>
      </c>
      <c r="BD39" s="167" t="s">
        <v>69</v>
      </c>
      <c r="BE39" s="167" t="s">
        <v>69</v>
      </c>
      <c r="BF39" s="167">
        <v>4</v>
      </c>
      <c r="BG39" s="167" t="s">
        <v>69</v>
      </c>
      <c r="BH39" s="167" t="s">
        <v>69</v>
      </c>
      <c r="BI39" s="167" t="s">
        <v>69</v>
      </c>
      <c r="BJ39" s="167" t="s">
        <v>69</v>
      </c>
      <c r="BK39" s="167" t="s">
        <v>69</v>
      </c>
      <c r="BL39" s="167" t="s">
        <v>69</v>
      </c>
      <c r="BM39" s="167" t="s">
        <v>69</v>
      </c>
      <c r="BN39" s="167">
        <v>4</v>
      </c>
      <c r="BO39" s="167" t="s">
        <v>69</v>
      </c>
      <c r="BP39" s="167">
        <v>3</v>
      </c>
      <c r="BQ39" s="167">
        <v>4</v>
      </c>
      <c r="BR39" s="167">
        <v>4</v>
      </c>
      <c r="BS39" s="167" t="s">
        <v>69</v>
      </c>
      <c r="BT39" s="167" t="s">
        <v>69</v>
      </c>
      <c r="BU39" s="167" t="s">
        <v>69</v>
      </c>
      <c r="BV39" s="167" t="s">
        <v>69</v>
      </c>
      <c r="BW39" s="167" t="s">
        <v>69</v>
      </c>
      <c r="BX39" s="167" t="s">
        <v>69</v>
      </c>
      <c r="BY39" s="167" t="s">
        <v>69</v>
      </c>
      <c r="BZ39" s="167" t="s">
        <v>69</v>
      </c>
      <c r="CA39" s="167" t="s">
        <v>69</v>
      </c>
      <c r="CB39" s="167" t="s">
        <v>69</v>
      </c>
      <c r="CC39" s="167" t="s">
        <v>69</v>
      </c>
      <c r="CD39" s="167" t="s">
        <v>69</v>
      </c>
      <c r="CE39" s="167" t="s">
        <v>69</v>
      </c>
      <c r="CF39" s="167" t="s">
        <v>69</v>
      </c>
      <c r="CG39" s="167" t="s">
        <v>69</v>
      </c>
      <c r="CH39" s="167" t="s">
        <v>69</v>
      </c>
      <c r="CI39" s="167" t="s">
        <v>69</v>
      </c>
      <c r="CJ39" s="167" t="s">
        <v>69</v>
      </c>
      <c r="CK39" s="167" t="s">
        <v>69</v>
      </c>
      <c r="CL39" s="167" t="s">
        <v>69</v>
      </c>
      <c r="CM39" s="167" t="s">
        <v>69</v>
      </c>
      <c r="CN39" s="167" t="s">
        <v>69</v>
      </c>
      <c r="CO39" s="167" t="s">
        <v>69</v>
      </c>
      <c r="CP39" s="167">
        <v>3</v>
      </c>
      <c r="CQ39" s="167">
        <v>3</v>
      </c>
      <c r="CR39" s="167" t="s">
        <v>69</v>
      </c>
      <c r="CS39" s="167" t="s">
        <v>69</v>
      </c>
      <c r="CT39" s="167">
        <v>3</v>
      </c>
      <c r="CU39" s="167" t="s">
        <v>69</v>
      </c>
      <c r="CV39" s="167" t="s">
        <v>69</v>
      </c>
      <c r="CW39" s="167" t="s">
        <v>69</v>
      </c>
      <c r="CX39" s="167" t="s">
        <v>69</v>
      </c>
      <c r="CY39" s="167" t="s">
        <v>69</v>
      </c>
      <c r="CZ39" s="167" t="s">
        <v>69</v>
      </c>
      <c r="DA39" s="167" t="s">
        <v>69</v>
      </c>
      <c r="DB39" s="167" t="s">
        <v>69</v>
      </c>
      <c r="DC39" s="167" t="s">
        <v>69</v>
      </c>
      <c r="DD39" s="167" t="s">
        <v>69</v>
      </c>
      <c r="DE39" s="167">
        <v>4</v>
      </c>
      <c r="DF39" s="167" t="s">
        <v>69</v>
      </c>
      <c r="DG39" s="167" t="s">
        <v>69</v>
      </c>
      <c r="DH39" s="167" t="s">
        <v>69</v>
      </c>
      <c r="DI39" s="167" t="s">
        <v>69</v>
      </c>
      <c r="DJ39" s="167" t="s">
        <v>69</v>
      </c>
      <c r="DK39" s="167">
        <v>2</v>
      </c>
      <c r="DL39" s="167">
        <v>4</v>
      </c>
      <c r="DM39" s="167" t="s">
        <v>69</v>
      </c>
      <c r="DN39" s="167" t="s">
        <v>69</v>
      </c>
      <c r="DO39" s="167" t="s">
        <v>69</v>
      </c>
      <c r="DP39" s="167" t="s">
        <v>69</v>
      </c>
      <c r="DQ39" s="167" t="s">
        <v>69</v>
      </c>
      <c r="DR39" s="167" t="s">
        <v>69</v>
      </c>
      <c r="DS39" s="167" t="s">
        <v>69</v>
      </c>
      <c r="DT39" s="167" t="s">
        <v>69</v>
      </c>
      <c r="DU39" s="167">
        <v>4</v>
      </c>
      <c r="DV39" s="110">
        <f t="shared" si="0"/>
        <v>0.38709677419354838</v>
      </c>
      <c r="DW39" s="104">
        <f t="shared" si="1"/>
        <v>0.91666666666666663</v>
      </c>
    </row>
    <row r="40" spans="1:127" ht="42" hidden="1" customHeight="1" thickBot="1">
      <c r="A40" s="250" t="s">
        <v>417</v>
      </c>
      <c r="B40" s="242" t="s">
        <v>418</v>
      </c>
      <c r="C40" s="208">
        <v>44938</v>
      </c>
      <c r="D40" s="220" t="s">
        <v>434</v>
      </c>
      <c r="E40" s="256" t="s">
        <v>898</v>
      </c>
      <c r="F40" s="167" t="s">
        <v>69</v>
      </c>
      <c r="G40" s="167" t="s">
        <v>69</v>
      </c>
      <c r="H40" s="167" t="s">
        <v>69</v>
      </c>
      <c r="I40" s="167" t="s">
        <v>69</v>
      </c>
      <c r="J40" s="167" t="s">
        <v>69</v>
      </c>
      <c r="K40" s="167" t="s">
        <v>69</v>
      </c>
      <c r="L40" s="167" t="s">
        <v>69</v>
      </c>
      <c r="M40" s="167" t="s">
        <v>69</v>
      </c>
      <c r="N40" s="167" t="s">
        <v>69</v>
      </c>
      <c r="O40" s="167">
        <v>3</v>
      </c>
      <c r="P40" s="167" t="s">
        <v>69</v>
      </c>
      <c r="Q40" s="167" t="s">
        <v>69</v>
      </c>
      <c r="R40" s="167" t="s">
        <v>69</v>
      </c>
      <c r="S40" s="167" t="s">
        <v>69</v>
      </c>
      <c r="T40" s="167" t="s">
        <v>69</v>
      </c>
      <c r="U40" s="167" t="s">
        <v>69</v>
      </c>
      <c r="V40" s="167" t="s">
        <v>69</v>
      </c>
      <c r="W40" s="167" t="s">
        <v>69</v>
      </c>
      <c r="X40" s="167" t="s">
        <v>69</v>
      </c>
      <c r="Y40" s="167" t="s">
        <v>69</v>
      </c>
      <c r="Z40" s="167" t="s">
        <v>69</v>
      </c>
      <c r="AA40" s="167" t="s">
        <v>69</v>
      </c>
      <c r="AB40" s="167" t="s">
        <v>69</v>
      </c>
      <c r="AC40" s="167" t="s">
        <v>69</v>
      </c>
      <c r="AD40" s="167" t="s">
        <v>69</v>
      </c>
      <c r="AE40" s="167" t="s">
        <v>69</v>
      </c>
      <c r="AF40" s="167">
        <v>4</v>
      </c>
      <c r="AG40" s="167">
        <v>4</v>
      </c>
      <c r="AH40" s="167" t="s">
        <v>69</v>
      </c>
      <c r="AI40" s="167" t="s">
        <v>69</v>
      </c>
      <c r="AJ40" s="167" t="s">
        <v>69</v>
      </c>
      <c r="AK40" s="167" t="s">
        <v>69</v>
      </c>
      <c r="AL40" s="167">
        <v>3</v>
      </c>
      <c r="AM40" s="167">
        <v>4</v>
      </c>
      <c r="AN40" s="167">
        <v>4</v>
      </c>
      <c r="AO40" s="167">
        <v>4</v>
      </c>
      <c r="AP40" s="167">
        <v>4</v>
      </c>
      <c r="AQ40" s="167">
        <v>4</v>
      </c>
      <c r="AR40" s="167" t="s">
        <v>69</v>
      </c>
      <c r="AS40" s="167" t="s">
        <v>69</v>
      </c>
      <c r="AT40" s="167" t="s">
        <v>69</v>
      </c>
      <c r="AU40" s="167" t="s">
        <v>69</v>
      </c>
      <c r="AV40" s="167" t="s">
        <v>69</v>
      </c>
      <c r="AW40" s="167">
        <v>3</v>
      </c>
      <c r="AX40" s="167" t="s">
        <v>69</v>
      </c>
      <c r="AY40" s="167" t="s">
        <v>69</v>
      </c>
      <c r="AZ40" s="167" t="s">
        <v>69</v>
      </c>
      <c r="BA40" s="167" t="s">
        <v>69</v>
      </c>
      <c r="BB40" s="167" t="s">
        <v>69</v>
      </c>
      <c r="BC40" s="167" t="s">
        <v>69</v>
      </c>
      <c r="BD40" s="167" t="s">
        <v>69</v>
      </c>
      <c r="BE40" s="167" t="s">
        <v>69</v>
      </c>
      <c r="BF40" s="167" t="s">
        <v>69</v>
      </c>
      <c r="BG40" s="167" t="s">
        <v>69</v>
      </c>
      <c r="BH40" s="167" t="s">
        <v>69</v>
      </c>
      <c r="BI40" s="167" t="s">
        <v>69</v>
      </c>
      <c r="BJ40" s="167" t="s">
        <v>69</v>
      </c>
      <c r="BK40" s="167">
        <v>2</v>
      </c>
      <c r="BL40" s="167" t="s">
        <v>69</v>
      </c>
      <c r="BM40" s="167" t="s">
        <v>69</v>
      </c>
      <c r="BN40" s="167" t="s">
        <v>69</v>
      </c>
      <c r="BO40" s="167" t="s">
        <v>69</v>
      </c>
      <c r="BP40" s="167" t="s">
        <v>69</v>
      </c>
      <c r="BQ40" s="167" t="s">
        <v>69</v>
      </c>
      <c r="BR40" s="167">
        <v>4</v>
      </c>
      <c r="BS40" s="167" t="s">
        <v>69</v>
      </c>
      <c r="BT40" s="167" t="s">
        <v>69</v>
      </c>
      <c r="BU40" s="167" t="s">
        <v>69</v>
      </c>
      <c r="BV40" s="167" t="s">
        <v>69</v>
      </c>
      <c r="BW40" s="167" t="s">
        <v>69</v>
      </c>
      <c r="BX40" s="167" t="s">
        <v>69</v>
      </c>
      <c r="BY40" s="167" t="s">
        <v>69</v>
      </c>
      <c r="BZ40" s="167" t="s">
        <v>69</v>
      </c>
      <c r="CA40" s="167" t="s">
        <v>69</v>
      </c>
      <c r="CB40" s="167" t="s">
        <v>69</v>
      </c>
      <c r="CC40" s="167" t="s">
        <v>69</v>
      </c>
      <c r="CD40" s="167" t="s">
        <v>69</v>
      </c>
      <c r="CE40" s="167" t="s">
        <v>69</v>
      </c>
      <c r="CF40" s="167" t="s">
        <v>69</v>
      </c>
      <c r="CG40" s="167" t="s">
        <v>69</v>
      </c>
      <c r="CH40" s="167" t="s">
        <v>69</v>
      </c>
      <c r="CI40" s="167" t="s">
        <v>69</v>
      </c>
      <c r="CJ40" s="167" t="s">
        <v>69</v>
      </c>
      <c r="CK40" s="167" t="s">
        <v>69</v>
      </c>
      <c r="CL40" s="167" t="s">
        <v>69</v>
      </c>
      <c r="CM40" s="167" t="s">
        <v>69</v>
      </c>
      <c r="CN40" s="167" t="s">
        <v>69</v>
      </c>
      <c r="CO40" s="167" t="s">
        <v>69</v>
      </c>
      <c r="CP40" s="167" t="s">
        <v>69</v>
      </c>
      <c r="CQ40" s="167" t="s">
        <v>69</v>
      </c>
      <c r="CR40" s="167" t="s">
        <v>69</v>
      </c>
      <c r="CS40" s="167" t="s">
        <v>69</v>
      </c>
      <c r="CT40" s="167" t="s">
        <v>69</v>
      </c>
      <c r="CU40" s="167" t="s">
        <v>69</v>
      </c>
      <c r="CV40" s="167">
        <v>3</v>
      </c>
      <c r="CW40" s="167">
        <v>2</v>
      </c>
      <c r="CX40" s="167" t="s">
        <v>69</v>
      </c>
      <c r="CY40" s="167">
        <v>3</v>
      </c>
      <c r="CZ40" s="167">
        <v>3</v>
      </c>
      <c r="DA40" s="167">
        <v>4</v>
      </c>
      <c r="DB40" s="167">
        <v>4</v>
      </c>
      <c r="DC40" s="167">
        <v>3</v>
      </c>
      <c r="DD40" s="167">
        <v>4</v>
      </c>
      <c r="DE40" s="167" t="s">
        <v>69</v>
      </c>
      <c r="DF40" s="167">
        <v>4</v>
      </c>
      <c r="DG40" s="167" t="s">
        <v>69</v>
      </c>
      <c r="DH40" s="167">
        <v>3</v>
      </c>
      <c r="DI40" s="167" t="s">
        <v>69</v>
      </c>
      <c r="DJ40" s="167" t="s">
        <v>69</v>
      </c>
      <c r="DK40" s="167" t="s">
        <v>69</v>
      </c>
      <c r="DL40" s="167" t="s">
        <v>69</v>
      </c>
      <c r="DM40" s="167" t="s">
        <v>69</v>
      </c>
      <c r="DN40" s="167" t="s">
        <v>69</v>
      </c>
      <c r="DO40" s="167" t="s">
        <v>69</v>
      </c>
      <c r="DP40" s="167" t="s">
        <v>69</v>
      </c>
      <c r="DQ40" s="167" t="s">
        <v>69</v>
      </c>
      <c r="DR40" s="167" t="s">
        <v>69</v>
      </c>
      <c r="DS40" s="167" t="s">
        <v>69</v>
      </c>
      <c r="DT40" s="167" t="s">
        <v>69</v>
      </c>
      <c r="DU40" s="167">
        <v>3</v>
      </c>
      <c r="DV40" s="110">
        <f t="shared" si="0"/>
        <v>0.37096774193548387</v>
      </c>
      <c r="DW40" s="104">
        <f t="shared" si="1"/>
        <v>0.91304347826086951</v>
      </c>
    </row>
    <row r="41" spans="1:127" ht="42" hidden="1" customHeight="1" thickBot="1">
      <c r="A41" s="250" t="s">
        <v>419</v>
      </c>
      <c r="B41" s="242" t="s">
        <v>420</v>
      </c>
      <c r="C41" s="208">
        <v>44938</v>
      </c>
      <c r="D41" s="220" t="s">
        <v>434</v>
      </c>
      <c r="E41" s="256" t="s">
        <v>898</v>
      </c>
      <c r="F41" s="167" t="s">
        <v>69</v>
      </c>
      <c r="G41" s="167" t="s">
        <v>69</v>
      </c>
      <c r="H41" s="167" t="s">
        <v>69</v>
      </c>
      <c r="I41" s="167" t="s">
        <v>69</v>
      </c>
      <c r="J41" s="167" t="s">
        <v>69</v>
      </c>
      <c r="K41" s="167" t="s">
        <v>69</v>
      </c>
      <c r="L41" s="167" t="s">
        <v>69</v>
      </c>
      <c r="M41" s="167" t="s">
        <v>69</v>
      </c>
      <c r="N41" s="167" t="s">
        <v>69</v>
      </c>
      <c r="O41" s="167" t="s">
        <v>69</v>
      </c>
      <c r="P41" s="167" t="s">
        <v>69</v>
      </c>
      <c r="Q41" s="167" t="s">
        <v>69</v>
      </c>
      <c r="R41" s="167" t="s">
        <v>69</v>
      </c>
      <c r="S41" s="167" t="s">
        <v>69</v>
      </c>
      <c r="T41" s="167" t="s">
        <v>69</v>
      </c>
      <c r="U41" s="167" t="s">
        <v>69</v>
      </c>
      <c r="V41" s="167" t="s">
        <v>69</v>
      </c>
      <c r="W41" s="167" t="s">
        <v>69</v>
      </c>
      <c r="X41" s="167" t="s">
        <v>69</v>
      </c>
      <c r="Y41" s="167" t="s">
        <v>69</v>
      </c>
      <c r="Z41" s="167" t="s">
        <v>69</v>
      </c>
      <c r="AA41" s="167" t="s">
        <v>69</v>
      </c>
      <c r="AB41" s="167" t="s">
        <v>69</v>
      </c>
      <c r="AC41" s="167" t="s">
        <v>69</v>
      </c>
      <c r="AD41" s="167">
        <v>4</v>
      </c>
      <c r="AE41" s="167" t="s">
        <v>69</v>
      </c>
      <c r="AF41" s="167" t="s">
        <v>69</v>
      </c>
      <c r="AG41" s="167" t="s">
        <v>69</v>
      </c>
      <c r="AH41" s="167" t="s">
        <v>69</v>
      </c>
      <c r="AI41" s="167">
        <v>4</v>
      </c>
      <c r="AJ41" s="167" t="s">
        <v>69</v>
      </c>
      <c r="AK41" s="167" t="s">
        <v>69</v>
      </c>
      <c r="AL41" s="167">
        <v>4</v>
      </c>
      <c r="AM41" s="167">
        <v>4</v>
      </c>
      <c r="AN41" s="167">
        <v>4</v>
      </c>
      <c r="AO41" s="167">
        <v>4</v>
      </c>
      <c r="AP41" s="167" t="s">
        <v>69</v>
      </c>
      <c r="AQ41" s="167" t="s">
        <v>69</v>
      </c>
      <c r="AR41" s="167" t="s">
        <v>69</v>
      </c>
      <c r="AS41" s="167" t="s">
        <v>69</v>
      </c>
      <c r="AT41" s="167" t="s">
        <v>69</v>
      </c>
      <c r="AU41" s="167">
        <v>4</v>
      </c>
      <c r="AV41" s="167" t="s">
        <v>69</v>
      </c>
      <c r="AW41" s="167">
        <v>4</v>
      </c>
      <c r="AX41" s="167" t="s">
        <v>69</v>
      </c>
      <c r="AY41" s="167" t="s">
        <v>69</v>
      </c>
      <c r="AZ41" s="167" t="s">
        <v>69</v>
      </c>
      <c r="BA41" s="167" t="s">
        <v>69</v>
      </c>
      <c r="BB41" s="167" t="s">
        <v>69</v>
      </c>
      <c r="BC41" s="167" t="s">
        <v>69</v>
      </c>
      <c r="BD41" s="167" t="s">
        <v>69</v>
      </c>
      <c r="BE41" s="167" t="s">
        <v>69</v>
      </c>
      <c r="BF41" s="167" t="s">
        <v>69</v>
      </c>
      <c r="BG41" s="167" t="s">
        <v>69</v>
      </c>
      <c r="BH41" s="167" t="s">
        <v>69</v>
      </c>
      <c r="BI41" s="167" t="s">
        <v>69</v>
      </c>
      <c r="BJ41" s="167" t="s">
        <v>69</v>
      </c>
      <c r="BK41" s="167" t="s">
        <v>69</v>
      </c>
      <c r="BL41" s="167" t="s">
        <v>69</v>
      </c>
      <c r="BM41" s="167" t="s">
        <v>69</v>
      </c>
      <c r="BN41" s="167" t="s">
        <v>69</v>
      </c>
      <c r="BO41" s="167" t="s">
        <v>69</v>
      </c>
      <c r="BP41" s="167" t="s">
        <v>69</v>
      </c>
      <c r="BQ41" s="167" t="s">
        <v>69</v>
      </c>
      <c r="BR41" s="167" t="s">
        <v>69</v>
      </c>
      <c r="BS41" s="167" t="s">
        <v>69</v>
      </c>
      <c r="BT41" s="167" t="s">
        <v>69</v>
      </c>
      <c r="BU41" s="167" t="s">
        <v>69</v>
      </c>
      <c r="BV41" s="167" t="s">
        <v>69</v>
      </c>
      <c r="BW41" s="167" t="s">
        <v>69</v>
      </c>
      <c r="BX41" s="167" t="s">
        <v>69</v>
      </c>
      <c r="BY41" s="167" t="s">
        <v>69</v>
      </c>
      <c r="BZ41" s="167" t="s">
        <v>69</v>
      </c>
      <c r="CA41" s="167" t="s">
        <v>69</v>
      </c>
      <c r="CB41" s="167" t="s">
        <v>69</v>
      </c>
      <c r="CC41" s="167" t="s">
        <v>69</v>
      </c>
      <c r="CD41" s="167" t="s">
        <v>69</v>
      </c>
      <c r="CE41" s="167" t="s">
        <v>69</v>
      </c>
      <c r="CF41" s="167" t="s">
        <v>69</v>
      </c>
      <c r="CG41" s="167">
        <v>4</v>
      </c>
      <c r="CH41" s="167" t="s">
        <v>69</v>
      </c>
      <c r="CI41" s="167" t="s">
        <v>69</v>
      </c>
      <c r="CJ41" s="167" t="s">
        <v>69</v>
      </c>
      <c r="CK41" s="167" t="s">
        <v>69</v>
      </c>
      <c r="CL41" s="167" t="s">
        <v>69</v>
      </c>
      <c r="CM41" s="167" t="s">
        <v>69</v>
      </c>
      <c r="CN41" s="167" t="s">
        <v>69</v>
      </c>
      <c r="CO41" s="167">
        <v>3</v>
      </c>
      <c r="CP41" s="167" t="s">
        <v>69</v>
      </c>
      <c r="CQ41" s="167">
        <v>3</v>
      </c>
      <c r="CR41" s="167" t="s">
        <v>69</v>
      </c>
      <c r="CS41" s="167" t="s">
        <v>69</v>
      </c>
      <c r="CT41" s="167" t="s">
        <v>69</v>
      </c>
      <c r="CU41" s="167" t="s">
        <v>69</v>
      </c>
      <c r="CV41" s="167" t="s">
        <v>69</v>
      </c>
      <c r="CW41" s="167" t="s">
        <v>69</v>
      </c>
      <c r="CX41" s="167" t="s">
        <v>69</v>
      </c>
      <c r="CY41" s="167" t="s">
        <v>69</v>
      </c>
      <c r="CZ41" s="167" t="s">
        <v>69</v>
      </c>
      <c r="DA41" s="167">
        <v>4</v>
      </c>
      <c r="DB41" s="167">
        <v>4</v>
      </c>
      <c r="DC41" s="167">
        <v>4</v>
      </c>
      <c r="DD41" s="167">
        <v>4</v>
      </c>
      <c r="DE41" s="167">
        <v>4</v>
      </c>
      <c r="DF41" s="167" t="s">
        <v>69</v>
      </c>
      <c r="DG41" s="167" t="s">
        <v>69</v>
      </c>
      <c r="DH41" s="167" t="s">
        <v>69</v>
      </c>
      <c r="DI41" s="167" t="s">
        <v>69</v>
      </c>
      <c r="DJ41" s="167" t="s">
        <v>69</v>
      </c>
      <c r="DK41" s="167" t="s">
        <v>69</v>
      </c>
      <c r="DL41" s="167" t="s">
        <v>69</v>
      </c>
      <c r="DM41" s="167" t="s">
        <v>69</v>
      </c>
      <c r="DN41" s="167" t="s">
        <v>69</v>
      </c>
      <c r="DO41" s="167" t="s">
        <v>69</v>
      </c>
      <c r="DP41" s="167" t="s">
        <v>69</v>
      </c>
      <c r="DQ41" s="167" t="s">
        <v>69</v>
      </c>
      <c r="DR41" s="167" t="s">
        <v>69</v>
      </c>
      <c r="DS41" s="167" t="s">
        <v>69</v>
      </c>
      <c r="DT41" s="167" t="s">
        <v>69</v>
      </c>
      <c r="DU41" s="167">
        <v>4</v>
      </c>
      <c r="DV41" s="110">
        <f t="shared" si="0"/>
        <v>0.27419354838709675</v>
      </c>
      <c r="DW41" s="104">
        <f t="shared" si="1"/>
        <v>1</v>
      </c>
    </row>
    <row r="42" spans="1:127" ht="42" hidden="1" customHeight="1" thickBot="1">
      <c r="A42" s="250" t="s">
        <v>421</v>
      </c>
      <c r="B42" s="242" t="s">
        <v>422</v>
      </c>
      <c r="C42" s="208">
        <v>45240</v>
      </c>
      <c r="D42" s="220" t="s">
        <v>434</v>
      </c>
      <c r="E42" s="256" t="s">
        <v>898</v>
      </c>
      <c r="F42" s="167">
        <v>4</v>
      </c>
      <c r="G42" s="167" t="s">
        <v>69</v>
      </c>
      <c r="H42" s="167" t="s">
        <v>69</v>
      </c>
      <c r="I42" s="167" t="s">
        <v>69</v>
      </c>
      <c r="J42" s="167" t="s">
        <v>69</v>
      </c>
      <c r="K42" s="167" t="s">
        <v>69</v>
      </c>
      <c r="L42" s="167" t="s">
        <v>69</v>
      </c>
      <c r="M42" s="167" t="s">
        <v>69</v>
      </c>
      <c r="N42" s="167" t="s">
        <v>69</v>
      </c>
      <c r="O42" s="167">
        <v>3</v>
      </c>
      <c r="P42" s="167" t="s">
        <v>69</v>
      </c>
      <c r="Q42" s="167">
        <v>2</v>
      </c>
      <c r="R42" s="167" t="s">
        <v>69</v>
      </c>
      <c r="S42" s="167">
        <v>3</v>
      </c>
      <c r="T42" s="167" t="s">
        <v>69</v>
      </c>
      <c r="U42" s="167" t="s">
        <v>69</v>
      </c>
      <c r="V42" s="167" t="s">
        <v>69</v>
      </c>
      <c r="W42" s="167" t="s">
        <v>69</v>
      </c>
      <c r="X42" s="167" t="s">
        <v>69</v>
      </c>
      <c r="Y42" s="167" t="s">
        <v>69</v>
      </c>
      <c r="Z42" s="167" t="s">
        <v>69</v>
      </c>
      <c r="AA42" s="167" t="s">
        <v>69</v>
      </c>
      <c r="AB42" s="167" t="s">
        <v>69</v>
      </c>
      <c r="AC42" s="167" t="s">
        <v>69</v>
      </c>
      <c r="AD42" s="167" t="s">
        <v>69</v>
      </c>
      <c r="AE42" s="167" t="s">
        <v>69</v>
      </c>
      <c r="AF42" s="167" t="s">
        <v>69</v>
      </c>
      <c r="AG42" s="167" t="s">
        <v>69</v>
      </c>
      <c r="AH42" s="167" t="s">
        <v>69</v>
      </c>
      <c r="AI42" s="167" t="s">
        <v>69</v>
      </c>
      <c r="AJ42" s="167" t="s">
        <v>69</v>
      </c>
      <c r="AK42" s="167" t="s">
        <v>69</v>
      </c>
      <c r="AL42" s="167" t="s">
        <v>69</v>
      </c>
      <c r="AM42" s="167" t="s">
        <v>69</v>
      </c>
      <c r="AN42" s="167" t="s">
        <v>69</v>
      </c>
      <c r="AO42" s="167" t="s">
        <v>69</v>
      </c>
      <c r="AP42" s="167" t="s">
        <v>69</v>
      </c>
      <c r="AQ42" s="167" t="s">
        <v>69</v>
      </c>
      <c r="AR42" s="167">
        <v>3</v>
      </c>
      <c r="AS42" s="167">
        <v>4</v>
      </c>
      <c r="AT42" s="167" t="s">
        <v>69</v>
      </c>
      <c r="AU42" s="167">
        <v>3</v>
      </c>
      <c r="AV42" s="167">
        <v>4</v>
      </c>
      <c r="AW42" s="167" t="s">
        <v>69</v>
      </c>
      <c r="AX42" s="167">
        <v>4</v>
      </c>
      <c r="AY42" s="167" t="s">
        <v>69</v>
      </c>
      <c r="AZ42" s="167" t="s">
        <v>69</v>
      </c>
      <c r="BA42" s="167" t="s">
        <v>69</v>
      </c>
      <c r="BB42" s="167" t="s">
        <v>69</v>
      </c>
      <c r="BC42" s="167" t="s">
        <v>69</v>
      </c>
      <c r="BD42" s="167">
        <v>4</v>
      </c>
      <c r="BE42" s="167">
        <v>4</v>
      </c>
      <c r="BF42" s="167" t="s">
        <v>69</v>
      </c>
      <c r="BG42" s="167" t="s">
        <v>69</v>
      </c>
      <c r="BH42" s="167" t="s">
        <v>69</v>
      </c>
      <c r="BI42" s="167" t="s">
        <v>69</v>
      </c>
      <c r="BJ42" s="167" t="s">
        <v>69</v>
      </c>
      <c r="BK42" s="167" t="s">
        <v>69</v>
      </c>
      <c r="BL42" s="167" t="s">
        <v>69</v>
      </c>
      <c r="BM42" s="167" t="s">
        <v>69</v>
      </c>
      <c r="BN42" s="167" t="s">
        <v>69</v>
      </c>
      <c r="BO42" s="167" t="s">
        <v>69</v>
      </c>
      <c r="BP42" s="167" t="s">
        <v>69</v>
      </c>
      <c r="BQ42" s="167" t="s">
        <v>69</v>
      </c>
      <c r="BR42" s="167">
        <v>4</v>
      </c>
      <c r="BS42" s="167" t="s">
        <v>69</v>
      </c>
      <c r="BT42" s="167" t="s">
        <v>69</v>
      </c>
      <c r="BU42" s="167" t="s">
        <v>69</v>
      </c>
      <c r="BV42" s="167" t="s">
        <v>69</v>
      </c>
      <c r="BW42" s="167" t="s">
        <v>69</v>
      </c>
      <c r="BX42" s="167" t="s">
        <v>69</v>
      </c>
      <c r="BY42" s="167">
        <v>3</v>
      </c>
      <c r="BZ42" s="167">
        <v>3</v>
      </c>
      <c r="CA42" s="167" t="s">
        <v>69</v>
      </c>
      <c r="CB42" s="167" t="s">
        <v>69</v>
      </c>
      <c r="CC42" s="167" t="s">
        <v>69</v>
      </c>
      <c r="CD42" s="167" t="s">
        <v>69</v>
      </c>
      <c r="CE42" s="167" t="s">
        <v>69</v>
      </c>
      <c r="CF42" s="167" t="s">
        <v>69</v>
      </c>
      <c r="CG42" s="167">
        <v>4</v>
      </c>
      <c r="CH42" s="167" t="s">
        <v>69</v>
      </c>
      <c r="CI42" s="167" t="s">
        <v>69</v>
      </c>
      <c r="CJ42" s="167" t="s">
        <v>69</v>
      </c>
      <c r="CK42" s="167" t="s">
        <v>69</v>
      </c>
      <c r="CL42" s="167" t="s">
        <v>69</v>
      </c>
      <c r="CM42" s="167" t="s">
        <v>69</v>
      </c>
      <c r="CN42" s="167">
        <v>4</v>
      </c>
      <c r="CO42" s="167">
        <v>4</v>
      </c>
      <c r="CP42" s="167">
        <v>4</v>
      </c>
      <c r="CQ42" s="167">
        <v>4</v>
      </c>
      <c r="CR42" s="167" t="s">
        <v>69</v>
      </c>
      <c r="CS42" s="167" t="s">
        <v>69</v>
      </c>
      <c r="CT42" s="167" t="s">
        <v>69</v>
      </c>
      <c r="CU42" s="167">
        <v>3</v>
      </c>
      <c r="CV42" s="167" t="s">
        <v>69</v>
      </c>
      <c r="CW42" s="167" t="s">
        <v>69</v>
      </c>
      <c r="CX42" s="167" t="s">
        <v>69</v>
      </c>
      <c r="CY42" s="167" t="s">
        <v>69</v>
      </c>
      <c r="CZ42" s="167" t="s">
        <v>69</v>
      </c>
      <c r="DA42" s="167" t="s">
        <v>69</v>
      </c>
      <c r="DB42" s="167" t="s">
        <v>69</v>
      </c>
      <c r="DC42" s="167" t="s">
        <v>69</v>
      </c>
      <c r="DD42" s="167" t="s">
        <v>69</v>
      </c>
      <c r="DE42" s="167" t="s">
        <v>69</v>
      </c>
      <c r="DF42" s="167" t="s">
        <v>69</v>
      </c>
      <c r="DG42" s="167" t="s">
        <v>69</v>
      </c>
      <c r="DH42" s="167" t="s">
        <v>69</v>
      </c>
      <c r="DI42" s="167" t="s">
        <v>69</v>
      </c>
      <c r="DJ42" s="167" t="s">
        <v>69</v>
      </c>
      <c r="DK42" s="167" t="s">
        <v>69</v>
      </c>
      <c r="DL42" s="167" t="s">
        <v>69</v>
      </c>
      <c r="DM42" s="167" t="s">
        <v>69</v>
      </c>
      <c r="DN42" s="167" t="s">
        <v>69</v>
      </c>
      <c r="DO42" s="167" t="s">
        <v>69</v>
      </c>
      <c r="DP42" s="167" t="s">
        <v>69</v>
      </c>
      <c r="DQ42" s="167" t="s">
        <v>69</v>
      </c>
      <c r="DR42" s="167" t="s">
        <v>69</v>
      </c>
      <c r="DS42" s="167" t="s">
        <v>69</v>
      </c>
      <c r="DT42" s="167">
        <v>3</v>
      </c>
      <c r="DU42" s="167">
        <v>3</v>
      </c>
      <c r="DV42" s="110">
        <f t="shared" si="0"/>
        <v>0.35483870967741937</v>
      </c>
      <c r="DW42" s="104">
        <f t="shared" si="1"/>
        <v>0.95454545454545459</v>
      </c>
    </row>
    <row r="43" spans="1:127" ht="42" hidden="1" customHeight="1" thickBot="1">
      <c r="A43" s="250" t="s">
        <v>427</v>
      </c>
      <c r="B43" s="242" t="s">
        <v>428</v>
      </c>
      <c r="C43" s="208" t="s">
        <v>607</v>
      </c>
      <c r="D43" s="220" t="s">
        <v>434</v>
      </c>
      <c r="E43" s="256" t="s">
        <v>898</v>
      </c>
      <c r="F43" s="167" t="s">
        <v>69</v>
      </c>
      <c r="G43" s="167" t="s">
        <v>69</v>
      </c>
      <c r="H43" s="167" t="s">
        <v>69</v>
      </c>
      <c r="I43" s="167" t="s">
        <v>69</v>
      </c>
      <c r="J43" s="167" t="s">
        <v>69</v>
      </c>
      <c r="K43" s="167" t="s">
        <v>69</v>
      </c>
      <c r="L43" s="167" t="s">
        <v>69</v>
      </c>
      <c r="M43" s="167" t="s">
        <v>69</v>
      </c>
      <c r="N43" s="167" t="s">
        <v>69</v>
      </c>
      <c r="O43" s="167">
        <v>3</v>
      </c>
      <c r="P43" s="167" t="s">
        <v>69</v>
      </c>
      <c r="Q43" s="167" t="s">
        <v>69</v>
      </c>
      <c r="R43" s="167">
        <v>3</v>
      </c>
      <c r="S43" s="167" t="s">
        <v>69</v>
      </c>
      <c r="T43" s="167" t="s">
        <v>69</v>
      </c>
      <c r="U43" s="167" t="s">
        <v>69</v>
      </c>
      <c r="V43" s="167" t="s">
        <v>69</v>
      </c>
      <c r="W43" s="167" t="s">
        <v>69</v>
      </c>
      <c r="X43" s="167" t="s">
        <v>69</v>
      </c>
      <c r="Y43" s="167" t="s">
        <v>69</v>
      </c>
      <c r="Z43" s="167">
        <v>4</v>
      </c>
      <c r="AA43" s="167" t="s">
        <v>69</v>
      </c>
      <c r="AB43" s="167" t="s">
        <v>69</v>
      </c>
      <c r="AC43" s="167" t="s">
        <v>69</v>
      </c>
      <c r="AD43" s="167" t="s">
        <v>69</v>
      </c>
      <c r="AE43" s="167" t="s">
        <v>69</v>
      </c>
      <c r="AF43" s="167" t="s">
        <v>69</v>
      </c>
      <c r="AG43" s="167" t="s">
        <v>69</v>
      </c>
      <c r="AH43" s="167" t="s">
        <v>69</v>
      </c>
      <c r="AI43" s="167" t="s">
        <v>69</v>
      </c>
      <c r="AJ43" s="167" t="s">
        <v>69</v>
      </c>
      <c r="AK43" s="167" t="s">
        <v>69</v>
      </c>
      <c r="AL43" s="167">
        <v>3</v>
      </c>
      <c r="AM43" s="167">
        <v>4</v>
      </c>
      <c r="AN43" s="167">
        <v>4</v>
      </c>
      <c r="AO43" s="167">
        <v>4</v>
      </c>
      <c r="AP43" s="167">
        <v>4</v>
      </c>
      <c r="AQ43" s="167" t="s">
        <v>69</v>
      </c>
      <c r="AR43" s="167" t="s">
        <v>69</v>
      </c>
      <c r="AS43" s="167" t="s">
        <v>69</v>
      </c>
      <c r="AT43" s="167" t="s">
        <v>69</v>
      </c>
      <c r="AU43" s="167" t="s">
        <v>69</v>
      </c>
      <c r="AV43" s="167" t="s">
        <v>69</v>
      </c>
      <c r="AW43" s="167" t="s">
        <v>69</v>
      </c>
      <c r="AX43" s="167" t="s">
        <v>69</v>
      </c>
      <c r="AY43" s="167" t="s">
        <v>69</v>
      </c>
      <c r="AZ43" s="167" t="s">
        <v>69</v>
      </c>
      <c r="BA43" s="167" t="s">
        <v>69</v>
      </c>
      <c r="BB43" s="167" t="s">
        <v>69</v>
      </c>
      <c r="BC43" s="167" t="s">
        <v>69</v>
      </c>
      <c r="BD43" s="167" t="s">
        <v>69</v>
      </c>
      <c r="BE43" s="167" t="s">
        <v>69</v>
      </c>
      <c r="BF43" s="167">
        <v>3</v>
      </c>
      <c r="BG43" s="167" t="s">
        <v>69</v>
      </c>
      <c r="BH43" s="167" t="s">
        <v>69</v>
      </c>
      <c r="BI43" s="167" t="s">
        <v>69</v>
      </c>
      <c r="BJ43" s="167" t="s">
        <v>69</v>
      </c>
      <c r="BK43" s="167" t="s">
        <v>69</v>
      </c>
      <c r="BL43" s="167" t="s">
        <v>69</v>
      </c>
      <c r="BM43" s="167" t="s">
        <v>69</v>
      </c>
      <c r="BN43" s="167">
        <v>2</v>
      </c>
      <c r="BO43" s="167" t="s">
        <v>69</v>
      </c>
      <c r="BP43" s="167">
        <v>2</v>
      </c>
      <c r="BQ43" s="167" t="s">
        <v>69</v>
      </c>
      <c r="BR43" s="167" t="s">
        <v>69</v>
      </c>
      <c r="BS43" s="167" t="s">
        <v>69</v>
      </c>
      <c r="BT43" s="167" t="s">
        <v>69</v>
      </c>
      <c r="BU43" s="167" t="s">
        <v>69</v>
      </c>
      <c r="BV43" s="167" t="s">
        <v>69</v>
      </c>
      <c r="BW43" s="167" t="s">
        <v>69</v>
      </c>
      <c r="BX43" s="167" t="s">
        <v>69</v>
      </c>
      <c r="BY43" s="167" t="s">
        <v>69</v>
      </c>
      <c r="BZ43" s="167" t="s">
        <v>69</v>
      </c>
      <c r="CA43" s="167" t="s">
        <v>69</v>
      </c>
      <c r="CB43" s="167" t="s">
        <v>69</v>
      </c>
      <c r="CC43" s="167" t="s">
        <v>69</v>
      </c>
      <c r="CD43" s="167" t="s">
        <v>69</v>
      </c>
      <c r="CE43" s="167" t="s">
        <v>69</v>
      </c>
      <c r="CF43" s="167" t="s">
        <v>69</v>
      </c>
      <c r="CG43" s="167">
        <v>3</v>
      </c>
      <c r="CH43" s="167" t="s">
        <v>69</v>
      </c>
      <c r="CI43" s="167" t="s">
        <v>69</v>
      </c>
      <c r="CJ43" s="167" t="s">
        <v>69</v>
      </c>
      <c r="CK43" s="167" t="s">
        <v>69</v>
      </c>
      <c r="CL43" s="167" t="s">
        <v>69</v>
      </c>
      <c r="CM43" s="167" t="s">
        <v>69</v>
      </c>
      <c r="CN43" s="167">
        <v>3</v>
      </c>
      <c r="CO43" s="167" t="s">
        <v>69</v>
      </c>
      <c r="CP43" s="167">
        <v>4</v>
      </c>
      <c r="CQ43" s="167" t="s">
        <v>69</v>
      </c>
      <c r="CR43" s="167" t="s">
        <v>69</v>
      </c>
      <c r="CS43" s="167" t="s">
        <v>69</v>
      </c>
      <c r="CT43" s="167">
        <v>3</v>
      </c>
      <c r="CU43" s="167" t="s">
        <v>69</v>
      </c>
      <c r="CV43" s="167">
        <v>2</v>
      </c>
      <c r="CW43" s="167" t="s">
        <v>69</v>
      </c>
      <c r="CX43" s="167" t="s">
        <v>69</v>
      </c>
      <c r="CY43" s="167" t="s">
        <v>69</v>
      </c>
      <c r="CZ43" s="167" t="s">
        <v>69</v>
      </c>
      <c r="DA43" s="167">
        <v>3</v>
      </c>
      <c r="DB43" s="167" t="s">
        <v>69</v>
      </c>
      <c r="DC43" s="167">
        <v>3</v>
      </c>
      <c r="DD43" s="167">
        <v>3</v>
      </c>
      <c r="DE43" s="167" t="s">
        <v>69</v>
      </c>
      <c r="DF43" s="167">
        <v>4</v>
      </c>
      <c r="DG43" s="167" t="s">
        <v>69</v>
      </c>
      <c r="DH43" s="167" t="s">
        <v>69</v>
      </c>
      <c r="DI43" s="167" t="s">
        <v>69</v>
      </c>
      <c r="DJ43" s="167" t="s">
        <v>69</v>
      </c>
      <c r="DK43" s="167" t="s">
        <v>69</v>
      </c>
      <c r="DL43" s="167" t="s">
        <v>69</v>
      </c>
      <c r="DM43" s="167">
        <v>2</v>
      </c>
      <c r="DN43" s="167" t="s">
        <v>69</v>
      </c>
      <c r="DO43" s="167" t="s">
        <v>69</v>
      </c>
      <c r="DP43" s="167" t="s">
        <v>69</v>
      </c>
      <c r="DQ43" s="167" t="s">
        <v>69</v>
      </c>
      <c r="DR43" s="167" t="s">
        <v>69</v>
      </c>
      <c r="DS43" s="167" t="s">
        <v>69</v>
      </c>
      <c r="DT43" s="167" t="s">
        <v>69</v>
      </c>
      <c r="DU43" s="167">
        <v>3</v>
      </c>
      <c r="DV43" s="110">
        <f t="shared" si="0"/>
        <v>0.35483870967741937</v>
      </c>
      <c r="DW43" s="104">
        <f t="shared" si="1"/>
        <v>0.81818181818181823</v>
      </c>
    </row>
    <row r="44" spans="1:127" ht="42" hidden="1" customHeight="1" thickBot="1">
      <c r="A44" s="250" t="s">
        <v>287</v>
      </c>
      <c r="B44" s="242" t="s">
        <v>288</v>
      </c>
      <c r="C44" s="208" t="s">
        <v>607</v>
      </c>
      <c r="D44" s="220" t="s">
        <v>434</v>
      </c>
      <c r="E44" s="256" t="s">
        <v>898</v>
      </c>
      <c r="F44" s="167">
        <v>3</v>
      </c>
      <c r="G44" s="167" t="s">
        <v>69</v>
      </c>
      <c r="H44" s="167" t="s">
        <v>69</v>
      </c>
      <c r="I44" s="167" t="s">
        <v>69</v>
      </c>
      <c r="J44" s="167" t="s">
        <v>69</v>
      </c>
      <c r="K44" s="167">
        <v>2</v>
      </c>
      <c r="L44" s="167" t="s">
        <v>69</v>
      </c>
      <c r="M44" s="167" t="s">
        <v>69</v>
      </c>
      <c r="N44" s="167" t="s">
        <v>69</v>
      </c>
      <c r="O44" s="167">
        <v>3</v>
      </c>
      <c r="P44" s="167" t="s">
        <v>69</v>
      </c>
      <c r="Q44" s="167">
        <v>3</v>
      </c>
      <c r="R44" s="167" t="s">
        <v>69</v>
      </c>
      <c r="S44" s="167" t="s">
        <v>69</v>
      </c>
      <c r="T44" s="167" t="s">
        <v>69</v>
      </c>
      <c r="U44" s="167" t="s">
        <v>69</v>
      </c>
      <c r="V44" s="167" t="s">
        <v>69</v>
      </c>
      <c r="W44" s="167" t="s">
        <v>69</v>
      </c>
      <c r="X44" s="167" t="s">
        <v>69</v>
      </c>
      <c r="Y44" s="167" t="s">
        <v>69</v>
      </c>
      <c r="Z44" s="167" t="s">
        <v>69</v>
      </c>
      <c r="AA44" s="167">
        <v>4</v>
      </c>
      <c r="AB44" s="167" t="s">
        <v>69</v>
      </c>
      <c r="AC44" s="167" t="s">
        <v>69</v>
      </c>
      <c r="AD44" s="167" t="s">
        <v>69</v>
      </c>
      <c r="AE44" s="167" t="s">
        <v>69</v>
      </c>
      <c r="AF44" s="167">
        <v>4</v>
      </c>
      <c r="AG44" s="167" t="s">
        <v>69</v>
      </c>
      <c r="AH44" s="167" t="s">
        <v>69</v>
      </c>
      <c r="AI44" s="167" t="s">
        <v>69</v>
      </c>
      <c r="AJ44" s="167" t="s">
        <v>69</v>
      </c>
      <c r="AK44" s="167" t="s">
        <v>69</v>
      </c>
      <c r="AL44" s="167">
        <v>3</v>
      </c>
      <c r="AM44" s="167" t="s">
        <v>69</v>
      </c>
      <c r="AN44" s="167">
        <v>4</v>
      </c>
      <c r="AO44" s="167" t="s">
        <v>69</v>
      </c>
      <c r="AP44" s="167">
        <v>3</v>
      </c>
      <c r="AQ44" s="167" t="s">
        <v>69</v>
      </c>
      <c r="AR44" s="167">
        <v>4</v>
      </c>
      <c r="AS44" s="167">
        <v>4</v>
      </c>
      <c r="AT44" s="167" t="s">
        <v>69</v>
      </c>
      <c r="AU44" s="167">
        <v>4</v>
      </c>
      <c r="AV44" s="167">
        <v>4</v>
      </c>
      <c r="AW44" s="167" t="s">
        <v>69</v>
      </c>
      <c r="AX44" s="167">
        <v>4</v>
      </c>
      <c r="AY44" s="167">
        <v>4</v>
      </c>
      <c r="AZ44" s="167" t="s">
        <v>69</v>
      </c>
      <c r="BA44" s="167">
        <v>3</v>
      </c>
      <c r="BB44" s="167">
        <v>3</v>
      </c>
      <c r="BC44" s="167" t="s">
        <v>69</v>
      </c>
      <c r="BD44" s="167" t="s">
        <v>69</v>
      </c>
      <c r="BE44" s="167">
        <v>4</v>
      </c>
      <c r="BF44" s="167" t="s">
        <v>69</v>
      </c>
      <c r="BG44" s="167" t="s">
        <v>69</v>
      </c>
      <c r="BH44" s="167" t="s">
        <v>69</v>
      </c>
      <c r="BI44" s="167" t="s">
        <v>69</v>
      </c>
      <c r="BJ44" s="167">
        <v>4</v>
      </c>
      <c r="BK44" s="167">
        <v>2</v>
      </c>
      <c r="BL44" s="167" t="s">
        <v>69</v>
      </c>
      <c r="BM44" s="167" t="s">
        <v>69</v>
      </c>
      <c r="BN44" s="167" t="s">
        <v>69</v>
      </c>
      <c r="BO44" s="167" t="s">
        <v>69</v>
      </c>
      <c r="BP44" s="167" t="s">
        <v>69</v>
      </c>
      <c r="BQ44" s="167" t="s">
        <v>69</v>
      </c>
      <c r="BR44" s="167">
        <v>4</v>
      </c>
      <c r="BS44" s="167" t="s">
        <v>69</v>
      </c>
      <c r="BT44" s="167" t="s">
        <v>69</v>
      </c>
      <c r="BU44" s="167" t="s">
        <v>69</v>
      </c>
      <c r="BV44" s="167" t="s">
        <v>69</v>
      </c>
      <c r="BW44" s="167" t="s">
        <v>69</v>
      </c>
      <c r="BX44" s="167" t="s">
        <v>69</v>
      </c>
      <c r="BY44" s="167">
        <v>4</v>
      </c>
      <c r="BZ44" s="167">
        <v>4</v>
      </c>
      <c r="CA44" s="167" t="s">
        <v>69</v>
      </c>
      <c r="CB44" s="167" t="s">
        <v>69</v>
      </c>
      <c r="CC44" s="167" t="s">
        <v>69</v>
      </c>
      <c r="CD44" s="167" t="s">
        <v>69</v>
      </c>
      <c r="CE44" s="167" t="s">
        <v>69</v>
      </c>
      <c r="CF44" s="167" t="s">
        <v>69</v>
      </c>
      <c r="CG44" s="167">
        <v>4</v>
      </c>
      <c r="CH44" s="167" t="s">
        <v>69</v>
      </c>
      <c r="CI44" s="167">
        <v>2</v>
      </c>
      <c r="CJ44" s="167">
        <v>2</v>
      </c>
      <c r="CK44" s="167">
        <v>3</v>
      </c>
      <c r="CL44" s="167" t="s">
        <v>69</v>
      </c>
      <c r="CM44" s="167">
        <v>3</v>
      </c>
      <c r="CN44" s="167">
        <v>3</v>
      </c>
      <c r="CO44" s="167">
        <v>3</v>
      </c>
      <c r="CP44" s="167">
        <v>3</v>
      </c>
      <c r="CQ44" s="167" t="s">
        <v>69</v>
      </c>
      <c r="CR44" s="167" t="s">
        <v>69</v>
      </c>
      <c r="CS44" s="167" t="s">
        <v>69</v>
      </c>
      <c r="CT44" s="167" t="s">
        <v>69</v>
      </c>
      <c r="CU44" s="167" t="s">
        <v>69</v>
      </c>
      <c r="CV44" s="167" t="s">
        <v>69</v>
      </c>
      <c r="CW44" s="167" t="s">
        <v>69</v>
      </c>
      <c r="CX44" s="167">
        <v>3</v>
      </c>
      <c r="CY44" s="167" t="s">
        <v>69</v>
      </c>
      <c r="CZ44" s="167" t="s">
        <v>69</v>
      </c>
      <c r="DA44" s="167" t="s">
        <v>69</v>
      </c>
      <c r="DB44" s="167" t="s">
        <v>69</v>
      </c>
      <c r="DC44" s="167" t="s">
        <v>69</v>
      </c>
      <c r="DD44" s="167" t="s">
        <v>69</v>
      </c>
      <c r="DE44" s="167" t="s">
        <v>69</v>
      </c>
      <c r="DF44" s="167" t="s">
        <v>69</v>
      </c>
      <c r="DG44" s="167" t="s">
        <v>69</v>
      </c>
      <c r="DH44" s="167" t="s">
        <v>69</v>
      </c>
      <c r="DI44" s="167" t="s">
        <v>69</v>
      </c>
      <c r="DJ44" s="167" t="s">
        <v>69</v>
      </c>
      <c r="DK44" s="167">
        <v>3</v>
      </c>
      <c r="DL44" s="167" t="s">
        <v>69</v>
      </c>
      <c r="DM44" s="167" t="s">
        <v>69</v>
      </c>
      <c r="DN44" s="167" t="s">
        <v>69</v>
      </c>
      <c r="DO44" s="167" t="s">
        <v>69</v>
      </c>
      <c r="DP44" s="167" t="s">
        <v>69</v>
      </c>
      <c r="DQ44" s="167" t="s">
        <v>69</v>
      </c>
      <c r="DR44" s="167" t="s">
        <v>69</v>
      </c>
      <c r="DS44" s="167" t="s">
        <v>69</v>
      </c>
      <c r="DT44" s="167">
        <v>2</v>
      </c>
      <c r="DU44" s="167">
        <v>4</v>
      </c>
      <c r="DV44" s="110">
        <f t="shared" si="0"/>
        <v>0.56451612903225812</v>
      </c>
      <c r="DW44" s="104">
        <f t="shared" si="1"/>
        <v>0.8571428571428571</v>
      </c>
    </row>
    <row r="45" spans="1:127" ht="42" hidden="1" customHeight="1" thickBot="1">
      <c r="A45" s="250" t="s">
        <v>302</v>
      </c>
      <c r="B45" s="242" t="s">
        <v>303</v>
      </c>
      <c r="C45" s="208">
        <v>44953</v>
      </c>
      <c r="D45" s="220" t="s">
        <v>434</v>
      </c>
      <c r="E45" s="256" t="s">
        <v>898</v>
      </c>
      <c r="F45" s="167">
        <v>4</v>
      </c>
      <c r="G45" s="167">
        <v>4</v>
      </c>
      <c r="H45" s="167" t="s">
        <v>69</v>
      </c>
      <c r="I45" s="167" t="s">
        <v>69</v>
      </c>
      <c r="J45" s="167" t="s">
        <v>69</v>
      </c>
      <c r="K45" s="167" t="s">
        <v>69</v>
      </c>
      <c r="L45" s="167" t="s">
        <v>69</v>
      </c>
      <c r="M45" s="167" t="s">
        <v>69</v>
      </c>
      <c r="N45" s="167" t="s">
        <v>69</v>
      </c>
      <c r="O45" s="167" t="s">
        <v>69</v>
      </c>
      <c r="P45" s="167" t="s">
        <v>69</v>
      </c>
      <c r="Q45" s="167" t="s">
        <v>69</v>
      </c>
      <c r="R45" s="167" t="s">
        <v>69</v>
      </c>
      <c r="S45" s="167" t="s">
        <v>69</v>
      </c>
      <c r="T45" s="167" t="s">
        <v>69</v>
      </c>
      <c r="U45" s="167" t="s">
        <v>69</v>
      </c>
      <c r="V45" s="167" t="s">
        <v>69</v>
      </c>
      <c r="W45" s="167" t="s">
        <v>69</v>
      </c>
      <c r="X45" s="167">
        <v>4</v>
      </c>
      <c r="Y45" s="167">
        <v>4</v>
      </c>
      <c r="Z45" s="167" t="s">
        <v>69</v>
      </c>
      <c r="AA45" s="167" t="s">
        <v>69</v>
      </c>
      <c r="AB45" s="167" t="s">
        <v>69</v>
      </c>
      <c r="AC45" s="167">
        <v>4</v>
      </c>
      <c r="AD45" s="167" t="s">
        <v>69</v>
      </c>
      <c r="AE45" s="167" t="s">
        <v>69</v>
      </c>
      <c r="AF45" s="167" t="s">
        <v>69</v>
      </c>
      <c r="AG45" s="167" t="s">
        <v>69</v>
      </c>
      <c r="AH45" s="167" t="s">
        <v>69</v>
      </c>
      <c r="AI45" s="167" t="s">
        <v>69</v>
      </c>
      <c r="AJ45" s="167" t="s">
        <v>69</v>
      </c>
      <c r="AK45" s="167" t="s">
        <v>69</v>
      </c>
      <c r="AL45" s="167" t="s">
        <v>69</v>
      </c>
      <c r="AM45" s="167" t="s">
        <v>69</v>
      </c>
      <c r="AN45" s="167" t="s">
        <v>69</v>
      </c>
      <c r="AO45" s="167" t="s">
        <v>69</v>
      </c>
      <c r="AP45" s="167">
        <v>4</v>
      </c>
      <c r="AQ45" s="167">
        <v>4</v>
      </c>
      <c r="AR45" s="167">
        <v>3</v>
      </c>
      <c r="AS45" s="167">
        <v>3</v>
      </c>
      <c r="AT45" s="167" t="s">
        <v>69</v>
      </c>
      <c r="AU45" s="167">
        <v>4</v>
      </c>
      <c r="AV45" s="167">
        <v>4</v>
      </c>
      <c r="AW45" s="167">
        <v>4</v>
      </c>
      <c r="AX45" s="167">
        <v>4</v>
      </c>
      <c r="AY45" s="167">
        <v>4</v>
      </c>
      <c r="AZ45" s="167">
        <v>4</v>
      </c>
      <c r="BA45" s="167">
        <v>4</v>
      </c>
      <c r="BB45" s="167">
        <v>4</v>
      </c>
      <c r="BC45" s="167">
        <v>4</v>
      </c>
      <c r="BD45" s="167">
        <v>4</v>
      </c>
      <c r="BE45" s="167">
        <v>4</v>
      </c>
      <c r="BF45" s="167">
        <v>4</v>
      </c>
      <c r="BG45" s="167" t="s">
        <v>69</v>
      </c>
      <c r="BH45" s="167" t="s">
        <v>69</v>
      </c>
      <c r="BI45" s="167" t="s">
        <v>69</v>
      </c>
      <c r="BJ45" s="167" t="s">
        <v>69</v>
      </c>
      <c r="BK45" s="167">
        <v>4</v>
      </c>
      <c r="BL45" s="167" t="s">
        <v>69</v>
      </c>
      <c r="BM45" s="167" t="s">
        <v>69</v>
      </c>
      <c r="BN45" s="167" t="s">
        <v>69</v>
      </c>
      <c r="BO45" s="167" t="s">
        <v>69</v>
      </c>
      <c r="BP45" s="167" t="s">
        <v>69</v>
      </c>
      <c r="BQ45" s="167">
        <v>4</v>
      </c>
      <c r="BR45" s="167">
        <v>4</v>
      </c>
      <c r="BS45" s="167" t="s">
        <v>69</v>
      </c>
      <c r="BT45" s="167" t="s">
        <v>69</v>
      </c>
      <c r="BU45" s="167">
        <v>4</v>
      </c>
      <c r="BV45" s="167">
        <v>4</v>
      </c>
      <c r="BW45" s="167" t="s">
        <v>69</v>
      </c>
      <c r="BX45" s="167" t="s">
        <v>69</v>
      </c>
      <c r="BY45" s="167" t="s">
        <v>69</v>
      </c>
      <c r="BZ45" s="167">
        <v>4</v>
      </c>
      <c r="CA45" s="167" t="s">
        <v>69</v>
      </c>
      <c r="CB45" s="167" t="s">
        <v>69</v>
      </c>
      <c r="CC45" s="167" t="s">
        <v>69</v>
      </c>
      <c r="CD45" s="167" t="s">
        <v>69</v>
      </c>
      <c r="CE45" s="167" t="s">
        <v>69</v>
      </c>
      <c r="CF45" s="167" t="s">
        <v>69</v>
      </c>
      <c r="CG45" s="167">
        <v>4</v>
      </c>
      <c r="CH45" s="167" t="s">
        <v>69</v>
      </c>
      <c r="CI45" s="167" t="s">
        <v>69</v>
      </c>
      <c r="CJ45" s="167" t="s">
        <v>69</v>
      </c>
      <c r="CK45" s="167" t="s">
        <v>69</v>
      </c>
      <c r="CL45" s="167" t="s">
        <v>69</v>
      </c>
      <c r="CM45" s="167">
        <v>4</v>
      </c>
      <c r="CN45" s="167" t="s">
        <v>69</v>
      </c>
      <c r="CO45" s="167" t="s">
        <v>69</v>
      </c>
      <c r="CP45" s="167" t="s">
        <v>69</v>
      </c>
      <c r="CQ45" s="167" t="s">
        <v>69</v>
      </c>
      <c r="CR45" s="167">
        <v>4</v>
      </c>
      <c r="CS45" s="167" t="s">
        <v>69</v>
      </c>
      <c r="CT45" s="167" t="s">
        <v>69</v>
      </c>
      <c r="CU45" s="167" t="s">
        <v>69</v>
      </c>
      <c r="CV45" s="167" t="s">
        <v>69</v>
      </c>
      <c r="CW45" s="167" t="s">
        <v>69</v>
      </c>
      <c r="CX45" s="167" t="s">
        <v>69</v>
      </c>
      <c r="CY45" s="167" t="s">
        <v>69</v>
      </c>
      <c r="CZ45" s="167">
        <v>4</v>
      </c>
      <c r="DA45" s="167">
        <v>4</v>
      </c>
      <c r="DB45" s="167" t="s">
        <v>69</v>
      </c>
      <c r="DC45" s="167">
        <v>4</v>
      </c>
      <c r="DD45" s="167" t="s">
        <v>69</v>
      </c>
      <c r="DE45" s="167" t="s">
        <v>69</v>
      </c>
      <c r="DF45" s="167">
        <v>4</v>
      </c>
      <c r="DG45" s="167" t="s">
        <v>69</v>
      </c>
      <c r="DH45" s="167" t="s">
        <v>69</v>
      </c>
      <c r="DI45" s="167" t="s">
        <v>69</v>
      </c>
      <c r="DJ45" s="167" t="s">
        <v>69</v>
      </c>
      <c r="DK45" s="167" t="s">
        <v>69</v>
      </c>
      <c r="DL45" s="167" t="s">
        <v>69</v>
      </c>
      <c r="DM45" s="167" t="s">
        <v>69</v>
      </c>
      <c r="DN45" s="167" t="s">
        <v>69</v>
      </c>
      <c r="DO45" s="167" t="s">
        <v>69</v>
      </c>
      <c r="DP45" s="167" t="s">
        <v>69</v>
      </c>
      <c r="DQ45" s="167" t="s">
        <v>69</v>
      </c>
      <c r="DR45" s="167" t="s">
        <v>69</v>
      </c>
      <c r="DS45" s="167" t="s">
        <v>69</v>
      </c>
      <c r="DT45" s="167">
        <v>3</v>
      </c>
      <c r="DU45" s="167">
        <v>4</v>
      </c>
      <c r="DV45" s="110">
        <f t="shared" si="0"/>
        <v>0.58064516129032262</v>
      </c>
      <c r="DW45" s="104">
        <f t="shared" si="1"/>
        <v>1</v>
      </c>
    </row>
    <row r="46" spans="1:127" ht="42" hidden="1" customHeight="1" thickBot="1">
      <c r="A46" s="250" t="s">
        <v>537</v>
      </c>
      <c r="B46" s="242" t="s">
        <v>538</v>
      </c>
      <c r="C46" s="208">
        <v>45020</v>
      </c>
      <c r="D46" s="220" t="s">
        <v>434</v>
      </c>
      <c r="E46" s="256" t="s">
        <v>898</v>
      </c>
      <c r="F46" s="167">
        <v>4</v>
      </c>
      <c r="G46" s="167">
        <v>4</v>
      </c>
      <c r="H46" s="167">
        <v>4</v>
      </c>
      <c r="I46" s="167" t="s">
        <v>69</v>
      </c>
      <c r="J46" s="167">
        <v>4</v>
      </c>
      <c r="K46" s="167" t="s">
        <v>69</v>
      </c>
      <c r="L46" s="167" t="s">
        <v>69</v>
      </c>
      <c r="M46" s="167" t="s">
        <v>69</v>
      </c>
      <c r="N46" s="167" t="s">
        <v>69</v>
      </c>
      <c r="O46" s="167" t="s">
        <v>69</v>
      </c>
      <c r="P46" s="167" t="s">
        <v>69</v>
      </c>
      <c r="Q46" s="167" t="s">
        <v>69</v>
      </c>
      <c r="R46" s="167" t="s">
        <v>69</v>
      </c>
      <c r="S46" s="167" t="s">
        <v>69</v>
      </c>
      <c r="T46" s="167" t="s">
        <v>69</v>
      </c>
      <c r="U46" s="167" t="s">
        <v>69</v>
      </c>
      <c r="V46" s="167" t="s">
        <v>69</v>
      </c>
      <c r="W46" s="167" t="s">
        <v>69</v>
      </c>
      <c r="X46" s="167" t="s">
        <v>69</v>
      </c>
      <c r="Y46" s="167">
        <v>2</v>
      </c>
      <c r="Z46" s="167" t="s">
        <v>69</v>
      </c>
      <c r="AA46" s="167" t="s">
        <v>69</v>
      </c>
      <c r="AB46" s="167" t="s">
        <v>69</v>
      </c>
      <c r="AC46" s="167" t="s">
        <v>69</v>
      </c>
      <c r="AD46" s="167" t="s">
        <v>69</v>
      </c>
      <c r="AE46" s="167" t="s">
        <v>69</v>
      </c>
      <c r="AF46" s="167" t="s">
        <v>69</v>
      </c>
      <c r="AG46" s="167" t="s">
        <v>69</v>
      </c>
      <c r="AH46" s="167" t="s">
        <v>69</v>
      </c>
      <c r="AI46" s="167" t="s">
        <v>69</v>
      </c>
      <c r="AJ46" s="167" t="s">
        <v>69</v>
      </c>
      <c r="AK46" s="167" t="s">
        <v>69</v>
      </c>
      <c r="AL46" s="167" t="s">
        <v>69</v>
      </c>
      <c r="AM46" s="167" t="s">
        <v>69</v>
      </c>
      <c r="AN46" s="167" t="s">
        <v>69</v>
      </c>
      <c r="AO46" s="167" t="s">
        <v>69</v>
      </c>
      <c r="AP46" s="167" t="s">
        <v>69</v>
      </c>
      <c r="AQ46" s="167" t="s">
        <v>69</v>
      </c>
      <c r="AR46" s="167" t="s">
        <v>69</v>
      </c>
      <c r="AS46" s="167" t="s">
        <v>69</v>
      </c>
      <c r="AT46" s="167" t="s">
        <v>69</v>
      </c>
      <c r="AU46" s="167" t="s">
        <v>69</v>
      </c>
      <c r="AV46" s="167" t="s">
        <v>69</v>
      </c>
      <c r="AW46" s="167" t="s">
        <v>69</v>
      </c>
      <c r="AX46" s="167" t="s">
        <v>69</v>
      </c>
      <c r="AY46" s="167" t="s">
        <v>69</v>
      </c>
      <c r="AZ46" s="167" t="s">
        <v>69</v>
      </c>
      <c r="BA46" s="167" t="s">
        <v>69</v>
      </c>
      <c r="BB46" s="167" t="s">
        <v>69</v>
      </c>
      <c r="BC46" s="167" t="s">
        <v>69</v>
      </c>
      <c r="BD46" s="167" t="s">
        <v>69</v>
      </c>
      <c r="BE46" s="167" t="s">
        <v>69</v>
      </c>
      <c r="BF46" s="167" t="s">
        <v>69</v>
      </c>
      <c r="BG46" s="167" t="s">
        <v>69</v>
      </c>
      <c r="BH46" s="167" t="s">
        <v>69</v>
      </c>
      <c r="BI46" s="167" t="s">
        <v>69</v>
      </c>
      <c r="BJ46" s="167" t="s">
        <v>69</v>
      </c>
      <c r="BK46" s="167" t="s">
        <v>69</v>
      </c>
      <c r="BL46" s="167" t="s">
        <v>69</v>
      </c>
      <c r="BM46" s="167">
        <v>2</v>
      </c>
      <c r="BN46" s="167" t="s">
        <v>69</v>
      </c>
      <c r="BO46" s="167" t="s">
        <v>69</v>
      </c>
      <c r="BP46" s="167" t="s">
        <v>69</v>
      </c>
      <c r="BQ46" s="167" t="s">
        <v>69</v>
      </c>
      <c r="BR46" s="167" t="s">
        <v>69</v>
      </c>
      <c r="BS46" s="167">
        <v>4</v>
      </c>
      <c r="BT46" s="167" t="s">
        <v>69</v>
      </c>
      <c r="BU46" s="167" t="s">
        <v>69</v>
      </c>
      <c r="BV46" s="167" t="s">
        <v>69</v>
      </c>
      <c r="BW46" s="167" t="s">
        <v>69</v>
      </c>
      <c r="BX46" s="167" t="s">
        <v>69</v>
      </c>
      <c r="BY46" s="167" t="s">
        <v>69</v>
      </c>
      <c r="BZ46" s="167" t="s">
        <v>69</v>
      </c>
      <c r="CA46" s="167" t="s">
        <v>69</v>
      </c>
      <c r="CB46" s="167" t="s">
        <v>69</v>
      </c>
      <c r="CC46" s="167" t="s">
        <v>69</v>
      </c>
      <c r="CD46" s="167" t="s">
        <v>69</v>
      </c>
      <c r="CE46" s="167" t="s">
        <v>69</v>
      </c>
      <c r="CF46" s="167" t="s">
        <v>69</v>
      </c>
      <c r="CG46" s="167" t="s">
        <v>69</v>
      </c>
      <c r="CH46" s="167" t="s">
        <v>69</v>
      </c>
      <c r="CI46" s="167" t="s">
        <v>69</v>
      </c>
      <c r="CJ46" s="167" t="s">
        <v>69</v>
      </c>
      <c r="CK46" s="167" t="s">
        <v>69</v>
      </c>
      <c r="CL46" s="167" t="s">
        <v>69</v>
      </c>
      <c r="CM46" s="167" t="s">
        <v>69</v>
      </c>
      <c r="CN46" s="167" t="s">
        <v>69</v>
      </c>
      <c r="CO46" s="167" t="s">
        <v>69</v>
      </c>
      <c r="CP46" s="167">
        <v>3</v>
      </c>
      <c r="CQ46" s="167" t="s">
        <v>69</v>
      </c>
      <c r="CR46" s="167" t="s">
        <v>69</v>
      </c>
      <c r="CS46" s="167" t="s">
        <v>69</v>
      </c>
      <c r="CT46" s="167" t="s">
        <v>69</v>
      </c>
      <c r="CU46" s="167" t="s">
        <v>69</v>
      </c>
      <c r="CV46" s="167" t="s">
        <v>69</v>
      </c>
      <c r="CW46" s="167" t="s">
        <v>69</v>
      </c>
      <c r="CX46" s="167" t="s">
        <v>69</v>
      </c>
      <c r="CY46" s="167" t="s">
        <v>69</v>
      </c>
      <c r="CZ46" s="167" t="s">
        <v>69</v>
      </c>
      <c r="DA46" s="167" t="s">
        <v>69</v>
      </c>
      <c r="DB46" s="167" t="s">
        <v>69</v>
      </c>
      <c r="DC46" s="167" t="s">
        <v>69</v>
      </c>
      <c r="DD46" s="167" t="s">
        <v>69</v>
      </c>
      <c r="DE46" s="167" t="s">
        <v>69</v>
      </c>
      <c r="DF46" s="167" t="s">
        <v>69</v>
      </c>
      <c r="DG46" s="167" t="s">
        <v>69</v>
      </c>
      <c r="DH46" s="167" t="s">
        <v>69</v>
      </c>
      <c r="DI46" s="167" t="s">
        <v>69</v>
      </c>
      <c r="DJ46" s="167">
        <v>2</v>
      </c>
      <c r="DK46" s="167">
        <v>2</v>
      </c>
      <c r="DL46" s="167">
        <v>3</v>
      </c>
      <c r="DM46" s="167" t="s">
        <v>69</v>
      </c>
      <c r="DN46" s="167" t="s">
        <v>69</v>
      </c>
      <c r="DO46" s="167" t="s">
        <v>69</v>
      </c>
      <c r="DP46" s="167" t="s">
        <v>69</v>
      </c>
      <c r="DQ46" s="167" t="s">
        <v>69</v>
      </c>
      <c r="DR46" s="167" t="s">
        <v>69</v>
      </c>
      <c r="DS46" s="167" t="s">
        <v>69</v>
      </c>
      <c r="DT46" s="167" t="s">
        <v>69</v>
      </c>
      <c r="DU46" s="167">
        <v>2</v>
      </c>
      <c r="DV46" s="110">
        <f t="shared" si="0"/>
        <v>0.19354838709677419</v>
      </c>
      <c r="DW46" s="104">
        <f t="shared" si="1"/>
        <v>0.58333333333333337</v>
      </c>
    </row>
    <row r="47" spans="1:127" ht="42" hidden="1" customHeight="1" thickBot="1">
      <c r="A47" s="250" t="s">
        <v>542</v>
      </c>
      <c r="B47" s="242" t="s">
        <v>543</v>
      </c>
      <c r="C47" s="208">
        <v>44167</v>
      </c>
      <c r="D47" s="220" t="s">
        <v>434</v>
      </c>
      <c r="E47" s="256" t="s">
        <v>898</v>
      </c>
      <c r="F47" s="167" t="s">
        <v>69</v>
      </c>
      <c r="G47" s="167" t="s">
        <v>69</v>
      </c>
      <c r="H47" s="167" t="s">
        <v>69</v>
      </c>
      <c r="I47" s="167" t="s">
        <v>69</v>
      </c>
      <c r="J47" s="167" t="s">
        <v>69</v>
      </c>
      <c r="K47" s="167" t="s">
        <v>69</v>
      </c>
      <c r="L47" s="167" t="s">
        <v>69</v>
      </c>
      <c r="M47" s="167" t="s">
        <v>69</v>
      </c>
      <c r="N47" s="167" t="s">
        <v>69</v>
      </c>
      <c r="O47" s="167" t="s">
        <v>69</v>
      </c>
      <c r="P47" s="167" t="s">
        <v>69</v>
      </c>
      <c r="Q47" s="167" t="s">
        <v>69</v>
      </c>
      <c r="R47" s="167" t="s">
        <v>69</v>
      </c>
      <c r="S47" s="167" t="s">
        <v>69</v>
      </c>
      <c r="T47" s="167" t="s">
        <v>69</v>
      </c>
      <c r="U47" s="167" t="s">
        <v>69</v>
      </c>
      <c r="V47" s="167" t="s">
        <v>69</v>
      </c>
      <c r="W47" s="167" t="s">
        <v>69</v>
      </c>
      <c r="X47" s="167" t="s">
        <v>69</v>
      </c>
      <c r="Y47" s="167" t="s">
        <v>69</v>
      </c>
      <c r="Z47" s="167" t="s">
        <v>69</v>
      </c>
      <c r="AA47" s="167" t="s">
        <v>69</v>
      </c>
      <c r="AB47" s="167" t="s">
        <v>69</v>
      </c>
      <c r="AC47" s="167" t="s">
        <v>69</v>
      </c>
      <c r="AD47" s="167" t="s">
        <v>69</v>
      </c>
      <c r="AE47" s="167" t="s">
        <v>69</v>
      </c>
      <c r="AF47" s="167" t="s">
        <v>69</v>
      </c>
      <c r="AG47" s="167" t="s">
        <v>69</v>
      </c>
      <c r="AH47" s="167" t="s">
        <v>69</v>
      </c>
      <c r="AI47" s="167" t="s">
        <v>69</v>
      </c>
      <c r="AJ47" s="167" t="s">
        <v>69</v>
      </c>
      <c r="AK47" s="167" t="s">
        <v>69</v>
      </c>
      <c r="AL47" s="167" t="s">
        <v>69</v>
      </c>
      <c r="AM47" s="167" t="s">
        <v>69</v>
      </c>
      <c r="AN47" s="167" t="s">
        <v>69</v>
      </c>
      <c r="AO47" s="167" t="s">
        <v>69</v>
      </c>
      <c r="AP47" s="167" t="s">
        <v>69</v>
      </c>
      <c r="AQ47" s="167" t="s">
        <v>69</v>
      </c>
      <c r="AR47" s="167" t="s">
        <v>69</v>
      </c>
      <c r="AS47" s="167" t="s">
        <v>69</v>
      </c>
      <c r="AT47" s="167" t="s">
        <v>69</v>
      </c>
      <c r="AU47" s="167" t="s">
        <v>69</v>
      </c>
      <c r="AV47" s="167" t="s">
        <v>69</v>
      </c>
      <c r="AW47" s="167" t="s">
        <v>69</v>
      </c>
      <c r="AX47" s="167" t="s">
        <v>69</v>
      </c>
      <c r="AY47" s="167" t="s">
        <v>69</v>
      </c>
      <c r="AZ47" s="167" t="s">
        <v>69</v>
      </c>
      <c r="BA47" s="167" t="s">
        <v>69</v>
      </c>
      <c r="BB47" s="167" t="s">
        <v>69</v>
      </c>
      <c r="BC47" s="167" t="s">
        <v>69</v>
      </c>
      <c r="BD47" s="167" t="s">
        <v>69</v>
      </c>
      <c r="BE47" s="167" t="s">
        <v>69</v>
      </c>
      <c r="BF47" s="167" t="s">
        <v>69</v>
      </c>
      <c r="BG47" s="167" t="s">
        <v>69</v>
      </c>
      <c r="BH47" s="167" t="s">
        <v>69</v>
      </c>
      <c r="BI47" s="167" t="s">
        <v>69</v>
      </c>
      <c r="BJ47" s="167" t="s">
        <v>69</v>
      </c>
      <c r="BK47" s="167" t="s">
        <v>69</v>
      </c>
      <c r="BL47" s="167" t="s">
        <v>69</v>
      </c>
      <c r="BM47" s="167" t="s">
        <v>69</v>
      </c>
      <c r="BN47" s="167" t="s">
        <v>69</v>
      </c>
      <c r="BO47" s="167" t="s">
        <v>69</v>
      </c>
      <c r="BP47" s="167" t="s">
        <v>69</v>
      </c>
      <c r="BQ47" s="167" t="s">
        <v>69</v>
      </c>
      <c r="BR47" s="167">
        <v>3</v>
      </c>
      <c r="BS47" s="167" t="s">
        <v>69</v>
      </c>
      <c r="BT47" s="167" t="s">
        <v>69</v>
      </c>
      <c r="BU47" s="167" t="s">
        <v>69</v>
      </c>
      <c r="BV47" s="167" t="s">
        <v>69</v>
      </c>
      <c r="BW47" s="167" t="s">
        <v>69</v>
      </c>
      <c r="BX47" s="167" t="s">
        <v>69</v>
      </c>
      <c r="BY47" s="167" t="s">
        <v>69</v>
      </c>
      <c r="BZ47" s="167">
        <v>3</v>
      </c>
      <c r="CA47" s="167" t="s">
        <v>69</v>
      </c>
      <c r="CB47" s="167" t="s">
        <v>69</v>
      </c>
      <c r="CC47" s="167" t="s">
        <v>69</v>
      </c>
      <c r="CD47" s="167" t="s">
        <v>69</v>
      </c>
      <c r="CE47" s="167" t="s">
        <v>69</v>
      </c>
      <c r="CF47" s="167" t="s">
        <v>69</v>
      </c>
      <c r="CG47" s="167">
        <v>3</v>
      </c>
      <c r="CH47" s="167" t="s">
        <v>69</v>
      </c>
      <c r="CI47" s="167" t="s">
        <v>69</v>
      </c>
      <c r="CJ47" s="167" t="s">
        <v>69</v>
      </c>
      <c r="CK47" s="167">
        <v>2</v>
      </c>
      <c r="CL47" s="167" t="s">
        <v>69</v>
      </c>
      <c r="CM47" s="167">
        <v>3</v>
      </c>
      <c r="CN47" s="167">
        <v>4</v>
      </c>
      <c r="CO47" s="167">
        <v>4</v>
      </c>
      <c r="CP47" s="167">
        <v>4</v>
      </c>
      <c r="CQ47" s="167">
        <v>4</v>
      </c>
      <c r="CR47" s="167" t="s">
        <v>69</v>
      </c>
      <c r="CS47" s="167" t="s">
        <v>69</v>
      </c>
      <c r="CT47" s="167" t="s">
        <v>69</v>
      </c>
      <c r="CU47" s="167" t="s">
        <v>69</v>
      </c>
      <c r="CV47" s="167" t="s">
        <v>69</v>
      </c>
      <c r="CW47" s="167" t="s">
        <v>69</v>
      </c>
      <c r="CX47" s="167" t="s">
        <v>69</v>
      </c>
      <c r="CY47" s="167" t="s">
        <v>69</v>
      </c>
      <c r="CZ47" s="167" t="s">
        <v>69</v>
      </c>
      <c r="DA47" s="167" t="s">
        <v>69</v>
      </c>
      <c r="DB47" s="167" t="s">
        <v>69</v>
      </c>
      <c r="DC47" s="167" t="s">
        <v>69</v>
      </c>
      <c r="DD47" s="167" t="s">
        <v>69</v>
      </c>
      <c r="DE47" s="167" t="s">
        <v>69</v>
      </c>
      <c r="DF47" s="167" t="s">
        <v>69</v>
      </c>
      <c r="DG47" s="167" t="s">
        <v>69</v>
      </c>
      <c r="DH47" s="167" t="s">
        <v>69</v>
      </c>
      <c r="DI47" s="167" t="s">
        <v>69</v>
      </c>
      <c r="DJ47" s="167" t="s">
        <v>69</v>
      </c>
      <c r="DK47" s="167" t="s">
        <v>69</v>
      </c>
      <c r="DL47" s="167" t="s">
        <v>69</v>
      </c>
      <c r="DM47" s="167" t="s">
        <v>69</v>
      </c>
      <c r="DN47" s="167" t="s">
        <v>69</v>
      </c>
      <c r="DO47" s="167" t="s">
        <v>69</v>
      </c>
      <c r="DP47" s="167" t="s">
        <v>69</v>
      </c>
      <c r="DQ47" s="167" t="s">
        <v>69</v>
      </c>
      <c r="DR47" s="167" t="s">
        <v>69</v>
      </c>
      <c r="DS47" s="167" t="s">
        <v>69</v>
      </c>
      <c r="DT47" s="167">
        <v>2</v>
      </c>
      <c r="DU47" s="167">
        <v>2</v>
      </c>
      <c r="DV47" s="110">
        <f t="shared" si="0"/>
        <v>0.17741935483870969</v>
      </c>
      <c r="DW47" s="104">
        <f t="shared" si="1"/>
        <v>0.72727272727272729</v>
      </c>
    </row>
    <row r="48" spans="1:127" ht="42" hidden="1" customHeight="1" thickBot="1">
      <c r="A48" s="250" t="s">
        <v>628</v>
      </c>
      <c r="B48" s="242" t="s">
        <v>545</v>
      </c>
      <c r="C48" s="208">
        <v>45449</v>
      </c>
      <c r="D48" s="220" t="s">
        <v>434</v>
      </c>
      <c r="E48" s="256" t="s">
        <v>898</v>
      </c>
      <c r="F48" s="167" t="s">
        <v>69</v>
      </c>
      <c r="G48" s="167" t="s">
        <v>69</v>
      </c>
      <c r="H48" s="167" t="s">
        <v>69</v>
      </c>
      <c r="I48" s="167" t="s">
        <v>69</v>
      </c>
      <c r="J48" s="167" t="s">
        <v>69</v>
      </c>
      <c r="K48" s="167" t="s">
        <v>69</v>
      </c>
      <c r="L48" s="167" t="s">
        <v>69</v>
      </c>
      <c r="M48" s="167" t="s">
        <v>69</v>
      </c>
      <c r="N48" s="167" t="s">
        <v>69</v>
      </c>
      <c r="O48" s="167" t="s">
        <v>69</v>
      </c>
      <c r="P48" s="167" t="s">
        <v>69</v>
      </c>
      <c r="Q48" s="167" t="s">
        <v>69</v>
      </c>
      <c r="R48" s="167" t="s">
        <v>69</v>
      </c>
      <c r="S48" s="167" t="s">
        <v>69</v>
      </c>
      <c r="T48" s="167" t="s">
        <v>69</v>
      </c>
      <c r="U48" s="167" t="s">
        <v>69</v>
      </c>
      <c r="V48" s="167" t="s">
        <v>69</v>
      </c>
      <c r="W48" s="167" t="s">
        <v>69</v>
      </c>
      <c r="X48" s="167" t="s">
        <v>69</v>
      </c>
      <c r="Y48" s="167" t="s">
        <v>69</v>
      </c>
      <c r="Z48" s="167" t="s">
        <v>69</v>
      </c>
      <c r="AA48" s="167" t="s">
        <v>69</v>
      </c>
      <c r="AB48" s="167" t="s">
        <v>69</v>
      </c>
      <c r="AC48" s="167" t="s">
        <v>69</v>
      </c>
      <c r="AD48" s="167" t="s">
        <v>69</v>
      </c>
      <c r="AE48" s="167" t="s">
        <v>69</v>
      </c>
      <c r="AF48" s="167" t="s">
        <v>69</v>
      </c>
      <c r="AG48" s="167" t="s">
        <v>69</v>
      </c>
      <c r="AH48" s="167" t="s">
        <v>69</v>
      </c>
      <c r="AI48" s="167" t="s">
        <v>69</v>
      </c>
      <c r="AJ48" s="167" t="s">
        <v>69</v>
      </c>
      <c r="AK48" s="167" t="s">
        <v>69</v>
      </c>
      <c r="AL48" s="167">
        <v>4</v>
      </c>
      <c r="AM48" s="167">
        <v>3</v>
      </c>
      <c r="AN48" s="167">
        <v>3</v>
      </c>
      <c r="AO48" s="167">
        <v>3</v>
      </c>
      <c r="AP48" s="167">
        <v>3</v>
      </c>
      <c r="AQ48" s="167" t="s">
        <v>69</v>
      </c>
      <c r="AR48" s="167" t="s">
        <v>69</v>
      </c>
      <c r="AS48" s="167" t="s">
        <v>69</v>
      </c>
      <c r="AT48" s="167" t="s">
        <v>69</v>
      </c>
      <c r="AU48" s="167" t="s">
        <v>69</v>
      </c>
      <c r="AV48" s="167" t="s">
        <v>69</v>
      </c>
      <c r="AW48" s="167" t="s">
        <v>69</v>
      </c>
      <c r="AX48" s="167" t="s">
        <v>69</v>
      </c>
      <c r="AY48" s="167" t="s">
        <v>69</v>
      </c>
      <c r="AZ48" s="167" t="s">
        <v>69</v>
      </c>
      <c r="BA48" s="167" t="s">
        <v>69</v>
      </c>
      <c r="BB48" s="167" t="s">
        <v>69</v>
      </c>
      <c r="BC48" s="167" t="s">
        <v>69</v>
      </c>
      <c r="BD48" s="167" t="s">
        <v>69</v>
      </c>
      <c r="BE48" s="167" t="s">
        <v>69</v>
      </c>
      <c r="BF48" s="167" t="s">
        <v>69</v>
      </c>
      <c r="BG48" s="167" t="s">
        <v>69</v>
      </c>
      <c r="BH48" s="167" t="s">
        <v>69</v>
      </c>
      <c r="BI48" s="167" t="s">
        <v>69</v>
      </c>
      <c r="BJ48" s="167" t="s">
        <v>69</v>
      </c>
      <c r="BK48" s="167" t="s">
        <v>69</v>
      </c>
      <c r="BL48" s="167" t="s">
        <v>69</v>
      </c>
      <c r="BM48" s="167" t="s">
        <v>69</v>
      </c>
      <c r="BN48" s="167" t="s">
        <v>69</v>
      </c>
      <c r="BO48" s="167" t="s">
        <v>69</v>
      </c>
      <c r="BP48" s="167" t="s">
        <v>69</v>
      </c>
      <c r="BQ48" s="167" t="s">
        <v>69</v>
      </c>
      <c r="BR48" s="167" t="s">
        <v>69</v>
      </c>
      <c r="BS48" s="167" t="s">
        <v>69</v>
      </c>
      <c r="BT48" s="167" t="s">
        <v>69</v>
      </c>
      <c r="BU48" s="167" t="s">
        <v>69</v>
      </c>
      <c r="BV48" s="167" t="s">
        <v>69</v>
      </c>
      <c r="BW48" s="167" t="s">
        <v>69</v>
      </c>
      <c r="BX48" s="167" t="s">
        <v>69</v>
      </c>
      <c r="BY48" s="167" t="s">
        <v>69</v>
      </c>
      <c r="BZ48" s="167" t="s">
        <v>69</v>
      </c>
      <c r="CA48" s="167">
        <v>2</v>
      </c>
      <c r="CB48" s="167" t="s">
        <v>69</v>
      </c>
      <c r="CC48" s="167" t="s">
        <v>69</v>
      </c>
      <c r="CD48" s="167" t="s">
        <v>69</v>
      </c>
      <c r="CE48" s="167" t="s">
        <v>69</v>
      </c>
      <c r="CF48" s="167" t="s">
        <v>69</v>
      </c>
      <c r="CG48" s="167" t="s">
        <v>69</v>
      </c>
      <c r="CH48" s="167" t="s">
        <v>69</v>
      </c>
      <c r="CI48" s="167" t="s">
        <v>69</v>
      </c>
      <c r="CJ48" s="167" t="s">
        <v>69</v>
      </c>
      <c r="CK48" s="167" t="s">
        <v>69</v>
      </c>
      <c r="CL48" s="167" t="s">
        <v>69</v>
      </c>
      <c r="CM48" s="167">
        <v>4</v>
      </c>
      <c r="CN48" s="167">
        <v>2</v>
      </c>
      <c r="CO48" s="167">
        <v>4</v>
      </c>
      <c r="CP48" s="167">
        <v>4</v>
      </c>
      <c r="CQ48" s="167">
        <v>4</v>
      </c>
      <c r="CR48" s="167" t="s">
        <v>69</v>
      </c>
      <c r="CS48" s="167" t="s">
        <v>69</v>
      </c>
      <c r="CT48" s="167" t="s">
        <v>69</v>
      </c>
      <c r="CU48" s="167" t="s">
        <v>69</v>
      </c>
      <c r="CV48" s="167" t="s">
        <v>69</v>
      </c>
      <c r="CW48" s="167" t="s">
        <v>69</v>
      </c>
      <c r="CX48" s="167" t="s">
        <v>69</v>
      </c>
      <c r="CY48" s="167" t="s">
        <v>69</v>
      </c>
      <c r="CZ48" s="167" t="s">
        <v>69</v>
      </c>
      <c r="DA48" s="167" t="s">
        <v>69</v>
      </c>
      <c r="DB48" s="167" t="s">
        <v>69</v>
      </c>
      <c r="DC48" s="167" t="s">
        <v>69</v>
      </c>
      <c r="DD48" s="167" t="s">
        <v>69</v>
      </c>
      <c r="DE48" s="167" t="s">
        <v>69</v>
      </c>
      <c r="DF48" s="167">
        <v>3</v>
      </c>
      <c r="DG48" s="167">
        <v>3</v>
      </c>
      <c r="DH48" s="167" t="s">
        <v>69</v>
      </c>
      <c r="DI48" s="167" t="s">
        <v>69</v>
      </c>
      <c r="DJ48" s="167" t="s">
        <v>69</v>
      </c>
      <c r="DK48" s="167" t="s">
        <v>69</v>
      </c>
      <c r="DL48" s="167" t="s">
        <v>69</v>
      </c>
      <c r="DM48" s="167" t="s">
        <v>69</v>
      </c>
      <c r="DN48" s="167" t="s">
        <v>69</v>
      </c>
      <c r="DO48" s="167" t="s">
        <v>69</v>
      </c>
      <c r="DP48" s="167" t="s">
        <v>69</v>
      </c>
      <c r="DQ48" s="167" t="s">
        <v>69</v>
      </c>
      <c r="DR48" s="167" t="s">
        <v>69</v>
      </c>
      <c r="DS48" s="167" t="s">
        <v>69</v>
      </c>
      <c r="DT48" s="167" t="s">
        <v>69</v>
      </c>
      <c r="DU48" s="167" t="s">
        <v>69</v>
      </c>
      <c r="DV48" s="110">
        <f t="shared" si="0"/>
        <v>0.20967741935483872</v>
      </c>
      <c r="DW48" s="104">
        <f t="shared" si="1"/>
        <v>0.84615384615384615</v>
      </c>
    </row>
    <row r="49" spans="1:127" ht="42" hidden="1" customHeight="1" thickBot="1">
      <c r="A49" s="250" t="s">
        <v>548</v>
      </c>
      <c r="B49" s="242" t="s">
        <v>549</v>
      </c>
      <c r="C49" s="208">
        <v>45327</v>
      </c>
      <c r="D49" s="220" t="s">
        <v>434</v>
      </c>
      <c r="E49" s="256" t="s">
        <v>898</v>
      </c>
      <c r="F49" s="167" t="s">
        <v>69</v>
      </c>
      <c r="G49" s="167" t="s">
        <v>69</v>
      </c>
      <c r="H49" s="167" t="s">
        <v>69</v>
      </c>
      <c r="I49" s="167" t="s">
        <v>69</v>
      </c>
      <c r="J49" s="167" t="s">
        <v>69</v>
      </c>
      <c r="K49" s="167" t="s">
        <v>69</v>
      </c>
      <c r="L49" s="167" t="s">
        <v>69</v>
      </c>
      <c r="M49" s="167" t="s">
        <v>69</v>
      </c>
      <c r="N49" s="167" t="s">
        <v>69</v>
      </c>
      <c r="O49" s="167" t="s">
        <v>69</v>
      </c>
      <c r="P49" s="167" t="s">
        <v>69</v>
      </c>
      <c r="Q49" s="167" t="s">
        <v>69</v>
      </c>
      <c r="R49" s="167" t="s">
        <v>69</v>
      </c>
      <c r="S49" s="167" t="s">
        <v>69</v>
      </c>
      <c r="T49" s="167" t="s">
        <v>69</v>
      </c>
      <c r="U49" s="167" t="s">
        <v>69</v>
      </c>
      <c r="V49" s="167" t="s">
        <v>69</v>
      </c>
      <c r="W49" s="167" t="s">
        <v>69</v>
      </c>
      <c r="X49" s="167" t="s">
        <v>69</v>
      </c>
      <c r="Y49" s="167" t="s">
        <v>69</v>
      </c>
      <c r="Z49" s="167" t="s">
        <v>69</v>
      </c>
      <c r="AA49" s="167" t="s">
        <v>69</v>
      </c>
      <c r="AB49" s="167" t="s">
        <v>69</v>
      </c>
      <c r="AC49" s="167" t="s">
        <v>69</v>
      </c>
      <c r="AD49" s="167" t="s">
        <v>69</v>
      </c>
      <c r="AE49" s="167" t="s">
        <v>69</v>
      </c>
      <c r="AF49" s="167" t="s">
        <v>69</v>
      </c>
      <c r="AG49" s="167" t="s">
        <v>69</v>
      </c>
      <c r="AH49" s="167">
        <v>3</v>
      </c>
      <c r="AI49" s="167">
        <v>4</v>
      </c>
      <c r="AJ49" s="167" t="s">
        <v>69</v>
      </c>
      <c r="AK49" s="167" t="s">
        <v>69</v>
      </c>
      <c r="AL49" s="167" t="s">
        <v>69</v>
      </c>
      <c r="AM49" s="167" t="s">
        <v>69</v>
      </c>
      <c r="AN49" s="167" t="s">
        <v>69</v>
      </c>
      <c r="AO49" s="167" t="s">
        <v>69</v>
      </c>
      <c r="AP49" s="167" t="s">
        <v>69</v>
      </c>
      <c r="AQ49" s="167" t="s">
        <v>69</v>
      </c>
      <c r="AR49" s="167" t="s">
        <v>69</v>
      </c>
      <c r="AS49" s="167" t="s">
        <v>69</v>
      </c>
      <c r="AT49" s="167" t="s">
        <v>69</v>
      </c>
      <c r="AU49" s="167" t="s">
        <v>69</v>
      </c>
      <c r="AV49" s="167" t="s">
        <v>69</v>
      </c>
      <c r="AW49" s="167" t="s">
        <v>69</v>
      </c>
      <c r="AX49" s="167" t="s">
        <v>69</v>
      </c>
      <c r="AY49" s="167" t="s">
        <v>69</v>
      </c>
      <c r="AZ49" s="167" t="s">
        <v>69</v>
      </c>
      <c r="BA49" s="167" t="s">
        <v>69</v>
      </c>
      <c r="BB49" s="167" t="s">
        <v>69</v>
      </c>
      <c r="BC49" s="167" t="s">
        <v>69</v>
      </c>
      <c r="BD49" s="167" t="s">
        <v>69</v>
      </c>
      <c r="BE49" s="167" t="s">
        <v>69</v>
      </c>
      <c r="BF49" s="167" t="s">
        <v>69</v>
      </c>
      <c r="BG49" s="167" t="s">
        <v>69</v>
      </c>
      <c r="BH49" s="167" t="s">
        <v>69</v>
      </c>
      <c r="BI49" s="167" t="s">
        <v>69</v>
      </c>
      <c r="BJ49" s="167" t="s">
        <v>69</v>
      </c>
      <c r="BK49" s="167" t="s">
        <v>69</v>
      </c>
      <c r="BL49" s="167" t="s">
        <v>69</v>
      </c>
      <c r="BM49" s="167" t="s">
        <v>69</v>
      </c>
      <c r="BN49" s="167" t="s">
        <v>69</v>
      </c>
      <c r="BO49" s="167" t="s">
        <v>69</v>
      </c>
      <c r="BP49" s="167" t="s">
        <v>69</v>
      </c>
      <c r="BQ49" s="167" t="s">
        <v>69</v>
      </c>
      <c r="BR49" s="167" t="s">
        <v>69</v>
      </c>
      <c r="BS49" s="167" t="s">
        <v>69</v>
      </c>
      <c r="BT49" s="167" t="s">
        <v>69</v>
      </c>
      <c r="BU49" s="167" t="s">
        <v>69</v>
      </c>
      <c r="BV49" s="167" t="s">
        <v>69</v>
      </c>
      <c r="BW49" s="167" t="s">
        <v>69</v>
      </c>
      <c r="BX49" s="167" t="s">
        <v>69</v>
      </c>
      <c r="BY49" s="167" t="s">
        <v>69</v>
      </c>
      <c r="BZ49" s="167" t="s">
        <v>69</v>
      </c>
      <c r="CA49" s="167" t="s">
        <v>69</v>
      </c>
      <c r="CB49" s="167" t="s">
        <v>69</v>
      </c>
      <c r="CC49" s="167" t="s">
        <v>69</v>
      </c>
      <c r="CD49" s="167" t="s">
        <v>69</v>
      </c>
      <c r="CE49" s="167" t="s">
        <v>69</v>
      </c>
      <c r="CF49" s="167" t="s">
        <v>69</v>
      </c>
      <c r="CG49" s="167" t="s">
        <v>69</v>
      </c>
      <c r="CH49" s="167">
        <v>2</v>
      </c>
      <c r="CI49" s="167">
        <v>2</v>
      </c>
      <c r="CJ49" s="167">
        <v>2</v>
      </c>
      <c r="CK49" s="167" t="s">
        <v>69</v>
      </c>
      <c r="CL49" s="167" t="s">
        <v>69</v>
      </c>
      <c r="CM49" s="167" t="s">
        <v>69</v>
      </c>
      <c r="CN49" s="167">
        <v>2</v>
      </c>
      <c r="CO49" s="167">
        <v>3</v>
      </c>
      <c r="CP49" s="167">
        <v>3</v>
      </c>
      <c r="CQ49" s="167">
        <v>3</v>
      </c>
      <c r="CR49" s="167" t="s">
        <v>69</v>
      </c>
      <c r="CS49" s="167" t="s">
        <v>69</v>
      </c>
      <c r="CT49" s="167" t="s">
        <v>69</v>
      </c>
      <c r="CU49" s="167" t="s">
        <v>69</v>
      </c>
      <c r="CV49" s="167" t="s">
        <v>69</v>
      </c>
      <c r="CW49" s="167" t="s">
        <v>69</v>
      </c>
      <c r="CX49" s="167" t="s">
        <v>69</v>
      </c>
      <c r="CY49" s="167" t="s">
        <v>69</v>
      </c>
      <c r="CZ49" s="167" t="s">
        <v>69</v>
      </c>
      <c r="DA49" s="167" t="s">
        <v>69</v>
      </c>
      <c r="DB49" s="167" t="s">
        <v>69</v>
      </c>
      <c r="DC49" s="167">
        <v>3</v>
      </c>
      <c r="DD49" s="167" t="s">
        <v>69</v>
      </c>
      <c r="DE49" s="167" t="s">
        <v>69</v>
      </c>
      <c r="DF49" s="167" t="s">
        <v>69</v>
      </c>
      <c r="DG49" s="167" t="s">
        <v>69</v>
      </c>
      <c r="DH49" s="167" t="s">
        <v>69</v>
      </c>
      <c r="DI49" s="167" t="s">
        <v>69</v>
      </c>
      <c r="DJ49" s="167" t="s">
        <v>69</v>
      </c>
      <c r="DK49" s="167">
        <v>2</v>
      </c>
      <c r="DL49" s="167" t="s">
        <v>69</v>
      </c>
      <c r="DM49" s="167" t="s">
        <v>69</v>
      </c>
      <c r="DN49" s="167" t="s">
        <v>69</v>
      </c>
      <c r="DO49" s="167" t="s">
        <v>69</v>
      </c>
      <c r="DP49" s="167" t="s">
        <v>69</v>
      </c>
      <c r="DQ49" s="167" t="s">
        <v>69</v>
      </c>
      <c r="DR49" s="167" t="s">
        <v>69</v>
      </c>
      <c r="DS49" s="167" t="s">
        <v>69</v>
      </c>
      <c r="DT49" s="167" t="s">
        <v>69</v>
      </c>
      <c r="DU49" s="167" t="s">
        <v>69</v>
      </c>
      <c r="DV49" s="110">
        <f t="shared" si="0"/>
        <v>0.17741935483870969</v>
      </c>
      <c r="DW49" s="104">
        <f t="shared" si="1"/>
        <v>0.54545454545454541</v>
      </c>
    </row>
    <row r="50" spans="1:127" ht="42" hidden="1" customHeight="1" thickBot="1">
      <c r="A50" s="250" t="s">
        <v>550</v>
      </c>
      <c r="B50" s="242" t="s">
        <v>551</v>
      </c>
      <c r="C50" s="208" t="s">
        <v>626</v>
      </c>
      <c r="D50" s="220" t="s">
        <v>434</v>
      </c>
      <c r="E50" s="256" t="s">
        <v>898</v>
      </c>
      <c r="F50" s="167" t="s">
        <v>69</v>
      </c>
      <c r="G50" s="167" t="s">
        <v>69</v>
      </c>
      <c r="H50" s="167" t="s">
        <v>69</v>
      </c>
      <c r="I50" s="167" t="s">
        <v>69</v>
      </c>
      <c r="J50" s="167" t="s">
        <v>69</v>
      </c>
      <c r="K50" s="167" t="s">
        <v>69</v>
      </c>
      <c r="L50" s="167" t="s">
        <v>69</v>
      </c>
      <c r="M50" s="167">
        <v>2</v>
      </c>
      <c r="N50" s="167" t="s">
        <v>69</v>
      </c>
      <c r="O50" s="167" t="s">
        <v>69</v>
      </c>
      <c r="P50" s="167" t="s">
        <v>69</v>
      </c>
      <c r="Q50" s="167" t="s">
        <v>69</v>
      </c>
      <c r="R50" s="167" t="s">
        <v>69</v>
      </c>
      <c r="S50" s="167" t="s">
        <v>69</v>
      </c>
      <c r="T50" s="167" t="s">
        <v>69</v>
      </c>
      <c r="U50" s="167" t="s">
        <v>69</v>
      </c>
      <c r="V50" s="167" t="s">
        <v>69</v>
      </c>
      <c r="W50" s="167" t="s">
        <v>69</v>
      </c>
      <c r="X50" s="167" t="s">
        <v>69</v>
      </c>
      <c r="Y50" s="167" t="s">
        <v>69</v>
      </c>
      <c r="Z50" s="167" t="s">
        <v>69</v>
      </c>
      <c r="AA50" s="167" t="s">
        <v>69</v>
      </c>
      <c r="AB50" s="167" t="s">
        <v>69</v>
      </c>
      <c r="AC50" s="167" t="s">
        <v>69</v>
      </c>
      <c r="AD50" s="167" t="s">
        <v>69</v>
      </c>
      <c r="AE50" s="167" t="s">
        <v>69</v>
      </c>
      <c r="AF50" s="167">
        <v>4</v>
      </c>
      <c r="AG50" s="167">
        <v>4</v>
      </c>
      <c r="AH50" s="167" t="s">
        <v>69</v>
      </c>
      <c r="AI50" s="167" t="s">
        <v>69</v>
      </c>
      <c r="AJ50" s="167" t="s">
        <v>69</v>
      </c>
      <c r="AK50" s="167" t="s">
        <v>69</v>
      </c>
      <c r="AL50" s="167" t="s">
        <v>69</v>
      </c>
      <c r="AM50" s="167" t="s">
        <v>69</v>
      </c>
      <c r="AN50" s="167">
        <v>3</v>
      </c>
      <c r="AO50" s="167" t="s">
        <v>69</v>
      </c>
      <c r="AP50" s="167" t="s">
        <v>69</v>
      </c>
      <c r="AQ50" s="167" t="s">
        <v>69</v>
      </c>
      <c r="AR50" s="167" t="s">
        <v>69</v>
      </c>
      <c r="AS50" s="167" t="s">
        <v>69</v>
      </c>
      <c r="AT50" s="167" t="s">
        <v>69</v>
      </c>
      <c r="AU50" s="167" t="s">
        <v>69</v>
      </c>
      <c r="AV50" s="167" t="s">
        <v>69</v>
      </c>
      <c r="AW50" s="167" t="s">
        <v>69</v>
      </c>
      <c r="AX50" s="167" t="s">
        <v>69</v>
      </c>
      <c r="AY50" s="167" t="s">
        <v>69</v>
      </c>
      <c r="AZ50" s="167" t="s">
        <v>69</v>
      </c>
      <c r="BA50" s="167">
        <v>2</v>
      </c>
      <c r="BB50" s="167" t="s">
        <v>69</v>
      </c>
      <c r="BC50" s="167" t="s">
        <v>69</v>
      </c>
      <c r="BD50" s="167" t="s">
        <v>69</v>
      </c>
      <c r="BE50" s="167" t="s">
        <v>69</v>
      </c>
      <c r="BF50" s="167" t="s">
        <v>69</v>
      </c>
      <c r="BG50" s="167">
        <v>2</v>
      </c>
      <c r="BH50" s="167" t="s">
        <v>69</v>
      </c>
      <c r="BI50" s="167" t="s">
        <v>69</v>
      </c>
      <c r="BJ50" s="167">
        <v>3</v>
      </c>
      <c r="BK50" s="167">
        <v>2</v>
      </c>
      <c r="BL50" s="167" t="s">
        <v>69</v>
      </c>
      <c r="BM50" s="167" t="s">
        <v>69</v>
      </c>
      <c r="BN50" s="167" t="s">
        <v>69</v>
      </c>
      <c r="BO50" s="167" t="s">
        <v>69</v>
      </c>
      <c r="BP50" s="167" t="s">
        <v>69</v>
      </c>
      <c r="BQ50" s="167" t="s">
        <v>69</v>
      </c>
      <c r="BR50" s="167" t="s">
        <v>69</v>
      </c>
      <c r="BS50" s="167" t="s">
        <v>69</v>
      </c>
      <c r="BT50" s="167" t="s">
        <v>69</v>
      </c>
      <c r="BU50" s="167" t="s">
        <v>69</v>
      </c>
      <c r="BV50" s="167" t="s">
        <v>69</v>
      </c>
      <c r="BW50" s="167" t="s">
        <v>69</v>
      </c>
      <c r="BX50" s="167" t="s">
        <v>69</v>
      </c>
      <c r="BY50" s="167" t="s">
        <v>69</v>
      </c>
      <c r="BZ50" s="167" t="s">
        <v>69</v>
      </c>
      <c r="CA50" s="167" t="s">
        <v>69</v>
      </c>
      <c r="CB50" s="167" t="s">
        <v>69</v>
      </c>
      <c r="CC50" s="167" t="s">
        <v>69</v>
      </c>
      <c r="CD50" s="167" t="s">
        <v>69</v>
      </c>
      <c r="CE50" s="167" t="s">
        <v>69</v>
      </c>
      <c r="CF50" s="167" t="s">
        <v>69</v>
      </c>
      <c r="CG50" s="167" t="s">
        <v>69</v>
      </c>
      <c r="CH50" s="167" t="s">
        <v>69</v>
      </c>
      <c r="CI50" s="167" t="s">
        <v>69</v>
      </c>
      <c r="CJ50" s="167" t="s">
        <v>69</v>
      </c>
      <c r="CK50" s="167" t="s">
        <v>69</v>
      </c>
      <c r="CL50" s="167" t="s">
        <v>69</v>
      </c>
      <c r="CM50" s="167">
        <v>3</v>
      </c>
      <c r="CN50" s="167">
        <v>3</v>
      </c>
      <c r="CO50" s="167" t="s">
        <v>69</v>
      </c>
      <c r="CP50" s="167">
        <v>3</v>
      </c>
      <c r="CQ50" s="167" t="s">
        <v>69</v>
      </c>
      <c r="CR50" s="167" t="s">
        <v>69</v>
      </c>
      <c r="CS50" s="167" t="s">
        <v>69</v>
      </c>
      <c r="CT50" s="167" t="s">
        <v>69</v>
      </c>
      <c r="CU50" s="167" t="s">
        <v>69</v>
      </c>
      <c r="CV50" s="167" t="s">
        <v>69</v>
      </c>
      <c r="CW50" s="167" t="s">
        <v>69</v>
      </c>
      <c r="CX50" s="167" t="s">
        <v>69</v>
      </c>
      <c r="CY50" s="167" t="s">
        <v>69</v>
      </c>
      <c r="CZ50" s="167">
        <v>3</v>
      </c>
      <c r="DA50" s="167" t="s">
        <v>69</v>
      </c>
      <c r="DB50" s="167" t="s">
        <v>69</v>
      </c>
      <c r="DC50" s="167" t="s">
        <v>69</v>
      </c>
      <c r="DD50" s="167" t="s">
        <v>69</v>
      </c>
      <c r="DE50" s="167" t="s">
        <v>69</v>
      </c>
      <c r="DF50" s="167" t="s">
        <v>69</v>
      </c>
      <c r="DG50" s="167" t="s">
        <v>69</v>
      </c>
      <c r="DH50" s="167" t="s">
        <v>69</v>
      </c>
      <c r="DI50" s="167" t="s">
        <v>69</v>
      </c>
      <c r="DJ50" s="167" t="s">
        <v>69</v>
      </c>
      <c r="DK50" s="167" t="s">
        <v>69</v>
      </c>
      <c r="DL50" s="167" t="s">
        <v>69</v>
      </c>
      <c r="DM50" s="167" t="s">
        <v>69</v>
      </c>
      <c r="DN50" s="167" t="s">
        <v>69</v>
      </c>
      <c r="DO50" s="167" t="s">
        <v>69</v>
      </c>
      <c r="DP50" s="167" t="s">
        <v>69</v>
      </c>
      <c r="DQ50" s="167" t="s">
        <v>69</v>
      </c>
      <c r="DR50" s="167" t="s">
        <v>69</v>
      </c>
      <c r="DS50" s="167" t="s">
        <v>69</v>
      </c>
      <c r="DT50" s="167" t="s">
        <v>69</v>
      </c>
      <c r="DU50" s="167" t="s">
        <v>69</v>
      </c>
      <c r="DV50" s="110">
        <f t="shared" si="0"/>
        <v>0.19354838709677419</v>
      </c>
      <c r="DW50" s="104">
        <f t="shared" si="1"/>
        <v>0.66666666666666663</v>
      </c>
    </row>
    <row r="51" spans="1:127" ht="42" hidden="1" customHeight="1" thickBot="1">
      <c r="A51" s="250" t="s">
        <v>552</v>
      </c>
      <c r="B51" s="242" t="s">
        <v>553</v>
      </c>
      <c r="C51" s="208" t="s">
        <v>626</v>
      </c>
      <c r="D51" s="220" t="s">
        <v>434</v>
      </c>
      <c r="E51" s="256" t="s">
        <v>898</v>
      </c>
      <c r="F51" s="167">
        <v>3</v>
      </c>
      <c r="G51" s="167">
        <v>3</v>
      </c>
      <c r="H51" s="167">
        <v>3</v>
      </c>
      <c r="I51" s="167" t="s">
        <v>69</v>
      </c>
      <c r="J51" s="167" t="s">
        <v>69</v>
      </c>
      <c r="K51" s="167" t="s">
        <v>69</v>
      </c>
      <c r="L51" s="167" t="s">
        <v>69</v>
      </c>
      <c r="M51" s="167">
        <v>3</v>
      </c>
      <c r="N51" s="167">
        <v>3</v>
      </c>
      <c r="O51" s="167" t="s">
        <v>69</v>
      </c>
      <c r="P51" s="167" t="s">
        <v>69</v>
      </c>
      <c r="Q51" s="167" t="s">
        <v>69</v>
      </c>
      <c r="R51" s="167" t="s">
        <v>69</v>
      </c>
      <c r="S51" s="167" t="s">
        <v>69</v>
      </c>
      <c r="T51" s="167" t="s">
        <v>69</v>
      </c>
      <c r="U51" s="167" t="s">
        <v>69</v>
      </c>
      <c r="V51" s="167" t="s">
        <v>69</v>
      </c>
      <c r="W51" s="167" t="s">
        <v>69</v>
      </c>
      <c r="X51" s="167" t="s">
        <v>69</v>
      </c>
      <c r="Y51" s="167" t="s">
        <v>69</v>
      </c>
      <c r="Z51" s="167" t="s">
        <v>69</v>
      </c>
      <c r="AA51" s="167" t="s">
        <v>69</v>
      </c>
      <c r="AB51" s="167" t="s">
        <v>69</v>
      </c>
      <c r="AC51" s="167" t="s">
        <v>69</v>
      </c>
      <c r="AD51" s="167" t="s">
        <v>69</v>
      </c>
      <c r="AE51" s="167" t="s">
        <v>69</v>
      </c>
      <c r="AF51" s="167" t="s">
        <v>69</v>
      </c>
      <c r="AG51" s="167" t="s">
        <v>69</v>
      </c>
      <c r="AH51" s="167" t="s">
        <v>69</v>
      </c>
      <c r="AI51" s="167" t="s">
        <v>69</v>
      </c>
      <c r="AJ51" s="167" t="s">
        <v>69</v>
      </c>
      <c r="AK51" s="167" t="s">
        <v>69</v>
      </c>
      <c r="AL51" s="167" t="s">
        <v>69</v>
      </c>
      <c r="AM51" s="167" t="s">
        <v>69</v>
      </c>
      <c r="AN51" s="167" t="s">
        <v>69</v>
      </c>
      <c r="AO51" s="167" t="s">
        <v>69</v>
      </c>
      <c r="AP51" s="167" t="s">
        <v>69</v>
      </c>
      <c r="AQ51" s="167" t="s">
        <v>69</v>
      </c>
      <c r="AR51" s="167">
        <v>3</v>
      </c>
      <c r="AS51" s="167" t="s">
        <v>69</v>
      </c>
      <c r="AT51" s="167" t="s">
        <v>69</v>
      </c>
      <c r="AU51" s="167" t="s">
        <v>69</v>
      </c>
      <c r="AV51" s="167" t="s">
        <v>69</v>
      </c>
      <c r="AW51" s="167">
        <v>3</v>
      </c>
      <c r="AX51" s="167">
        <v>3</v>
      </c>
      <c r="AY51" s="167" t="s">
        <v>69</v>
      </c>
      <c r="AZ51" s="167" t="s">
        <v>69</v>
      </c>
      <c r="BA51" s="167" t="s">
        <v>69</v>
      </c>
      <c r="BB51" s="167" t="s">
        <v>69</v>
      </c>
      <c r="BC51" s="167" t="s">
        <v>69</v>
      </c>
      <c r="BD51" s="167" t="s">
        <v>69</v>
      </c>
      <c r="BE51" s="167" t="s">
        <v>69</v>
      </c>
      <c r="BF51" s="167" t="s">
        <v>69</v>
      </c>
      <c r="BG51" s="167" t="s">
        <v>69</v>
      </c>
      <c r="BH51" s="167" t="s">
        <v>69</v>
      </c>
      <c r="BI51" s="167" t="s">
        <v>69</v>
      </c>
      <c r="BJ51" s="167" t="s">
        <v>69</v>
      </c>
      <c r="BK51" s="167" t="s">
        <v>69</v>
      </c>
      <c r="BL51" s="167" t="s">
        <v>69</v>
      </c>
      <c r="BM51" s="167" t="s">
        <v>69</v>
      </c>
      <c r="BN51" s="167" t="s">
        <v>69</v>
      </c>
      <c r="BO51" s="167" t="s">
        <v>69</v>
      </c>
      <c r="BP51" s="167" t="s">
        <v>69</v>
      </c>
      <c r="BQ51" s="167" t="s">
        <v>69</v>
      </c>
      <c r="BR51" s="167">
        <v>3</v>
      </c>
      <c r="BS51" s="167" t="s">
        <v>69</v>
      </c>
      <c r="BT51" s="167" t="s">
        <v>69</v>
      </c>
      <c r="BU51" s="167" t="s">
        <v>69</v>
      </c>
      <c r="BV51" s="167" t="s">
        <v>69</v>
      </c>
      <c r="BW51" s="167" t="s">
        <v>69</v>
      </c>
      <c r="BX51" s="167" t="s">
        <v>69</v>
      </c>
      <c r="BY51" s="167">
        <v>1</v>
      </c>
      <c r="BZ51" s="167" t="s">
        <v>69</v>
      </c>
      <c r="CA51" s="167" t="s">
        <v>69</v>
      </c>
      <c r="CB51" s="167" t="s">
        <v>69</v>
      </c>
      <c r="CC51" s="167" t="s">
        <v>69</v>
      </c>
      <c r="CD51" s="167" t="s">
        <v>69</v>
      </c>
      <c r="CE51" s="167" t="s">
        <v>69</v>
      </c>
      <c r="CF51" s="167" t="s">
        <v>69</v>
      </c>
      <c r="CG51" s="167">
        <v>3</v>
      </c>
      <c r="CH51" s="167" t="s">
        <v>69</v>
      </c>
      <c r="CI51" s="167" t="s">
        <v>69</v>
      </c>
      <c r="CJ51" s="167" t="s">
        <v>69</v>
      </c>
      <c r="CK51" s="167" t="s">
        <v>69</v>
      </c>
      <c r="CL51" s="167" t="s">
        <v>69</v>
      </c>
      <c r="CM51" s="167">
        <v>2</v>
      </c>
      <c r="CN51" s="167">
        <v>2</v>
      </c>
      <c r="CO51" s="167">
        <v>4</v>
      </c>
      <c r="CP51" s="167">
        <v>4</v>
      </c>
      <c r="CQ51" s="167">
        <v>3</v>
      </c>
      <c r="CR51" s="167" t="s">
        <v>69</v>
      </c>
      <c r="CS51" s="167" t="s">
        <v>69</v>
      </c>
      <c r="CT51" s="167" t="s">
        <v>69</v>
      </c>
      <c r="CU51" s="167" t="s">
        <v>69</v>
      </c>
      <c r="CV51" s="167" t="s">
        <v>69</v>
      </c>
      <c r="CW51" s="167" t="s">
        <v>69</v>
      </c>
      <c r="CX51" s="167" t="s">
        <v>69</v>
      </c>
      <c r="CY51" s="167" t="s">
        <v>69</v>
      </c>
      <c r="CZ51" s="167" t="s">
        <v>69</v>
      </c>
      <c r="DA51" s="167" t="s">
        <v>69</v>
      </c>
      <c r="DB51" s="167" t="s">
        <v>69</v>
      </c>
      <c r="DC51" s="167" t="s">
        <v>69</v>
      </c>
      <c r="DD51" s="167" t="s">
        <v>69</v>
      </c>
      <c r="DE51" s="167" t="s">
        <v>69</v>
      </c>
      <c r="DF51" s="167" t="s">
        <v>69</v>
      </c>
      <c r="DG51" s="167" t="s">
        <v>69</v>
      </c>
      <c r="DH51" s="167" t="s">
        <v>69</v>
      </c>
      <c r="DI51" s="167" t="s">
        <v>69</v>
      </c>
      <c r="DJ51" s="167" t="s">
        <v>69</v>
      </c>
      <c r="DK51" s="167" t="s">
        <v>69</v>
      </c>
      <c r="DL51" s="167" t="s">
        <v>69</v>
      </c>
      <c r="DM51" s="167" t="s">
        <v>69</v>
      </c>
      <c r="DN51" s="167" t="s">
        <v>69</v>
      </c>
      <c r="DO51" s="167" t="s">
        <v>69</v>
      </c>
      <c r="DP51" s="167" t="s">
        <v>69</v>
      </c>
      <c r="DQ51" s="167" t="s">
        <v>69</v>
      </c>
      <c r="DR51" s="167" t="s">
        <v>69</v>
      </c>
      <c r="DS51" s="167" t="s">
        <v>69</v>
      </c>
      <c r="DT51" s="167" t="s">
        <v>69</v>
      </c>
      <c r="DU51" s="167" t="s">
        <v>69</v>
      </c>
      <c r="DV51" s="110">
        <f t="shared" si="0"/>
        <v>0.25806451612903225</v>
      </c>
      <c r="DW51" s="104">
        <f t="shared" si="1"/>
        <v>0.8666666666666667</v>
      </c>
    </row>
    <row r="52" spans="1:127" ht="42" hidden="1" customHeight="1" thickBot="1">
      <c r="A52" s="250" t="s">
        <v>556</v>
      </c>
      <c r="B52" s="242" t="s">
        <v>557</v>
      </c>
      <c r="C52" s="208">
        <v>45331</v>
      </c>
      <c r="D52" s="220" t="s">
        <v>434</v>
      </c>
      <c r="E52" s="256" t="s">
        <v>898</v>
      </c>
      <c r="F52" s="167">
        <v>4</v>
      </c>
      <c r="G52" s="167">
        <v>3</v>
      </c>
      <c r="H52" s="167">
        <v>4</v>
      </c>
      <c r="I52" s="167">
        <v>4</v>
      </c>
      <c r="J52" s="167">
        <v>4</v>
      </c>
      <c r="K52" s="167" t="s">
        <v>69</v>
      </c>
      <c r="L52" s="167" t="s">
        <v>69</v>
      </c>
      <c r="M52" s="167" t="s">
        <v>69</v>
      </c>
      <c r="N52" s="167" t="s">
        <v>69</v>
      </c>
      <c r="O52" s="167" t="s">
        <v>69</v>
      </c>
      <c r="P52" s="167" t="s">
        <v>69</v>
      </c>
      <c r="Q52" s="167" t="s">
        <v>69</v>
      </c>
      <c r="R52" s="167" t="s">
        <v>69</v>
      </c>
      <c r="S52" s="167" t="s">
        <v>69</v>
      </c>
      <c r="T52" s="167" t="s">
        <v>69</v>
      </c>
      <c r="U52" s="167" t="s">
        <v>69</v>
      </c>
      <c r="V52" s="167" t="s">
        <v>69</v>
      </c>
      <c r="W52" s="167" t="s">
        <v>69</v>
      </c>
      <c r="X52" s="167" t="s">
        <v>69</v>
      </c>
      <c r="Y52" s="167" t="s">
        <v>69</v>
      </c>
      <c r="Z52" s="167" t="s">
        <v>69</v>
      </c>
      <c r="AA52" s="167" t="s">
        <v>69</v>
      </c>
      <c r="AB52" s="167" t="s">
        <v>69</v>
      </c>
      <c r="AC52" s="167" t="s">
        <v>69</v>
      </c>
      <c r="AD52" s="167" t="s">
        <v>69</v>
      </c>
      <c r="AE52" s="167" t="s">
        <v>69</v>
      </c>
      <c r="AF52" s="167" t="s">
        <v>69</v>
      </c>
      <c r="AG52" s="167" t="s">
        <v>69</v>
      </c>
      <c r="AH52" s="167" t="s">
        <v>69</v>
      </c>
      <c r="AI52" s="167" t="s">
        <v>69</v>
      </c>
      <c r="AJ52" s="167" t="s">
        <v>69</v>
      </c>
      <c r="AK52" s="167" t="s">
        <v>69</v>
      </c>
      <c r="AL52" s="167" t="s">
        <v>69</v>
      </c>
      <c r="AM52" s="167" t="s">
        <v>69</v>
      </c>
      <c r="AN52" s="167" t="s">
        <v>69</v>
      </c>
      <c r="AO52" s="167" t="s">
        <v>69</v>
      </c>
      <c r="AP52" s="167" t="s">
        <v>69</v>
      </c>
      <c r="AQ52" s="167" t="s">
        <v>69</v>
      </c>
      <c r="AR52" s="167" t="s">
        <v>69</v>
      </c>
      <c r="AS52" s="167" t="s">
        <v>69</v>
      </c>
      <c r="AT52" s="167" t="s">
        <v>69</v>
      </c>
      <c r="AU52" s="167" t="s">
        <v>69</v>
      </c>
      <c r="AV52" s="167" t="s">
        <v>69</v>
      </c>
      <c r="AW52" s="167" t="s">
        <v>69</v>
      </c>
      <c r="AX52" s="167" t="s">
        <v>69</v>
      </c>
      <c r="AY52" s="167">
        <v>3</v>
      </c>
      <c r="AZ52" s="167" t="s">
        <v>69</v>
      </c>
      <c r="BA52" s="167" t="s">
        <v>69</v>
      </c>
      <c r="BB52" s="167" t="s">
        <v>69</v>
      </c>
      <c r="BC52" s="167" t="s">
        <v>69</v>
      </c>
      <c r="BD52" s="167" t="s">
        <v>69</v>
      </c>
      <c r="BE52" s="167" t="s">
        <v>69</v>
      </c>
      <c r="BF52" s="167" t="s">
        <v>69</v>
      </c>
      <c r="BG52" s="167" t="s">
        <v>69</v>
      </c>
      <c r="BH52" s="167" t="s">
        <v>69</v>
      </c>
      <c r="BI52" s="167" t="s">
        <v>69</v>
      </c>
      <c r="BJ52" s="167" t="s">
        <v>69</v>
      </c>
      <c r="BK52" s="167" t="s">
        <v>69</v>
      </c>
      <c r="BL52" s="167" t="s">
        <v>69</v>
      </c>
      <c r="BM52" s="167" t="s">
        <v>69</v>
      </c>
      <c r="BN52" s="167" t="s">
        <v>69</v>
      </c>
      <c r="BO52" s="167" t="s">
        <v>69</v>
      </c>
      <c r="BP52" s="167">
        <v>2</v>
      </c>
      <c r="BQ52" s="167" t="s">
        <v>69</v>
      </c>
      <c r="BR52" s="167">
        <v>3</v>
      </c>
      <c r="BS52" s="167" t="s">
        <v>69</v>
      </c>
      <c r="BT52" s="167" t="s">
        <v>69</v>
      </c>
      <c r="BU52" s="167" t="s">
        <v>69</v>
      </c>
      <c r="BV52" s="167" t="s">
        <v>69</v>
      </c>
      <c r="BW52" s="167" t="s">
        <v>69</v>
      </c>
      <c r="BX52" s="167" t="s">
        <v>69</v>
      </c>
      <c r="BY52" s="167">
        <v>3</v>
      </c>
      <c r="BZ52" s="167">
        <v>4</v>
      </c>
      <c r="CA52" s="167" t="s">
        <v>69</v>
      </c>
      <c r="CB52" s="167" t="s">
        <v>69</v>
      </c>
      <c r="CC52" s="167" t="s">
        <v>69</v>
      </c>
      <c r="CD52" s="167" t="s">
        <v>69</v>
      </c>
      <c r="CE52" s="167" t="s">
        <v>69</v>
      </c>
      <c r="CF52" s="167" t="s">
        <v>69</v>
      </c>
      <c r="CG52" s="167" t="s">
        <v>69</v>
      </c>
      <c r="CH52" s="167" t="s">
        <v>69</v>
      </c>
      <c r="CI52" s="167" t="s">
        <v>69</v>
      </c>
      <c r="CJ52" s="167" t="s">
        <v>69</v>
      </c>
      <c r="CK52" s="167" t="s">
        <v>69</v>
      </c>
      <c r="CL52" s="167" t="s">
        <v>69</v>
      </c>
      <c r="CM52" s="167" t="s">
        <v>69</v>
      </c>
      <c r="CN52" s="167" t="s">
        <v>69</v>
      </c>
      <c r="CO52" s="167" t="s">
        <v>69</v>
      </c>
      <c r="CP52" s="167" t="s">
        <v>69</v>
      </c>
      <c r="CQ52" s="167" t="s">
        <v>69</v>
      </c>
      <c r="CR52" s="167" t="s">
        <v>69</v>
      </c>
      <c r="CS52" s="167" t="s">
        <v>69</v>
      </c>
      <c r="CT52" s="167" t="s">
        <v>69</v>
      </c>
      <c r="CU52" s="167" t="s">
        <v>69</v>
      </c>
      <c r="CV52" s="167" t="s">
        <v>69</v>
      </c>
      <c r="CW52" s="167" t="s">
        <v>69</v>
      </c>
      <c r="CX52" s="167" t="s">
        <v>69</v>
      </c>
      <c r="CY52" s="167" t="s">
        <v>69</v>
      </c>
      <c r="CZ52" s="167" t="s">
        <v>69</v>
      </c>
      <c r="DA52" s="167" t="s">
        <v>69</v>
      </c>
      <c r="DB52" s="167" t="s">
        <v>69</v>
      </c>
      <c r="DC52" s="167" t="s">
        <v>69</v>
      </c>
      <c r="DD52" s="167" t="s">
        <v>69</v>
      </c>
      <c r="DE52" s="167" t="s">
        <v>69</v>
      </c>
      <c r="DF52" s="167" t="s">
        <v>69</v>
      </c>
      <c r="DG52" s="167" t="s">
        <v>69</v>
      </c>
      <c r="DH52" s="167" t="s">
        <v>69</v>
      </c>
      <c r="DI52" s="167" t="s">
        <v>69</v>
      </c>
      <c r="DJ52" s="167" t="s">
        <v>69</v>
      </c>
      <c r="DK52" s="167" t="s">
        <v>69</v>
      </c>
      <c r="DL52" s="167" t="s">
        <v>69</v>
      </c>
      <c r="DM52" s="167" t="s">
        <v>69</v>
      </c>
      <c r="DN52" s="167" t="s">
        <v>69</v>
      </c>
      <c r="DO52" s="167" t="s">
        <v>69</v>
      </c>
      <c r="DP52" s="167" t="s">
        <v>69</v>
      </c>
      <c r="DQ52" s="167" t="s">
        <v>69</v>
      </c>
      <c r="DR52" s="167" t="s">
        <v>69</v>
      </c>
      <c r="DS52" s="167" t="s">
        <v>69</v>
      </c>
      <c r="DT52" s="167">
        <v>3</v>
      </c>
      <c r="DU52" s="167" t="s">
        <v>69</v>
      </c>
      <c r="DV52" s="110">
        <f t="shared" si="0"/>
        <v>0.17741935483870969</v>
      </c>
      <c r="DW52" s="104">
        <f t="shared" si="1"/>
        <v>0.90909090909090906</v>
      </c>
    </row>
    <row r="53" spans="1:127" ht="42" hidden="1" customHeight="1" thickBot="1">
      <c r="A53" s="250" t="s">
        <v>558</v>
      </c>
      <c r="B53" s="242" t="s">
        <v>676</v>
      </c>
      <c r="C53" s="208">
        <v>45331</v>
      </c>
      <c r="D53" s="220" t="s">
        <v>434</v>
      </c>
      <c r="E53" s="256" t="s">
        <v>898</v>
      </c>
      <c r="F53" s="167">
        <v>4</v>
      </c>
      <c r="G53" s="167" t="s">
        <v>69</v>
      </c>
      <c r="H53" s="167">
        <v>4</v>
      </c>
      <c r="I53" s="167" t="s">
        <v>69</v>
      </c>
      <c r="J53" s="167" t="s">
        <v>69</v>
      </c>
      <c r="K53" s="167" t="s">
        <v>69</v>
      </c>
      <c r="L53" s="167" t="s">
        <v>69</v>
      </c>
      <c r="M53" s="167" t="s">
        <v>69</v>
      </c>
      <c r="N53" s="167" t="s">
        <v>69</v>
      </c>
      <c r="O53" s="167" t="s">
        <v>69</v>
      </c>
      <c r="P53" s="167" t="s">
        <v>69</v>
      </c>
      <c r="Q53" s="167" t="s">
        <v>69</v>
      </c>
      <c r="R53" s="167" t="s">
        <v>69</v>
      </c>
      <c r="S53" s="167" t="s">
        <v>69</v>
      </c>
      <c r="T53" s="167" t="s">
        <v>69</v>
      </c>
      <c r="U53" s="167" t="s">
        <v>69</v>
      </c>
      <c r="V53" s="167" t="s">
        <v>69</v>
      </c>
      <c r="W53" s="167" t="s">
        <v>69</v>
      </c>
      <c r="X53" s="167" t="s">
        <v>69</v>
      </c>
      <c r="Y53" s="167" t="s">
        <v>69</v>
      </c>
      <c r="Z53" s="167" t="s">
        <v>69</v>
      </c>
      <c r="AA53" s="167" t="s">
        <v>69</v>
      </c>
      <c r="AB53" s="167" t="s">
        <v>69</v>
      </c>
      <c r="AC53" s="167" t="s">
        <v>69</v>
      </c>
      <c r="AD53" s="167" t="s">
        <v>69</v>
      </c>
      <c r="AE53" s="167" t="s">
        <v>69</v>
      </c>
      <c r="AF53" s="167" t="s">
        <v>69</v>
      </c>
      <c r="AG53" s="167" t="s">
        <v>69</v>
      </c>
      <c r="AH53" s="167" t="s">
        <v>69</v>
      </c>
      <c r="AI53" s="167" t="s">
        <v>69</v>
      </c>
      <c r="AJ53" s="167" t="s">
        <v>69</v>
      </c>
      <c r="AK53" s="167" t="s">
        <v>69</v>
      </c>
      <c r="AL53" s="167" t="s">
        <v>69</v>
      </c>
      <c r="AM53" s="167" t="s">
        <v>69</v>
      </c>
      <c r="AN53" s="167" t="s">
        <v>69</v>
      </c>
      <c r="AO53" s="167" t="s">
        <v>69</v>
      </c>
      <c r="AP53" s="167" t="s">
        <v>69</v>
      </c>
      <c r="AQ53" s="167" t="s">
        <v>69</v>
      </c>
      <c r="AR53" s="167" t="s">
        <v>69</v>
      </c>
      <c r="AS53" s="167" t="s">
        <v>69</v>
      </c>
      <c r="AT53" s="167" t="s">
        <v>69</v>
      </c>
      <c r="AU53" s="167">
        <v>4</v>
      </c>
      <c r="AV53" s="167" t="s">
        <v>69</v>
      </c>
      <c r="AW53" s="167" t="s">
        <v>69</v>
      </c>
      <c r="AX53" s="167">
        <v>4</v>
      </c>
      <c r="AY53" s="167" t="s">
        <v>69</v>
      </c>
      <c r="AZ53" s="167" t="s">
        <v>69</v>
      </c>
      <c r="BA53" s="167" t="s">
        <v>69</v>
      </c>
      <c r="BB53" s="167" t="s">
        <v>69</v>
      </c>
      <c r="BC53" s="167" t="s">
        <v>69</v>
      </c>
      <c r="BD53" s="167" t="s">
        <v>69</v>
      </c>
      <c r="BE53" s="167" t="s">
        <v>69</v>
      </c>
      <c r="BF53" s="167" t="s">
        <v>69</v>
      </c>
      <c r="BG53" s="167" t="s">
        <v>69</v>
      </c>
      <c r="BH53" s="167" t="s">
        <v>69</v>
      </c>
      <c r="BI53" s="167" t="s">
        <v>69</v>
      </c>
      <c r="BJ53" s="167" t="s">
        <v>69</v>
      </c>
      <c r="BK53" s="167" t="s">
        <v>69</v>
      </c>
      <c r="BL53" s="167" t="s">
        <v>69</v>
      </c>
      <c r="BM53" s="167" t="s">
        <v>69</v>
      </c>
      <c r="BN53" s="167" t="s">
        <v>69</v>
      </c>
      <c r="BO53" s="167" t="s">
        <v>69</v>
      </c>
      <c r="BP53" s="167" t="s">
        <v>69</v>
      </c>
      <c r="BQ53" s="167" t="s">
        <v>69</v>
      </c>
      <c r="BR53" s="167" t="s">
        <v>69</v>
      </c>
      <c r="BS53" s="167" t="s">
        <v>69</v>
      </c>
      <c r="BT53" s="167" t="s">
        <v>69</v>
      </c>
      <c r="BU53" s="167" t="s">
        <v>69</v>
      </c>
      <c r="BV53" s="167" t="s">
        <v>69</v>
      </c>
      <c r="BW53" s="167" t="s">
        <v>69</v>
      </c>
      <c r="BX53" s="167" t="s">
        <v>69</v>
      </c>
      <c r="BY53" s="167" t="s">
        <v>69</v>
      </c>
      <c r="BZ53" s="167" t="s">
        <v>69</v>
      </c>
      <c r="CA53" s="167" t="s">
        <v>69</v>
      </c>
      <c r="CB53" s="167" t="s">
        <v>69</v>
      </c>
      <c r="CC53" s="167" t="s">
        <v>69</v>
      </c>
      <c r="CD53" s="167" t="s">
        <v>69</v>
      </c>
      <c r="CE53" s="167" t="s">
        <v>69</v>
      </c>
      <c r="CF53" s="167" t="s">
        <v>69</v>
      </c>
      <c r="CG53" s="167">
        <v>2</v>
      </c>
      <c r="CH53" s="167" t="s">
        <v>69</v>
      </c>
      <c r="CI53" s="167" t="s">
        <v>69</v>
      </c>
      <c r="CJ53" s="167" t="s">
        <v>69</v>
      </c>
      <c r="CK53" s="167" t="s">
        <v>69</v>
      </c>
      <c r="CL53" s="167" t="s">
        <v>69</v>
      </c>
      <c r="CM53" s="167" t="s">
        <v>69</v>
      </c>
      <c r="CN53" s="167" t="s">
        <v>69</v>
      </c>
      <c r="CO53" s="167">
        <v>3</v>
      </c>
      <c r="CP53" s="167">
        <v>4</v>
      </c>
      <c r="CQ53" s="167">
        <v>3</v>
      </c>
      <c r="CR53" s="167" t="s">
        <v>69</v>
      </c>
      <c r="CS53" s="167" t="s">
        <v>69</v>
      </c>
      <c r="CT53" s="167" t="s">
        <v>69</v>
      </c>
      <c r="CU53" s="167" t="s">
        <v>69</v>
      </c>
      <c r="CV53" s="167" t="s">
        <v>69</v>
      </c>
      <c r="CW53" s="167" t="s">
        <v>69</v>
      </c>
      <c r="CX53" s="167">
        <v>2</v>
      </c>
      <c r="CY53" s="167" t="s">
        <v>69</v>
      </c>
      <c r="CZ53" s="167" t="s">
        <v>69</v>
      </c>
      <c r="DA53" s="167" t="s">
        <v>69</v>
      </c>
      <c r="DB53" s="167" t="s">
        <v>69</v>
      </c>
      <c r="DC53" s="167" t="s">
        <v>69</v>
      </c>
      <c r="DD53" s="167" t="s">
        <v>69</v>
      </c>
      <c r="DE53" s="167" t="s">
        <v>69</v>
      </c>
      <c r="DF53" s="167" t="s">
        <v>69</v>
      </c>
      <c r="DG53" s="167" t="s">
        <v>69</v>
      </c>
      <c r="DH53" s="167" t="s">
        <v>69</v>
      </c>
      <c r="DI53" s="167" t="s">
        <v>69</v>
      </c>
      <c r="DJ53" s="167" t="s">
        <v>69</v>
      </c>
      <c r="DK53" s="167" t="s">
        <v>69</v>
      </c>
      <c r="DL53" s="167" t="s">
        <v>69</v>
      </c>
      <c r="DM53" s="167" t="s">
        <v>69</v>
      </c>
      <c r="DN53" s="167" t="s">
        <v>69</v>
      </c>
      <c r="DO53" s="167" t="s">
        <v>69</v>
      </c>
      <c r="DP53" s="167" t="s">
        <v>69</v>
      </c>
      <c r="DQ53" s="167" t="s">
        <v>69</v>
      </c>
      <c r="DR53" s="167" t="s">
        <v>69</v>
      </c>
      <c r="DS53" s="167" t="s">
        <v>69</v>
      </c>
      <c r="DT53" s="167" t="s">
        <v>69</v>
      </c>
      <c r="DU53" s="167" t="s">
        <v>69</v>
      </c>
      <c r="DV53" s="110">
        <f t="shared" si="0"/>
        <v>0.14516129032258066</v>
      </c>
      <c r="DW53" s="104">
        <f t="shared" si="1"/>
        <v>0.77777777777777779</v>
      </c>
    </row>
    <row r="54" spans="1:127" ht="42" hidden="1" customHeight="1" thickBot="1">
      <c r="A54" s="250" t="s">
        <v>560</v>
      </c>
      <c r="B54" s="242" t="s">
        <v>561</v>
      </c>
      <c r="C54" s="208">
        <v>45331</v>
      </c>
      <c r="D54" s="220" t="s">
        <v>434</v>
      </c>
      <c r="E54" s="256" t="s">
        <v>898</v>
      </c>
      <c r="F54" s="167" t="s">
        <v>69</v>
      </c>
      <c r="G54" s="167" t="s">
        <v>69</v>
      </c>
      <c r="H54" s="167" t="s">
        <v>69</v>
      </c>
      <c r="I54" s="167" t="s">
        <v>69</v>
      </c>
      <c r="J54" s="167" t="s">
        <v>69</v>
      </c>
      <c r="K54" s="167" t="s">
        <v>69</v>
      </c>
      <c r="L54" s="167" t="s">
        <v>69</v>
      </c>
      <c r="M54" s="167">
        <v>4</v>
      </c>
      <c r="N54" s="167" t="s">
        <v>69</v>
      </c>
      <c r="O54" s="167" t="s">
        <v>69</v>
      </c>
      <c r="P54" s="167" t="s">
        <v>69</v>
      </c>
      <c r="Q54" s="167" t="s">
        <v>69</v>
      </c>
      <c r="R54" s="167" t="s">
        <v>69</v>
      </c>
      <c r="S54" s="167" t="s">
        <v>69</v>
      </c>
      <c r="T54" s="167" t="s">
        <v>69</v>
      </c>
      <c r="U54" s="167" t="s">
        <v>69</v>
      </c>
      <c r="V54" s="167" t="s">
        <v>69</v>
      </c>
      <c r="W54" s="167" t="s">
        <v>69</v>
      </c>
      <c r="X54" s="167" t="s">
        <v>69</v>
      </c>
      <c r="Y54" s="167" t="s">
        <v>69</v>
      </c>
      <c r="Z54" s="167" t="s">
        <v>69</v>
      </c>
      <c r="AA54" s="167">
        <v>4</v>
      </c>
      <c r="AB54" s="167" t="s">
        <v>69</v>
      </c>
      <c r="AC54" s="167" t="s">
        <v>69</v>
      </c>
      <c r="AD54" s="167" t="s">
        <v>69</v>
      </c>
      <c r="AE54" s="167" t="s">
        <v>69</v>
      </c>
      <c r="AF54" s="167">
        <v>4</v>
      </c>
      <c r="AG54" s="167">
        <v>4</v>
      </c>
      <c r="AH54" s="167" t="s">
        <v>69</v>
      </c>
      <c r="AI54" s="167" t="s">
        <v>69</v>
      </c>
      <c r="AJ54" s="167" t="s">
        <v>69</v>
      </c>
      <c r="AK54" s="167" t="s">
        <v>69</v>
      </c>
      <c r="AL54" s="167" t="s">
        <v>69</v>
      </c>
      <c r="AM54" s="167">
        <v>4</v>
      </c>
      <c r="AN54" s="167">
        <v>4</v>
      </c>
      <c r="AO54" s="167">
        <v>4</v>
      </c>
      <c r="AP54" s="167" t="s">
        <v>69</v>
      </c>
      <c r="AQ54" s="167" t="s">
        <v>69</v>
      </c>
      <c r="AR54" s="167" t="s">
        <v>69</v>
      </c>
      <c r="AS54" s="167" t="s">
        <v>69</v>
      </c>
      <c r="AT54" s="167" t="s">
        <v>69</v>
      </c>
      <c r="AU54" s="167" t="s">
        <v>69</v>
      </c>
      <c r="AV54" s="167" t="s">
        <v>69</v>
      </c>
      <c r="AW54" s="167" t="s">
        <v>69</v>
      </c>
      <c r="AX54" s="167" t="s">
        <v>69</v>
      </c>
      <c r="AY54" s="167" t="s">
        <v>69</v>
      </c>
      <c r="AZ54" s="167" t="s">
        <v>69</v>
      </c>
      <c r="BA54" s="167" t="s">
        <v>69</v>
      </c>
      <c r="BB54" s="167" t="s">
        <v>69</v>
      </c>
      <c r="BC54" s="167" t="s">
        <v>69</v>
      </c>
      <c r="BD54" s="167" t="s">
        <v>69</v>
      </c>
      <c r="BE54" s="167" t="s">
        <v>69</v>
      </c>
      <c r="BF54" s="167" t="s">
        <v>69</v>
      </c>
      <c r="BG54" s="167" t="s">
        <v>69</v>
      </c>
      <c r="BH54" s="167" t="s">
        <v>69</v>
      </c>
      <c r="BI54" s="167" t="s">
        <v>69</v>
      </c>
      <c r="BJ54" s="167" t="s">
        <v>69</v>
      </c>
      <c r="BK54" s="167" t="s">
        <v>69</v>
      </c>
      <c r="BL54" s="167" t="s">
        <v>69</v>
      </c>
      <c r="BM54" s="167" t="s">
        <v>69</v>
      </c>
      <c r="BN54" s="167">
        <v>2</v>
      </c>
      <c r="BO54" s="167" t="s">
        <v>69</v>
      </c>
      <c r="BP54" s="167" t="s">
        <v>69</v>
      </c>
      <c r="BQ54" s="167" t="s">
        <v>69</v>
      </c>
      <c r="BR54" s="167" t="s">
        <v>69</v>
      </c>
      <c r="BS54" s="167" t="s">
        <v>69</v>
      </c>
      <c r="BT54" s="167" t="s">
        <v>69</v>
      </c>
      <c r="BU54" s="167" t="s">
        <v>69</v>
      </c>
      <c r="BV54" s="167" t="s">
        <v>69</v>
      </c>
      <c r="BW54" s="167" t="s">
        <v>69</v>
      </c>
      <c r="BX54" s="167" t="s">
        <v>69</v>
      </c>
      <c r="BY54" s="167">
        <v>3</v>
      </c>
      <c r="BZ54" s="167" t="s">
        <v>69</v>
      </c>
      <c r="CA54" s="167" t="s">
        <v>69</v>
      </c>
      <c r="CB54" s="167" t="s">
        <v>69</v>
      </c>
      <c r="CC54" s="167" t="s">
        <v>69</v>
      </c>
      <c r="CD54" s="167" t="s">
        <v>69</v>
      </c>
      <c r="CE54" s="167" t="s">
        <v>69</v>
      </c>
      <c r="CF54" s="167" t="s">
        <v>69</v>
      </c>
      <c r="CG54" s="167">
        <v>4</v>
      </c>
      <c r="CH54" s="167" t="s">
        <v>69</v>
      </c>
      <c r="CI54" s="167" t="s">
        <v>69</v>
      </c>
      <c r="CJ54" s="167" t="s">
        <v>69</v>
      </c>
      <c r="CK54" s="167" t="s">
        <v>69</v>
      </c>
      <c r="CL54" s="167" t="s">
        <v>69</v>
      </c>
      <c r="CM54" s="167" t="s">
        <v>69</v>
      </c>
      <c r="CN54" s="167" t="s">
        <v>69</v>
      </c>
      <c r="CO54" s="167">
        <v>4</v>
      </c>
      <c r="CP54" s="167">
        <v>3</v>
      </c>
      <c r="CQ54" s="167" t="s">
        <v>69</v>
      </c>
      <c r="CR54" s="167" t="s">
        <v>69</v>
      </c>
      <c r="CS54" s="167" t="s">
        <v>69</v>
      </c>
      <c r="CT54" s="167" t="s">
        <v>69</v>
      </c>
      <c r="CU54" s="167" t="s">
        <v>69</v>
      </c>
      <c r="CV54" s="167">
        <v>3</v>
      </c>
      <c r="CW54" s="167" t="s">
        <v>69</v>
      </c>
      <c r="CX54" s="167" t="s">
        <v>69</v>
      </c>
      <c r="CY54" s="167" t="s">
        <v>69</v>
      </c>
      <c r="CZ54" s="167" t="s">
        <v>69</v>
      </c>
      <c r="DA54" s="167">
        <v>3</v>
      </c>
      <c r="DB54" s="167">
        <v>3</v>
      </c>
      <c r="DC54" s="167">
        <v>3</v>
      </c>
      <c r="DD54" s="167">
        <v>3</v>
      </c>
      <c r="DE54" s="167" t="s">
        <v>69</v>
      </c>
      <c r="DF54" s="167">
        <v>3</v>
      </c>
      <c r="DG54" s="167" t="s">
        <v>69</v>
      </c>
      <c r="DH54" s="167" t="s">
        <v>69</v>
      </c>
      <c r="DI54" s="167" t="s">
        <v>69</v>
      </c>
      <c r="DJ54" s="167" t="s">
        <v>69</v>
      </c>
      <c r="DK54" s="167" t="s">
        <v>69</v>
      </c>
      <c r="DL54" s="167" t="s">
        <v>69</v>
      </c>
      <c r="DM54" s="167" t="s">
        <v>69</v>
      </c>
      <c r="DN54" s="167" t="s">
        <v>69</v>
      </c>
      <c r="DO54" s="167" t="s">
        <v>69</v>
      </c>
      <c r="DP54" s="167" t="s">
        <v>69</v>
      </c>
      <c r="DQ54" s="167" t="s">
        <v>69</v>
      </c>
      <c r="DR54" s="167" t="s">
        <v>69</v>
      </c>
      <c r="DS54" s="167" t="s">
        <v>69</v>
      </c>
      <c r="DT54" s="167" t="s">
        <v>69</v>
      </c>
      <c r="DU54" s="167" t="s">
        <v>69</v>
      </c>
      <c r="DV54" s="110">
        <f t="shared" si="0"/>
        <v>0.29032258064516131</v>
      </c>
      <c r="DW54" s="104">
        <f t="shared" si="1"/>
        <v>0.94444444444444442</v>
      </c>
    </row>
    <row r="55" spans="1:127" ht="42" hidden="1" customHeight="1" thickBot="1">
      <c r="A55" s="250" t="s">
        <v>562</v>
      </c>
      <c r="B55" s="242" t="s">
        <v>563</v>
      </c>
      <c r="C55" s="208">
        <v>45331</v>
      </c>
      <c r="D55" s="220" t="s">
        <v>434</v>
      </c>
      <c r="E55" s="256" t="s">
        <v>898</v>
      </c>
      <c r="F55" s="167" t="s">
        <v>69</v>
      </c>
      <c r="G55" s="167" t="s">
        <v>69</v>
      </c>
      <c r="H55" s="167" t="s">
        <v>69</v>
      </c>
      <c r="I55" s="167">
        <v>3</v>
      </c>
      <c r="J55" s="167" t="s">
        <v>69</v>
      </c>
      <c r="K55" s="167" t="s">
        <v>69</v>
      </c>
      <c r="L55" s="167" t="s">
        <v>69</v>
      </c>
      <c r="M55" s="167" t="s">
        <v>69</v>
      </c>
      <c r="N55" s="167" t="s">
        <v>69</v>
      </c>
      <c r="O55" s="167" t="s">
        <v>69</v>
      </c>
      <c r="P55" s="167" t="s">
        <v>69</v>
      </c>
      <c r="Q55" s="167">
        <v>3</v>
      </c>
      <c r="R55" s="167" t="s">
        <v>69</v>
      </c>
      <c r="S55" s="167" t="s">
        <v>69</v>
      </c>
      <c r="T55" s="167" t="s">
        <v>69</v>
      </c>
      <c r="U55" s="167" t="s">
        <v>69</v>
      </c>
      <c r="V55" s="167" t="s">
        <v>69</v>
      </c>
      <c r="W55" s="167" t="s">
        <v>69</v>
      </c>
      <c r="X55" s="167" t="s">
        <v>69</v>
      </c>
      <c r="Y55" s="167" t="s">
        <v>69</v>
      </c>
      <c r="Z55" s="167" t="s">
        <v>69</v>
      </c>
      <c r="AA55" s="167" t="s">
        <v>69</v>
      </c>
      <c r="AB55" s="167" t="s">
        <v>69</v>
      </c>
      <c r="AC55" s="167" t="s">
        <v>69</v>
      </c>
      <c r="AD55" s="167" t="s">
        <v>69</v>
      </c>
      <c r="AE55" s="167" t="s">
        <v>69</v>
      </c>
      <c r="AF55" s="167" t="s">
        <v>69</v>
      </c>
      <c r="AG55" s="167" t="s">
        <v>69</v>
      </c>
      <c r="AH55" s="167" t="s">
        <v>69</v>
      </c>
      <c r="AI55" s="167" t="s">
        <v>69</v>
      </c>
      <c r="AJ55" s="167" t="s">
        <v>69</v>
      </c>
      <c r="AK55" s="167" t="s">
        <v>69</v>
      </c>
      <c r="AL55" s="167">
        <v>3</v>
      </c>
      <c r="AM55" s="167" t="s">
        <v>69</v>
      </c>
      <c r="AN55" s="167" t="s">
        <v>69</v>
      </c>
      <c r="AO55" s="167" t="s">
        <v>69</v>
      </c>
      <c r="AP55" s="167">
        <v>3</v>
      </c>
      <c r="AQ55" s="167" t="s">
        <v>69</v>
      </c>
      <c r="AR55" s="167" t="s">
        <v>69</v>
      </c>
      <c r="AS55" s="167" t="s">
        <v>69</v>
      </c>
      <c r="AT55" s="167">
        <v>3</v>
      </c>
      <c r="AU55" s="167" t="s">
        <v>69</v>
      </c>
      <c r="AV55" s="167" t="s">
        <v>69</v>
      </c>
      <c r="AW55" s="167" t="s">
        <v>69</v>
      </c>
      <c r="AX55" s="167" t="s">
        <v>69</v>
      </c>
      <c r="AY55" s="167">
        <v>3</v>
      </c>
      <c r="AZ55" s="167">
        <v>3</v>
      </c>
      <c r="BA55" s="167" t="s">
        <v>69</v>
      </c>
      <c r="BB55" s="167" t="s">
        <v>69</v>
      </c>
      <c r="BC55" s="167" t="s">
        <v>69</v>
      </c>
      <c r="BD55" s="167" t="s">
        <v>69</v>
      </c>
      <c r="BE55" s="167" t="s">
        <v>69</v>
      </c>
      <c r="BF55" s="167">
        <v>4</v>
      </c>
      <c r="BG55" s="167" t="s">
        <v>69</v>
      </c>
      <c r="BH55" s="167" t="s">
        <v>69</v>
      </c>
      <c r="BI55" s="167">
        <v>3</v>
      </c>
      <c r="BJ55" s="167" t="s">
        <v>69</v>
      </c>
      <c r="BK55" s="167" t="s">
        <v>69</v>
      </c>
      <c r="BL55" s="167" t="s">
        <v>69</v>
      </c>
      <c r="BM55" s="167" t="s">
        <v>69</v>
      </c>
      <c r="BN55" s="167">
        <v>2</v>
      </c>
      <c r="BO55" s="167" t="s">
        <v>69</v>
      </c>
      <c r="BP55" s="167" t="s">
        <v>69</v>
      </c>
      <c r="BQ55" s="167" t="s">
        <v>69</v>
      </c>
      <c r="BR55" s="167" t="s">
        <v>69</v>
      </c>
      <c r="BS55" s="167" t="s">
        <v>69</v>
      </c>
      <c r="BT55" s="167" t="s">
        <v>69</v>
      </c>
      <c r="BU55" s="167" t="s">
        <v>69</v>
      </c>
      <c r="BV55" s="167" t="s">
        <v>69</v>
      </c>
      <c r="BW55" s="167" t="s">
        <v>69</v>
      </c>
      <c r="BX55" s="167" t="s">
        <v>69</v>
      </c>
      <c r="BY55" s="167">
        <v>2</v>
      </c>
      <c r="BZ55" s="167" t="s">
        <v>69</v>
      </c>
      <c r="CA55" s="167" t="s">
        <v>69</v>
      </c>
      <c r="CB55" s="167" t="s">
        <v>69</v>
      </c>
      <c r="CC55" s="167" t="s">
        <v>69</v>
      </c>
      <c r="CD55" s="167" t="s">
        <v>69</v>
      </c>
      <c r="CE55" s="167" t="s">
        <v>69</v>
      </c>
      <c r="CF55" s="167" t="s">
        <v>69</v>
      </c>
      <c r="CG55" s="167">
        <v>4</v>
      </c>
      <c r="CH55" s="167" t="s">
        <v>69</v>
      </c>
      <c r="CI55" s="167" t="s">
        <v>69</v>
      </c>
      <c r="CJ55" s="167" t="s">
        <v>69</v>
      </c>
      <c r="CK55" s="167" t="s">
        <v>69</v>
      </c>
      <c r="CL55" s="167" t="s">
        <v>69</v>
      </c>
      <c r="CM55" s="167" t="s">
        <v>69</v>
      </c>
      <c r="CN55" s="167" t="s">
        <v>69</v>
      </c>
      <c r="CO55" s="167">
        <v>3</v>
      </c>
      <c r="CP55" s="167">
        <v>3</v>
      </c>
      <c r="CQ55" s="167">
        <v>2</v>
      </c>
      <c r="CR55" s="167" t="s">
        <v>69</v>
      </c>
      <c r="CS55" s="167">
        <v>2</v>
      </c>
      <c r="CT55" s="167" t="s">
        <v>69</v>
      </c>
      <c r="CU55" s="167" t="s">
        <v>69</v>
      </c>
      <c r="CV55" s="167">
        <v>3</v>
      </c>
      <c r="CW55" s="167" t="s">
        <v>69</v>
      </c>
      <c r="CX55" s="167" t="s">
        <v>69</v>
      </c>
      <c r="CY55" s="167" t="s">
        <v>69</v>
      </c>
      <c r="CZ55" s="167" t="s">
        <v>69</v>
      </c>
      <c r="DA55" s="167" t="s">
        <v>69</v>
      </c>
      <c r="DB55" s="167" t="s">
        <v>69</v>
      </c>
      <c r="DC55" s="167">
        <v>3</v>
      </c>
      <c r="DD55" s="167" t="s">
        <v>69</v>
      </c>
      <c r="DE55" s="167" t="s">
        <v>69</v>
      </c>
      <c r="DF55" s="167">
        <v>2</v>
      </c>
      <c r="DG55" s="167">
        <v>3</v>
      </c>
      <c r="DH55" s="167" t="s">
        <v>69</v>
      </c>
      <c r="DI55" s="167" t="s">
        <v>69</v>
      </c>
      <c r="DJ55" s="167" t="s">
        <v>69</v>
      </c>
      <c r="DK55" s="167" t="s">
        <v>69</v>
      </c>
      <c r="DL55" s="167" t="s">
        <v>69</v>
      </c>
      <c r="DM55" s="167" t="s">
        <v>69</v>
      </c>
      <c r="DN55" s="167" t="s">
        <v>69</v>
      </c>
      <c r="DO55" s="167" t="s">
        <v>69</v>
      </c>
      <c r="DP55" s="167" t="s">
        <v>69</v>
      </c>
      <c r="DQ55" s="167" t="s">
        <v>69</v>
      </c>
      <c r="DR55" s="167" t="s">
        <v>69</v>
      </c>
      <c r="DS55" s="167" t="s">
        <v>69</v>
      </c>
      <c r="DT55" s="167" t="s">
        <v>69</v>
      </c>
      <c r="DU55" s="167" t="s">
        <v>69</v>
      </c>
      <c r="DV55" s="110">
        <f t="shared" si="0"/>
        <v>0.32258064516129031</v>
      </c>
      <c r="DW55" s="104">
        <f t="shared" si="1"/>
        <v>0.75</v>
      </c>
    </row>
    <row r="56" spans="1:127" ht="42" hidden="1" customHeight="1" thickBot="1">
      <c r="A56" s="250" t="s">
        <v>565</v>
      </c>
      <c r="B56" s="242" t="s">
        <v>566</v>
      </c>
      <c r="C56" s="208" t="s">
        <v>627</v>
      </c>
      <c r="D56" s="220" t="s">
        <v>434</v>
      </c>
      <c r="E56" s="256" t="s">
        <v>898</v>
      </c>
      <c r="F56" s="167">
        <v>3</v>
      </c>
      <c r="G56" s="167" t="s">
        <v>69</v>
      </c>
      <c r="H56" s="167" t="s">
        <v>69</v>
      </c>
      <c r="I56" s="167" t="s">
        <v>69</v>
      </c>
      <c r="J56" s="167" t="s">
        <v>69</v>
      </c>
      <c r="K56" s="167" t="s">
        <v>69</v>
      </c>
      <c r="L56" s="167" t="s">
        <v>69</v>
      </c>
      <c r="M56" s="167" t="s">
        <v>69</v>
      </c>
      <c r="N56" s="167" t="s">
        <v>69</v>
      </c>
      <c r="O56" s="167" t="s">
        <v>69</v>
      </c>
      <c r="P56" s="167" t="s">
        <v>69</v>
      </c>
      <c r="Q56" s="167">
        <v>3</v>
      </c>
      <c r="R56" s="167" t="s">
        <v>69</v>
      </c>
      <c r="S56" s="167" t="s">
        <v>69</v>
      </c>
      <c r="T56" s="167" t="s">
        <v>69</v>
      </c>
      <c r="U56" s="167" t="s">
        <v>69</v>
      </c>
      <c r="V56" s="167">
        <v>2</v>
      </c>
      <c r="W56" s="167" t="s">
        <v>69</v>
      </c>
      <c r="X56" s="167" t="s">
        <v>69</v>
      </c>
      <c r="Y56" s="167" t="s">
        <v>69</v>
      </c>
      <c r="Z56" s="167" t="s">
        <v>69</v>
      </c>
      <c r="AA56" s="167" t="s">
        <v>69</v>
      </c>
      <c r="AB56" s="167" t="s">
        <v>69</v>
      </c>
      <c r="AC56" s="167" t="s">
        <v>69</v>
      </c>
      <c r="AD56" s="167" t="s">
        <v>69</v>
      </c>
      <c r="AE56" s="167" t="s">
        <v>69</v>
      </c>
      <c r="AF56" s="167">
        <v>3</v>
      </c>
      <c r="AG56" s="167" t="s">
        <v>69</v>
      </c>
      <c r="AH56" s="167">
        <v>4</v>
      </c>
      <c r="AI56" s="167" t="s">
        <v>69</v>
      </c>
      <c r="AJ56" s="167" t="s">
        <v>69</v>
      </c>
      <c r="AK56" s="167" t="s">
        <v>69</v>
      </c>
      <c r="AL56" s="167" t="s">
        <v>69</v>
      </c>
      <c r="AM56" s="167" t="s">
        <v>69</v>
      </c>
      <c r="AN56" s="167" t="s">
        <v>69</v>
      </c>
      <c r="AO56" s="167" t="s">
        <v>69</v>
      </c>
      <c r="AP56" s="167">
        <v>2</v>
      </c>
      <c r="AQ56" s="167" t="s">
        <v>69</v>
      </c>
      <c r="AR56" s="167" t="s">
        <v>69</v>
      </c>
      <c r="AS56" s="167" t="s">
        <v>69</v>
      </c>
      <c r="AT56" s="167" t="s">
        <v>69</v>
      </c>
      <c r="AU56" s="167">
        <v>4</v>
      </c>
      <c r="AV56" s="167" t="s">
        <v>69</v>
      </c>
      <c r="AW56" s="167" t="s">
        <v>69</v>
      </c>
      <c r="AX56" s="167" t="s">
        <v>69</v>
      </c>
      <c r="AY56" s="167" t="s">
        <v>69</v>
      </c>
      <c r="AZ56" s="167" t="s">
        <v>69</v>
      </c>
      <c r="BA56" s="167" t="s">
        <v>69</v>
      </c>
      <c r="BB56" s="167" t="s">
        <v>69</v>
      </c>
      <c r="BC56" s="167" t="s">
        <v>69</v>
      </c>
      <c r="BD56" s="167" t="s">
        <v>69</v>
      </c>
      <c r="BE56" s="167" t="s">
        <v>69</v>
      </c>
      <c r="BF56" s="167" t="s">
        <v>69</v>
      </c>
      <c r="BG56" s="167" t="s">
        <v>69</v>
      </c>
      <c r="BH56" s="167" t="s">
        <v>69</v>
      </c>
      <c r="BI56" s="167">
        <v>3</v>
      </c>
      <c r="BJ56" s="167">
        <v>2</v>
      </c>
      <c r="BK56" s="167">
        <v>2</v>
      </c>
      <c r="BL56" s="167" t="s">
        <v>69</v>
      </c>
      <c r="BM56" s="167">
        <v>2</v>
      </c>
      <c r="BN56" s="167" t="s">
        <v>69</v>
      </c>
      <c r="BO56" s="167" t="s">
        <v>69</v>
      </c>
      <c r="BP56" s="167" t="s">
        <v>69</v>
      </c>
      <c r="BQ56" s="167" t="s">
        <v>69</v>
      </c>
      <c r="BR56" s="167" t="s">
        <v>69</v>
      </c>
      <c r="BS56" s="167" t="s">
        <v>69</v>
      </c>
      <c r="BT56" s="167" t="s">
        <v>69</v>
      </c>
      <c r="BU56" s="167" t="s">
        <v>69</v>
      </c>
      <c r="BV56" s="167" t="s">
        <v>69</v>
      </c>
      <c r="BW56" s="167" t="s">
        <v>69</v>
      </c>
      <c r="BX56" s="167" t="s">
        <v>69</v>
      </c>
      <c r="BY56" s="167">
        <v>4</v>
      </c>
      <c r="BZ56" s="167" t="s">
        <v>69</v>
      </c>
      <c r="CA56" s="167" t="s">
        <v>69</v>
      </c>
      <c r="CB56" s="167">
        <v>2</v>
      </c>
      <c r="CC56" s="167" t="s">
        <v>69</v>
      </c>
      <c r="CD56" s="167" t="s">
        <v>69</v>
      </c>
      <c r="CE56" s="167" t="s">
        <v>69</v>
      </c>
      <c r="CF56" s="167" t="s">
        <v>69</v>
      </c>
      <c r="CG56" s="167">
        <v>4</v>
      </c>
      <c r="CH56" s="167" t="s">
        <v>69</v>
      </c>
      <c r="CI56" s="167" t="s">
        <v>69</v>
      </c>
      <c r="CJ56" s="167" t="s">
        <v>69</v>
      </c>
      <c r="CK56" s="167" t="s">
        <v>69</v>
      </c>
      <c r="CL56" s="167" t="s">
        <v>69</v>
      </c>
      <c r="CM56" s="167" t="s">
        <v>69</v>
      </c>
      <c r="CN56" s="167" t="s">
        <v>69</v>
      </c>
      <c r="CO56" s="167">
        <v>2</v>
      </c>
      <c r="CP56" s="167">
        <v>3</v>
      </c>
      <c r="CQ56" s="167" t="s">
        <v>69</v>
      </c>
      <c r="CR56" s="167" t="s">
        <v>69</v>
      </c>
      <c r="CS56" s="167" t="s">
        <v>69</v>
      </c>
      <c r="CT56" s="167" t="s">
        <v>69</v>
      </c>
      <c r="CU56" s="167" t="s">
        <v>69</v>
      </c>
      <c r="CV56" s="167" t="s">
        <v>69</v>
      </c>
      <c r="CW56" s="167" t="s">
        <v>69</v>
      </c>
      <c r="CX56" s="167" t="s">
        <v>69</v>
      </c>
      <c r="CY56" s="167" t="s">
        <v>69</v>
      </c>
      <c r="CZ56" s="167" t="s">
        <v>69</v>
      </c>
      <c r="DA56" s="167">
        <v>2</v>
      </c>
      <c r="DB56" s="167" t="s">
        <v>69</v>
      </c>
      <c r="DC56" s="167" t="s">
        <v>69</v>
      </c>
      <c r="DD56" s="167" t="s">
        <v>69</v>
      </c>
      <c r="DE56" s="167" t="s">
        <v>69</v>
      </c>
      <c r="DF56" s="167">
        <v>2</v>
      </c>
      <c r="DG56" s="167" t="s">
        <v>69</v>
      </c>
      <c r="DH56" s="167" t="s">
        <v>69</v>
      </c>
      <c r="DI56" s="167" t="s">
        <v>69</v>
      </c>
      <c r="DJ56" s="167" t="s">
        <v>69</v>
      </c>
      <c r="DK56" s="167" t="s">
        <v>69</v>
      </c>
      <c r="DL56" s="167" t="s">
        <v>69</v>
      </c>
      <c r="DM56" s="167" t="s">
        <v>69</v>
      </c>
      <c r="DN56" s="167" t="s">
        <v>69</v>
      </c>
      <c r="DO56" s="167" t="s">
        <v>69</v>
      </c>
      <c r="DP56" s="167" t="s">
        <v>69</v>
      </c>
      <c r="DQ56" s="167">
        <v>3</v>
      </c>
      <c r="DR56" s="167" t="s">
        <v>69</v>
      </c>
      <c r="DS56" s="167" t="s">
        <v>69</v>
      </c>
      <c r="DT56" s="167" t="s">
        <v>69</v>
      </c>
      <c r="DU56" s="167" t="s">
        <v>69</v>
      </c>
      <c r="DV56" s="110">
        <f t="shared" si="0"/>
        <v>0.30645161290322581</v>
      </c>
      <c r="DW56" s="104">
        <f t="shared" si="1"/>
        <v>0.52631578947368418</v>
      </c>
    </row>
    <row r="57" spans="1:127" ht="42" hidden="1" customHeight="1" thickBot="1">
      <c r="A57" s="250" t="s">
        <v>645</v>
      </c>
      <c r="B57" s="242" t="s">
        <v>648</v>
      </c>
      <c r="C57" s="208" t="s">
        <v>627</v>
      </c>
      <c r="D57" s="220" t="s">
        <v>434</v>
      </c>
      <c r="E57" s="256" t="s">
        <v>898</v>
      </c>
      <c r="F57" s="167" t="s">
        <v>69</v>
      </c>
      <c r="G57" s="167" t="s">
        <v>69</v>
      </c>
      <c r="H57" s="167" t="s">
        <v>69</v>
      </c>
      <c r="I57" s="167" t="s">
        <v>69</v>
      </c>
      <c r="J57" s="167" t="s">
        <v>69</v>
      </c>
      <c r="K57" s="167" t="s">
        <v>69</v>
      </c>
      <c r="L57" s="167" t="s">
        <v>69</v>
      </c>
      <c r="M57" s="167">
        <v>3</v>
      </c>
      <c r="N57" s="167" t="s">
        <v>69</v>
      </c>
      <c r="O57" s="167" t="s">
        <v>69</v>
      </c>
      <c r="P57" s="167" t="s">
        <v>69</v>
      </c>
      <c r="Q57" s="167" t="s">
        <v>69</v>
      </c>
      <c r="R57" s="167" t="s">
        <v>69</v>
      </c>
      <c r="S57" s="167" t="s">
        <v>69</v>
      </c>
      <c r="T57" s="167" t="s">
        <v>69</v>
      </c>
      <c r="U57" s="167" t="s">
        <v>69</v>
      </c>
      <c r="V57" s="167" t="s">
        <v>69</v>
      </c>
      <c r="W57" s="167" t="s">
        <v>69</v>
      </c>
      <c r="X57" s="167" t="s">
        <v>69</v>
      </c>
      <c r="Y57" s="167" t="s">
        <v>69</v>
      </c>
      <c r="Z57" s="167" t="s">
        <v>69</v>
      </c>
      <c r="AA57" s="167" t="s">
        <v>69</v>
      </c>
      <c r="AB57" s="167" t="s">
        <v>69</v>
      </c>
      <c r="AC57" s="167" t="s">
        <v>69</v>
      </c>
      <c r="AD57" s="167" t="s">
        <v>69</v>
      </c>
      <c r="AE57" s="167" t="s">
        <v>69</v>
      </c>
      <c r="AF57" s="167">
        <v>4</v>
      </c>
      <c r="AG57" s="167" t="s">
        <v>69</v>
      </c>
      <c r="AH57" s="167">
        <v>2</v>
      </c>
      <c r="AI57" s="167" t="s">
        <v>69</v>
      </c>
      <c r="AJ57" s="167" t="s">
        <v>69</v>
      </c>
      <c r="AK57" s="167" t="s">
        <v>69</v>
      </c>
      <c r="AL57" s="167">
        <v>2</v>
      </c>
      <c r="AM57" s="167" t="s">
        <v>69</v>
      </c>
      <c r="AN57" s="167">
        <v>4</v>
      </c>
      <c r="AO57" s="167" t="s">
        <v>69</v>
      </c>
      <c r="AP57" s="167" t="s">
        <v>69</v>
      </c>
      <c r="AQ57" s="167" t="s">
        <v>69</v>
      </c>
      <c r="AR57" s="167" t="s">
        <v>69</v>
      </c>
      <c r="AS57" s="167" t="s">
        <v>69</v>
      </c>
      <c r="AT57" s="167" t="s">
        <v>69</v>
      </c>
      <c r="AU57" s="167" t="s">
        <v>69</v>
      </c>
      <c r="AV57" s="167" t="s">
        <v>69</v>
      </c>
      <c r="AW57" s="167" t="s">
        <v>69</v>
      </c>
      <c r="AX57" s="167" t="s">
        <v>69</v>
      </c>
      <c r="AY57" s="167" t="s">
        <v>69</v>
      </c>
      <c r="AZ57" s="167" t="s">
        <v>69</v>
      </c>
      <c r="BA57" s="167" t="s">
        <v>69</v>
      </c>
      <c r="BB57" s="167" t="s">
        <v>69</v>
      </c>
      <c r="BC57" s="167" t="s">
        <v>69</v>
      </c>
      <c r="BD57" s="167" t="s">
        <v>69</v>
      </c>
      <c r="BE57" s="167" t="s">
        <v>69</v>
      </c>
      <c r="BF57" s="167" t="s">
        <v>69</v>
      </c>
      <c r="BG57" s="167" t="s">
        <v>69</v>
      </c>
      <c r="BH57" s="167" t="s">
        <v>69</v>
      </c>
      <c r="BI57" s="167" t="s">
        <v>69</v>
      </c>
      <c r="BJ57" s="167">
        <v>2</v>
      </c>
      <c r="BK57" s="167" t="s">
        <v>69</v>
      </c>
      <c r="BL57" s="167" t="s">
        <v>69</v>
      </c>
      <c r="BM57" s="167" t="s">
        <v>69</v>
      </c>
      <c r="BN57" s="167" t="s">
        <v>69</v>
      </c>
      <c r="BO57" s="167" t="s">
        <v>69</v>
      </c>
      <c r="BP57" s="167" t="s">
        <v>69</v>
      </c>
      <c r="BQ57" s="167" t="s">
        <v>69</v>
      </c>
      <c r="BR57" s="167" t="s">
        <v>69</v>
      </c>
      <c r="BS57" s="167" t="s">
        <v>69</v>
      </c>
      <c r="BT57" s="167" t="s">
        <v>69</v>
      </c>
      <c r="BU57" s="167" t="s">
        <v>69</v>
      </c>
      <c r="BV57" s="167" t="s">
        <v>69</v>
      </c>
      <c r="BW57" s="167" t="s">
        <v>69</v>
      </c>
      <c r="BX57" s="167" t="s">
        <v>69</v>
      </c>
      <c r="BY57" s="167">
        <v>4</v>
      </c>
      <c r="BZ57" s="167" t="s">
        <v>69</v>
      </c>
      <c r="CA57" s="167">
        <v>2</v>
      </c>
      <c r="CB57" s="167" t="s">
        <v>69</v>
      </c>
      <c r="CC57" s="167" t="s">
        <v>69</v>
      </c>
      <c r="CD57" s="167" t="s">
        <v>69</v>
      </c>
      <c r="CE57" s="167" t="s">
        <v>69</v>
      </c>
      <c r="CF57" s="167" t="s">
        <v>69</v>
      </c>
      <c r="CG57" s="167" t="s">
        <v>69</v>
      </c>
      <c r="CH57" s="167" t="s">
        <v>69</v>
      </c>
      <c r="CI57" s="167" t="s">
        <v>69</v>
      </c>
      <c r="CJ57" s="167" t="s">
        <v>69</v>
      </c>
      <c r="CK57" s="167" t="s">
        <v>69</v>
      </c>
      <c r="CL57" s="167" t="s">
        <v>69</v>
      </c>
      <c r="CM57" s="167" t="s">
        <v>69</v>
      </c>
      <c r="CN57" s="167">
        <v>2</v>
      </c>
      <c r="CO57" s="167">
        <v>2</v>
      </c>
      <c r="CP57" s="167" t="s">
        <v>69</v>
      </c>
      <c r="CQ57" s="167" t="s">
        <v>69</v>
      </c>
      <c r="CR57" s="167" t="s">
        <v>69</v>
      </c>
      <c r="CS57" s="167" t="s">
        <v>69</v>
      </c>
      <c r="CT57" s="167" t="s">
        <v>69</v>
      </c>
      <c r="CU57" s="167" t="s">
        <v>69</v>
      </c>
      <c r="CV57" s="167" t="s">
        <v>69</v>
      </c>
      <c r="CW57" s="167" t="s">
        <v>69</v>
      </c>
      <c r="CX57" s="167" t="s">
        <v>69</v>
      </c>
      <c r="CY57" s="167" t="s">
        <v>69</v>
      </c>
      <c r="CZ57" s="167" t="s">
        <v>69</v>
      </c>
      <c r="DA57" s="167">
        <v>2</v>
      </c>
      <c r="DB57" s="167" t="s">
        <v>69</v>
      </c>
      <c r="DC57" s="167">
        <v>2</v>
      </c>
      <c r="DD57" s="167" t="s">
        <v>69</v>
      </c>
      <c r="DE57" s="167" t="s">
        <v>69</v>
      </c>
      <c r="DF57" s="167" t="s">
        <v>69</v>
      </c>
      <c r="DG57" s="167" t="s">
        <v>69</v>
      </c>
      <c r="DH57" s="167" t="s">
        <v>69</v>
      </c>
      <c r="DI57" s="167" t="s">
        <v>69</v>
      </c>
      <c r="DJ57" s="167">
        <v>3</v>
      </c>
      <c r="DK57" s="167" t="s">
        <v>69</v>
      </c>
      <c r="DL57" s="167" t="s">
        <v>69</v>
      </c>
      <c r="DM57" s="167" t="s">
        <v>69</v>
      </c>
      <c r="DN57" s="167" t="s">
        <v>69</v>
      </c>
      <c r="DO57" s="167" t="s">
        <v>69</v>
      </c>
      <c r="DP57" s="167" t="s">
        <v>69</v>
      </c>
      <c r="DQ57" s="167" t="s">
        <v>69</v>
      </c>
      <c r="DR57" s="167" t="s">
        <v>69</v>
      </c>
      <c r="DS57" s="167" t="s">
        <v>69</v>
      </c>
      <c r="DT57" s="167" t="s">
        <v>69</v>
      </c>
      <c r="DU57" s="167" t="s">
        <v>69</v>
      </c>
      <c r="DV57" s="110">
        <f t="shared" si="0"/>
        <v>0.20967741935483872</v>
      </c>
      <c r="DW57" s="104">
        <f t="shared" si="1"/>
        <v>0.38461538461538464</v>
      </c>
    </row>
    <row r="58" spans="1:127" ht="42" hidden="1" customHeight="1" thickBot="1">
      <c r="A58" s="250" t="s">
        <v>646</v>
      </c>
      <c r="B58" s="242" t="s">
        <v>649</v>
      </c>
      <c r="C58" s="208">
        <v>45334</v>
      </c>
      <c r="D58" s="220" t="s">
        <v>434</v>
      </c>
      <c r="E58" s="256" t="s">
        <v>898</v>
      </c>
      <c r="F58" s="167" t="s">
        <v>69</v>
      </c>
      <c r="G58" s="167" t="s">
        <v>69</v>
      </c>
      <c r="H58" s="167" t="s">
        <v>69</v>
      </c>
      <c r="I58" s="167">
        <v>3</v>
      </c>
      <c r="J58" s="167" t="s">
        <v>69</v>
      </c>
      <c r="K58" s="167" t="s">
        <v>69</v>
      </c>
      <c r="L58" s="167" t="s">
        <v>69</v>
      </c>
      <c r="M58" s="167" t="s">
        <v>69</v>
      </c>
      <c r="N58" s="167" t="s">
        <v>69</v>
      </c>
      <c r="O58" s="167" t="s">
        <v>69</v>
      </c>
      <c r="P58" s="167" t="s">
        <v>69</v>
      </c>
      <c r="Q58" s="167" t="s">
        <v>69</v>
      </c>
      <c r="R58" s="167" t="s">
        <v>69</v>
      </c>
      <c r="S58" s="167" t="s">
        <v>69</v>
      </c>
      <c r="T58" s="167" t="s">
        <v>69</v>
      </c>
      <c r="U58" s="167" t="s">
        <v>69</v>
      </c>
      <c r="V58" s="167" t="s">
        <v>69</v>
      </c>
      <c r="W58" s="167" t="s">
        <v>69</v>
      </c>
      <c r="X58" s="167" t="s">
        <v>69</v>
      </c>
      <c r="Y58" s="167" t="s">
        <v>69</v>
      </c>
      <c r="Z58" s="167" t="s">
        <v>69</v>
      </c>
      <c r="AA58" s="167" t="s">
        <v>69</v>
      </c>
      <c r="AB58" s="167" t="s">
        <v>69</v>
      </c>
      <c r="AC58" s="167" t="s">
        <v>69</v>
      </c>
      <c r="AD58" s="167" t="s">
        <v>69</v>
      </c>
      <c r="AE58" s="167" t="s">
        <v>69</v>
      </c>
      <c r="AF58" s="167" t="s">
        <v>69</v>
      </c>
      <c r="AG58" s="167" t="s">
        <v>69</v>
      </c>
      <c r="AH58" s="167">
        <v>2</v>
      </c>
      <c r="AI58" s="167" t="s">
        <v>69</v>
      </c>
      <c r="AJ58" s="167" t="s">
        <v>69</v>
      </c>
      <c r="AK58" s="167" t="s">
        <v>69</v>
      </c>
      <c r="AL58" s="167" t="s">
        <v>69</v>
      </c>
      <c r="AM58" s="167" t="s">
        <v>69</v>
      </c>
      <c r="AN58" s="167" t="s">
        <v>69</v>
      </c>
      <c r="AO58" s="167" t="s">
        <v>69</v>
      </c>
      <c r="AP58" s="167" t="s">
        <v>69</v>
      </c>
      <c r="AQ58" s="167" t="s">
        <v>69</v>
      </c>
      <c r="AR58" s="167" t="s">
        <v>69</v>
      </c>
      <c r="AS58" s="167" t="s">
        <v>69</v>
      </c>
      <c r="AT58" s="167" t="s">
        <v>69</v>
      </c>
      <c r="AU58" s="167">
        <v>2</v>
      </c>
      <c r="AV58" s="167" t="s">
        <v>69</v>
      </c>
      <c r="AW58" s="167" t="s">
        <v>69</v>
      </c>
      <c r="AX58" s="167" t="s">
        <v>69</v>
      </c>
      <c r="AY58" s="167" t="s">
        <v>69</v>
      </c>
      <c r="AZ58" s="167" t="s">
        <v>69</v>
      </c>
      <c r="BA58" s="167" t="s">
        <v>69</v>
      </c>
      <c r="BB58" s="167" t="s">
        <v>69</v>
      </c>
      <c r="BC58" s="167" t="s">
        <v>69</v>
      </c>
      <c r="BD58" s="167" t="s">
        <v>69</v>
      </c>
      <c r="BE58" s="167" t="s">
        <v>69</v>
      </c>
      <c r="BF58" s="167" t="s">
        <v>69</v>
      </c>
      <c r="BG58" s="167" t="s">
        <v>69</v>
      </c>
      <c r="BH58" s="167" t="s">
        <v>69</v>
      </c>
      <c r="BI58" s="167" t="s">
        <v>69</v>
      </c>
      <c r="BJ58" s="167" t="s">
        <v>69</v>
      </c>
      <c r="BK58" s="167" t="s">
        <v>69</v>
      </c>
      <c r="BL58" s="167" t="s">
        <v>69</v>
      </c>
      <c r="BM58" s="167" t="s">
        <v>69</v>
      </c>
      <c r="BN58" s="167" t="s">
        <v>69</v>
      </c>
      <c r="BO58" s="167" t="s">
        <v>69</v>
      </c>
      <c r="BP58" s="167" t="s">
        <v>69</v>
      </c>
      <c r="BQ58" s="167" t="s">
        <v>69</v>
      </c>
      <c r="BR58" s="167" t="s">
        <v>69</v>
      </c>
      <c r="BS58" s="167" t="s">
        <v>69</v>
      </c>
      <c r="BT58" s="167" t="s">
        <v>69</v>
      </c>
      <c r="BU58" s="167" t="s">
        <v>69</v>
      </c>
      <c r="BV58" s="167" t="s">
        <v>69</v>
      </c>
      <c r="BW58" s="167" t="s">
        <v>69</v>
      </c>
      <c r="BX58" s="167" t="s">
        <v>69</v>
      </c>
      <c r="BY58" s="167">
        <v>3</v>
      </c>
      <c r="BZ58" s="167" t="s">
        <v>69</v>
      </c>
      <c r="CA58" s="167" t="s">
        <v>69</v>
      </c>
      <c r="CB58" s="167" t="s">
        <v>69</v>
      </c>
      <c r="CC58" s="167" t="s">
        <v>69</v>
      </c>
      <c r="CD58" s="167" t="s">
        <v>69</v>
      </c>
      <c r="CE58" s="167" t="s">
        <v>69</v>
      </c>
      <c r="CF58" s="167" t="s">
        <v>69</v>
      </c>
      <c r="CG58" s="167" t="s">
        <v>69</v>
      </c>
      <c r="CH58" s="167" t="s">
        <v>69</v>
      </c>
      <c r="CI58" s="167" t="s">
        <v>69</v>
      </c>
      <c r="CJ58" s="167" t="s">
        <v>69</v>
      </c>
      <c r="CK58" s="167" t="s">
        <v>69</v>
      </c>
      <c r="CL58" s="167" t="s">
        <v>69</v>
      </c>
      <c r="CM58" s="167" t="s">
        <v>69</v>
      </c>
      <c r="CN58" s="167">
        <v>3</v>
      </c>
      <c r="CO58" s="167">
        <v>4</v>
      </c>
      <c r="CP58" s="167">
        <v>4</v>
      </c>
      <c r="CQ58" s="167" t="s">
        <v>69</v>
      </c>
      <c r="CR58" s="167" t="s">
        <v>69</v>
      </c>
      <c r="CS58" s="167" t="s">
        <v>69</v>
      </c>
      <c r="CT58" s="167" t="s">
        <v>69</v>
      </c>
      <c r="CU58" s="167" t="s">
        <v>69</v>
      </c>
      <c r="CV58" s="167" t="s">
        <v>69</v>
      </c>
      <c r="CW58" s="167" t="s">
        <v>69</v>
      </c>
      <c r="CX58" s="167" t="s">
        <v>69</v>
      </c>
      <c r="CY58" s="167" t="s">
        <v>69</v>
      </c>
      <c r="CZ58" s="167" t="s">
        <v>69</v>
      </c>
      <c r="DA58" s="167" t="s">
        <v>69</v>
      </c>
      <c r="DB58" s="167" t="s">
        <v>69</v>
      </c>
      <c r="DC58" s="167">
        <v>3</v>
      </c>
      <c r="DD58" s="167" t="s">
        <v>69</v>
      </c>
      <c r="DE58" s="167" t="s">
        <v>69</v>
      </c>
      <c r="DF58" s="167">
        <v>2</v>
      </c>
      <c r="DG58" s="167" t="s">
        <v>69</v>
      </c>
      <c r="DH58" s="167" t="s">
        <v>69</v>
      </c>
      <c r="DI58" s="167" t="s">
        <v>69</v>
      </c>
      <c r="DJ58" s="167" t="s">
        <v>69</v>
      </c>
      <c r="DK58" s="167">
        <v>2</v>
      </c>
      <c r="DL58" s="167" t="s">
        <v>69</v>
      </c>
      <c r="DM58" s="167" t="s">
        <v>69</v>
      </c>
      <c r="DN58" s="167" t="s">
        <v>69</v>
      </c>
      <c r="DO58" s="167" t="s">
        <v>69</v>
      </c>
      <c r="DP58" s="167" t="s">
        <v>69</v>
      </c>
      <c r="DQ58" s="167" t="s">
        <v>69</v>
      </c>
      <c r="DR58" s="167" t="s">
        <v>69</v>
      </c>
      <c r="DS58" s="167" t="s">
        <v>69</v>
      </c>
      <c r="DT58" s="167" t="s">
        <v>69</v>
      </c>
      <c r="DU58" s="167" t="s">
        <v>69</v>
      </c>
      <c r="DV58" s="110">
        <f t="shared" si="0"/>
        <v>0.16129032258064516</v>
      </c>
      <c r="DW58" s="104">
        <f t="shared" si="1"/>
        <v>0.6</v>
      </c>
    </row>
    <row r="59" spans="1:127" ht="42" hidden="1" customHeight="1" thickBot="1">
      <c r="A59" s="250" t="s">
        <v>654</v>
      </c>
      <c r="B59" s="242" t="s">
        <v>658</v>
      </c>
      <c r="C59" s="208" t="s">
        <v>627</v>
      </c>
      <c r="D59" s="220" t="s">
        <v>434</v>
      </c>
      <c r="E59" s="256" t="s">
        <v>898</v>
      </c>
      <c r="F59" s="167" t="s">
        <v>69</v>
      </c>
      <c r="G59" s="167" t="s">
        <v>69</v>
      </c>
      <c r="H59" s="167" t="s">
        <v>69</v>
      </c>
      <c r="I59" s="167" t="s">
        <v>69</v>
      </c>
      <c r="J59" s="167" t="s">
        <v>69</v>
      </c>
      <c r="K59" s="167" t="s">
        <v>69</v>
      </c>
      <c r="L59" s="167" t="s">
        <v>69</v>
      </c>
      <c r="M59" s="167" t="s">
        <v>69</v>
      </c>
      <c r="N59" s="167" t="s">
        <v>69</v>
      </c>
      <c r="O59" s="167" t="s">
        <v>69</v>
      </c>
      <c r="P59" s="167" t="s">
        <v>69</v>
      </c>
      <c r="Q59" s="167" t="s">
        <v>69</v>
      </c>
      <c r="R59" s="167" t="s">
        <v>69</v>
      </c>
      <c r="S59" s="167" t="s">
        <v>69</v>
      </c>
      <c r="T59" s="167" t="s">
        <v>69</v>
      </c>
      <c r="U59" s="167" t="s">
        <v>69</v>
      </c>
      <c r="V59" s="167" t="s">
        <v>69</v>
      </c>
      <c r="W59" s="167" t="s">
        <v>69</v>
      </c>
      <c r="X59" s="167" t="s">
        <v>69</v>
      </c>
      <c r="Y59" s="167" t="s">
        <v>69</v>
      </c>
      <c r="Z59" s="167" t="s">
        <v>69</v>
      </c>
      <c r="AA59" s="167" t="s">
        <v>69</v>
      </c>
      <c r="AB59" s="167" t="s">
        <v>69</v>
      </c>
      <c r="AC59" s="167" t="s">
        <v>69</v>
      </c>
      <c r="AD59" s="167" t="s">
        <v>69</v>
      </c>
      <c r="AE59" s="167" t="s">
        <v>69</v>
      </c>
      <c r="AF59" s="167">
        <v>4</v>
      </c>
      <c r="AG59" s="167" t="s">
        <v>69</v>
      </c>
      <c r="AH59" s="167" t="s">
        <v>69</v>
      </c>
      <c r="AI59" s="167" t="s">
        <v>69</v>
      </c>
      <c r="AJ59" s="167" t="s">
        <v>69</v>
      </c>
      <c r="AK59" s="167" t="s">
        <v>69</v>
      </c>
      <c r="AL59" s="167" t="s">
        <v>69</v>
      </c>
      <c r="AM59" s="167" t="s">
        <v>69</v>
      </c>
      <c r="AN59" s="167" t="s">
        <v>69</v>
      </c>
      <c r="AO59" s="167" t="s">
        <v>69</v>
      </c>
      <c r="AP59" s="167" t="s">
        <v>69</v>
      </c>
      <c r="AQ59" s="167" t="s">
        <v>69</v>
      </c>
      <c r="AR59" s="167" t="s">
        <v>69</v>
      </c>
      <c r="AS59" s="167" t="s">
        <v>69</v>
      </c>
      <c r="AT59" s="167" t="s">
        <v>69</v>
      </c>
      <c r="AU59" s="167" t="s">
        <v>69</v>
      </c>
      <c r="AV59" s="167" t="s">
        <v>69</v>
      </c>
      <c r="AW59" s="167" t="s">
        <v>69</v>
      </c>
      <c r="AX59" s="167" t="s">
        <v>69</v>
      </c>
      <c r="AY59" s="167" t="s">
        <v>69</v>
      </c>
      <c r="AZ59" s="167" t="s">
        <v>69</v>
      </c>
      <c r="BA59" s="167" t="s">
        <v>69</v>
      </c>
      <c r="BB59" s="167" t="s">
        <v>69</v>
      </c>
      <c r="BC59" s="167" t="s">
        <v>69</v>
      </c>
      <c r="BD59" s="167" t="s">
        <v>69</v>
      </c>
      <c r="BE59" s="167" t="s">
        <v>69</v>
      </c>
      <c r="BF59" s="167" t="s">
        <v>69</v>
      </c>
      <c r="BG59" s="167" t="s">
        <v>69</v>
      </c>
      <c r="BH59" s="167" t="s">
        <v>69</v>
      </c>
      <c r="BI59" s="167" t="s">
        <v>69</v>
      </c>
      <c r="BJ59" s="167" t="s">
        <v>69</v>
      </c>
      <c r="BK59" s="167">
        <v>3</v>
      </c>
      <c r="BL59" s="167" t="s">
        <v>69</v>
      </c>
      <c r="BM59" s="167" t="s">
        <v>69</v>
      </c>
      <c r="BN59" s="167">
        <v>3</v>
      </c>
      <c r="BO59" s="167" t="s">
        <v>69</v>
      </c>
      <c r="BP59" s="167" t="s">
        <v>69</v>
      </c>
      <c r="BQ59" s="167" t="s">
        <v>69</v>
      </c>
      <c r="BR59" s="167" t="s">
        <v>69</v>
      </c>
      <c r="BS59" s="167" t="s">
        <v>69</v>
      </c>
      <c r="BT59" s="167" t="s">
        <v>69</v>
      </c>
      <c r="BU59" s="167" t="s">
        <v>69</v>
      </c>
      <c r="BV59" s="167" t="s">
        <v>69</v>
      </c>
      <c r="BW59" s="167" t="s">
        <v>69</v>
      </c>
      <c r="BX59" s="167" t="s">
        <v>69</v>
      </c>
      <c r="BY59" s="167" t="s">
        <v>69</v>
      </c>
      <c r="BZ59" s="167" t="s">
        <v>69</v>
      </c>
      <c r="CA59" s="167" t="s">
        <v>69</v>
      </c>
      <c r="CB59" s="167" t="s">
        <v>69</v>
      </c>
      <c r="CC59" s="167" t="s">
        <v>69</v>
      </c>
      <c r="CD59" s="167" t="s">
        <v>69</v>
      </c>
      <c r="CE59" s="167" t="s">
        <v>69</v>
      </c>
      <c r="CF59" s="167" t="s">
        <v>69</v>
      </c>
      <c r="CG59" s="167" t="s">
        <v>69</v>
      </c>
      <c r="CH59" s="167" t="s">
        <v>69</v>
      </c>
      <c r="CI59" s="167" t="s">
        <v>69</v>
      </c>
      <c r="CJ59" s="167" t="s">
        <v>69</v>
      </c>
      <c r="CK59" s="167" t="s">
        <v>69</v>
      </c>
      <c r="CL59" s="167" t="s">
        <v>69</v>
      </c>
      <c r="CM59" s="167" t="s">
        <v>69</v>
      </c>
      <c r="CN59" s="167" t="s">
        <v>69</v>
      </c>
      <c r="CO59" s="167" t="s">
        <v>69</v>
      </c>
      <c r="CP59" s="167" t="s">
        <v>69</v>
      </c>
      <c r="CQ59" s="167" t="s">
        <v>69</v>
      </c>
      <c r="CR59" s="167" t="s">
        <v>69</v>
      </c>
      <c r="CS59" s="167" t="s">
        <v>69</v>
      </c>
      <c r="CT59" s="167" t="s">
        <v>69</v>
      </c>
      <c r="CU59" s="167" t="s">
        <v>69</v>
      </c>
      <c r="CV59" s="167" t="s">
        <v>69</v>
      </c>
      <c r="CW59" s="167" t="s">
        <v>69</v>
      </c>
      <c r="CX59" s="167" t="s">
        <v>69</v>
      </c>
      <c r="CY59" s="167" t="s">
        <v>69</v>
      </c>
      <c r="CZ59" s="167" t="s">
        <v>69</v>
      </c>
      <c r="DA59" s="167" t="s">
        <v>69</v>
      </c>
      <c r="DB59" s="167" t="s">
        <v>69</v>
      </c>
      <c r="DC59" s="167">
        <v>4</v>
      </c>
      <c r="DD59" s="167" t="s">
        <v>69</v>
      </c>
      <c r="DE59" s="167">
        <v>4</v>
      </c>
      <c r="DF59" s="167" t="s">
        <v>69</v>
      </c>
      <c r="DG59" s="167" t="s">
        <v>69</v>
      </c>
      <c r="DH59" s="167" t="s">
        <v>69</v>
      </c>
      <c r="DI59" s="167" t="s">
        <v>69</v>
      </c>
      <c r="DJ59" s="167" t="s">
        <v>69</v>
      </c>
      <c r="DK59" s="167" t="s">
        <v>69</v>
      </c>
      <c r="DL59" s="167" t="s">
        <v>69</v>
      </c>
      <c r="DM59" s="167" t="s">
        <v>69</v>
      </c>
      <c r="DN59" s="167" t="s">
        <v>69</v>
      </c>
      <c r="DO59" s="167" t="s">
        <v>69</v>
      </c>
      <c r="DP59" s="167" t="s">
        <v>69</v>
      </c>
      <c r="DQ59" s="167" t="s">
        <v>69</v>
      </c>
      <c r="DR59" s="167" t="s">
        <v>69</v>
      </c>
      <c r="DS59" s="167" t="s">
        <v>69</v>
      </c>
      <c r="DT59" s="167" t="s">
        <v>69</v>
      </c>
      <c r="DU59" s="167" t="s">
        <v>69</v>
      </c>
      <c r="DV59" s="110">
        <f t="shared" si="0"/>
        <v>8.0645161290322578E-2</v>
      </c>
      <c r="DW59" s="104">
        <f t="shared" si="1"/>
        <v>1</v>
      </c>
    </row>
    <row r="60" spans="1:127" ht="42" hidden="1" customHeight="1" thickBot="1">
      <c r="A60" s="250" t="s">
        <v>655</v>
      </c>
      <c r="B60" s="242" t="s">
        <v>659</v>
      </c>
      <c r="C60" s="208">
        <v>45331</v>
      </c>
      <c r="D60" s="220" t="s">
        <v>434</v>
      </c>
      <c r="E60" s="256" t="s">
        <v>898</v>
      </c>
      <c r="F60" s="167" t="s">
        <v>69</v>
      </c>
      <c r="G60" s="167" t="s">
        <v>69</v>
      </c>
      <c r="H60" s="167" t="s">
        <v>69</v>
      </c>
      <c r="I60" s="167" t="s">
        <v>69</v>
      </c>
      <c r="J60" s="167" t="s">
        <v>69</v>
      </c>
      <c r="K60" s="167" t="s">
        <v>69</v>
      </c>
      <c r="L60" s="167" t="s">
        <v>69</v>
      </c>
      <c r="M60" s="167" t="s">
        <v>69</v>
      </c>
      <c r="N60" s="167" t="s">
        <v>69</v>
      </c>
      <c r="O60" s="167" t="s">
        <v>69</v>
      </c>
      <c r="P60" s="167" t="s">
        <v>69</v>
      </c>
      <c r="Q60" s="167" t="s">
        <v>69</v>
      </c>
      <c r="R60" s="167" t="s">
        <v>69</v>
      </c>
      <c r="S60" s="167" t="s">
        <v>69</v>
      </c>
      <c r="T60" s="167" t="s">
        <v>69</v>
      </c>
      <c r="U60" s="167" t="s">
        <v>69</v>
      </c>
      <c r="V60" s="167" t="s">
        <v>69</v>
      </c>
      <c r="W60" s="167" t="s">
        <v>69</v>
      </c>
      <c r="X60" s="167" t="s">
        <v>69</v>
      </c>
      <c r="Y60" s="167" t="s">
        <v>69</v>
      </c>
      <c r="Z60" s="167" t="s">
        <v>69</v>
      </c>
      <c r="AA60" s="167" t="s">
        <v>69</v>
      </c>
      <c r="AB60" s="167" t="s">
        <v>69</v>
      </c>
      <c r="AC60" s="167" t="s">
        <v>69</v>
      </c>
      <c r="AD60" s="167" t="s">
        <v>69</v>
      </c>
      <c r="AE60" s="167" t="s">
        <v>69</v>
      </c>
      <c r="AF60" s="167" t="s">
        <v>69</v>
      </c>
      <c r="AG60" s="167" t="s">
        <v>69</v>
      </c>
      <c r="AH60" s="167">
        <v>3</v>
      </c>
      <c r="AI60" s="167" t="s">
        <v>69</v>
      </c>
      <c r="AJ60" s="167" t="s">
        <v>69</v>
      </c>
      <c r="AK60" s="167" t="s">
        <v>69</v>
      </c>
      <c r="AL60" s="167" t="s">
        <v>69</v>
      </c>
      <c r="AM60" s="167" t="s">
        <v>69</v>
      </c>
      <c r="AN60" s="167">
        <v>4</v>
      </c>
      <c r="AO60" s="167" t="s">
        <v>69</v>
      </c>
      <c r="AP60" s="167" t="s">
        <v>69</v>
      </c>
      <c r="AQ60" s="167" t="s">
        <v>69</v>
      </c>
      <c r="AR60" s="167" t="s">
        <v>69</v>
      </c>
      <c r="AS60" s="167" t="s">
        <v>69</v>
      </c>
      <c r="AT60" s="167">
        <v>2</v>
      </c>
      <c r="AU60" s="167" t="s">
        <v>69</v>
      </c>
      <c r="AV60" s="167" t="s">
        <v>69</v>
      </c>
      <c r="AW60" s="167" t="s">
        <v>69</v>
      </c>
      <c r="AX60" s="167" t="s">
        <v>69</v>
      </c>
      <c r="AY60" s="167" t="s">
        <v>69</v>
      </c>
      <c r="AZ60" s="167">
        <v>3</v>
      </c>
      <c r="BA60" s="167" t="s">
        <v>69</v>
      </c>
      <c r="BB60" s="167" t="s">
        <v>69</v>
      </c>
      <c r="BC60" s="167" t="s">
        <v>69</v>
      </c>
      <c r="BD60" s="167" t="s">
        <v>69</v>
      </c>
      <c r="BE60" s="167" t="s">
        <v>69</v>
      </c>
      <c r="BF60" s="167" t="s">
        <v>69</v>
      </c>
      <c r="BG60" s="167">
        <v>3</v>
      </c>
      <c r="BH60" s="167" t="s">
        <v>69</v>
      </c>
      <c r="BI60" s="167">
        <v>3</v>
      </c>
      <c r="BJ60" s="167" t="s">
        <v>69</v>
      </c>
      <c r="BK60" s="167">
        <v>3</v>
      </c>
      <c r="BL60" s="167" t="s">
        <v>69</v>
      </c>
      <c r="BM60" s="167" t="s">
        <v>69</v>
      </c>
      <c r="BN60" s="167" t="s">
        <v>69</v>
      </c>
      <c r="BO60" s="167" t="s">
        <v>69</v>
      </c>
      <c r="BP60" s="167" t="s">
        <v>69</v>
      </c>
      <c r="BQ60" s="167" t="s">
        <v>69</v>
      </c>
      <c r="BR60" s="167" t="s">
        <v>69</v>
      </c>
      <c r="BS60" s="167" t="s">
        <v>69</v>
      </c>
      <c r="BT60" s="167" t="s">
        <v>69</v>
      </c>
      <c r="BU60" s="167" t="s">
        <v>69</v>
      </c>
      <c r="BV60" s="167" t="s">
        <v>69</v>
      </c>
      <c r="BW60" s="167" t="s">
        <v>69</v>
      </c>
      <c r="BX60" s="167" t="s">
        <v>69</v>
      </c>
      <c r="BY60" s="167" t="s">
        <v>69</v>
      </c>
      <c r="BZ60" s="167" t="s">
        <v>69</v>
      </c>
      <c r="CA60" s="167" t="s">
        <v>69</v>
      </c>
      <c r="CB60" s="167" t="s">
        <v>69</v>
      </c>
      <c r="CC60" s="167" t="s">
        <v>69</v>
      </c>
      <c r="CD60" s="167" t="s">
        <v>69</v>
      </c>
      <c r="CE60" s="167" t="s">
        <v>69</v>
      </c>
      <c r="CF60" s="167" t="s">
        <v>69</v>
      </c>
      <c r="CG60" s="167" t="s">
        <v>69</v>
      </c>
      <c r="CH60" s="167" t="s">
        <v>69</v>
      </c>
      <c r="CI60" s="167" t="s">
        <v>69</v>
      </c>
      <c r="CJ60" s="167" t="s">
        <v>69</v>
      </c>
      <c r="CK60" s="167" t="s">
        <v>69</v>
      </c>
      <c r="CL60" s="167" t="s">
        <v>69</v>
      </c>
      <c r="CM60" s="167" t="s">
        <v>69</v>
      </c>
      <c r="CN60" s="167" t="s">
        <v>69</v>
      </c>
      <c r="CO60" s="167" t="s">
        <v>69</v>
      </c>
      <c r="CP60" s="167" t="s">
        <v>69</v>
      </c>
      <c r="CQ60" s="167" t="s">
        <v>69</v>
      </c>
      <c r="CR60" s="167" t="s">
        <v>69</v>
      </c>
      <c r="CS60" s="167" t="s">
        <v>69</v>
      </c>
      <c r="CT60" s="167" t="s">
        <v>69</v>
      </c>
      <c r="CU60" s="167" t="s">
        <v>69</v>
      </c>
      <c r="CV60" s="167">
        <v>3</v>
      </c>
      <c r="CW60" s="167" t="s">
        <v>69</v>
      </c>
      <c r="CX60" s="167" t="s">
        <v>69</v>
      </c>
      <c r="CY60" s="167" t="s">
        <v>69</v>
      </c>
      <c r="CZ60" s="167">
        <v>3</v>
      </c>
      <c r="DA60" s="167" t="s">
        <v>69</v>
      </c>
      <c r="DB60" s="167">
        <v>3</v>
      </c>
      <c r="DC60" s="167" t="s">
        <v>69</v>
      </c>
      <c r="DD60" s="167">
        <v>3</v>
      </c>
      <c r="DE60" s="167" t="s">
        <v>69</v>
      </c>
      <c r="DF60" s="167" t="s">
        <v>69</v>
      </c>
      <c r="DG60" s="167" t="s">
        <v>69</v>
      </c>
      <c r="DH60" s="167" t="s">
        <v>69</v>
      </c>
      <c r="DI60" s="167" t="s">
        <v>69</v>
      </c>
      <c r="DJ60" s="167" t="s">
        <v>69</v>
      </c>
      <c r="DK60" s="167" t="s">
        <v>69</v>
      </c>
      <c r="DL60" s="167" t="s">
        <v>69</v>
      </c>
      <c r="DM60" s="167" t="s">
        <v>69</v>
      </c>
      <c r="DN60" s="167" t="s">
        <v>69</v>
      </c>
      <c r="DO60" s="167" t="s">
        <v>69</v>
      </c>
      <c r="DP60" s="167" t="s">
        <v>69</v>
      </c>
      <c r="DQ60" s="167" t="s">
        <v>69</v>
      </c>
      <c r="DR60" s="167" t="s">
        <v>69</v>
      </c>
      <c r="DS60" s="167" t="s">
        <v>69</v>
      </c>
      <c r="DT60" s="167" t="s">
        <v>69</v>
      </c>
      <c r="DU60" s="167" t="s">
        <v>69</v>
      </c>
      <c r="DV60" s="110">
        <f t="shared" si="0"/>
        <v>0.17741935483870969</v>
      </c>
      <c r="DW60" s="104">
        <f t="shared" si="1"/>
        <v>0.90909090909090906</v>
      </c>
    </row>
    <row r="61" spans="1:127" ht="42" hidden="1" customHeight="1" thickBot="1">
      <c r="A61" s="250" t="s">
        <v>656</v>
      </c>
      <c r="B61" s="242" t="s">
        <v>660</v>
      </c>
      <c r="C61" s="208">
        <v>45334</v>
      </c>
      <c r="D61" s="220" t="s">
        <v>434</v>
      </c>
      <c r="E61" s="256" t="s">
        <v>898</v>
      </c>
      <c r="F61" s="167" t="s">
        <v>69</v>
      </c>
      <c r="G61" s="167" t="s">
        <v>69</v>
      </c>
      <c r="H61" s="167">
        <v>3</v>
      </c>
      <c r="I61" s="167" t="s">
        <v>69</v>
      </c>
      <c r="J61" s="167" t="s">
        <v>69</v>
      </c>
      <c r="K61" s="167" t="s">
        <v>69</v>
      </c>
      <c r="L61" s="167" t="s">
        <v>69</v>
      </c>
      <c r="M61" s="167" t="s">
        <v>69</v>
      </c>
      <c r="N61" s="167" t="s">
        <v>69</v>
      </c>
      <c r="O61" s="167" t="s">
        <v>69</v>
      </c>
      <c r="P61" s="167" t="s">
        <v>69</v>
      </c>
      <c r="Q61" s="167" t="s">
        <v>69</v>
      </c>
      <c r="R61" s="167" t="s">
        <v>69</v>
      </c>
      <c r="S61" s="167" t="s">
        <v>69</v>
      </c>
      <c r="T61" s="167" t="s">
        <v>69</v>
      </c>
      <c r="U61" s="167" t="s">
        <v>69</v>
      </c>
      <c r="V61" s="167" t="s">
        <v>69</v>
      </c>
      <c r="W61" s="167" t="s">
        <v>69</v>
      </c>
      <c r="X61" s="167" t="s">
        <v>69</v>
      </c>
      <c r="Y61" s="167" t="s">
        <v>69</v>
      </c>
      <c r="Z61" s="167" t="s">
        <v>69</v>
      </c>
      <c r="AA61" s="167">
        <v>4</v>
      </c>
      <c r="AB61" s="167">
        <v>3</v>
      </c>
      <c r="AC61" s="167" t="s">
        <v>69</v>
      </c>
      <c r="AD61" s="167" t="s">
        <v>69</v>
      </c>
      <c r="AE61" s="167" t="s">
        <v>69</v>
      </c>
      <c r="AF61" s="167" t="s">
        <v>69</v>
      </c>
      <c r="AG61" s="167" t="s">
        <v>69</v>
      </c>
      <c r="AH61" s="167" t="s">
        <v>69</v>
      </c>
      <c r="AI61" s="167" t="s">
        <v>69</v>
      </c>
      <c r="AJ61" s="167" t="s">
        <v>69</v>
      </c>
      <c r="AK61" s="167" t="s">
        <v>69</v>
      </c>
      <c r="AL61" s="167" t="s">
        <v>69</v>
      </c>
      <c r="AM61" s="167" t="s">
        <v>69</v>
      </c>
      <c r="AN61" s="167" t="s">
        <v>69</v>
      </c>
      <c r="AO61" s="167" t="s">
        <v>69</v>
      </c>
      <c r="AP61" s="167" t="s">
        <v>69</v>
      </c>
      <c r="AQ61" s="167" t="s">
        <v>69</v>
      </c>
      <c r="AR61" s="167" t="s">
        <v>69</v>
      </c>
      <c r="AS61" s="167" t="s">
        <v>69</v>
      </c>
      <c r="AT61" s="167" t="s">
        <v>69</v>
      </c>
      <c r="AU61" s="167" t="s">
        <v>69</v>
      </c>
      <c r="AV61" s="167" t="s">
        <v>69</v>
      </c>
      <c r="AW61" s="167" t="s">
        <v>69</v>
      </c>
      <c r="AX61" s="167">
        <v>3</v>
      </c>
      <c r="AY61" s="167" t="s">
        <v>69</v>
      </c>
      <c r="AZ61" s="167" t="s">
        <v>69</v>
      </c>
      <c r="BA61" s="167" t="s">
        <v>69</v>
      </c>
      <c r="BB61" s="167" t="s">
        <v>69</v>
      </c>
      <c r="BC61" s="167" t="s">
        <v>69</v>
      </c>
      <c r="BD61" s="167" t="s">
        <v>69</v>
      </c>
      <c r="BE61" s="167" t="s">
        <v>69</v>
      </c>
      <c r="BF61" s="167" t="s">
        <v>69</v>
      </c>
      <c r="BG61" s="167" t="s">
        <v>69</v>
      </c>
      <c r="BH61" s="167" t="s">
        <v>69</v>
      </c>
      <c r="BI61" s="167" t="s">
        <v>69</v>
      </c>
      <c r="BJ61" s="167" t="s">
        <v>69</v>
      </c>
      <c r="BK61" s="167" t="s">
        <v>69</v>
      </c>
      <c r="BL61" s="167" t="s">
        <v>69</v>
      </c>
      <c r="BM61" s="167" t="s">
        <v>69</v>
      </c>
      <c r="BN61" s="167" t="s">
        <v>69</v>
      </c>
      <c r="BO61" s="167" t="s">
        <v>69</v>
      </c>
      <c r="BP61" s="167" t="s">
        <v>69</v>
      </c>
      <c r="BQ61" s="167" t="s">
        <v>69</v>
      </c>
      <c r="BR61" s="167">
        <v>4</v>
      </c>
      <c r="BS61" s="167" t="s">
        <v>69</v>
      </c>
      <c r="BT61" s="167" t="s">
        <v>69</v>
      </c>
      <c r="BU61" s="167" t="s">
        <v>69</v>
      </c>
      <c r="BV61" s="167" t="s">
        <v>69</v>
      </c>
      <c r="BW61" s="167" t="s">
        <v>69</v>
      </c>
      <c r="BX61" s="167" t="s">
        <v>69</v>
      </c>
      <c r="BY61" s="167" t="s">
        <v>69</v>
      </c>
      <c r="BZ61" s="167" t="s">
        <v>69</v>
      </c>
      <c r="CA61" s="167" t="s">
        <v>69</v>
      </c>
      <c r="CB61" s="167" t="s">
        <v>69</v>
      </c>
      <c r="CC61" s="167" t="s">
        <v>69</v>
      </c>
      <c r="CD61" s="167" t="s">
        <v>69</v>
      </c>
      <c r="CE61" s="167" t="s">
        <v>69</v>
      </c>
      <c r="CF61" s="167" t="s">
        <v>69</v>
      </c>
      <c r="CG61" s="167">
        <v>4</v>
      </c>
      <c r="CH61" s="167" t="s">
        <v>69</v>
      </c>
      <c r="CI61" s="167" t="s">
        <v>69</v>
      </c>
      <c r="CJ61" s="167" t="s">
        <v>69</v>
      </c>
      <c r="CK61" s="167" t="s">
        <v>69</v>
      </c>
      <c r="CL61" s="167" t="s">
        <v>69</v>
      </c>
      <c r="CM61" s="167" t="s">
        <v>69</v>
      </c>
      <c r="CN61" s="167">
        <v>2</v>
      </c>
      <c r="CO61" s="167">
        <v>3</v>
      </c>
      <c r="CP61" s="167">
        <v>3</v>
      </c>
      <c r="CQ61" s="167" t="s">
        <v>69</v>
      </c>
      <c r="CR61" s="167" t="s">
        <v>69</v>
      </c>
      <c r="CS61" s="167" t="s">
        <v>69</v>
      </c>
      <c r="CT61" s="167" t="s">
        <v>69</v>
      </c>
      <c r="CU61" s="167" t="s">
        <v>69</v>
      </c>
      <c r="CV61" s="167" t="s">
        <v>69</v>
      </c>
      <c r="CW61" s="167" t="s">
        <v>69</v>
      </c>
      <c r="CX61" s="167">
        <v>2</v>
      </c>
      <c r="CY61" s="167" t="s">
        <v>69</v>
      </c>
      <c r="CZ61" s="167" t="s">
        <v>69</v>
      </c>
      <c r="DA61" s="167" t="s">
        <v>69</v>
      </c>
      <c r="DB61" s="167" t="s">
        <v>69</v>
      </c>
      <c r="DC61" s="167" t="s">
        <v>69</v>
      </c>
      <c r="DD61" s="167" t="s">
        <v>69</v>
      </c>
      <c r="DE61" s="167" t="s">
        <v>69</v>
      </c>
      <c r="DF61" s="167">
        <v>2</v>
      </c>
      <c r="DG61" s="167" t="s">
        <v>69</v>
      </c>
      <c r="DH61" s="167" t="s">
        <v>69</v>
      </c>
      <c r="DI61" s="167" t="s">
        <v>69</v>
      </c>
      <c r="DJ61" s="167" t="s">
        <v>69</v>
      </c>
      <c r="DK61" s="167">
        <v>3</v>
      </c>
      <c r="DL61" s="167" t="s">
        <v>69</v>
      </c>
      <c r="DM61" s="167" t="s">
        <v>69</v>
      </c>
      <c r="DN61" s="167" t="s">
        <v>69</v>
      </c>
      <c r="DO61" s="167" t="s">
        <v>69</v>
      </c>
      <c r="DP61" s="167" t="s">
        <v>69</v>
      </c>
      <c r="DQ61" s="167" t="s">
        <v>69</v>
      </c>
      <c r="DR61" s="167" t="s">
        <v>69</v>
      </c>
      <c r="DS61" s="167" t="s">
        <v>69</v>
      </c>
      <c r="DT61" s="167" t="s">
        <v>69</v>
      </c>
      <c r="DU61" s="167" t="s">
        <v>69</v>
      </c>
      <c r="DV61" s="110">
        <f t="shared" si="0"/>
        <v>0.19354838709677419</v>
      </c>
      <c r="DW61" s="104">
        <f t="shared" si="1"/>
        <v>0.75</v>
      </c>
    </row>
    <row r="62" spans="1:127" ht="42" hidden="1" customHeight="1" thickBot="1">
      <c r="A62" s="250" t="s">
        <v>657</v>
      </c>
      <c r="B62" s="242" t="s">
        <v>661</v>
      </c>
      <c r="C62" s="208">
        <v>45334</v>
      </c>
      <c r="D62" s="220" t="s">
        <v>434</v>
      </c>
      <c r="E62" s="256" t="s">
        <v>898</v>
      </c>
      <c r="F62" s="167">
        <v>4</v>
      </c>
      <c r="G62" s="167">
        <v>3</v>
      </c>
      <c r="H62" s="167">
        <v>4</v>
      </c>
      <c r="I62" s="167">
        <v>3</v>
      </c>
      <c r="J62" s="167" t="s">
        <v>69</v>
      </c>
      <c r="K62" s="167" t="s">
        <v>69</v>
      </c>
      <c r="L62" s="167" t="s">
        <v>69</v>
      </c>
      <c r="M62" s="167" t="s">
        <v>69</v>
      </c>
      <c r="N62" s="167" t="s">
        <v>69</v>
      </c>
      <c r="O62" s="167">
        <v>3</v>
      </c>
      <c r="P62" s="167">
        <v>3</v>
      </c>
      <c r="Q62" s="167" t="s">
        <v>69</v>
      </c>
      <c r="R62" s="167" t="s">
        <v>69</v>
      </c>
      <c r="S62" s="167" t="s">
        <v>69</v>
      </c>
      <c r="T62" s="167" t="s">
        <v>69</v>
      </c>
      <c r="U62" s="167" t="s">
        <v>69</v>
      </c>
      <c r="V62" s="167" t="s">
        <v>69</v>
      </c>
      <c r="W62" s="167" t="s">
        <v>69</v>
      </c>
      <c r="X62" s="167" t="s">
        <v>69</v>
      </c>
      <c r="Y62" s="167" t="s">
        <v>69</v>
      </c>
      <c r="Z62" s="167" t="s">
        <v>69</v>
      </c>
      <c r="AA62" s="167" t="s">
        <v>69</v>
      </c>
      <c r="AB62" s="167" t="s">
        <v>69</v>
      </c>
      <c r="AC62" s="167" t="s">
        <v>69</v>
      </c>
      <c r="AD62" s="167" t="s">
        <v>69</v>
      </c>
      <c r="AE62" s="167" t="s">
        <v>69</v>
      </c>
      <c r="AF62" s="167" t="s">
        <v>69</v>
      </c>
      <c r="AG62" s="167" t="s">
        <v>69</v>
      </c>
      <c r="AH62" s="167" t="s">
        <v>69</v>
      </c>
      <c r="AI62" s="167" t="s">
        <v>69</v>
      </c>
      <c r="AJ62" s="167" t="s">
        <v>69</v>
      </c>
      <c r="AK62" s="167" t="s">
        <v>69</v>
      </c>
      <c r="AL62" s="167" t="s">
        <v>69</v>
      </c>
      <c r="AM62" s="167" t="s">
        <v>69</v>
      </c>
      <c r="AN62" s="167" t="s">
        <v>69</v>
      </c>
      <c r="AO62" s="167" t="s">
        <v>69</v>
      </c>
      <c r="AP62" s="167" t="s">
        <v>69</v>
      </c>
      <c r="AQ62" s="167" t="s">
        <v>69</v>
      </c>
      <c r="AR62" s="167" t="s">
        <v>69</v>
      </c>
      <c r="AS62" s="167" t="s">
        <v>69</v>
      </c>
      <c r="AT62" s="167" t="s">
        <v>69</v>
      </c>
      <c r="AU62" s="167" t="s">
        <v>69</v>
      </c>
      <c r="AV62" s="167" t="s">
        <v>69</v>
      </c>
      <c r="AW62" s="167" t="s">
        <v>69</v>
      </c>
      <c r="AX62" s="167" t="s">
        <v>69</v>
      </c>
      <c r="AY62" s="167" t="s">
        <v>69</v>
      </c>
      <c r="AZ62" s="167" t="s">
        <v>69</v>
      </c>
      <c r="BA62" s="167" t="s">
        <v>69</v>
      </c>
      <c r="BB62" s="167" t="s">
        <v>69</v>
      </c>
      <c r="BC62" s="167" t="s">
        <v>69</v>
      </c>
      <c r="BD62" s="167" t="s">
        <v>69</v>
      </c>
      <c r="BE62" s="167">
        <v>3</v>
      </c>
      <c r="BF62" s="167" t="s">
        <v>69</v>
      </c>
      <c r="BG62" s="167" t="s">
        <v>69</v>
      </c>
      <c r="BH62" s="167" t="s">
        <v>69</v>
      </c>
      <c r="BI62" s="167" t="s">
        <v>69</v>
      </c>
      <c r="BJ62" s="167" t="s">
        <v>69</v>
      </c>
      <c r="BK62" s="167" t="s">
        <v>69</v>
      </c>
      <c r="BL62" s="167" t="s">
        <v>69</v>
      </c>
      <c r="BM62" s="167" t="s">
        <v>69</v>
      </c>
      <c r="BN62" s="167" t="s">
        <v>69</v>
      </c>
      <c r="BO62" s="167" t="s">
        <v>69</v>
      </c>
      <c r="BP62" s="167" t="s">
        <v>69</v>
      </c>
      <c r="BQ62" s="167" t="s">
        <v>69</v>
      </c>
      <c r="BR62" s="167" t="s">
        <v>69</v>
      </c>
      <c r="BS62" s="167">
        <v>3</v>
      </c>
      <c r="BT62" s="167" t="s">
        <v>69</v>
      </c>
      <c r="BU62" s="167" t="s">
        <v>69</v>
      </c>
      <c r="BV62" s="167" t="s">
        <v>69</v>
      </c>
      <c r="BW62" s="167" t="s">
        <v>69</v>
      </c>
      <c r="BX62" s="167" t="s">
        <v>69</v>
      </c>
      <c r="BY62" s="167" t="s">
        <v>69</v>
      </c>
      <c r="BZ62" s="167" t="s">
        <v>69</v>
      </c>
      <c r="CA62" s="167" t="s">
        <v>69</v>
      </c>
      <c r="CB62" s="167" t="s">
        <v>69</v>
      </c>
      <c r="CC62" s="167" t="s">
        <v>69</v>
      </c>
      <c r="CD62" s="167" t="s">
        <v>69</v>
      </c>
      <c r="CE62" s="167" t="s">
        <v>69</v>
      </c>
      <c r="CF62" s="167" t="s">
        <v>69</v>
      </c>
      <c r="CG62" s="167" t="s">
        <v>69</v>
      </c>
      <c r="CH62" s="167" t="s">
        <v>69</v>
      </c>
      <c r="CI62" s="167" t="s">
        <v>69</v>
      </c>
      <c r="CJ62" s="167" t="s">
        <v>69</v>
      </c>
      <c r="CK62" s="167" t="s">
        <v>69</v>
      </c>
      <c r="CL62" s="167" t="s">
        <v>69</v>
      </c>
      <c r="CM62" s="167" t="s">
        <v>69</v>
      </c>
      <c r="CN62" s="167" t="s">
        <v>69</v>
      </c>
      <c r="CO62" s="167" t="s">
        <v>69</v>
      </c>
      <c r="CP62" s="167" t="s">
        <v>69</v>
      </c>
      <c r="CQ62" s="167" t="s">
        <v>69</v>
      </c>
      <c r="CR62" s="167" t="s">
        <v>69</v>
      </c>
      <c r="CS62" s="167" t="s">
        <v>69</v>
      </c>
      <c r="CT62" s="167" t="s">
        <v>69</v>
      </c>
      <c r="CU62" s="167" t="s">
        <v>69</v>
      </c>
      <c r="CV62" s="167" t="s">
        <v>69</v>
      </c>
      <c r="CW62" s="167" t="s">
        <v>69</v>
      </c>
      <c r="CX62" s="167" t="s">
        <v>69</v>
      </c>
      <c r="CY62" s="167" t="s">
        <v>69</v>
      </c>
      <c r="CZ62" s="167" t="s">
        <v>69</v>
      </c>
      <c r="DA62" s="167" t="s">
        <v>69</v>
      </c>
      <c r="DB62" s="167" t="s">
        <v>69</v>
      </c>
      <c r="DC62" s="167" t="s">
        <v>69</v>
      </c>
      <c r="DD62" s="167" t="s">
        <v>69</v>
      </c>
      <c r="DE62" s="167" t="s">
        <v>69</v>
      </c>
      <c r="DF62" s="167" t="s">
        <v>69</v>
      </c>
      <c r="DG62" s="167" t="s">
        <v>69</v>
      </c>
      <c r="DH62" s="167" t="s">
        <v>69</v>
      </c>
      <c r="DI62" s="167" t="s">
        <v>69</v>
      </c>
      <c r="DJ62" s="167" t="s">
        <v>69</v>
      </c>
      <c r="DK62" s="167" t="s">
        <v>69</v>
      </c>
      <c r="DL62" s="167" t="s">
        <v>69</v>
      </c>
      <c r="DM62" s="167" t="s">
        <v>69</v>
      </c>
      <c r="DN62" s="167" t="s">
        <v>69</v>
      </c>
      <c r="DO62" s="167" t="s">
        <v>69</v>
      </c>
      <c r="DP62" s="167" t="s">
        <v>69</v>
      </c>
      <c r="DQ62" s="167" t="s">
        <v>69</v>
      </c>
      <c r="DR62" s="167" t="s">
        <v>69</v>
      </c>
      <c r="DS62" s="167" t="s">
        <v>69</v>
      </c>
      <c r="DT62" s="167" t="s">
        <v>69</v>
      </c>
      <c r="DU62" s="167" t="s">
        <v>69</v>
      </c>
      <c r="DV62" s="110">
        <f t="shared" si="0"/>
        <v>0.12903225806451613</v>
      </c>
      <c r="DW62" s="104">
        <f t="shared" si="1"/>
        <v>1</v>
      </c>
    </row>
    <row r="63" spans="1:127" ht="42" hidden="1" customHeight="1" thickBot="1">
      <c r="A63" s="250" t="s">
        <v>327</v>
      </c>
      <c r="B63" s="242" t="s">
        <v>328</v>
      </c>
      <c r="C63" s="208">
        <v>45390</v>
      </c>
      <c r="D63" s="220" t="s">
        <v>434</v>
      </c>
      <c r="E63" s="256" t="s">
        <v>898</v>
      </c>
      <c r="F63" s="167" t="s">
        <v>69</v>
      </c>
      <c r="G63" s="167" t="s">
        <v>69</v>
      </c>
      <c r="H63" s="167" t="s">
        <v>69</v>
      </c>
      <c r="I63" s="167" t="s">
        <v>69</v>
      </c>
      <c r="J63" s="167" t="s">
        <v>69</v>
      </c>
      <c r="K63" s="167" t="s">
        <v>69</v>
      </c>
      <c r="L63" s="167" t="s">
        <v>69</v>
      </c>
      <c r="M63" s="167" t="s">
        <v>69</v>
      </c>
      <c r="N63" s="167" t="s">
        <v>69</v>
      </c>
      <c r="O63" s="167" t="s">
        <v>69</v>
      </c>
      <c r="P63" s="167" t="s">
        <v>69</v>
      </c>
      <c r="Q63" s="167" t="s">
        <v>69</v>
      </c>
      <c r="R63" s="167" t="s">
        <v>69</v>
      </c>
      <c r="S63" s="167" t="s">
        <v>69</v>
      </c>
      <c r="T63" s="167" t="s">
        <v>69</v>
      </c>
      <c r="U63" s="167" t="s">
        <v>69</v>
      </c>
      <c r="V63" s="167" t="s">
        <v>69</v>
      </c>
      <c r="W63" s="167" t="s">
        <v>69</v>
      </c>
      <c r="X63" s="167" t="s">
        <v>69</v>
      </c>
      <c r="Y63" s="167" t="s">
        <v>69</v>
      </c>
      <c r="Z63" s="167" t="s">
        <v>69</v>
      </c>
      <c r="AA63" s="167" t="s">
        <v>69</v>
      </c>
      <c r="AB63" s="167" t="s">
        <v>69</v>
      </c>
      <c r="AC63" s="167" t="s">
        <v>69</v>
      </c>
      <c r="AD63" s="167" t="s">
        <v>69</v>
      </c>
      <c r="AE63" s="167" t="s">
        <v>69</v>
      </c>
      <c r="AF63" s="167" t="s">
        <v>69</v>
      </c>
      <c r="AG63" s="167" t="s">
        <v>69</v>
      </c>
      <c r="AH63" s="167" t="s">
        <v>69</v>
      </c>
      <c r="AI63" s="167" t="s">
        <v>69</v>
      </c>
      <c r="AJ63" s="167" t="s">
        <v>69</v>
      </c>
      <c r="AK63" s="167" t="s">
        <v>69</v>
      </c>
      <c r="AL63" s="167" t="s">
        <v>69</v>
      </c>
      <c r="AM63" s="167" t="s">
        <v>69</v>
      </c>
      <c r="AN63" s="167" t="s">
        <v>69</v>
      </c>
      <c r="AO63" s="167" t="s">
        <v>69</v>
      </c>
      <c r="AP63" s="167" t="s">
        <v>69</v>
      </c>
      <c r="AQ63" s="167" t="s">
        <v>69</v>
      </c>
      <c r="AR63" s="167" t="s">
        <v>69</v>
      </c>
      <c r="AS63" s="167" t="s">
        <v>69</v>
      </c>
      <c r="AT63" s="167" t="s">
        <v>69</v>
      </c>
      <c r="AU63" s="167" t="s">
        <v>69</v>
      </c>
      <c r="AV63" s="167" t="s">
        <v>69</v>
      </c>
      <c r="AW63" s="167" t="s">
        <v>69</v>
      </c>
      <c r="AX63" s="167" t="s">
        <v>69</v>
      </c>
      <c r="AY63" s="167" t="s">
        <v>69</v>
      </c>
      <c r="AZ63" s="167" t="s">
        <v>69</v>
      </c>
      <c r="BA63" s="167" t="s">
        <v>69</v>
      </c>
      <c r="BB63" s="167" t="s">
        <v>69</v>
      </c>
      <c r="BC63" s="167" t="s">
        <v>69</v>
      </c>
      <c r="BD63" s="167" t="s">
        <v>69</v>
      </c>
      <c r="BE63" s="167">
        <v>4</v>
      </c>
      <c r="BF63" s="167">
        <v>3</v>
      </c>
      <c r="BG63" s="167" t="s">
        <v>69</v>
      </c>
      <c r="BH63" s="167" t="s">
        <v>69</v>
      </c>
      <c r="BI63" s="167">
        <v>4</v>
      </c>
      <c r="BJ63" s="167" t="s">
        <v>69</v>
      </c>
      <c r="BK63" s="167" t="s">
        <v>69</v>
      </c>
      <c r="BL63" s="167"/>
      <c r="BM63" s="167" t="s">
        <v>69</v>
      </c>
      <c r="BN63" s="167" t="s">
        <v>69</v>
      </c>
      <c r="BO63" s="167" t="s">
        <v>69</v>
      </c>
      <c r="BP63" s="167" t="s">
        <v>69</v>
      </c>
      <c r="BQ63" s="167" t="s">
        <v>69</v>
      </c>
      <c r="BR63" s="167" t="s">
        <v>69</v>
      </c>
      <c r="BS63" s="167" t="s">
        <v>69</v>
      </c>
      <c r="BT63" s="167" t="s">
        <v>69</v>
      </c>
      <c r="BU63" s="167" t="s">
        <v>69</v>
      </c>
      <c r="BV63" s="167" t="s">
        <v>69</v>
      </c>
      <c r="BW63" s="167" t="s">
        <v>69</v>
      </c>
      <c r="BX63" s="167" t="s">
        <v>69</v>
      </c>
      <c r="BY63" s="167" t="s">
        <v>69</v>
      </c>
      <c r="BZ63" s="167" t="s">
        <v>69</v>
      </c>
      <c r="CA63" s="167" t="s">
        <v>69</v>
      </c>
      <c r="CB63" s="167" t="s">
        <v>69</v>
      </c>
      <c r="CC63" s="167" t="s">
        <v>69</v>
      </c>
      <c r="CD63" s="167" t="s">
        <v>69</v>
      </c>
      <c r="CE63" s="167" t="s">
        <v>69</v>
      </c>
      <c r="CF63" s="167" t="s">
        <v>69</v>
      </c>
      <c r="CG63" s="167" t="s">
        <v>69</v>
      </c>
      <c r="CH63" s="167" t="s">
        <v>69</v>
      </c>
      <c r="CI63" s="167" t="s">
        <v>69</v>
      </c>
      <c r="CJ63" s="167" t="s">
        <v>69</v>
      </c>
      <c r="CK63" s="167" t="s">
        <v>69</v>
      </c>
      <c r="CL63" s="167" t="s">
        <v>69</v>
      </c>
      <c r="CM63" s="167">
        <v>2</v>
      </c>
      <c r="CN63" s="167" t="s">
        <v>69</v>
      </c>
      <c r="CO63" s="167">
        <v>2</v>
      </c>
      <c r="CP63" s="167" t="s">
        <v>69</v>
      </c>
      <c r="CQ63" s="167" t="s">
        <v>69</v>
      </c>
      <c r="CR63" s="167" t="s">
        <v>69</v>
      </c>
      <c r="CS63" s="167" t="s">
        <v>69</v>
      </c>
      <c r="CT63" s="167" t="s">
        <v>69</v>
      </c>
      <c r="CU63" s="167" t="s">
        <v>69</v>
      </c>
      <c r="CV63" s="167" t="s">
        <v>69</v>
      </c>
      <c r="CW63" s="167" t="s">
        <v>69</v>
      </c>
      <c r="CX63" s="167" t="s">
        <v>69</v>
      </c>
      <c r="CY63" s="167" t="s">
        <v>69</v>
      </c>
      <c r="CZ63" s="167" t="s">
        <v>69</v>
      </c>
      <c r="DA63" s="167" t="s">
        <v>69</v>
      </c>
      <c r="DB63" s="167">
        <v>4</v>
      </c>
      <c r="DC63" s="167" t="s">
        <v>69</v>
      </c>
      <c r="DD63" s="167" t="s">
        <v>69</v>
      </c>
      <c r="DE63" s="167" t="s">
        <v>69</v>
      </c>
      <c r="DF63" s="167" t="s">
        <v>69</v>
      </c>
      <c r="DG63" s="167" t="s">
        <v>69</v>
      </c>
      <c r="DH63" s="167" t="s">
        <v>69</v>
      </c>
      <c r="DI63" s="167" t="s">
        <v>69</v>
      </c>
      <c r="DJ63" s="167" t="s">
        <v>69</v>
      </c>
      <c r="DK63" s="167" t="s">
        <v>69</v>
      </c>
      <c r="DL63" s="167" t="s">
        <v>69</v>
      </c>
      <c r="DM63" s="167" t="s">
        <v>69</v>
      </c>
      <c r="DN63" s="167" t="s">
        <v>69</v>
      </c>
      <c r="DO63" s="167" t="s">
        <v>69</v>
      </c>
      <c r="DP63" s="167" t="s">
        <v>69</v>
      </c>
      <c r="DQ63" s="167" t="s">
        <v>69</v>
      </c>
      <c r="DR63" s="167" t="s">
        <v>69</v>
      </c>
      <c r="DS63" s="167" t="s">
        <v>69</v>
      </c>
      <c r="DT63" s="167">
        <v>4</v>
      </c>
      <c r="DU63" s="167">
        <v>4</v>
      </c>
      <c r="DV63" s="110">
        <f t="shared" si="0"/>
        <v>0.12903225806451613</v>
      </c>
      <c r="DW63" s="104">
        <f t="shared" si="1"/>
        <v>0.75</v>
      </c>
    </row>
    <row r="64" spans="1:127" ht="42" hidden="1" customHeight="1" thickBot="1">
      <c r="A64" s="250" t="s">
        <v>115</v>
      </c>
      <c r="B64" s="242" t="s">
        <v>116</v>
      </c>
      <c r="C64" s="208">
        <v>45390</v>
      </c>
      <c r="D64" s="220" t="s">
        <v>434</v>
      </c>
      <c r="E64" s="256" t="s">
        <v>899</v>
      </c>
      <c r="F64" s="167">
        <v>3</v>
      </c>
      <c r="G64" s="167" t="s">
        <v>69</v>
      </c>
      <c r="H64" s="167" t="s">
        <v>69</v>
      </c>
      <c r="I64" s="167" t="s">
        <v>69</v>
      </c>
      <c r="J64" s="167" t="s">
        <v>69</v>
      </c>
      <c r="K64" s="167" t="s">
        <v>69</v>
      </c>
      <c r="L64" s="167" t="s">
        <v>69</v>
      </c>
      <c r="M64" s="167" t="s">
        <v>69</v>
      </c>
      <c r="N64" s="167" t="s">
        <v>69</v>
      </c>
      <c r="O64" s="167" t="s">
        <v>69</v>
      </c>
      <c r="P64" s="167" t="s">
        <v>69</v>
      </c>
      <c r="Q64" s="167" t="s">
        <v>69</v>
      </c>
      <c r="R64" s="167" t="s">
        <v>69</v>
      </c>
      <c r="S64" s="167" t="s">
        <v>69</v>
      </c>
      <c r="T64" s="167" t="s">
        <v>69</v>
      </c>
      <c r="U64" s="167" t="s">
        <v>69</v>
      </c>
      <c r="V64" s="167" t="s">
        <v>69</v>
      </c>
      <c r="W64" s="167" t="s">
        <v>69</v>
      </c>
      <c r="X64" s="167" t="s">
        <v>69</v>
      </c>
      <c r="Y64" s="167" t="s">
        <v>69</v>
      </c>
      <c r="Z64" s="167" t="s">
        <v>69</v>
      </c>
      <c r="AA64" s="167" t="s">
        <v>69</v>
      </c>
      <c r="AB64" s="167" t="s">
        <v>69</v>
      </c>
      <c r="AC64" s="167" t="s">
        <v>69</v>
      </c>
      <c r="AD64" s="167" t="s">
        <v>69</v>
      </c>
      <c r="AE64" s="167" t="s">
        <v>69</v>
      </c>
      <c r="AF64" s="167" t="s">
        <v>69</v>
      </c>
      <c r="AG64" s="167" t="s">
        <v>69</v>
      </c>
      <c r="AH64" s="167" t="s">
        <v>69</v>
      </c>
      <c r="AI64" s="167" t="s">
        <v>69</v>
      </c>
      <c r="AJ64" s="167" t="s">
        <v>69</v>
      </c>
      <c r="AK64" s="167" t="s">
        <v>69</v>
      </c>
      <c r="AL64" s="167" t="s">
        <v>69</v>
      </c>
      <c r="AM64" s="167" t="s">
        <v>69</v>
      </c>
      <c r="AN64" s="167" t="s">
        <v>69</v>
      </c>
      <c r="AO64" s="167" t="s">
        <v>69</v>
      </c>
      <c r="AP64" s="167">
        <v>4</v>
      </c>
      <c r="AQ64" s="167" t="s">
        <v>69</v>
      </c>
      <c r="AR64" s="167" t="s">
        <v>69</v>
      </c>
      <c r="AS64" s="167" t="s">
        <v>69</v>
      </c>
      <c r="AT64" s="167" t="s">
        <v>69</v>
      </c>
      <c r="AU64" s="167" t="s">
        <v>69</v>
      </c>
      <c r="AV64" s="167" t="s">
        <v>69</v>
      </c>
      <c r="AW64" s="167" t="s">
        <v>69</v>
      </c>
      <c r="AX64" s="167" t="s">
        <v>69</v>
      </c>
      <c r="AY64" s="167" t="s">
        <v>69</v>
      </c>
      <c r="AZ64" s="167" t="s">
        <v>69</v>
      </c>
      <c r="BA64" s="167" t="s">
        <v>69</v>
      </c>
      <c r="BB64" s="167" t="s">
        <v>69</v>
      </c>
      <c r="BC64" s="167" t="s">
        <v>69</v>
      </c>
      <c r="BD64" s="167" t="s">
        <v>69</v>
      </c>
      <c r="BE64" s="167" t="s">
        <v>69</v>
      </c>
      <c r="BF64" s="167" t="s">
        <v>69</v>
      </c>
      <c r="BG64" s="167" t="s">
        <v>69</v>
      </c>
      <c r="BH64" s="167" t="s">
        <v>69</v>
      </c>
      <c r="BI64" s="167" t="s">
        <v>69</v>
      </c>
      <c r="BJ64" s="167" t="s">
        <v>69</v>
      </c>
      <c r="BK64" s="167" t="s">
        <v>69</v>
      </c>
      <c r="BL64" s="167" t="s">
        <v>69</v>
      </c>
      <c r="BM64" s="167" t="s">
        <v>69</v>
      </c>
      <c r="BN64" s="167" t="s">
        <v>69</v>
      </c>
      <c r="BO64" s="167" t="s">
        <v>69</v>
      </c>
      <c r="BP64" s="167" t="s">
        <v>69</v>
      </c>
      <c r="BQ64" s="167" t="s">
        <v>69</v>
      </c>
      <c r="BR64" s="167">
        <v>4</v>
      </c>
      <c r="BS64" s="167" t="s">
        <v>69</v>
      </c>
      <c r="BT64" s="167" t="s">
        <v>69</v>
      </c>
      <c r="BU64" s="167" t="s">
        <v>69</v>
      </c>
      <c r="BV64" s="167" t="s">
        <v>69</v>
      </c>
      <c r="BW64" s="167" t="s">
        <v>69</v>
      </c>
      <c r="BX64" s="167" t="s">
        <v>69</v>
      </c>
      <c r="BY64" s="167" t="s">
        <v>69</v>
      </c>
      <c r="BZ64" s="167" t="s">
        <v>69</v>
      </c>
      <c r="CA64" s="167" t="s">
        <v>69</v>
      </c>
      <c r="CB64" s="167" t="s">
        <v>69</v>
      </c>
      <c r="CC64" s="167" t="s">
        <v>69</v>
      </c>
      <c r="CD64" s="167" t="s">
        <v>69</v>
      </c>
      <c r="CE64" s="167" t="s">
        <v>69</v>
      </c>
      <c r="CF64" s="167" t="s">
        <v>69</v>
      </c>
      <c r="CG64" s="167" t="s">
        <v>69</v>
      </c>
      <c r="CH64" s="167" t="s">
        <v>69</v>
      </c>
      <c r="CI64" s="167" t="s">
        <v>69</v>
      </c>
      <c r="CJ64" s="167" t="s">
        <v>69</v>
      </c>
      <c r="CK64" s="167" t="s">
        <v>69</v>
      </c>
      <c r="CL64" s="167" t="s">
        <v>69</v>
      </c>
      <c r="CM64" s="167" t="s">
        <v>69</v>
      </c>
      <c r="CN64" s="167" t="s">
        <v>69</v>
      </c>
      <c r="CO64" s="167" t="s">
        <v>69</v>
      </c>
      <c r="CP64" s="167" t="s">
        <v>69</v>
      </c>
      <c r="CQ64" s="167" t="s">
        <v>69</v>
      </c>
      <c r="CR64" s="167" t="s">
        <v>69</v>
      </c>
      <c r="CS64" s="167" t="s">
        <v>69</v>
      </c>
      <c r="CT64" s="167" t="s">
        <v>69</v>
      </c>
      <c r="CU64" s="167" t="s">
        <v>69</v>
      </c>
      <c r="CV64" s="167" t="s">
        <v>69</v>
      </c>
      <c r="CW64" s="167" t="s">
        <v>69</v>
      </c>
      <c r="CX64" s="167" t="s">
        <v>69</v>
      </c>
      <c r="CY64" s="167" t="s">
        <v>69</v>
      </c>
      <c r="CZ64" s="167" t="s">
        <v>69</v>
      </c>
      <c r="DA64" s="167" t="s">
        <v>69</v>
      </c>
      <c r="DB64" s="167">
        <v>4</v>
      </c>
      <c r="DC64" s="167" t="s">
        <v>69</v>
      </c>
      <c r="DD64" s="167" t="s">
        <v>69</v>
      </c>
      <c r="DE64" s="167" t="s">
        <v>69</v>
      </c>
      <c r="DF64" s="167" t="s">
        <v>69</v>
      </c>
      <c r="DG64" s="167" t="s">
        <v>69</v>
      </c>
      <c r="DH64" s="167" t="s">
        <v>69</v>
      </c>
      <c r="DI64" s="167" t="s">
        <v>69</v>
      </c>
      <c r="DJ64" s="167" t="s">
        <v>69</v>
      </c>
      <c r="DK64" s="167" t="s">
        <v>69</v>
      </c>
      <c r="DL64" s="167" t="s">
        <v>69</v>
      </c>
      <c r="DM64" s="167" t="s">
        <v>69</v>
      </c>
      <c r="DN64" s="167" t="s">
        <v>69</v>
      </c>
      <c r="DO64" s="167" t="s">
        <v>69</v>
      </c>
      <c r="DP64" s="167" t="s">
        <v>69</v>
      </c>
      <c r="DQ64" s="167" t="s">
        <v>69</v>
      </c>
      <c r="DR64" s="167" t="s">
        <v>69</v>
      </c>
      <c r="DS64" s="167" t="s">
        <v>69</v>
      </c>
      <c r="DT64" s="167">
        <v>4</v>
      </c>
      <c r="DU64" s="167">
        <v>4</v>
      </c>
      <c r="DV64" s="110">
        <f t="shared" si="0"/>
        <v>9.6774193548387094E-2</v>
      </c>
      <c r="DW64" s="104">
        <f t="shared" si="1"/>
        <v>1</v>
      </c>
    </row>
    <row r="65" spans="1:127" ht="42" hidden="1" customHeight="1" thickBot="1">
      <c r="A65" s="250" t="s">
        <v>109</v>
      </c>
      <c r="B65" s="242" t="s">
        <v>308</v>
      </c>
      <c r="C65" s="208" t="s">
        <v>621</v>
      </c>
      <c r="D65" s="220" t="s">
        <v>434</v>
      </c>
      <c r="E65" s="256" t="s">
        <v>899</v>
      </c>
      <c r="F65" s="167">
        <v>4</v>
      </c>
      <c r="G65" s="167" t="s">
        <v>69</v>
      </c>
      <c r="H65" s="167" t="s">
        <v>69</v>
      </c>
      <c r="I65" s="167" t="s">
        <v>69</v>
      </c>
      <c r="J65" s="167" t="s">
        <v>69</v>
      </c>
      <c r="K65" s="167" t="s">
        <v>69</v>
      </c>
      <c r="L65" s="167" t="s">
        <v>69</v>
      </c>
      <c r="M65" s="167" t="s">
        <v>69</v>
      </c>
      <c r="N65" s="167" t="s">
        <v>69</v>
      </c>
      <c r="O65" s="167" t="s">
        <v>69</v>
      </c>
      <c r="P65" s="167" t="s">
        <v>69</v>
      </c>
      <c r="Q65" s="167" t="s">
        <v>69</v>
      </c>
      <c r="R65" s="167" t="s">
        <v>69</v>
      </c>
      <c r="S65" s="167" t="s">
        <v>69</v>
      </c>
      <c r="T65" s="167" t="s">
        <v>69</v>
      </c>
      <c r="U65" s="167" t="s">
        <v>69</v>
      </c>
      <c r="V65" s="167" t="s">
        <v>69</v>
      </c>
      <c r="W65" s="167" t="s">
        <v>69</v>
      </c>
      <c r="X65" s="167" t="s">
        <v>69</v>
      </c>
      <c r="Y65" s="167" t="s">
        <v>69</v>
      </c>
      <c r="Z65" s="167" t="s">
        <v>69</v>
      </c>
      <c r="AA65" s="167" t="s">
        <v>69</v>
      </c>
      <c r="AB65" s="167" t="s">
        <v>69</v>
      </c>
      <c r="AC65" s="167" t="s">
        <v>69</v>
      </c>
      <c r="AD65" s="167" t="s">
        <v>69</v>
      </c>
      <c r="AE65" s="167" t="s">
        <v>69</v>
      </c>
      <c r="AF65" s="167" t="s">
        <v>69</v>
      </c>
      <c r="AG65" s="167" t="s">
        <v>69</v>
      </c>
      <c r="AH65" s="167" t="s">
        <v>69</v>
      </c>
      <c r="AI65" s="167" t="s">
        <v>69</v>
      </c>
      <c r="AJ65" s="167" t="s">
        <v>69</v>
      </c>
      <c r="AK65" s="167" t="s">
        <v>69</v>
      </c>
      <c r="AL65" s="167" t="s">
        <v>69</v>
      </c>
      <c r="AM65" s="167" t="s">
        <v>69</v>
      </c>
      <c r="AN65" s="167" t="s">
        <v>69</v>
      </c>
      <c r="AO65" s="167" t="s">
        <v>69</v>
      </c>
      <c r="AP65" s="167">
        <v>2</v>
      </c>
      <c r="AQ65" s="167" t="s">
        <v>69</v>
      </c>
      <c r="AR65" s="167" t="s">
        <v>69</v>
      </c>
      <c r="AS65" s="167">
        <v>3</v>
      </c>
      <c r="AT65" s="167" t="s">
        <v>69</v>
      </c>
      <c r="AU65" s="167" t="s">
        <v>69</v>
      </c>
      <c r="AV65" s="167">
        <v>3</v>
      </c>
      <c r="AW65" s="167" t="s">
        <v>69</v>
      </c>
      <c r="AX65" s="167" t="s">
        <v>69</v>
      </c>
      <c r="AY65" s="167" t="s">
        <v>69</v>
      </c>
      <c r="AZ65" s="167" t="s">
        <v>69</v>
      </c>
      <c r="BA65" s="167" t="s">
        <v>69</v>
      </c>
      <c r="BB65" s="167" t="s">
        <v>69</v>
      </c>
      <c r="BC65" s="167" t="s">
        <v>69</v>
      </c>
      <c r="BD65" s="167" t="s">
        <v>69</v>
      </c>
      <c r="BE65" s="167">
        <v>4</v>
      </c>
      <c r="BF65" s="167">
        <v>4</v>
      </c>
      <c r="BG65" s="167" t="s">
        <v>69</v>
      </c>
      <c r="BH65" s="167" t="s">
        <v>69</v>
      </c>
      <c r="BI65" s="167" t="s">
        <v>69</v>
      </c>
      <c r="BJ65" s="167" t="s">
        <v>69</v>
      </c>
      <c r="BK65" s="167" t="s">
        <v>69</v>
      </c>
      <c r="BL65" s="167" t="s">
        <v>69</v>
      </c>
      <c r="BM65" s="167" t="s">
        <v>69</v>
      </c>
      <c r="BN65" s="167" t="s">
        <v>69</v>
      </c>
      <c r="BO65" s="167" t="s">
        <v>69</v>
      </c>
      <c r="BP65" s="167" t="s">
        <v>69</v>
      </c>
      <c r="BQ65" s="167" t="s">
        <v>69</v>
      </c>
      <c r="BR65" s="167">
        <v>4</v>
      </c>
      <c r="BS65" s="167" t="s">
        <v>69</v>
      </c>
      <c r="BT65" s="167" t="s">
        <v>69</v>
      </c>
      <c r="BU65" s="167" t="s">
        <v>69</v>
      </c>
      <c r="BV65" s="167" t="s">
        <v>69</v>
      </c>
      <c r="BW65" s="167" t="s">
        <v>69</v>
      </c>
      <c r="BX65" s="167" t="s">
        <v>69</v>
      </c>
      <c r="BY65" s="167" t="s">
        <v>69</v>
      </c>
      <c r="BZ65" s="167">
        <v>4</v>
      </c>
      <c r="CA65" s="167" t="s">
        <v>69</v>
      </c>
      <c r="CB65" s="167" t="s">
        <v>69</v>
      </c>
      <c r="CC65" s="167" t="s">
        <v>69</v>
      </c>
      <c r="CD65" s="167" t="s">
        <v>69</v>
      </c>
      <c r="CE65" s="167" t="s">
        <v>69</v>
      </c>
      <c r="CF65" s="167" t="s">
        <v>69</v>
      </c>
      <c r="CG65" s="167">
        <v>4</v>
      </c>
      <c r="CH65" s="167" t="s">
        <v>69</v>
      </c>
      <c r="CI65" s="167" t="s">
        <v>69</v>
      </c>
      <c r="CJ65" s="167" t="s">
        <v>69</v>
      </c>
      <c r="CK65" s="167" t="s">
        <v>69</v>
      </c>
      <c r="CL65" s="167" t="s">
        <v>69</v>
      </c>
      <c r="CM65" s="167" t="s">
        <v>69</v>
      </c>
      <c r="CN65" s="167" t="s">
        <v>69</v>
      </c>
      <c r="CO65" s="167" t="s">
        <v>69</v>
      </c>
      <c r="CP65" s="167" t="s">
        <v>69</v>
      </c>
      <c r="CQ65" s="167" t="s">
        <v>69</v>
      </c>
      <c r="CR65" s="167" t="s">
        <v>69</v>
      </c>
      <c r="CS65" s="167" t="s">
        <v>69</v>
      </c>
      <c r="CT65" s="167" t="s">
        <v>69</v>
      </c>
      <c r="CU65" s="167" t="s">
        <v>69</v>
      </c>
      <c r="CV65" s="167" t="s">
        <v>69</v>
      </c>
      <c r="CW65" s="167" t="s">
        <v>69</v>
      </c>
      <c r="CX65" s="167" t="s">
        <v>69</v>
      </c>
      <c r="CY65" s="167" t="s">
        <v>69</v>
      </c>
      <c r="CZ65" s="167" t="s">
        <v>69</v>
      </c>
      <c r="DA65" s="167" t="s">
        <v>69</v>
      </c>
      <c r="DB65" s="167" t="s">
        <v>69</v>
      </c>
      <c r="DC65" s="167" t="s">
        <v>69</v>
      </c>
      <c r="DD65" s="167" t="s">
        <v>69</v>
      </c>
      <c r="DE65" s="167" t="s">
        <v>69</v>
      </c>
      <c r="DF65" s="167" t="s">
        <v>69</v>
      </c>
      <c r="DG65" s="167" t="s">
        <v>69</v>
      </c>
      <c r="DH65" s="167" t="s">
        <v>69</v>
      </c>
      <c r="DI65" s="167" t="s">
        <v>69</v>
      </c>
      <c r="DJ65" s="167" t="s">
        <v>69</v>
      </c>
      <c r="DK65" s="167">
        <v>2</v>
      </c>
      <c r="DL65" s="167" t="s">
        <v>69</v>
      </c>
      <c r="DM65" s="167" t="s">
        <v>69</v>
      </c>
      <c r="DN65" s="167" t="s">
        <v>69</v>
      </c>
      <c r="DO65" s="167" t="s">
        <v>69</v>
      </c>
      <c r="DP65" s="167" t="s">
        <v>69</v>
      </c>
      <c r="DQ65" s="167" t="s">
        <v>69</v>
      </c>
      <c r="DR65" s="167" t="s">
        <v>69</v>
      </c>
      <c r="DS65" s="167">
        <v>3</v>
      </c>
      <c r="DT65" s="167" t="s">
        <v>69</v>
      </c>
      <c r="DU65" s="167">
        <v>3</v>
      </c>
      <c r="DV65" s="110">
        <f t="shared" si="0"/>
        <v>0.19354838709677419</v>
      </c>
      <c r="DW65" s="104">
        <f t="shared" si="1"/>
        <v>0.83333333333333337</v>
      </c>
    </row>
    <row r="66" spans="1:127" ht="42" hidden="1" customHeight="1" thickBot="1">
      <c r="A66" s="250" t="s">
        <v>107</v>
      </c>
      <c r="B66" s="242" t="s">
        <v>370</v>
      </c>
      <c r="C66" s="208">
        <v>44690</v>
      </c>
      <c r="D66" s="220" t="s">
        <v>434</v>
      </c>
      <c r="E66" s="256" t="s">
        <v>899</v>
      </c>
      <c r="F66" s="167">
        <v>4</v>
      </c>
      <c r="G66" s="167" t="s">
        <v>69</v>
      </c>
      <c r="H66" s="167" t="s">
        <v>69</v>
      </c>
      <c r="I66" s="167" t="s">
        <v>69</v>
      </c>
      <c r="J66" s="167" t="s">
        <v>69</v>
      </c>
      <c r="K66" s="167" t="s">
        <v>69</v>
      </c>
      <c r="L66" s="167" t="s">
        <v>69</v>
      </c>
      <c r="M66" s="167" t="s">
        <v>69</v>
      </c>
      <c r="N66" s="167" t="s">
        <v>69</v>
      </c>
      <c r="O66" s="167" t="s">
        <v>69</v>
      </c>
      <c r="P66" s="167" t="s">
        <v>69</v>
      </c>
      <c r="Q66" s="167" t="s">
        <v>69</v>
      </c>
      <c r="R66" s="167" t="s">
        <v>69</v>
      </c>
      <c r="S66" s="167" t="s">
        <v>69</v>
      </c>
      <c r="T66" s="167" t="s">
        <v>69</v>
      </c>
      <c r="U66" s="167" t="s">
        <v>69</v>
      </c>
      <c r="V66" s="167" t="s">
        <v>69</v>
      </c>
      <c r="W66" s="167" t="s">
        <v>69</v>
      </c>
      <c r="X66" s="167" t="s">
        <v>69</v>
      </c>
      <c r="Y66" s="167" t="s">
        <v>69</v>
      </c>
      <c r="Z66" s="167" t="s">
        <v>69</v>
      </c>
      <c r="AA66" s="167" t="s">
        <v>69</v>
      </c>
      <c r="AB66" s="167" t="s">
        <v>69</v>
      </c>
      <c r="AC66" s="167">
        <v>3</v>
      </c>
      <c r="AD66" s="167" t="s">
        <v>69</v>
      </c>
      <c r="AE66" s="167" t="s">
        <v>69</v>
      </c>
      <c r="AF66" s="167" t="s">
        <v>69</v>
      </c>
      <c r="AG66" s="167" t="s">
        <v>69</v>
      </c>
      <c r="AH66" s="167" t="s">
        <v>69</v>
      </c>
      <c r="AI66" s="167" t="s">
        <v>69</v>
      </c>
      <c r="AJ66" s="167" t="s">
        <v>69</v>
      </c>
      <c r="AK66" s="167" t="s">
        <v>69</v>
      </c>
      <c r="AL66" s="167" t="s">
        <v>69</v>
      </c>
      <c r="AM66" s="167" t="s">
        <v>69</v>
      </c>
      <c r="AN66" s="167" t="s">
        <v>69</v>
      </c>
      <c r="AO66" s="167" t="s">
        <v>69</v>
      </c>
      <c r="AP66" s="167" t="s">
        <v>69</v>
      </c>
      <c r="AQ66" s="167" t="s">
        <v>69</v>
      </c>
      <c r="AR66" s="167" t="s">
        <v>69</v>
      </c>
      <c r="AS66" s="167" t="s">
        <v>69</v>
      </c>
      <c r="AT66" s="167" t="s">
        <v>69</v>
      </c>
      <c r="AU66" s="167">
        <v>3</v>
      </c>
      <c r="AV66" s="167" t="s">
        <v>69</v>
      </c>
      <c r="AW66" s="167" t="s">
        <v>69</v>
      </c>
      <c r="AX66" s="167">
        <v>3</v>
      </c>
      <c r="AY66" s="167" t="s">
        <v>69</v>
      </c>
      <c r="AZ66" s="167" t="s">
        <v>69</v>
      </c>
      <c r="BA66" s="167" t="s">
        <v>69</v>
      </c>
      <c r="BB66" s="167" t="s">
        <v>69</v>
      </c>
      <c r="BC66" s="167" t="s">
        <v>69</v>
      </c>
      <c r="BD66" s="167" t="s">
        <v>69</v>
      </c>
      <c r="BE66" s="167" t="s">
        <v>69</v>
      </c>
      <c r="BF66" s="167" t="s">
        <v>69</v>
      </c>
      <c r="BG66" s="167" t="s">
        <v>69</v>
      </c>
      <c r="BH66" s="167" t="s">
        <v>69</v>
      </c>
      <c r="BI66" s="167" t="s">
        <v>69</v>
      </c>
      <c r="BJ66" s="167" t="s">
        <v>69</v>
      </c>
      <c r="BK66" s="167" t="s">
        <v>69</v>
      </c>
      <c r="BL66" s="167" t="s">
        <v>69</v>
      </c>
      <c r="BM66" s="167" t="s">
        <v>69</v>
      </c>
      <c r="BN66" s="167" t="s">
        <v>69</v>
      </c>
      <c r="BO66" s="167" t="s">
        <v>69</v>
      </c>
      <c r="BP66" s="167" t="s">
        <v>69</v>
      </c>
      <c r="BQ66" s="167" t="s">
        <v>69</v>
      </c>
      <c r="BR66" s="167" t="s">
        <v>69</v>
      </c>
      <c r="BS66" s="167" t="s">
        <v>69</v>
      </c>
      <c r="BT66" s="167" t="s">
        <v>69</v>
      </c>
      <c r="BU66" s="167" t="s">
        <v>69</v>
      </c>
      <c r="BV66" s="167" t="s">
        <v>69</v>
      </c>
      <c r="BW66" s="167" t="s">
        <v>69</v>
      </c>
      <c r="BX66" s="167" t="s">
        <v>69</v>
      </c>
      <c r="BY66" s="167" t="s">
        <v>69</v>
      </c>
      <c r="BZ66" s="167" t="s">
        <v>69</v>
      </c>
      <c r="CA66" s="167">
        <v>2</v>
      </c>
      <c r="CB66" s="167">
        <v>3</v>
      </c>
      <c r="CC66" s="167" t="s">
        <v>69</v>
      </c>
      <c r="CD66" s="167" t="s">
        <v>69</v>
      </c>
      <c r="CE66" s="167" t="s">
        <v>69</v>
      </c>
      <c r="CF66" s="167" t="s">
        <v>69</v>
      </c>
      <c r="CG66" s="167" t="s">
        <v>69</v>
      </c>
      <c r="CH66" s="167" t="s">
        <v>69</v>
      </c>
      <c r="CI66" s="167" t="s">
        <v>69</v>
      </c>
      <c r="CJ66" s="167" t="s">
        <v>69</v>
      </c>
      <c r="CK66" s="167" t="s">
        <v>69</v>
      </c>
      <c r="CL66" s="167" t="s">
        <v>69</v>
      </c>
      <c r="CM66" s="167" t="s">
        <v>69</v>
      </c>
      <c r="CN66" s="167" t="s">
        <v>69</v>
      </c>
      <c r="CO66" s="167" t="s">
        <v>69</v>
      </c>
      <c r="CP66" s="167">
        <v>3</v>
      </c>
      <c r="CQ66" s="167" t="s">
        <v>69</v>
      </c>
      <c r="CR66" s="167" t="s">
        <v>69</v>
      </c>
      <c r="CS66" s="167" t="s">
        <v>69</v>
      </c>
      <c r="CT66" s="167">
        <v>3</v>
      </c>
      <c r="CU66" s="167" t="s">
        <v>69</v>
      </c>
      <c r="CV66" s="167" t="s">
        <v>69</v>
      </c>
      <c r="CW66" s="167" t="s">
        <v>69</v>
      </c>
      <c r="CX66" s="167" t="s">
        <v>69</v>
      </c>
      <c r="CY66" s="167" t="s">
        <v>69</v>
      </c>
      <c r="CZ66" s="167" t="s">
        <v>69</v>
      </c>
      <c r="DA66" s="167" t="s">
        <v>69</v>
      </c>
      <c r="DB66" s="167" t="s">
        <v>69</v>
      </c>
      <c r="DC66" s="167" t="s">
        <v>69</v>
      </c>
      <c r="DD66" s="167" t="s">
        <v>69</v>
      </c>
      <c r="DE66" s="167" t="s">
        <v>69</v>
      </c>
      <c r="DF66" s="167" t="s">
        <v>69</v>
      </c>
      <c r="DG66" s="167" t="s">
        <v>69</v>
      </c>
      <c r="DH66" s="167" t="s">
        <v>69</v>
      </c>
      <c r="DI66" s="167" t="s">
        <v>69</v>
      </c>
      <c r="DJ66" s="167" t="s">
        <v>69</v>
      </c>
      <c r="DK66" s="167" t="s">
        <v>69</v>
      </c>
      <c r="DL66" s="167" t="s">
        <v>69</v>
      </c>
      <c r="DM66" s="167" t="s">
        <v>69</v>
      </c>
      <c r="DN66" s="167" t="s">
        <v>69</v>
      </c>
      <c r="DO66" s="167" t="s">
        <v>69</v>
      </c>
      <c r="DP66" s="167" t="s">
        <v>69</v>
      </c>
      <c r="DQ66" s="167" t="s">
        <v>69</v>
      </c>
      <c r="DR66" s="167" t="s">
        <v>69</v>
      </c>
      <c r="DS66" s="167">
        <v>3</v>
      </c>
      <c r="DT66" s="167" t="s">
        <v>69</v>
      </c>
      <c r="DU66" s="167">
        <v>4</v>
      </c>
      <c r="DV66" s="110">
        <f t="shared" si="0"/>
        <v>0.16129032258064516</v>
      </c>
      <c r="DW66" s="104">
        <f t="shared" si="1"/>
        <v>0.9</v>
      </c>
    </row>
    <row r="67" spans="1:127" ht="42" hidden="1" customHeight="1" thickBot="1">
      <c r="A67" s="250" t="s">
        <v>99</v>
      </c>
      <c r="B67" s="242" t="s">
        <v>431</v>
      </c>
      <c r="C67" s="208">
        <v>44958</v>
      </c>
      <c r="D67" s="220" t="s">
        <v>434</v>
      </c>
      <c r="E67" s="256" t="s">
        <v>899</v>
      </c>
      <c r="F67" s="167">
        <v>4</v>
      </c>
      <c r="G67" s="167" t="s">
        <v>69</v>
      </c>
      <c r="H67" s="167" t="s">
        <v>69</v>
      </c>
      <c r="I67" s="167" t="s">
        <v>69</v>
      </c>
      <c r="J67" s="167" t="s">
        <v>69</v>
      </c>
      <c r="K67" s="167" t="s">
        <v>69</v>
      </c>
      <c r="L67" s="167" t="s">
        <v>69</v>
      </c>
      <c r="M67" s="167" t="s">
        <v>69</v>
      </c>
      <c r="N67" s="167" t="s">
        <v>69</v>
      </c>
      <c r="O67" s="167" t="s">
        <v>69</v>
      </c>
      <c r="P67" s="167" t="s">
        <v>69</v>
      </c>
      <c r="Q67" s="167" t="s">
        <v>69</v>
      </c>
      <c r="R67" s="167" t="s">
        <v>69</v>
      </c>
      <c r="S67" s="167" t="s">
        <v>69</v>
      </c>
      <c r="T67" s="167" t="s">
        <v>69</v>
      </c>
      <c r="U67" s="167" t="s">
        <v>69</v>
      </c>
      <c r="V67" s="167" t="s">
        <v>69</v>
      </c>
      <c r="W67" s="167" t="s">
        <v>69</v>
      </c>
      <c r="X67" s="167" t="s">
        <v>69</v>
      </c>
      <c r="Y67" s="167" t="s">
        <v>69</v>
      </c>
      <c r="Z67" s="167" t="s">
        <v>69</v>
      </c>
      <c r="AA67" s="167" t="s">
        <v>69</v>
      </c>
      <c r="AB67" s="167" t="s">
        <v>69</v>
      </c>
      <c r="AC67" s="167" t="s">
        <v>69</v>
      </c>
      <c r="AD67" s="167" t="s">
        <v>69</v>
      </c>
      <c r="AE67" s="167" t="s">
        <v>69</v>
      </c>
      <c r="AF67" s="167" t="s">
        <v>69</v>
      </c>
      <c r="AG67" s="167" t="s">
        <v>69</v>
      </c>
      <c r="AH67" s="167" t="s">
        <v>69</v>
      </c>
      <c r="AI67" s="167" t="s">
        <v>69</v>
      </c>
      <c r="AJ67" s="167" t="s">
        <v>69</v>
      </c>
      <c r="AK67" s="167" t="s">
        <v>69</v>
      </c>
      <c r="AL67" s="167" t="s">
        <v>69</v>
      </c>
      <c r="AM67" s="167" t="s">
        <v>69</v>
      </c>
      <c r="AN67" s="167" t="s">
        <v>69</v>
      </c>
      <c r="AO67" s="167" t="s">
        <v>69</v>
      </c>
      <c r="AP67" s="167" t="s">
        <v>69</v>
      </c>
      <c r="AQ67" s="167" t="s">
        <v>69</v>
      </c>
      <c r="AR67" s="167" t="s">
        <v>69</v>
      </c>
      <c r="AS67" s="167" t="s">
        <v>69</v>
      </c>
      <c r="AT67" s="167" t="s">
        <v>69</v>
      </c>
      <c r="AU67" s="167" t="s">
        <v>69</v>
      </c>
      <c r="AV67" s="167" t="s">
        <v>69</v>
      </c>
      <c r="AW67" s="167" t="s">
        <v>69</v>
      </c>
      <c r="AX67" s="167" t="s">
        <v>69</v>
      </c>
      <c r="AY67" s="167" t="s">
        <v>69</v>
      </c>
      <c r="AZ67" s="167" t="s">
        <v>69</v>
      </c>
      <c r="BA67" s="167" t="s">
        <v>69</v>
      </c>
      <c r="BB67" s="167" t="s">
        <v>69</v>
      </c>
      <c r="BC67" s="167" t="s">
        <v>69</v>
      </c>
      <c r="BD67" s="167">
        <v>3</v>
      </c>
      <c r="BE67" s="167" t="s">
        <v>69</v>
      </c>
      <c r="BF67" s="167" t="s">
        <v>69</v>
      </c>
      <c r="BG67" s="167" t="s">
        <v>69</v>
      </c>
      <c r="BH67" s="167" t="s">
        <v>69</v>
      </c>
      <c r="BI67" s="167" t="s">
        <v>69</v>
      </c>
      <c r="BJ67" s="167" t="s">
        <v>69</v>
      </c>
      <c r="BK67" s="167" t="s">
        <v>69</v>
      </c>
      <c r="BL67" s="167" t="s">
        <v>69</v>
      </c>
      <c r="BM67" s="167" t="s">
        <v>69</v>
      </c>
      <c r="BN67" s="167" t="s">
        <v>69</v>
      </c>
      <c r="BO67" s="167" t="s">
        <v>69</v>
      </c>
      <c r="BP67" s="167" t="s">
        <v>69</v>
      </c>
      <c r="BQ67" s="167" t="s">
        <v>69</v>
      </c>
      <c r="BR67" s="167" t="s">
        <v>69</v>
      </c>
      <c r="BS67" s="167" t="s">
        <v>69</v>
      </c>
      <c r="BT67" s="167" t="s">
        <v>69</v>
      </c>
      <c r="BU67" s="167" t="s">
        <v>69</v>
      </c>
      <c r="BV67" s="167" t="s">
        <v>69</v>
      </c>
      <c r="BW67" s="167" t="s">
        <v>69</v>
      </c>
      <c r="BX67" s="167" t="s">
        <v>69</v>
      </c>
      <c r="BY67" s="167" t="s">
        <v>69</v>
      </c>
      <c r="BZ67" s="167" t="s">
        <v>69</v>
      </c>
      <c r="CA67" s="167" t="s">
        <v>69</v>
      </c>
      <c r="CB67" s="167" t="s">
        <v>69</v>
      </c>
      <c r="CC67" s="167" t="s">
        <v>69</v>
      </c>
      <c r="CD67" s="167" t="s">
        <v>69</v>
      </c>
      <c r="CE67" s="167" t="s">
        <v>69</v>
      </c>
      <c r="CF67" s="167" t="s">
        <v>69</v>
      </c>
      <c r="CG67" s="167" t="s">
        <v>69</v>
      </c>
      <c r="CH67" s="167" t="s">
        <v>69</v>
      </c>
      <c r="CI67" s="167" t="s">
        <v>69</v>
      </c>
      <c r="CJ67" s="167" t="s">
        <v>69</v>
      </c>
      <c r="CK67" s="167" t="s">
        <v>69</v>
      </c>
      <c r="CL67" s="167" t="s">
        <v>69</v>
      </c>
      <c r="CM67" s="167" t="s">
        <v>69</v>
      </c>
      <c r="CN67" s="167" t="s">
        <v>69</v>
      </c>
      <c r="CO67" s="167" t="s">
        <v>69</v>
      </c>
      <c r="CP67" s="167" t="s">
        <v>69</v>
      </c>
      <c r="CQ67" s="167" t="s">
        <v>69</v>
      </c>
      <c r="CR67" s="167" t="s">
        <v>69</v>
      </c>
      <c r="CS67" s="167" t="s">
        <v>69</v>
      </c>
      <c r="CT67" s="167" t="s">
        <v>69</v>
      </c>
      <c r="CU67" s="167" t="s">
        <v>69</v>
      </c>
      <c r="CV67" s="167" t="s">
        <v>69</v>
      </c>
      <c r="CW67" s="167" t="s">
        <v>69</v>
      </c>
      <c r="CX67" s="167" t="s">
        <v>69</v>
      </c>
      <c r="CY67" s="167" t="s">
        <v>69</v>
      </c>
      <c r="CZ67" s="167" t="s">
        <v>69</v>
      </c>
      <c r="DA67" s="167" t="s">
        <v>69</v>
      </c>
      <c r="DB67" s="167" t="s">
        <v>69</v>
      </c>
      <c r="DC67" s="167">
        <v>2</v>
      </c>
      <c r="DD67" s="167" t="s">
        <v>69</v>
      </c>
      <c r="DE67" s="167" t="s">
        <v>69</v>
      </c>
      <c r="DF67" s="167" t="s">
        <v>69</v>
      </c>
      <c r="DG67" s="167" t="s">
        <v>69</v>
      </c>
      <c r="DH67" s="167" t="s">
        <v>69</v>
      </c>
      <c r="DI67" s="167" t="s">
        <v>69</v>
      </c>
      <c r="DJ67" s="167" t="s">
        <v>69</v>
      </c>
      <c r="DK67" s="167">
        <v>2</v>
      </c>
      <c r="DL67" s="167" t="s">
        <v>69</v>
      </c>
      <c r="DM67" s="167" t="s">
        <v>69</v>
      </c>
      <c r="DN67" s="167" t="s">
        <v>69</v>
      </c>
      <c r="DO67" s="167" t="s">
        <v>69</v>
      </c>
      <c r="DP67" s="167" t="s">
        <v>69</v>
      </c>
      <c r="DQ67" s="167" t="s">
        <v>69</v>
      </c>
      <c r="DR67" s="167" t="s">
        <v>69</v>
      </c>
      <c r="DS67" s="167">
        <v>3</v>
      </c>
      <c r="DT67" s="167" t="s">
        <v>69</v>
      </c>
      <c r="DU67" s="167">
        <v>4</v>
      </c>
      <c r="DV67" s="110">
        <f t="shared" si="0"/>
        <v>9.6774193548387094E-2</v>
      </c>
      <c r="DW67" s="104">
        <f t="shared" si="1"/>
        <v>0.66666666666666663</v>
      </c>
    </row>
    <row r="68" spans="1:127" ht="42" hidden="1" customHeight="1" thickBot="1">
      <c r="A68" s="250" t="s">
        <v>467</v>
      </c>
      <c r="B68" s="242" t="s">
        <v>98</v>
      </c>
      <c r="C68" s="208">
        <v>45265</v>
      </c>
      <c r="D68" s="220" t="s">
        <v>434</v>
      </c>
      <c r="E68" s="256" t="s">
        <v>899</v>
      </c>
      <c r="F68" s="167" t="s">
        <v>69</v>
      </c>
      <c r="G68" s="167" t="s">
        <v>69</v>
      </c>
      <c r="H68" s="167" t="s">
        <v>69</v>
      </c>
      <c r="I68" s="167" t="s">
        <v>69</v>
      </c>
      <c r="J68" s="167" t="s">
        <v>69</v>
      </c>
      <c r="K68" s="167" t="s">
        <v>69</v>
      </c>
      <c r="L68" s="167" t="s">
        <v>69</v>
      </c>
      <c r="M68" s="167" t="s">
        <v>69</v>
      </c>
      <c r="N68" s="167" t="s">
        <v>69</v>
      </c>
      <c r="O68" s="167" t="s">
        <v>69</v>
      </c>
      <c r="P68" s="167" t="s">
        <v>69</v>
      </c>
      <c r="Q68" s="167" t="s">
        <v>69</v>
      </c>
      <c r="R68" s="167" t="s">
        <v>69</v>
      </c>
      <c r="S68" s="167" t="s">
        <v>69</v>
      </c>
      <c r="T68" s="167" t="s">
        <v>69</v>
      </c>
      <c r="U68" s="167" t="s">
        <v>69</v>
      </c>
      <c r="V68" s="167" t="s">
        <v>69</v>
      </c>
      <c r="W68" s="167" t="s">
        <v>69</v>
      </c>
      <c r="X68" s="167" t="s">
        <v>69</v>
      </c>
      <c r="Y68" s="167" t="s">
        <v>69</v>
      </c>
      <c r="Z68" s="167" t="s">
        <v>69</v>
      </c>
      <c r="AA68" s="167" t="s">
        <v>69</v>
      </c>
      <c r="AB68" s="167" t="s">
        <v>69</v>
      </c>
      <c r="AC68" s="167" t="s">
        <v>69</v>
      </c>
      <c r="AD68" s="167" t="s">
        <v>69</v>
      </c>
      <c r="AE68" s="167" t="s">
        <v>69</v>
      </c>
      <c r="AF68" s="167" t="s">
        <v>69</v>
      </c>
      <c r="AG68" s="167" t="s">
        <v>69</v>
      </c>
      <c r="AH68" s="167" t="s">
        <v>69</v>
      </c>
      <c r="AI68" s="167" t="s">
        <v>69</v>
      </c>
      <c r="AJ68" s="167" t="s">
        <v>69</v>
      </c>
      <c r="AK68" s="167" t="s">
        <v>69</v>
      </c>
      <c r="AL68" s="167" t="s">
        <v>69</v>
      </c>
      <c r="AM68" s="167" t="s">
        <v>69</v>
      </c>
      <c r="AN68" s="167" t="s">
        <v>69</v>
      </c>
      <c r="AO68" s="167" t="s">
        <v>69</v>
      </c>
      <c r="AP68" s="167">
        <v>4</v>
      </c>
      <c r="AQ68" s="167" t="s">
        <v>69</v>
      </c>
      <c r="AR68" s="167" t="s">
        <v>69</v>
      </c>
      <c r="AS68" s="167" t="s">
        <v>69</v>
      </c>
      <c r="AT68" s="167" t="s">
        <v>69</v>
      </c>
      <c r="AU68" s="167" t="s">
        <v>69</v>
      </c>
      <c r="AV68" s="167" t="s">
        <v>69</v>
      </c>
      <c r="AW68" s="167" t="s">
        <v>69</v>
      </c>
      <c r="AX68" s="167" t="s">
        <v>69</v>
      </c>
      <c r="AY68" s="167" t="s">
        <v>69</v>
      </c>
      <c r="AZ68" s="167" t="s">
        <v>69</v>
      </c>
      <c r="BA68" s="167" t="s">
        <v>69</v>
      </c>
      <c r="BB68" s="167" t="s">
        <v>69</v>
      </c>
      <c r="BC68" s="167" t="s">
        <v>69</v>
      </c>
      <c r="BD68" s="167">
        <v>2</v>
      </c>
      <c r="BE68" s="167" t="s">
        <v>69</v>
      </c>
      <c r="BF68" s="167" t="s">
        <v>69</v>
      </c>
      <c r="BG68" s="167" t="s">
        <v>69</v>
      </c>
      <c r="BH68" s="167" t="s">
        <v>69</v>
      </c>
      <c r="BI68" s="167" t="s">
        <v>69</v>
      </c>
      <c r="BJ68" s="167" t="s">
        <v>69</v>
      </c>
      <c r="BK68" s="167" t="s">
        <v>69</v>
      </c>
      <c r="BL68" s="167" t="s">
        <v>69</v>
      </c>
      <c r="BM68" s="167" t="s">
        <v>69</v>
      </c>
      <c r="BN68" s="167" t="s">
        <v>69</v>
      </c>
      <c r="BO68" s="167" t="s">
        <v>69</v>
      </c>
      <c r="BP68" s="167" t="s">
        <v>69</v>
      </c>
      <c r="BQ68" s="167" t="s">
        <v>69</v>
      </c>
      <c r="BR68" s="167">
        <v>4</v>
      </c>
      <c r="BS68" s="167" t="s">
        <v>69</v>
      </c>
      <c r="BT68" s="167" t="s">
        <v>69</v>
      </c>
      <c r="BU68" s="167" t="s">
        <v>69</v>
      </c>
      <c r="BV68" s="167" t="s">
        <v>69</v>
      </c>
      <c r="BW68" s="167" t="s">
        <v>69</v>
      </c>
      <c r="BX68" s="167" t="s">
        <v>69</v>
      </c>
      <c r="BY68" s="167" t="s">
        <v>69</v>
      </c>
      <c r="BZ68" s="167" t="s">
        <v>69</v>
      </c>
      <c r="CA68" s="167">
        <v>4</v>
      </c>
      <c r="CB68" s="167">
        <v>4</v>
      </c>
      <c r="CC68" s="167" t="s">
        <v>69</v>
      </c>
      <c r="CD68" s="167" t="s">
        <v>69</v>
      </c>
      <c r="CE68" s="167" t="s">
        <v>69</v>
      </c>
      <c r="CF68" s="167" t="s">
        <v>69</v>
      </c>
      <c r="CG68" s="167" t="s">
        <v>69</v>
      </c>
      <c r="CH68" s="167" t="s">
        <v>69</v>
      </c>
      <c r="CI68" s="167" t="s">
        <v>69</v>
      </c>
      <c r="CJ68" s="167" t="s">
        <v>69</v>
      </c>
      <c r="CK68" s="167" t="s">
        <v>69</v>
      </c>
      <c r="CL68" s="167" t="s">
        <v>69</v>
      </c>
      <c r="CM68" s="167" t="s">
        <v>69</v>
      </c>
      <c r="CN68" s="167" t="s">
        <v>69</v>
      </c>
      <c r="CO68" s="167" t="s">
        <v>69</v>
      </c>
      <c r="CP68" s="167" t="s">
        <v>69</v>
      </c>
      <c r="CQ68" s="167" t="s">
        <v>69</v>
      </c>
      <c r="CR68" s="167" t="s">
        <v>69</v>
      </c>
      <c r="CS68" s="167" t="s">
        <v>69</v>
      </c>
      <c r="CT68" s="167">
        <v>2</v>
      </c>
      <c r="CU68" s="167" t="s">
        <v>69</v>
      </c>
      <c r="CV68" s="167" t="s">
        <v>69</v>
      </c>
      <c r="CW68" s="167" t="s">
        <v>69</v>
      </c>
      <c r="CX68" s="167" t="s">
        <v>69</v>
      </c>
      <c r="CY68" s="167" t="s">
        <v>69</v>
      </c>
      <c r="CZ68" s="167" t="s">
        <v>69</v>
      </c>
      <c r="DA68" s="167" t="s">
        <v>69</v>
      </c>
      <c r="DB68" s="167" t="s">
        <v>69</v>
      </c>
      <c r="DC68" s="167" t="s">
        <v>69</v>
      </c>
      <c r="DD68" s="167" t="s">
        <v>69</v>
      </c>
      <c r="DE68" s="167" t="s">
        <v>69</v>
      </c>
      <c r="DF68" s="167" t="s">
        <v>69</v>
      </c>
      <c r="DG68" s="167" t="s">
        <v>69</v>
      </c>
      <c r="DH68" s="167" t="s">
        <v>69</v>
      </c>
      <c r="DI68" s="167" t="s">
        <v>69</v>
      </c>
      <c r="DJ68" s="167" t="s">
        <v>69</v>
      </c>
      <c r="DK68" s="167" t="s">
        <v>69</v>
      </c>
      <c r="DL68" s="167" t="s">
        <v>69</v>
      </c>
      <c r="DM68" s="167" t="s">
        <v>69</v>
      </c>
      <c r="DN68" s="167" t="s">
        <v>69</v>
      </c>
      <c r="DO68" s="167" t="s">
        <v>69</v>
      </c>
      <c r="DP68" s="167" t="s">
        <v>69</v>
      </c>
      <c r="DQ68" s="167" t="s">
        <v>69</v>
      </c>
      <c r="DR68" s="167" t="s">
        <v>69</v>
      </c>
      <c r="DS68" s="167">
        <v>3</v>
      </c>
      <c r="DT68" s="167" t="s">
        <v>69</v>
      </c>
      <c r="DU68" s="167">
        <v>3</v>
      </c>
      <c r="DV68" s="110">
        <f t="shared" si="0"/>
        <v>0.12903225806451613</v>
      </c>
      <c r="DW68" s="104">
        <f t="shared" si="1"/>
        <v>0.75</v>
      </c>
    </row>
    <row r="69" spans="1:127" ht="42" hidden="1" customHeight="1" thickBot="1">
      <c r="A69" s="250" t="s">
        <v>94</v>
      </c>
      <c r="B69" s="242" t="s">
        <v>95</v>
      </c>
      <c r="C69" s="208" t="s">
        <v>624</v>
      </c>
      <c r="D69" s="220" t="s">
        <v>434</v>
      </c>
      <c r="E69" s="256" t="s">
        <v>899</v>
      </c>
      <c r="F69" s="167">
        <v>4</v>
      </c>
      <c r="G69" s="167" t="s">
        <v>69</v>
      </c>
      <c r="H69" s="167" t="s">
        <v>69</v>
      </c>
      <c r="I69" s="167" t="s">
        <v>69</v>
      </c>
      <c r="J69" s="167" t="s">
        <v>69</v>
      </c>
      <c r="K69" s="167" t="s">
        <v>69</v>
      </c>
      <c r="L69" s="167" t="s">
        <v>69</v>
      </c>
      <c r="M69" s="167" t="s">
        <v>69</v>
      </c>
      <c r="N69" s="167" t="s">
        <v>69</v>
      </c>
      <c r="O69" s="167" t="s">
        <v>69</v>
      </c>
      <c r="P69" s="167" t="s">
        <v>69</v>
      </c>
      <c r="Q69" s="167" t="s">
        <v>69</v>
      </c>
      <c r="R69" s="167" t="s">
        <v>69</v>
      </c>
      <c r="S69" s="167" t="s">
        <v>69</v>
      </c>
      <c r="T69" s="167" t="s">
        <v>69</v>
      </c>
      <c r="U69" s="167" t="s">
        <v>69</v>
      </c>
      <c r="V69" s="167" t="s">
        <v>69</v>
      </c>
      <c r="W69" s="167" t="s">
        <v>69</v>
      </c>
      <c r="X69" s="167" t="s">
        <v>69</v>
      </c>
      <c r="Y69" s="167" t="s">
        <v>69</v>
      </c>
      <c r="Z69" s="167" t="s">
        <v>69</v>
      </c>
      <c r="AA69" s="167" t="s">
        <v>69</v>
      </c>
      <c r="AB69" s="167" t="s">
        <v>69</v>
      </c>
      <c r="AC69" s="167" t="s">
        <v>69</v>
      </c>
      <c r="AD69" s="167" t="s">
        <v>69</v>
      </c>
      <c r="AE69" s="167" t="s">
        <v>69</v>
      </c>
      <c r="AF69" s="167" t="s">
        <v>69</v>
      </c>
      <c r="AG69" s="167" t="s">
        <v>69</v>
      </c>
      <c r="AH69" s="167" t="s">
        <v>69</v>
      </c>
      <c r="AI69" s="167" t="s">
        <v>69</v>
      </c>
      <c r="AJ69" s="167" t="s">
        <v>69</v>
      </c>
      <c r="AK69" s="167" t="s">
        <v>69</v>
      </c>
      <c r="AL69" s="167" t="s">
        <v>69</v>
      </c>
      <c r="AM69" s="167" t="s">
        <v>69</v>
      </c>
      <c r="AN69" s="167" t="s">
        <v>69</v>
      </c>
      <c r="AO69" s="167" t="s">
        <v>69</v>
      </c>
      <c r="AP69" s="167" t="s">
        <v>69</v>
      </c>
      <c r="AQ69" s="167" t="s">
        <v>69</v>
      </c>
      <c r="AR69" s="167" t="s">
        <v>69</v>
      </c>
      <c r="AS69" s="167" t="s">
        <v>69</v>
      </c>
      <c r="AT69" s="167" t="s">
        <v>69</v>
      </c>
      <c r="AU69" s="167" t="s">
        <v>69</v>
      </c>
      <c r="AV69" s="167" t="s">
        <v>69</v>
      </c>
      <c r="AW69" s="167" t="s">
        <v>69</v>
      </c>
      <c r="AX69" s="167" t="s">
        <v>69</v>
      </c>
      <c r="AY69" s="167" t="s">
        <v>69</v>
      </c>
      <c r="AZ69" s="167" t="s">
        <v>69</v>
      </c>
      <c r="BA69" s="167" t="s">
        <v>69</v>
      </c>
      <c r="BB69" s="167" t="s">
        <v>69</v>
      </c>
      <c r="BC69" s="167" t="s">
        <v>69</v>
      </c>
      <c r="BD69" s="167" t="s">
        <v>69</v>
      </c>
      <c r="BE69" s="167" t="s">
        <v>69</v>
      </c>
      <c r="BF69" s="167" t="s">
        <v>69</v>
      </c>
      <c r="BG69" s="167" t="s">
        <v>69</v>
      </c>
      <c r="BH69" s="167" t="s">
        <v>69</v>
      </c>
      <c r="BI69" s="167" t="s">
        <v>69</v>
      </c>
      <c r="BJ69" s="167" t="s">
        <v>69</v>
      </c>
      <c r="BK69" s="167" t="s">
        <v>69</v>
      </c>
      <c r="BL69" s="167" t="s">
        <v>69</v>
      </c>
      <c r="BM69" s="167" t="s">
        <v>69</v>
      </c>
      <c r="BN69" s="167" t="s">
        <v>69</v>
      </c>
      <c r="BO69" s="167" t="s">
        <v>69</v>
      </c>
      <c r="BP69" s="167" t="s">
        <v>69</v>
      </c>
      <c r="BQ69" s="167" t="s">
        <v>69</v>
      </c>
      <c r="BR69" s="167" t="s">
        <v>69</v>
      </c>
      <c r="BS69" s="167" t="s">
        <v>69</v>
      </c>
      <c r="BT69" s="167" t="s">
        <v>69</v>
      </c>
      <c r="BU69" s="167" t="s">
        <v>69</v>
      </c>
      <c r="BV69" s="167" t="s">
        <v>69</v>
      </c>
      <c r="BW69" s="167" t="s">
        <v>69</v>
      </c>
      <c r="BX69" s="167" t="s">
        <v>69</v>
      </c>
      <c r="BY69" s="167" t="s">
        <v>69</v>
      </c>
      <c r="BZ69" s="167" t="s">
        <v>69</v>
      </c>
      <c r="CA69" s="167" t="s">
        <v>69</v>
      </c>
      <c r="CB69" s="167" t="s">
        <v>69</v>
      </c>
      <c r="CC69" s="167" t="s">
        <v>69</v>
      </c>
      <c r="CD69" s="167" t="s">
        <v>69</v>
      </c>
      <c r="CE69" s="167" t="s">
        <v>69</v>
      </c>
      <c r="CF69" s="167" t="s">
        <v>69</v>
      </c>
      <c r="CG69" s="167" t="s">
        <v>69</v>
      </c>
      <c r="CH69" s="167" t="s">
        <v>69</v>
      </c>
      <c r="CI69" s="167" t="s">
        <v>69</v>
      </c>
      <c r="CJ69" s="167" t="s">
        <v>69</v>
      </c>
      <c r="CK69" s="167" t="s">
        <v>69</v>
      </c>
      <c r="CL69" s="167" t="s">
        <v>69</v>
      </c>
      <c r="CM69" s="167" t="s">
        <v>69</v>
      </c>
      <c r="CN69" s="167" t="s">
        <v>69</v>
      </c>
      <c r="CO69" s="167" t="s">
        <v>69</v>
      </c>
      <c r="CP69" s="167" t="s">
        <v>69</v>
      </c>
      <c r="CQ69" s="167" t="s">
        <v>69</v>
      </c>
      <c r="CR69" s="167" t="s">
        <v>69</v>
      </c>
      <c r="CS69" s="167" t="s">
        <v>69</v>
      </c>
      <c r="CT69" s="167" t="s">
        <v>69</v>
      </c>
      <c r="CU69" s="167" t="s">
        <v>69</v>
      </c>
      <c r="CV69" s="167" t="s">
        <v>69</v>
      </c>
      <c r="CW69" s="167" t="s">
        <v>69</v>
      </c>
      <c r="CX69" s="167" t="s">
        <v>69</v>
      </c>
      <c r="CY69" s="167" t="s">
        <v>69</v>
      </c>
      <c r="CZ69" s="167" t="s">
        <v>69</v>
      </c>
      <c r="DA69" s="167" t="s">
        <v>69</v>
      </c>
      <c r="DB69" s="167" t="s">
        <v>69</v>
      </c>
      <c r="DC69" s="167" t="s">
        <v>69</v>
      </c>
      <c r="DD69" s="167" t="s">
        <v>69</v>
      </c>
      <c r="DE69" s="167" t="s">
        <v>69</v>
      </c>
      <c r="DF69" s="167" t="s">
        <v>69</v>
      </c>
      <c r="DG69" s="167" t="s">
        <v>69</v>
      </c>
      <c r="DH69" s="167" t="s">
        <v>69</v>
      </c>
      <c r="DI69" s="167" t="s">
        <v>69</v>
      </c>
      <c r="DJ69" s="167" t="s">
        <v>69</v>
      </c>
      <c r="DK69" s="167" t="s">
        <v>69</v>
      </c>
      <c r="DL69" s="167" t="s">
        <v>69</v>
      </c>
      <c r="DM69" s="167" t="s">
        <v>69</v>
      </c>
      <c r="DN69" s="167" t="s">
        <v>69</v>
      </c>
      <c r="DO69" s="167" t="s">
        <v>69</v>
      </c>
      <c r="DP69" s="167" t="s">
        <v>69</v>
      </c>
      <c r="DQ69" s="167" t="s">
        <v>69</v>
      </c>
      <c r="DR69" s="167" t="s">
        <v>69</v>
      </c>
      <c r="DS69" s="167">
        <v>3</v>
      </c>
      <c r="DT69" s="167" t="s">
        <v>69</v>
      </c>
      <c r="DU69" s="167">
        <v>3</v>
      </c>
      <c r="DV69" s="110">
        <f t="shared" si="0"/>
        <v>4.8387096774193547E-2</v>
      </c>
      <c r="DW69" s="104">
        <f t="shared" si="1"/>
        <v>1</v>
      </c>
    </row>
    <row r="70" spans="1:127" ht="42" hidden="1" customHeight="1" thickBot="1">
      <c r="A70" s="250" t="s">
        <v>96</v>
      </c>
      <c r="B70" s="242" t="s">
        <v>97</v>
      </c>
      <c r="C70" s="208">
        <v>44292</v>
      </c>
      <c r="D70" s="220" t="s">
        <v>434</v>
      </c>
      <c r="E70" s="256" t="s">
        <v>899</v>
      </c>
      <c r="F70" s="167">
        <v>4</v>
      </c>
      <c r="G70" s="167" t="s">
        <v>69</v>
      </c>
      <c r="H70" s="167" t="s">
        <v>69</v>
      </c>
      <c r="I70" s="167" t="s">
        <v>69</v>
      </c>
      <c r="J70" s="167" t="s">
        <v>69</v>
      </c>
      <c r="K70" s="167" t="s">
        <v>69</v>
      </c>
      <c r="L70" s="167" t="s">
        <v>69</v>
      </c>
      <c r="M70" s="167" t="s">
        <v>69</v>
      </c>
      <c r="N70" s="167" t="s">
        <v>69</v>
      </c>
      <c r="O70" s="167" t="s">
        <v>69</v>
      </c>
      <c r="P70" s="167" t="s">
        <v>69</v>
      </c>
      <c r="Q70" s="167" t="s">
        <v>69</v>
      </c>
      <c r="R70" s="167" t="s">
        <v>69</v>
      </c>
      <c r="S70" s="167" t="s">
        <v>69</v>
      </c>
      <c r="T70" s="167" t="s">
        <v>69</v>
      </c>
      <c r="U70" s="167" t="s">
        <v>69</v>
      </c>
      <c r="V70" s="167" t="s">
        <v>69</v>
      </c>
      <c r="W70" s="167" t="s">
        <v>69</v>
      </c>
      <c r="X70" s="167" t="s">
        <v>69</v>
      </c>
      <c r="Y70" s="167" t="s">
        <v>69</v>
      </c>
      <c r="Z70" s="167" t="s">
        <v>69</v>
      </c>
      <c r="AA70" s="167" t="s">
        <v>69</v>
      </c>
      <c r="AB70" s="167" t="s">
        <v>69</v>
      </c>
      <c r="AC70" s="167" t="s">
        <v>69</v>
      </c>
      <c r="AD70" s="167" t="s">
        <v>69</v>
      </c>
      <c r="AE70" s="167" t="s">
        <v>69</v>
      </c>
      <c r="AF70" s="167" t="s">
        <v>69</v>
      </c>
      <c r="AG70" s="167" t="s">
        <v>69</v>
      </c>
      <c r="AH70" s="167" t="s">
        <v>69</v>
      </c>
      <c r="AI70" s="167" t="s">
        <v>69</v>
      </c>
      <c r="AJ70" s="167" t="s">
        <v>69</v>
      </c>
      <c r="AK70" s="167" t="s">
        <v>69</v>
      </c>
      <c r="AL70" s="167" t="s">
        <v>69</v>
      </c>
      <c r="AM70" s="167" t="s">
        <v>69</v>
      </c>
      <c r="AN70" s="167" t="s">
        <v>69</v>
      </c>
      <c r="AO70" s="167" t="s">
        <v>69</v>
      </c>
      <c r="AP70" s="167" t="s">
        <v>69</v>
      </c>
      <c r="AQ70" s="167" t="s">
        <v>69</v>
      </c>
      <c r="AR70" s="167" t="s">
        <v>69</v>
      </c>
      <c r="AS70" s="167" t="s">
        <v>69</v>
      </c>
      <c r="AT70" s="167" t="s">
        <v>69</v>
      </c>
      <c r="AU70" s="167" t="s">
        <v>69</v>
      </c>
      <c r="AV70" s="167" t="s">
        <v>69</v>
      </c>
      <c r="AW70" s="167" t="s">
        <v>69</v>
      </c>
      <c r="AX70" s="167" t="s">
        <v>69</v>
      </c>
      <c r="AY70" s="167" t="s">
        <v>69</v>
      </c>
      <c r="AZ70" s="167" t="s">
        <v>69</v>
      </c>
      <c r="BA70" s="167" t="s">
        <v>69</v>
      </c>
      <c r="BB70" s="167" t="s">
        <v>69</v>
      </c>
      <c r="BC70" s="167" t="s">
        <v>69</v>
      </c>
      <c r="BD70" s="167">
        <v>3</v>
      </c>
      <c r="BE70" s="167" t="s">
        <v>69</v>
      </c>
      <c r="BF70" s="167" t="s">
        <v>69</v>
      </c>
      <c r="BG70" s="167" t="s">
        <v>69</v>
      </c>
      <c r="BH70" s="167" t="s">
        <v>69</v>
      </c>
      <c r="BI70" s="167" t="s">
        <v>69</v>
      </c>
      <c r="BJ70" s="167" t="s">
        <v>69</v>
      </c>
      <c r="BK70" s="167">
        <v>2</v>
      </c>
      <c r="BL70" s="167" t="s">
        <v>69</v>
      </c>
      <c r="BM70" s="167" t="s">
        <v>69</v>
      </c>
      <c r="BN70" s="167" t="s">
        <v>69</v>
      </c>
      <c r="BO70" s="167" t="s">
        <v>69</v>
      </c>
      <c r="BP70" s="167" t="s">
        <v>69</v>
      </c>
      <c r="BQ70" s="167" t="s">
        <v>69</v>
      </c>
      <c r="BR70" s="167">
        <v>4</v>
      </c>
      <c r="BS70" s="167" t="s">
        <v>69</v>
      </c>
      <c r="BT70" s="167" t="s">
        <v>69</v>
      </c>
      <c r="BU70" s="167" t="s">
        <v>69</v>
      </c>
      <c r="BV70" s="167" t="s">
        <v>69</v>
      </c>
      <c r="BW70" s="167" t="s">
        <v>69</v>
      </c>
      <c r="BX70" s="167" t="s">
        <v>69</v>
      </c>
      <c r="BY70" s="167" t="s">
        <v>69</v>
      </c>
      <c r="BZ70" s="167" t="s">
        <v>69</v>
      </c>
      <c r="CA70" s="167" t="s">
        <v>69</v>
      </c>
      <c r="CB70" s="167" t="s">
        <v>69</v>
      </c>
      <c r="CC70" s="167" t="s">
        <v>69</v>
      </c>
      <c r="CD70" s="167" t="s">
        <v>69</v>
      </c>
      <c r="CE70" s="167" t="s">
        <v>69</v>
      </c>
      <c r="CF70" s="167" t="s">
        <v>69</v>
      </c>
      <c r="CG70" s="167" t="s">
        <v>69</v>
      </c>
      <c r="CH70" s="167" t="s">
        <v>69</v>
      </c>
      <c r="CI70" s="167" t="s">
        <v>69</v>
      </c>
      <c r="CJ70" s="167" t="s">
        <v>69</v>
      </c>
      <c r="CK70" s="167" t="s">
        <v>69</v>
      </c>
      <c r="CL70" s="167" t="s">
        <v>69</v>
      </c>
      <c r="CM70" s="167" t="s">
        <v>69</v>
      </c>
      <c r="CN70" s="167" t="s">
        <v>69</v>
      </c>
      <c r="CO70" s="167" t="s">
        <v>69</v>
      </c>
      <c r="CP70" s="167" t="s">
        <v>69</v>
      </c>
      <c r="CQ70" s="167" t="s">
        <v>69</v>
      </c>
      <c r="CR70" s="167" t="s">
        <v>69</v>
      </c>
      <c r="CS70" s="167" t="s">
        <v>69</v>
      </c>
      <c r="CT70" s="167" t="s">
        <v>69</v>
      </c>
      <c r="CU70" s="167" t="s">
        <v>69</v>
      </c>
      <c r="CV70" s="167" t="s">
        <v>69</v>
      </c>
      <c r="CW70" s="167" t="s">
        <v>69</v>
      </c>
      <c r="CX70" s="167" t="s">
        <v>69</v>
      </c>
      <c r="CY70" s="167" t="s">
        <v>69</v>
      </c>
      <c r="CZ70" s="167" t="s">
        <v>69</v>
      </c>
      <c r="DA70" s="167" t="s">
        <v>69</v>
      </c>
      <c r="DB70" s="167" t="s">
        <v>69</v>
      </c>
      <c r="DC70" s="167" t="s">
        <v>69</v>
      </c>
      <c r="DD70" s="167" t="s">
        <v>69</v>
      </c>
      <c r="DE70" s="167" t="s">
        <v>69</v>
      </c>
      <c r="DF70" s="167" t="s">
        <v>69</v>
      </c>
      <c r="DG70" s="167" t="s">
        <v>69</v>
      </c>
      <c r="DH70" s="167" t="s">
        <v>69</v>
      </c>
      <c r="DI70" s="167" t="s">
        <v>69</v>
      </c>
      <c r="DJ70" s="167" t="s">
        <v>69</v>
      </c>
      <c r="DK70" s="167" t="s">
        <v>69</v>
      </c>
      <c r="DL70" s="167" t="s">
        <v>69</v>
      </c>
      <c r="DM70" s="167" t="s">
        <v>69</v>
      </c>
      <c r="DN70" s="167" t="s">
        <v>69</v>
      </c>
      <c r="DO70" s="167" t="s">
        <v>69</v>
      </c>
      <c r="DP70" s="167" t="s">
        <v>69</v>
      </c>
      <c r="DQ70" s="167" t="s">
        <v>69</v>
      </c>
      <c r="DR70" s="167" t="s">
        <v>69</v>
      </c>
      <c r="DS70" s="167">
        <v>3</v>
      </c>
      <c r="DT70" s="167" t="s">
        <v>69</v>
      </c>
      <c r="DU70" s="167">
        <v>2</v>
      </c>
      <c r="DV70" s="110">
        <f t="shared" si="0"/>
        <v>9.6774193548387094E-2</v>
      </c>
      <c r="DW70" s="104">
        <f t="shared" si="1"/>
        <v>0.66666666666666663</v>
      </c>
    </row>
    <row r="71" spans="1:127" ht="42" hidden="1" customHeight="1" thickBot="1">
      <c r="A71" s="250" t="s">
        <v>103</v>
      </c>
      <c r="B71" s="242" t="s">
        <v>104</v>
      </c>
      <c r="C71" s="208" t="s">
        <v>614</v>
      </c>
      <c r="D71" s="220" t="s">
        <v>434</v>
      </c>
      <c r="E71" s="256" t="s">
        <v>899</v>
      </c>
      <c r="F71" s="167" t="s">
        <v>69</v>
      </c>
      <c r="G71" s="167" t="s">
        <v>69</v>
      </c>
      <c r="H71" s="167" t="s">
        <v>69</v>
      </c>
      <c r="I71" s="167" t="s">
        <v>69</v>
      </c>
      <c r="J71" s="167" t="s">
        <v>69</v>
      </c>
      <c r="K71" s="167" t="s">
        <v>69</v>
      </c>
      <c r="L71" s="167" t="s">
        <v>69</v>
      </c>
      <c r="M71" s="167" t="s">
        <v>69</v>
      </c>
      <c r="N71" s="167" t="s">
        <v>69</v>
      </c>
      <c r="O71" s="167" t="s">
        <v>69</v>
      </c>
      <c r="P71" s="167" t="s">
        <v>69</v>
      </c>
      <c r="Q71" s="167" t="s">
        <v>69</v>
      </c>
      <c r="R71" s="167" t="s">
        <v>69</v>
      </c>
      <c r="S71" s="167" t="s">
        <v>69</v>
      </c>
      <c r="T71" s="167" t="s">
        <v>69</v>
      </c>
      <c r="U71" s="167" t="s">
        <v>69</v>
      </c>
      <c r="V71" s="167" t="s">
        <v>69</v>
      </c>
      <c r="W71" s="167" t="s">
        <v>69</v>
      </c>
      <c r="X71" s="167" t="s">
        <v>69</v>
      </c>
      <c r="Y71" s="167" t="s">
        <v>69</v>
      </c>
      <c r="Z71" s="167" t="s">
        <v>69</v>
      </c>
      <c r="AA71" s="167" t="s">
        <v>69</v>
      </c>
      <c r="AB71" s="167" t="s">
        <v>69</v>
      </c>
      <c r="AC71" s="167" t="s">
        <v>69</v>
      </c>
      <c r="AD71" s="167" t="s">
        <v>69</v>
      </c>
      <c r="AE71" s="167" t="s">
        <v>69</v>
      </c>
      <c r="AF71" s="167" t="s">
        <v>69</v>
      </c>
      <c r="AG71" s="167" t="s">
        <v>69</v>
      </c>
      <c r="AH71" s="167" t="s">
        <v>69</v>
      </c>
      <c r="AI71" s="167" t="s">
        <v>69</v>
      </c>
      <c r="AJ71" s="167" t="s">
        <v>69</v>
      </c>
      <c r="AK71" s="167" t="s">
        <v>69</v>
      </c>
      <c r="AL71" s="167" t="s">
        <v>69</v>
      </c>
      <c r="AM71" s="167" t="s">
        <v>69</v>
      </c>
      <c r="AN71" s="167" t="s">
        <v>69</v>
      </c>
      <c r="AO71" s="167" t="s">
        <v>69</v>
      </c>
      <c r="AP71" s="167" t="s">
        <v>69</v>
      </c>
      <c r="AQ71" s="167" t="s">
        <v>69</v>
      </c>
      <c r="AR71" s="167" t="s">
        <v>69</v>
      </c>
      <c r="AS71" s="167" t="s">
        <v>69</v>
      </c>
      <c r="AT71" s="167" t="s">
        <v>69</v>
      </c>
      <c r="AU71" s="167" t="s">
        <v>69</v>
      </c>
      <c r="AV71" s="167" t="s">
        <v>69</v>
      </c>
      <c r="AW71" s="167" t="s">
        <v>69</v>
      </c>
      <c r="AX71" s="167" t="s">
        <v>69</v>
      </c>
      <c r="AY71" s="167" t="s">
        <v>69</v>
      </c>
      <c r="AZ71" s="167" t="s">
        <v>69</v>
      </c>
      <c r="BA71" s="167" t="s">
        <v>69</v>
      </c>
      <c r="BB71" s="167" t="s">
        <v>69</v>
      </c>
      <c r="BC71" s="167" t="s">
        <v>69</v>
      </c>
      <c r="BD71" s="167" t="s">
        <v>69</v>
      </c>
      <c r="BE71" s="167" t="s">
        <v>69</v>
      </c>
      <c r="BF71" s="167" t="s">
        <v>69</v>
      </c>
      <c r="BG71" s="167" t="s">
        <v>69</v>
      </c>
      <c r="BH71" s="167" t="s">
        <v>69</v>
      </c>
      <c r="BI71" s="167" t="s">
        <v>69</v>
      </c>
      <c r="BJ71" s="167" t="s">
        <v>69</v>
      </c>
      <c r="BK71" s="167" t="s">
        <v>69</v>
      </c>
      <c r="BL71" s="167" t="s">
        <v>69</v>
      </c>
      <c r="BM71" s="167" t="s">
        <v>69</v>
      </c>
      <c r="BN71" s="167" t="s">
        <v>69</v>
      </c>
      <c r="BO71" s="167" t="s">
        <v>69</v>
      </c>
      <c r="BP71" s="167" t="s">
        <v>69</v>
      </c>
      <c r="BQ71" s="167" t="s">
        <v>69</v>
      </c>
      <c r="BR71" s="167" t="s">
        <v>69</v>
      </c>
      <c r="BS71" s="167" t="s">
        <v>69</v>
      </c>
      <c r="BT71" s="167" t="s">
        <v>69</v>
      </c>
      <c r="BU71" s="167" t="s">
        <v>69</v>
      </c>
      <c r="BV71" s="167" t="s">
        <v>69</v>
      </c>
      <c r="BW71" s="167" t="s">
        <v>69</v>
      </c>
      <c r="BX71" s="167" t="s">
        <v>69</v>
      </c>
      <c r="BY71" s="167" t="s">
        <v>69</v>
      </c>
      <c r="BZ71" s="167" t="s">
        <v>69</v>
      </c>
      <c r="CA71" s="167" t="s">
        <v>69</v>
      </c>
      <c r="CB71" s="167" t="s">
        <v>69</v>
      </c>
      <c r="CC71" s="167" t="s">
        <v>69</v>
      </c>
      <c r="CD71" s="167" t="s">
        <v>69</v>
      </c>
      <c r="CE71" s="167" t="s">
        <v>69</v>
      </c>
      <c r="CF71" s="167" t="s">
        <v>69</v>
      </c>
      <c r="CG71" s="167" t="s">
        <v>69</v>
      </c>
      <c r="CH71" s="167" t="s">
        <v>69</v>
      </c>
      <c r="CI71" s="167" t="s">
        <v>69</v>
      </c>
      <c r="CJ71" s="167" t="s">
        <v>69</v>
      </c>
      <c r="CK71" s="167" t="s">
        <v>69</v>
      </c>
      <c r="CL71" s="167" t="s">
        <v>69</v>
      </c>
      <c r="CM71" s="167" t="s">
        <v>69</v>
      </c>
      <c r="CN71" s="167" t="s">
        <v>69</v>
      </c>
      <c r="CO71" s="167" t="s">
        <v>69</v>
      </c>
      <c r="CP71" s="167" t="s">
        <v>69</v>
      </c>
      <c r="CQ71" s="167" t="s">
        <v>69</v>
      </c>
      <c r="CR71" s="167" t="s">
        <v>69</v>
      </c>
      <c r="CS71" s="167" t="s">
        <v>69</v>
      </c>
      <c r="CT71" s="167" t="s">
        <v>69</v>
      </c>
      <c r="CU71" s="167" t="s">
        <v>69</v>
      </c>
      <c r="CV71" s="167" t="s">
        <v>69</v>
      </c>
      <c r="CW71" s="167" t="s">
        <v>69</v>
      </c>
      <c r="CX71" s="167" t="s">
        <v>69</v>
      </c>
      <c r="CY71" s="167" t="s">
        <v>69</v>
      </c>
      <c r="CZ71" s="167" t="s">
        <v>69</v>
      </c>
      <c r="DA71" s="167" t="s">
        <v>69</v>
      </c>
      <c r="DB71" s="167" t="s">
        <v>69</v>
      </c>
      <c r="DC71" s="167" t="s">
        <v>69</v>
      </c>
      <c r="DD71" s="167" t="s">
        <v>69</v>
      </c>
      <c r="DE71" s="167" t="s">
        <v>69</v>
      </c>
      <c r="DF71" s="167" t="s">
        <v>69</v>
      </c>
      <c r="DG71" s="167" t="s">
        <v>69</v>
      </c>
      <c r="DH71" s="167" t="s">
        <v>69</v>
      </c>
      <c r="DI71" s="167" t="s">
        <v>69</v>
      </c>
      <c r="DJ71" s="167" t="s">
        <v>69</v>
      </c>
      <c r="DK71" s="167" t="s">
        <v>69</v>
      </c>
      <c r="DL71" s="167" t="s">
        <v>69</v>
      </c>
      <c r="DM71" s="167" t="s">
        <v>69</v>
      </c>
      <c r="DN71" s="167" t="s">
        <v>69</v>
      </c>
      <c r="DO71" s="167" t="s">
        <v>69</v>
      </c>
      <c r="DP71" s="167" t="s">
        <v>69</v>
      </c>
      <c r="DQ71" s="167" t="s">
        <v>69</v>
      </c>
      <c r="DR71" s="167" t="s">
        <v>69</v>
      </c>
      <c r="DS71" s="167">
        <v>3</v>
      </c>
      <c r="DT71" s="167" t="s">
        <v>69</v>
      </c>
      <c r="DU71" s="167">
        <v>2</v>
      </c>
      <c r="DV71" s="110">
        <f t="shared" si="0"/>
        <v>3.2258064516129031E-2</v>
      </c>
      <c r="DW71" s="104">
        <f t="shared" si="1"/>
        <v>0.5</v>
      </c>
    </row>
    <row r="72" spans="1:127" ht="42" hidden="1" customHeight="1" thickBot="1">
      <c r="A72" s="250" t="s">
        <v>105</v>
      </c>
      <c r="B72" s="242" t="s">
        <v>106</v>
      </c>
      <c r="C72" s="208">
        <v>44958</v>
      </c>
      <c r="D72" s="220" t="s">
        <v>434</v>
      </c>
      <c r="E72" s="256" t="s">
        <v>899</v>
      </c>
      <c r="F72" s="167" t="s">
        <v>69</v>
      </c>
      <c r="G72" s="167" t="s">
        <v>69</v>
      </c>
      <c r="H72" s="167" t="s">
        <v>69</v>
      </c>
      <c r="I72" s="167" t="s">
        <v>69</v>
      </c>
      <c r="J72" s="167" t="s">
        <v>69</v>
      </c>
      <c r="K72" s="167" t="s">
        <v>69</v>
      </c>
      <c r="L72" s="167" t="s">
        <v>69</v>
      </c>
      <c r="M72" s="167" t="s">
        <v>69</v>
      </c>
      <c r="N72" s="167" t="s">
        <v>69</v>
      </c>
      <c r="O72" s="167" t="s">
        <v>69</v>
      </c>
      <c r="P72" s="167" t="s">
        <v>69</v>
      </c>
      <c r="Q72" s="167" t="s">
        <v>69</v>
      </c>
      <c r="R72" s="167" t="s">
        <v>69</v>
      </c>
      <c r="S72" s="167" t="s">
        <v>69</v>
      </c>
      <c r="T72" s="167" t="s">
        <v>69</v>
      </c>
      <c r="U72" s="167" t="s">
        <v>69</v>
      </c>
      <c r="V72" s="167" t="s">
        <v>69</v>
      </c>
      <c r="W72" s="167" t="s">
        <v>69</v>
      </c>
      <c r="X72" s="167" t="s">
        <v>69</v>
      </c>
      <c r="Y72" s="167" t="s">
        <v>69</v>
      </c>
      <c r="Z72" s="167" t="s">
        <v>69</v>
      </c>
      <c r="AA72" s="167" t="s">
        <v>69</v>
      </c>
      <c r="AB72" s="167" t="s">
        <v>69</v>
      </c>
      <c r="AC72" s="167" t="s">
        <v>69</v>
      </c>
      <c r="AD72" s="167" t="s">
        <v>69</v>
      </c>
      <c r="AE72" s="167" t="s">
        <v>69</v>
      </c>
      <c r="AF72" s="167" t="s">
        <v>69</v>
      </c>
      <c r="AG72" s="167" t="s">
        <v>69</v>
      </c>
      <c r="AH72" s="167" t="s">
        <v>69</v>
      </c>
      <c r="AI72" s="167" t="s">
        <v>69</v>
      </c>
      <c r="AJ72" s="167" t="s">
        <v>69</v>
      </c>
      <c r="AK72" s="167" t="s">
        <v>69</v>
      </c>
      <c r="AL72" s="167" t="s">
        <v>69</v>
      </c>
      <c r="AM72" s="167" t="s">
        <v>69</v>
      </c>
      <c r="AN72" s="167" t="s">
        <v>69</v>
      </c>
      <c r="AO72" s="167" t="s">
        <v>69</v>
      </c>
      <c r="AP72" s="167" t="s">
        <v>69</v>
      </c>
      <c r="AQ72" s="167" t="s">
        <v>69</v>
      </c>
      <c r="AR72" s="167" t="s">
        <v>69</v>
      </c>
      <c r="AS72" s="167" t="s">
        <v>69</v>
      </c>
      <c r="AT72" s="167" t="s">
        <v>69</v>
      </c>
      <c r="AU72" s="167" t="s">
        <v>69</v>
      </c>
      <c r="AV72" s="167" t="s">
        <v>69</v>
      </c>
      <c r="AW72" s="167" t="s">
        <v>69</v>
      </c>
      <c r="AX72" s="167" t="s">
        <v>69</v>
      </c>
      <c r="AY72" s="167" t="s">
        <v>69</v>
      </c>
      <c r="AZ72" s="167" t="s">
        <v>69</v>
      </c>
      <c r="BA72" s="167" t="s">
        <v>69</v>
      </c>
      <c r="BB72" s="167" t="s">
        <v>69</v>
      </c>
      <c r="BC72" s="167" t="s">
        <v>69</v>
      </c>
      <c r="BD72" s="167" t="s">
        <v>69</v>
      </c>
      <c r="BE72" s="167">
        <v>2</v>
      </c>
      <c r="BF72" s="167" t="s">
        <v>69</v>
      </c>
      <c r="BG72" s="167" t="s">
        <v>69</v>
      </c>
      <c r="BH72" s="167" t="s">
        <v>69</v>
      </c>
      <c r="BI72" s="167" t="s">
        <v>69</v>
      </c>
      <c r="BJ72" s="167" t="s">
        <v>69</v>
      </c>
      <c r="BK72" s="167" t="s">
        <v>69</v>
      </c>
      <c r="BL72" s="167" t="s">
        <v>69</v>
      </c>
      <c r="BM72" s="167" t="s">
        <v>69</v>
      </c>
      <c r="BN72" s="167" t="s">
        <v>69</v>
      </c>
      <c r="BO72" s="167" t="s">
        <v>69</v>
      </c>
      <c r="BP72" s="167" t="s">
        <v>69</v>
      </c>
      <c r="BQ72" s="167" t="s">
        <v>69</v>
      </c>
      <c r="BR72" s="167" t="s">
        <v>69</v>
      </c>
      <c r="BS72" s="167" t="s">
        <v>69</v>
      </c>
      <c r="BT72" s="167" t="s">
        <v>69</v>
      </c>
      <c r="BU72" s="167" t="s">
        <v>69</v>
      </c>
      <c r="BV72" s="167" t="s">
        <v>69</v>
      </c>
      <c r="BW72" s="167" t="s">
        <v>69</v>
      </c>
      <c r="BX72" s="167" t="s">
        <v>69</v>
      </c>
      <c r="BY72" s="167" t="s">
        <v>69</v>
      </c>
      <c r="BZ72" s="167" t="s">
        <v>69</v>
      </c>
      <c r="CA72" s="167" t="s">
        <v>69</v>
      </c>
      <c r="CB72" s="167" t="s">
        <v>69</v>
      </c>
      <c r="CC72" s="167" t="s">
        <v>69</v>
      </c>
      <c r="CD72" s="167" t="s">
        <v>69</v>
      </c>
      <c r="CE72" s="167" t="s">
        <v>69</v>
      </c>
      <c r="CF72" s="167" t="s">
        <v>69</v>
      </c>
      <c r="CG72" s="167" t="s">
        <v>69</v>
      </c>
      <c r="CH72" s="167" t="s">
        <v>69</v>
      </c>
      <c r="CI72" s="167" t="s">
        <v>69</v>
      </c>
      <c r="CJ72" s="167" t="s">
        <v>69</v>
      </c>
      <c r="CK72" s="167" t="s">
        <v>69</v>
      </c>
      <c r="CL72" s="167" t="s">
        <v>69</v>
      </c>
      <c r="CM72" s="167" t="s">
        <v>69</v>
      </c>
      <c r="CN72" s="167" t="s">
        <v>69</v>
      </c>
      <c r="CO72" s="167" t="s">
        <v>69</v>
      </c>
      <c r="CP72" s="167" t="s">
        <v>69</v>
      </c>
      <c r="CQ72" s="167" t="s">
        <v>69</v>
      </c>
      <c r="CR72" s="167" t="s">
        <v>69</v>
      </c>
      <c r="CS72" s="167" t="s">
        <v>69</v>
      </c>
      <c r="CT72" s="167" t="s">
        <v>69</v>
      </c>
      <c r="CU72" s="167" t="s">
        <v>69</v>
      </c>
      <c r="CV72" s="167" t="s">
        <v>69</v>
      </c>
      <c r="CW72" s="167" t="s">
        <v>69</v>
      </c>
      <c r="CX72" s="167" t="s">
        <v>69</v>
      </c>
      <c r="CY72" s="167" t="s">
        <v>69</v>
      </c>
      <c r="CZ72" s="167" t="s">
        <v>69</v>
      </c>
      <c r="DA72" s="167" t="s">
        <v>69</v>
      </c>
      <c r="DB72" s="167" t="s">
        <v>69</v>
      </c>
      <c r="DC72" s="167" t="s">
        <v>69</v>
      </c>
      <c r="DD72" s="167" t="s">
        <v>69</v>
      </c>
      <c r="DE72" s="167" t="s">
        <v>69</v>
      </c>
      <c r="DF72" s="167" t="s">
        <v>69</v>
      </c>
      <c r="DG72" s="167" t="s">
        <v>69</v>
      </c>
      <c r="DH72" s="167" t="s">
        <v>69</v>
      </c>
      <c r="DI72" s="167" t="s">
        <v>69</v>
      </c>
      <c r="DJ72" s="167" t="s">
        <v>69</v>
      </c>
      <c r="DK72" s="167" t="s">
        <v>69</v>
      </c>
      <c r="DL72" s="167" t="s">
        <v>69</v>
      </c>
      <c r="DM72" s="167" t="s">
        <v>69</v>
      </c>
      <c r="DN72" s="167" t="s">
        <v>69</v>
      </c>
      <c r="DO72" s="167" t="s">
        <v>69</v>
      </c>
      <c r="DP72" s="167" t="s">
        <v>69</v>
      </c>
      <c r="DQ72" s="167" t="s">
        <v>69</v>
      </c>
      <c r="DR72" s="167" t="s">
        <v>69</v>
      </c>
      <c r="DS72" s="167">
        <v>3</v>
      </c>
      <c r="DT72" s="167" t="s">
        <v>69</v>
      </c>
      <c r="DU72" s="167">
        <v>2</v>
      </c>
      <c r="DV72" s="110">
        <f t="shared" si="0"/>
        <v>4.8387096774193547E-2</v>
      </c>
      <c r="DW72" s="104">
        <f t="shared" si="1"/>
        <v>0.33333333333333331</v>
      </c>
    </row>
    <row r="73" spans="1:127" ht="42" hidden="1" customHeight="1" thickBot="1">
      <c r="A73" s="250" t="s">
        <v>546</v>
      </c>
      <c r="B73" s="242" t="s">
        <v>547</v>
      </c>
      <c r="C73" s="208">
        <v>45327</v>
      </c>
      <c r="D73" s="220" t="s">
        <v>434</v>
      </c>
      <c r="E73" s="256" t="s">
        <v>899</v>
      </c>
      <c r="F73" s="167">
        <v>3</v>
      </c>
      <c r="G73" s="167" t="s">
        <v>69</v>
      </c>
      <c r="H73" s="167" t="s">
        <v>69</v>
      </c>
      <c r="I73" s="167">
        <v>3</v>
      </c>
      <c r="J73" s="167" t="s">
        <v>69</v>
      </c>
      <c r="K73" s="167" t="s">
        <v>69</v>
      </c>
      <c r="L73" s="167" t="s">
        <v>69</v>
      </c>
      <c r="M73" s="167" t="s">
        <v>69</v>
      </c>
      <c r="N73" s="167" t="s">
        <v>69</v>
      </c>
      <c r="O73" s="167" t="s">
        <v>69</v>
      </c>
      <c r="P73" s="167" t="s">
        <v>69</v>
      </c>
      <c r="Q73" s="167" t="s">
        <v>69</v>
      </c>
      <c r="R73" s="167" t="s">
        <v>69</v>
      </c>
      <c r="S73" s="167" t="s">
        <v>69</v>
      </c>
      <c r="T73" s="167" t="s">
        <v>69</v>
      </c>
      <c r="U73" s="167" t="s">
        <v>69</v>
      </c>
      <c r="V73" s="167" t="s">
        <v>69</v>
      </c>
      <c r="W73" s="167" t="s">
        <v>69</v>
      </c>
      <c r="X73" s="167" t="s">
        <v>69</v>
      </c>
      <c r="Y73" s="167" t="s">
        <v>69</v>
      </c>
      <c r="Z73" s="167" t="s">
        <v>69</v>
      </c>
      <c r="AA73" s="167" t="s">
        <v>69</v>
      </c>
      <c r="AB73" s="167" t="s">
        <v>69</v>
      </c>
      <c r="AC73" s="167" t="s">
        <v>69</v>
      </c>
      <c r="AD73" s="167" t="s">
        <v>69</v>
      </c>
      <c r="AE73" s="167" t="s">
        <v>69</v>
      </c>
      <c r="AF73" s="167" t="s">
        <v>69</v>
      </c>
      <c r="AG73" s="167" t="s">
        <v>69</v>
      </c>
      <c r="AH73" s="167" t="s">
        <v>69</v>
      </c>
      <c r="AI73" s="167" t="s">
        <v>69</v>
      </c>
      <c r="AJ73" s="167" t="s">
        <v>69</v>
      </c>
      <c r="AK73" s="167" t="s">
        <v>69</v>
      </c>
      <c r="AL73" s="167" t="s">
        <v>69</v>
      </c>
      <c r="AM73" s="167" t="s">
        <v>69</v>
      </c>
      <c r="AN73" s="167" t="s">
        <v>69</v>
      </c>
      <c r="AO73" s="167" t="s">
        <v>69</v>
      </c>
      <c r="AP73" s="167" t="s">
        <v>69</v>
      </c>
      <c r="AQ73" s="167" t="s">
        <v>69</v>
      </c>
      <c r="AR73" s="167" t="s">
        <v>69</v>
      </c>
      <c r="AS73" s="167" t="s">
        <v>69</v>
      </c>
      <c r="AT73" s="167" t="s">
        <v>69</v>
      </c>
      <c r="AU73" s="167" t="s">
        <v>69</v>
      </c>
      <c r="AV73" s="167" t="s">
        <v>69</v>
      </c>
      <c r="AW73" s="167" t="s">
        <v>69</v>
      </c>
      <c r="AX73" s="167" t="s">
        <v>69</v>
      </c>
      <c r="AY73" s="167" t="s">
        <v>69</v>
      </c>
      <c r="AZ73" s="167" t="s">
        <v>69</v>
      </c>
      <c r="BA73" s="167" t="s">
        <v>69</v>
      </c>
      <c r="BB73" s="167" t="s">
        <v>69</v>
      </c>
      <c r="BC73" s="167" t="s">
        <v>69</v>
      </c>
      <c r="BD73" s="167" t="s">
        <v>69</v>
      </c>
      <c r="BE73" s="167" t="s">
        <v>69</v>
      </c>
      <c r="BF73" s="167" t="s">
        <v>69</v>
      </c>
      <c r="BG73" s="167" t="s">
        <v>69</v>
      </c>
      <c r="BH73" s="167" t="s">
        <v>69</v>
      </c>
      <c r="BI73" s="167" t="s">
        <v>69</v>
      </c>
      <c r="BJ73" s="167" t="s">
        <v>69</v>
      </c>
      <c r="BK73" s="167" t="s">
        <v>69</v>
      </c>
      <c r="BL73" s="167" t="s">
        <v>69</v>
      </c>
      <c r="BM73" s="167" t="s">
        <v>69</v>
      </c>
      <c r="BN73" s="167" t="s">
        <v>69</v>
      </c>
      <c r="BO73" s="167" t="s">
        <v>69</v>
      </c>
      <c r="BP73" s="167" t="s">
        <v>69</v>
      </c>
      <c r="BQ73" s="167" t="s">
        <v>69</v>
      </c>
      <c r="BR73" s="167" t="s">
        <v>69</v>
      </c>
      <c r="BS73" s="167" t="s">
        <v>69</v>
      </c>
      <c r="BT73" s="167" t="s">
        <v>69</v>
      </c>
      <c r="BU73" s="167" t="s">
        <v>69</v>
      </c>
      <c r="BV73" s="167" t="s">
        <v>69</v>
      </c>
      <c r="BW73" s="167" t="s">
        <v>69</v>
      </c>
      <c r="BX73" s="167" t="s">
        <v>69</v>
      </c>
      <c r="BY73" s="167">
        <v>3</v>
      </c>
      <c r="BZ73" s="167" t="s">
        <v>69</v>
      </c>
      <c r="CA73" s="167">
        <v>2</v>
      </c>
      <c r="CB73" s="167" t="s">
        <v>69</v>
      </c>
      <c r="CC73" s="167">
        <v>2</v>
      </c>
      <c r="CD73" s="167" t="s">
        <v>69</v>
      </c>
      <c r="CE73" s="167" t="s">
        <v>69</v>
      </c>
      <c r="CF73" s="167" t="s">
        <v>69</v>
      </c>
      <c r="CG73" s="167" t="s">
        <v>69</v>
      </c>
      <c r="CH73" s="167" t="s">
        <v>69</v>
      </c>
      <c r="CI73" s="167" t="s">
        <v>69</v>
      </c>
      <c r="CJ73" s="167" t="s">
        <v>69</v>
      </c>
      <c r="CK73" s="167">
        <v>3</v>
      </c>
      <c r="CL73" s="167" t="s">
        <v>69</v>
      </c>
      <c r="CM73" s="167" t="s">
        <v>69</v>
      </c>
      <c r="CN73" s="167">
        <v>3</v>
      </c>
      <c r="CO73" s="167" t="s">
        <v>69</v>
      </c>
      <c r="CP73" s="167">
        <v>4</v>
      </c>
      <c r="CQ73" s="167" t="s">
        <v>69</v>
      </c>
      <c r="CR73" s="167" t="s">
        <v>69</v>
      </c>
      <c r="CS73" s="167" t="s">
        <v>69</v>
      </c>
      <c r="CT73" s="167" t="s">
        <v>69</v>
      </c>
      <c r="CU73" s="167" t="s">
        <v>69</v>
      </c>
      <c r="CV73" s="167" t="s">
        <v>69</v>
      </c>
      <c r="CW73" s="167" t="s">
        <v>69</v>
      </c>
      <c r="CX73" s="167" t="s">
        <v>69</v>
      </c>
      <c r="CY73" s="167" t="s">
        <v>69</v>
      </c>
      <c r="CZ73" s="167" t="s">
        <v>69</v>
      </c>
      <c r="DA73" s="167" t="s">
        <v>69</v>
      </c>
      <c r="DB73" s="167" t="s">
        <v>69</v>
      </c>
      <c r="DC73" s="167" t="s">
        <v>69</v>
      </c>
      <c r="DD73" s="167" t="s">
        <v>69</v>
      </c>
      <c r="DE73" s="167" t="s">
        <v>69</v>
      </c>
      <c r="DF73" s="167" t="s">
        <v>69</v>
      </c>
      <c r="DG73" s="167" t="s">
        <v>69</v>
      </c>
      <c r="DH73" s="167" t="s">
        <v>69</v>
      </c>
      <c r="DI73" s="167" t="s">
        <v>69</v>
      </c>
      <c r="DJ73" s="167" t="s">
        <v>69</v>
      </c>
      <c r="DK73" s="167" t="s">
        <v>69</v>
      </c>
      <c r="DL73" s="167" t="s">
        <v>69</v>
      </c>
      <c r="DM73" s="167" t="s">
        <v>69</v>
      </c>
      <c r="DN73" s="167" t="s">
        <v>69</v>
      </c>
      <c r="DO73" s="167" t="s">
        <v>69</v>
      </c>
      <c r="DP73" s="167" t="s">
        <v>69</v>
      </c>
      <c r="DQ73" s="167" t="s">
        <v>69</v>
      </c>
      <c r="DR73" s="167" t="s">
        <v>69</v>
      </c>
      <c r="DS73" s="167" t="s">
        <v>69</v>
      </c>
      <c r="DT73" s="167" t="s">
        <v>69</v>
      </c>
      <c r="DU73" s="167">
        <v>2</v>
      </c>
      <c r="DV73" s="110">
        <f t="shared" si="0"/>
        <v>0.14516129032258066</v>
      </c>
      <c r="DW73" s="104">
        <f t="shared" si="1"/>
        <v>0.66666666666666663</v>
      </c>
    </row>
    <row r="74" spans="1:127" ht="42" hidden="1" customHeight="1" thickBot="1">
      <c r="A74" s="250" t="s">
        <v>101</v>
      </c>
      <c r="B74" s="242" t="s">
        <v>102</v>
      </c>
      <c r="C74" s="208">
        <v>44958</v>
      </c>
      <c r="D74" s="220" t="s">
        <v>434</v>
      </c>
      <c r="E74" s="256" t="s">
        <v>899</v>
      </c>
      <c r="F74" s="167">
        <v>3</v>
      </c>
      <c r="G74" s="167" t="s">
        <v>69</v>
      </c>
      <c r="H74" s="167" t="s">
        <v>69</v>
      </c>
      <c r="I74" s="167" t="s">
        <v>69</v>
      </c>
      <c r="J74" s="167" t="s">
        <v>69</v>
      </c>
      <c r="K74" s="167" t="s">
        <v>69</v>
      </c>
      <c r="L74" s="167" t="s">
        <v>69</v>
      </c>
      <c r="M74" s="167" t="s">
        <v>69</v>
      </c>
      <c r="N74" s="167" t="s">
        <v>69</v>
      </c>
      <c r="O74" s="167" t="s">
        <v>69</v>
      </c>
      <c r="P74" s="167" t="s">
        <v>69</v>
      </c>
      <c r="Q74" s="167" t="s">
        <v>69</v>
      </c>
      <c r="R74" s="167" t="s">
        <v>69</v>
      </c>
      <c r="S74" s="167" t="s">
        <v>69</v>
      </c>
      <c r="T74" s="167" t="s">
        <v>69</v>
      </c>
      <c r="U74" s="167" t="s">
        <v>69</v>
      </c>
      <c r="V74" s="167" t="s">
        <v>69</v>
      </c>
      <c r="W74" s="167" t="s">
        <v>69</v>
      </c>
      <c r="X74" s="167" t="s">
        <v>69</v>
      </c>
      <c r="Y74" s="167" t="s">
        <v>69</v>
      </c>
      <c r="Z74" s="167" t="s">
        <v>69</v>
      </c>
      <c r="AA74" s="167" t="s">
        <v>69</v>
      </c>
      <c r="AB74" s="167" t="s">
        <v>69</v>
      </c>
      <c r="AC74" s="167" t="s">
        <v>69</v>
      </c>
      <c r="AD74" s="167" t="s">
        <v>69</v>
      </c>
      <c r="AE74" s="167" t="s">
        <v>69</v>
      </c>
      <c r="AF74" s="167" t="s">
        <v>69</v>
      </c>
      <c r="AG74" s="167" t="s">
        <v>69</v>
      </c>
      <c r="AH74" s="167" t="s">
        <v>69</v>
      </c>
      <c r="AI74" s="167" t="s">
        <v>69</v>
      </c>
      <c r="AJ74" s="167" t="s">
        <v>69</v>
      </c>
      <c r="AK74" s="167" t="s">
        <v>69</v>
      </c>
      <c r="AL74" s="167" t="s">
        <v>69</v>
      </c>
      <c r="AM74" s="167" t="s">
        <v>69</v>
      </c>
      <c r="AN74" s="167" t="s">
        <v>69</v>
      </c>
      <c r="AO74" s="167" t="s">
        <v>69</v>
      </c>
      <c r="AP74" s="167" t="s">
        <v>69</v>
      </c>
      <c r="AQ74" s="167" t="s">
        <v>69</v>
      </c>
      <c r="AR74" s="167" t="s">
        <v>69</v>
      </c>
      <c r="AS74" s="167" t="s">
        <v>69</v>
      </c>
      <c r="AT74" s="167" t="s">
        <v>69</v>
      </c>
      <c r="AU74" s="167" t="s">
        <v>69</v>
      </c>
      <c r="AV74" s="167" t="s">
        <v>69</v>
      </c>
      <c r="AW74" s="167" t="s">
        <v>69</v>
      </c>
      <c r="AX74" s="167" t="s">
        <v>69</v>
      </c>
      <c r="AY74" s="167" t="s">
        <v>69</v>
      </c>
      <c r="AZ74" s="167" t="s">
        <v>69</v>
      </c>
      <c r="BA74" s="167" t="s">
        <v>69</v>
      </c>
      <c r="BB74" s="167" t="s">
        <v>69</v>
      </c>
      <c r="BC74" s="167" t="s">
        <v>69</v>
      </c>
      <c r="BD74" s="167" t="s">
        <v>69</v>
      </c>
      <c r="BE74" s="167">
        <v>4</v>
      </c>
      <c r="BF74" s="167" t="s">
        <v>69</v>
      </c>
      <c r="BG74" s="167" t="s">
        <v>69</v>
      </c>
      <c r="BH74" s="167" t="s">
        <v>69</v>
      </c>
      <c r="BI74" s="167" t="s">
        <v>69</v>
      </c>
      <c r="BJ74" s="167" t="s">
        <v>69</v>
      </c>
      <c r="BK74" s="167" t="s">
        <v>69</v>
      </c>
      <c r="BL74" s="167" t="s">
        <v>69</v>
      </c>
      <c r="BM74" s="167" t="s">
        <v>69</v>
      </c>
      <c r="BN74" s="167" t="s">
        <v>69</v>
      </c>
      <c r="BO74" s="167" t="s">
        <v>69</v>
      </c>
      <c r="BP74" s="167" t="s">
        <v>69</v>
      </c>
      <c r="BQ74" s="167" t="s">
        <v>69</v>
      </c>
      <c r="BR74" s="167" t="s">
        <v>69</v>
      </c>
      <c r="BS74" s="167" t="s">
        <v>69</v>
      </c>
      <c r="BT74" s="167" t="s">
        <v>69</v>
      </c>
      <c r="BU74" s="167" t="s">
        <v>69</v>
      </c>
      <c r="BV74" s="167" t="s">
        <v>69</v>
      </c>
      <c r="BW74" s="167" t="s">
        <v>69</v>
      </c>
      <c r="BX74" s="167" t="s">
        <v>69</v>
      </c>
      <c r="BY74" s="167" t="s">
        <v>69</v>
      </c>
      <c r="BZ74" s="167" t="s">
        <v>69</v>
      </c>
      <c r="CA74" s="167" t="s">
        <v>69</v>
      </c>
      <c r="CB74" s="167" t="s">
        <v>69</v>
      </c>
      <c r="CC74" s="167" t="s">
        <v>69</v>
      </c>
      <c r="CD74" s="167" t="s">
        <v>69</v>
      </c>
      <c r="CE74" s="167" t="s">
        <v>69</v>
      </c>
      <c r="CF74" s="167" t="s">
        <v>69</v>
      </c>
      <c r="CG74" s="167" t="s">
        <v>69</v>
      </c>
      <c r="CH74" s="167" t="s">
        <v>69</v>
      </c>
      <c r="CI74" s="167" t="s">
        <v>69</v>
      </c>
      <c r="CJ74" s="167" t="s">
        <v>69</v>
      </c>
      <c r="CK74" s="167" t="s">
        <v>69</v>
      </c>
      <c r="CL74" s="167" t="s">
        <v>69</v>
      </c>
      <c r="CM74" s="167" t="s">
        <v>69</v>
      </c>
      <c r="CN74" s="167" t="s">
        <v>69</v>
      </c>
      <c r="CO74" s="167" t="s">
        <v>69</v>
      </c>
      <c r="CP74" s="167" t="s">
        <v>69</v>
      </c>
      <c r="CQ74" s="167" t="s">
        <v>69</v>
      </c>
      <c r="CR74" s="167" t="s">
        <v>69</v>
      </c>
      <c r="CS74" s="167" t="s">
        <v>69</v>
      </c>
      <c r="CT74" s="167" t="s">
        <v>69</v>
      </c>
      <c r="CU74" s="167" t="s">
        <v>69</v>
      </c>
      <c r="CV74" s="167" t="s">
        <v>69</v>
      </c>
      <c r="CW74" s="167" t="s">
        <v>69</v>
      </c>
      <c r="CX74" s="167" t="s">
        <v>69</v>
      </c>
      <c r="CY74" s="167" t="s">
        <v>69</v>
      </c>
      <c r="CZ74" s="167" t="s">
        <v>69</v>
      </c>
      <c r="DA74" s="167" t="s">
        <v>69</v>
      </c>
      <c r="DB74" s="167" t="s">
        <v>69</v>
      </c>
      <c r="DC74" s="167" t="s">
        <v>69</v>
      </c>
      <c r="DD74" s="167" t="s">
        <v>69</v>
      </c>
      <c r="DE74" s="167" t="s">
        <v>69</v>
      </c>
      <c r="DF74" s="167" t="s">
        <v>69</v>
      </c>
      <c r="DG74" s="167" t="s">
        <v>69</v>
      </c>
      <c r="DH74" s="167" t="s">
        <v>69</v>
      </c>
      <c r="DI74" s="167" t="s">
        <v>69</v>
      </c>
      <c r="DJ74" s="167" t="s">
        <v>69</v>
      </c>
      <c r="DK74" s="167" t="s">
        <v>69</v>
      </c>
      <c r="DL74" s="167" t="s">
        <v>69</v>
      </c>
      <c r="DM74" s="167" t="s">
        <v>69</v>
      </c>
      <c r="DN74" s="167" t="s">
        <v>69</v>
      </c>
      <c r="DO74" s="167" t="s">
        <v>69</v>
      </c>
      <c r="DP74" s="167" t="s">
        <v>69</v>
      </c>
      <c r="DQ74" s="167" t="s">
        <v>69</v>
      </c>
      <c r="DR74" s="167" t="s">
        <v>69</v>
      </c>
      <c r="DS74" s="167">
        <v>3</v>
      </c>
      <c r="DT74" s="167" t="s">
        <v>69</v>
      </c>
      <c r="DU74" s="167">
        <v>3</v>
      </c>
      <c r="DV74" s="110">
        <f t="shared" si="0"/>
        <v>6.4516129032258063E-2</v>
      </c>
      <c r="DW74" s="104">
        <f t="shared" si="1"/>
        <v>1</v>
      </c>
    </row>
    <row r="75" spans="1:127" ht="42" hidden="1" customHeight="1" thickBot="1">
      <c r="A75" s="250" t="s">
        <v>701</v>
      </c>
      <c r="B75" s="242" t="s">
        <v>702</v>
      </c>
      <c r="C75" s="208">
        <v>45691</v>
      </c>
      <c r="D75" s="220" t="s">
        <v>434</v>
      </c>
      <c r="E75" s="256" t="s">
        <v>899</v>
      </c>
      <c r="F75" s="167" t="s">
        <v>69</v>
      </c>
      <c r="G75" s="167" t="s">
        <v>69</v>
      </c>
      <c r="H75" s="167" t="s">
        <v>69</v>
      </c>
      <c r="I75" s="167" t="s">
        <v>69</v>
      </c>
      <c r="J75" s="167" t="s">
        <v>69</v>
      </c>
      <c r="K75" s="167" t="s">
        <v>69</v>
      </c>
      <c r="L75" s="167" t="s">
        <v>69</v>
      </c>
      <c r="M75" s="167" t="s">
        <v>69</v>
      </c>
      <c r="N75" s="167" t="s">
        <v>69</v>
      </c>
      <c r="O75" s="167" t="s">
        <v>69</v>
      </c>
      <c r="P75" s="167" t="s">
        <v>69</v>
      </c>
      <c r="Q75" s="167" t="s">
        <v>69</v>
      </c>
      <c r="R75" s="167" t="s">
        <v>69</v>
      </c>
      <c r="S75" s="167" t="s">
        <v>69</v>
      </c>
      <c r="T75" s="167" t="s">
        <v>69</v>
      </c>
      <c r="U75" s="167" t="s">
        <v>69</v>
      </c>
      <c r="V75" s="167" t="s">
        <v>69</v>
      </c>
      <c r="W75" s="167" t="s">
        <v>69</v>
      </c>
      <c r="X75" s="167" t="s">
        <v>69</v>
      </c>
      <c r="Y75" s="167" t="s">
        <v>69</v>
      </c>
      <c r="Z75" s="167" t="s">
        <v>69</v>
      </c>
      <c r="AA75" s="167" t="s">
        <v>69</v>
      </c>
      <c r="AB75" s="167" t="s">
        <v>69</v>
      </c>
      <c r="AC75" s="167" t="s">
        <v>69</v>
      </c>
      <c r="AD75" s="167" t="s">
        <v>69</v>
      </c>
      <c r="AE75" s="167" t="s">
        <v>69</v>
      </c>
      <c r="AF75" s="167" t="s">
        <v>69</v>
      </c>
      <c r="AG75" s="167" t="s">
        <v>69</v>
      </c>
      <c r="AH75" s="167" t="s">
        <v>69</v>
      </c>
      <c r="AI75" s="167" t="s">
        <v>69</v>
      </c>
      <c r="AJ75" s="167" t="s">
        <v>69</v>
      </c>
      <c r="AK75" s="167" t="s">
        <v>69</v>
      </c>
      <c r="AL75" s="167" t="s">
        <v>69</v>
      </c>
      <c r="AM75" s="167" t="s">
        <v>69</v>
      </c>
      <c r="AN75" s="167" t="s">
        <v>69</v>
      </c>
      <c r="AO75" s="167" t="s">
        <v>69</v>
      </c>
      <c r="AP75" s="167" t="s">
        <v>69</v>
      </c>
      <c r="AQ75" s="167" t="s">
        <v>69</v>
      </c>
      <c r="AR75" s="167" t="s">
        <v>69</v>
      </c>
      <c r="AS75" s="167" t="s">
        <v>69</v>
      </c>
      <c r="AT75" s="167" t="s">
        <v>69</v>
      </c>
      <c r="AU75" s="167" t="s">
        <v>69</v>
      </c>
      <c r="AV75" s="167" t="s">
        <v>69</v>
      </c>
      <c r="AW75" s="167" t="s">
        <v>69</v>
      </c>
      <c r="AX75" s="167" t="s">
        <v>69</v>
      </c>
      <c r="AY75" s="167" t="s">
        <v>69</v>
      </c>
      <c r="AZ75" s="167" t="s">
        <v>69</v>
      </c>
      <c r="BA75" s="167" t="s">
        <v>69</v>
      </c>
      <c r="BB75" s="167" t="s">
        <v>69</v>
      </c>
      <c r="BC75" s="167" t="s">
        <v>69</v>
      </c>
      <c r="BD75" s="167" t="s">
        <v>69</v>
      </c>
      <c r="BE75" s="167" t="s">
        <v>69</v>
      </c>
      <c r="BF75" s="167" t="s">
        <v>69</v>
      </c>
      <c r="BG75" s="167" t="s">
        <v>69</v>
      </c>
      <c r="BH75" s="167" t="s">
        <v>69</v>
      </c>
      <c r="BI75" s="167" t="s">
        <v>69</v>
      </c>
      <c r="BJ75" s="167" t="s">
        <v>69</v>
      </c>
      <c r="BK75" s="167" t="s">
        <v>69</v>
      </c>
      <c r="BL75" s="167" t="s">
        <v>69</v>
      </c>
      <c r="BM75" s="167" t="s">
        <v>69</v>
      </c>
      <c r="BN75" s="167" t="s">
        <v>69</v>
      </c>
      <c r="BO75" s="167" t="s">
        <v>69</v>
      </c>
      <c r="BP75" s="167" t="s">
        <v>69</v>
      </c>
      <c r="BQ75" s="167" t="s">
        <v>69</v>
      </c>
      <c r="BR75" s="167">
        <v>2</v>
      </c>
      <c r="BS75" s="167" t="s">
        <v>69</v>
      </c>
      <c r="BT75" s="167" t="s">
        <v>69</v>
      </c>
      <c r="BU75" s="167" t="s">
        <v>69</v>
      </c>
      <c r="BV75" s="167" t="s">
        <v>69</v>
      </c>
      <c r="BW75" s="167" t="s">
        <v>69</v>
      </c>
      <c r="BX75" s="167" t="s">
        <v>69</v>
      </c>
      <c r="BY75" s="167" t="s">
        <v>69</v>
      </c>
      <c r="BZ75" s="167" t="s">
        <v>69</v>
      </c>
      <c r="CA75" s="167" t="s">
        <v>69</v>
      </c>
      <c r="CB75" s="167" t="s">
        <v>69</v>
      </c>
      <c r="CC75" s="167" t="s">
        <v>69</v>
      </c>
      <c r="CD75" s="167" t="s">
        <v>69</v>
      </c>
      <c r="CE75" s="167" t="s">
        <v>69</v>
      </c>
      <c r="CF75" s="167" t="s">
        <v>69</v>
      </c>
      <c r="CG75" s="167" t="s">
        <v>69</v>
      </c>
      <c r="CH75" s="167" t="s">
        <v>69</v>
      </c>
      <c r="CI75" s="167" t="s">
        <v>69</v>
      </c>
      <c r="CJ75" s="167" t="s">
        <v>69</v>
      </c>
      <c r="CK75" s="167" t="s">
        <v>69</v>
      </c>
      <c r="CL75" s="167" t="s">
        <v>69</v>
      </c>
      <c r="CM75" s="167" t="s">
        <v>69</v>
      </c>
      <c r="CN75" s="167" t="s">
        <v>69</v>
      </c>
      <c r="CO75" s="167">
        <v>4</v>
      </c>
      <c r="CP75" s="167">
        <v>4</v>
      </c>
      <c r="CQ75" s="167">
        <v>4</v>
      </c>
      <c r="CR75" s="167" t="s">
        <v>69</v>
      </c>
      <c r="CS75" s="167" t="s">
        <v>69</v>
      </c>
      <c r="CT75" s="167" t="s">
        <v>69</v>
      </c>
      <c r="CU75" s="167" t="s">
        <v>69</v>
      </c>
      <c r="CV75" s="167" t="s">
        <v>69</v>
      </c>
      <c r="CW75" s="167" t="s">
        <v>69</v>
      </c>
      <c r="CX75" s="167" t="s">
        <v>69</v>
      </c>
      <c r="CY75" s="167" t="s">
        <v>69</v>
      </c>
      <c r="CZ75" s="167" t="s">
        <v>69</v>
      </c>
      <c r="DA75" s="167" t="s">
        <v>69</v>
      </c>
      <c r="DB75" s="167" t="s">
        <v>69</v>
      </c>
      <c r="DC75" s="167" t="s">
        <v>69</v>
      </c>
      <c r="DD75" s="167" t="s">
        <v>69</v>
      </c>
      <c r="DE75" s="167" t="s">
        <v>69</v>
      </c>
      <c r="DF75" s="167">
        <v>3</v>
      </c>
      <c r="DG75" s="167" t="s">
        <v>69</v>
      </c>
      <c r="DH75" s="167" t="s">
        <v>69</v>
      </c>
      <c r="DI75" s="167" t="s">
        <v>69</v>
      </c>
      <c r="DJ75" s="167" t="s">
        <v>69</v>
      </c>
      <c r="DK75" s="167" t="s">
        <v>69</v>
      </c>
      <c r="DL75" s="167" t="s">
        <v>69</v>
      </c>
      <c r="DM75" s="167" t="s">
        <v>69</v>
      </c>
      <c r="DN75" s="167" t="s">
        <v>69</v>
      </c>
      <c r="DO75" s="167" t="s">
        <v>69</v>
      </c>
      <c r="DP75" s="167" t="s">
        <v>69</v>
      </c>
      <c r="DQ75" s="167" t="s">
        <v>69</v>
      </c>
      <c r="DR75" s="167" t="s">
        <v>69</v>
      </c>
      <c r="DS75" s="167" t="s">
        <v>69</v>
      </c>
      <c r="DT75" s="167" t="s">
        <v>69</v>
      </c>
      <c r="DU75" s="167" t="s">
        <v>69</v>
      </c>
      <c r="DV75" s="110">
        <f t="shared" si="0"/>
        <v>8.0645161290322578E-2</v>
      </c>
      <c r="DW75" s="104">
        <f t="shared" si="1"/>
        <v>0.8</v>
      </c>
    </row>
    <row r="76" spans="1:127" ht="42" hidden="1" customHeight="1" thickBot="1">
      <c r="A76" s="250" t="s">
        <v>703</v>
      </c>
      <c r="B76" s="242" t="s">
        <v>704</v>
      </c>
      <c r="C76" s="208">
        <v>45691</v>
      </c>
      <c r="D76" s="220" t="s">
        <v>434</v>
      </c>
      <c r="E76" s="256" t="s">
        <v>899</v>
      </c>
      <c r="F76" s="167">
        <v>3</v>
      </c>
      <c r="G76" s="167" t="s">
        <v>69</v>
      </c>
      <c r="H76" s="167" t="s">
        <v>69</v>
      </c>
      <c r="I76" s="167" t="s">
        <v>69</v>
      </c>
      <c r="J76" s="167" t="s">
        <v>69</v>
      </c>
      <c r="K76" s="167" t="s">
        <v>69</v>
      </c>
      <c r="L76" s="167" t="s">
        <v>69</v>
      </c>
      <c r="M76" s="167" t="s">
        <v>69</v>
      </c>
      <c r="N76" s="167" t="s">
        <v>69</v>
      </c>
      <c r="O76" s="167" t="s">
        <v>69</v>
      </c>
      <c r="P76" s="167" t="s">
        <v>69</v>
      </c>
      <c r="Q76" s="167" t="s">
        <v>69</v>
      </c>
      <c r="R76" s="167" t="s">
        <v>69</v>
      </c>
      <c r="S76" s="167" t="s">
        <v>69</v>
      </c>
      <c r="T76" s="167" t="s">
        <v>69</v>
      </c>
      <c r="U76" s="167" t="s">
        <v>69</v>
      </c>
      <c r="V76" s="167" t="s">
        <v>69</v>
      </c>
      <c r="W76" s="167" t="s">
        <v>69</v>
      </c>
      <c r="X76" s="167" t="s">
        <v>69</v>
      </c>
      <c r="Y76" s="167">
        <v>2</v>
      </c>
      <c r="Z76" s="167" t="s">
        <v>69</v>
      </c>
      <c r="AA76" s="167" t="s">
        <v>69</v>
      </c>
      <c r="AB76" s="167" t="s">
        <v>69</v>
      </c>
      <c r="AC76" s="167" t="s">
        <v>69</v>
      </c>
      <c r="AD76" s="167" t="s">
        <v>69</v>
      </c>
      <c r="AE76" s="167" t="s">
        <v>69</v>
      </c>
      <c r="AF76" s="167" t="s">
        <v>69</v>
      </c>
      <c r="AG76" s="167" t="s">
        <v>69</v>
      </c>
      <c r="AH76" s="167" t="s">
        <v>69</v>
      </c>
      <c r="AI76" s="167" t="s">
        <v>69</v>
      </c>
      <c r="AJ76" s="167" t="s">
        <v>69</v>
      </c>
      <c r="AK76" s="167" t="s">
        <v>69</v>
      </c>
      <c r="AL76" s="167" t="s">
        <v>69</v>
      </c>
      <c r="AM76" s="167" t="s">
        <v>69</v>
      </c>
      <c r="AN76" s="167" t="s">
        <v>69</v>
      </c>
      <c r="AO76" s="167" t="s">
        <v>69</v>
      </c>
      <c r="AP76" s="167" t="s">
        <v>69</v>
      </c>
      <c r="AQ76" s="167" t="s">
        <v>69</v>
      </c>
      <c r="AR76" s="167">
        <v>2</v>
      </c>
      <c r="AS76" s="167" t="s">
        <v>69</v>
      </c>
      <c r="AT76" s="167" t="s">
        <v>69</v>
      </c>
      <c r="AU76" s="167" t="s">
        <v>69</v>
      </c>
      <c r="AV76" s="167" t="s">
        <v>69</v>
      </c>
      <c r="AW76" s="167" t="s">
        <v>69</v>
      </c>
      <c r="AX76" s="167">
        <v>3</v>
      </c>
      <c r="AY76" s="167" t="s">
        <v>69</v>
      </c>
      <c r="AZ76" s="167" t="s">
        <v>69</v>
      </c>
      <c r="BA76" s="167" t="s">
        <v>69</v>
      </c>
      <c r="BB76" s="167" t="s">
        <v>69</v>
      </c>
      <c r="BC76" s="167" t="s">
        <v>69</v>
      </c>
      <c r="BD76" s="167" t="s">
        <v>69</v>
      </c>
      <c r="BE76" s="167" t="s">
        <v>69</v>
      </c>
      <c r="BF76" s="167" t="s">
        <v>69</v>
      </c>
      <c r="BG76" s="167" t="s">
        <v>69</v>
      </c>
      <c r="BH76" s="167" t="s">
        <v>69</v>
      </c>
      <c r="BI76" s="167" t="s">
        <v>69</v>
      </c>
      <c r="BJ76" s="167" t="s">
        <v>69</v>
      </c>
      <c r="BK76" s="167" t="s">
        <v>69</v>
      </c>
      <c r="BL76" s="167" t="s">
        <v>69</v>
      </c>
      <c r="BM76" s="167" t="s">
        <v>69</v>
      </c>
      <c r="BN76" s="167" t="s">
        <v>69</v>
      </c>
      <c r="BO76" s="167" t="s">
        <v>69</v>
      </c>
      <c r="BP76" s="167" t="s">
        <v>69</v>
      </c>
      <c r="BQ76" s="167" t="s">
        <v>69</v>
      </c>
      <c r="BR76" s="167">
        <v>3</v>
      </c>
      <c r="BS76" s="167" t="s">
        <v>69</v>
      </c>
      <c r="BT76" s="167" t="s">
        <v>69</v>
      </c>
      <c r="BU76" s="167" t="s">
        <v>69</v>
      </c>
      <c r="BV76" s="167" t="s">
        <v>69</v>
      </c>
      <c r="BW76" s="167" t="s">
        <v>69</v>
      </c>
      <c r="BX76" s="167" t="s">
        <v>69</v>
      </c>
      <c r="BY76" s="167" t="s">
        <v>69</v>
      </c>
      <c r="BZ76" s="167" t="s">
        <v>69</v>
      </c>
      <c r="CA76" s="167" t="s">
        <v>69</v>
      </c>
      <c r="CB76" s="167" t="s">
        <v>69</v>
      </c>
      <c r="CC76" s="167" t="s">
        <v>69</v>
      </c>
      <c r="CD76" s="167" t="s">
        <v>69</v>
      </c>
      <c r="CE76" s="167" t="s">
        <v>69</v>
      </c>
      <c r="CF76" s="167" t="s">
        <v>69</v>
      </c>
      <c r="CG76" s="167">
        <v>3</v>
      </c>
      <c r="CH76" s="167" t="s">
        <v>69</v>
      </c>
      <c r="CI76" s="167" t="s">
        <v>69</v>
      </c>
      <c r="CJ76" s="167" t="s">
        <v>69</v>
      </c>
      <c r="CK76" s="167">
        <v>4</v>
      </c>
      <c r="CL76" s="167">
        <v>3</v>
      </c>
      <c r="CM76" s="167" t="s">
        <v>69</v>
      </c>
      <c r="CN76" s="167" t="s">
        <v>69</v>
      </c>
      <c r="CO76" s="167" t="s">
        <v>69</v>
      </c>
      <c r="CP76" s="167">
        <v>3</v>
      </c>
      <c r="CQ76" s="167" t="s">
        <v>69</v>
      </c>
      <c r="CR76" s="167" t="s">
        <v>69</v>
      </c>
      <c r="CS76" s="167" t="s">
        <v>69</v>
      </c>
      <c r="CT76" s="167" t="s">
        <v>69</v>
      </c>
      <c r="CU76" s="167" t="s">
        <v>69</v>
      </c>
      <c r="CV76" s="167" t="s">
        <v>69</v>
      </c>
      <c r="CW76" s="167" t="s">
        <v>69</v>
      </c>
      <c r="CX76" s="167" t="s">
        <v>69</v>
      </c>
      <c r="CY76" s="167" t="s">
        <v>69</v>
      </c>
      <c r="CZ76" s="167" t="s">
        <v>69</v>
      </c>
      <c r="DA76" s="167">
        <v>3</v>
      </c>
      <c r="DB76" s="167" t="s">
        <v>69</v>
      </c>
      <c r="DC76" s="167" t="s">
        <v>69</v>
      </c>
      <c r="DD76" s="167" t="s">
        <v>69</v>
      </c>
      <c r="DE76" s="167" t="s">
        <v>69</v>
      </c>
      <c r="DF76" s="167" t="s">
        <v>69</v>
      </c>
      <c r="DG76" s="167" t="s">
        <v>69</v>
      </c>
      <c r="DH76" s="167" t="s">
        <v>69</v>
      </c>
      <c r="DI76" s="167" t="s">
        <v>69</v>
      </c>
      <c r="DJ76" s="167" t="s">
        <v>69</v>
      </c>
      <c r="DK76" s="167" t="s">
        <v>69</v>
      </c>
      <c r="DL76" s="167" t="s">
        <v>69</v>
      </c>
      <c r="DM76" s="167" t="s">
        <v>69</v>
      </c>
      <c r="DN76" s="167" t="s">
        <v>69</v>
      </c>
      <c r="DO76" s="167" t="s">
        <v>69</v>
      </c>
      <c r="DP76" s="167" t="s">
        <v>69</v>
      </c>
      <c r="DQ76" s="167" t="s">
        <v>69</v>
      </c>
      <c r="DR76" s="167" t="s">
        <v>69</v>
      </c>
      <c r="DS76" s="167" t="s">
        <v>69</v>
      </c>
      <c r="DT76" s="167" t="s">
        <v>69</v>
      </c>
      <c r="DU76" s="167" t="s">
        <v>69</v>
      </c>
      <c r="DV76" s="110">
        <f t="shared" si="0"/>
        <v>0.16129032258064516</v>
      </c>
      <c r="DW76" s="104">
        <f t="shared" si="1"/>
        <v>0.8</v>
      </c>
    </row>
    <row r="77" spans="1:127" ht="42" hidden="1" customHeight="1" thickBot="1">
      <c r="A77" s="250" t="s">
        <v>705</v>
      </c>
      <c r="B77" s="242" t="s">
        <v>706</v>
      </c>
      <c r="C77" s="208">
        <v>45691</v>
      </c>
      <c r="D77" s="220" t="s">
        <v>434</v>
      </c>
      <c r="E77" s="256" t="s">
        <v>899</v>
      </c>
      <c r="F77" s="167">
        <v>3</v>
      </c>
      <c r="G77" s="167" t="s">
        <v>69</v>
      </c>
      <c r="H77" s="167" t="s">
        <v>69</v>
      </c>
      <c r="I77" s="167">
        <v>3</v>
      </c>
      <c r="J77" s="167" t="s">
        <v>69</v>
      </c>
      <c r="K77" s="167" t="s">
        <v>69</v>
      </c>
      <c r="L77" s="167" t="s">
        <v>69</v>
      </c>
      <c r="M77" s="167" t="s">
        <v>69</v>
      </c>
      <c r="N77" s="167" t="s">
        <v>69</v>
      </c>
      <c r="O77" s="167" t="s">
        <v>69</v>
      </c>
      <c r="P77" s="167" t="s">
        <v>69</v>
      </c>
      <c r="Q77" s="167" t="s">
        <v>69</v>
      </c>
      <c r="R77" s="167" t="s">
        <v>69</v>
      </c>
      <c r="S77" s="167" t="s">
        <v>69</v>
      </c>
      <c r="T77" s="167" t="s">
        <v>69</v>
      </c>
      <c r="U77" s="167" t="s">
        <v>69</v>
      </c>
      <c r="V77" s="167" t="s">
        <v>69</v>
      </c>
      <c r="W77" s="167" t="s">
        <v>69</v>
      </c>
      <c r="X77" s="167" t="s">
        <v>69</v>
      </c>
      <c r="Y77" s="167" t="s">
        <v>69</v>
      </c>
      <c r="Z77" s="167" t="s">
        <v>69</v>
      </c>
      <c r="AA77" s="167" t="s">
        <v>69</v>
      </c>
      <c r="AB77" s="167" t="s">
        <v>69</v>
      </c>
      <c r="AC77" s="167" t="s">
        <v>69</v>
      </c>
      <c r="AD77" s="167" t="s">
        <v>69</v>
      </c>
      <c r="AE77" s="167" t="s">
        <v>69</v>
      </c>
      <c r="AF77" s="167" t="s">
        <v>69</v>
      </c>
      <c r="AG77" s="167" t="s">
        <v>69</v>
      </c>
      <c r="AH77" s="167" t="s">
        <v>69</v>
      </c>
      <c r="AI77" s="167" t="s">
        <v>69</v>
      </c>
      <c r="AJ77" s="167" t="s">
        <v>69</v>
      </c>
      <c r="AK77" s="167" t="s">
        <v>69</v>
      </c>
      <c r="AL77" s="167" t="s">
        <v>69</v>
      </c>
      <c r="AM77" s="167" t="s">
        <v>69</v>
      </c>
      <c r="AN77" s="167" t="s">
        <v>69</v>
      </c>
      <c r="AO77" s="167" t="s">
        <v>69</v>
      </c>
      <c r="AP77" s="167" t="s">
        <v>69</v>
      </c>
      <c r="AQ77" s="167" t="s">
        <v>69</v>
      </c>
      <c r="AR77" s="167" t="s">
        <v>69</v>
      </c>
      <c r="AS77" s="167" t="s">
        <v>69</v>
      </c>
      <c r="AT77" s="167" t="s">
        <v>69</v>
      </c>
      <c r="AU77" s="167" t="s">
        <v>69</v>
      </c>
      <c r="AV77" s="167" t="s">
        <v>69</v>
      </c>
      <c r="AW77" s="167" t="s">
        <v>69</v>
      </c>
      <c r="AX77" s="167" t="s">
        <v>69</v>
      </c>
      <c r="AY77" s="167" t="s">
        <v>69</v>
      </c>
      <c r="AZ77" s="167" t="s">
        <v>69</v>
      </c>
      <c r="BA77" s="167" t="s">
        <v>69</v>
      </c>
      <c r="BB77" s="167" t="s">
        <v>69</v>
      </c>
      <c r="BC77" s="167" t="s">
        <v>69</v>
      </c>
      <c r="BD77" s="167" t="s">
        <v>69</v>
      </c>
      <c r="BE77" s="167" t="s">
        <v>69</v>
      </c>
      <c r="BF77" s="167" t="s">
        <v>69</v>
      </c>
      <c r="BG77" s="167" t="s">
        <v>69</v>
      </c>
      <c r="BH77" s="167" t="s">
        <v>69</v>
      </c>
      <c r="BI77" s="167" t="s">
        <v>69</v>
      </c>
      <c r="BJ77" s="167">
        <v>4</v>
      </c>
      <c r="BK77" s="167" t="s">
        <v>69</v>
      </c>
      <c r="BL77" s="167" t="s">
        <v>69</v>
      </c>
      <c r="BM77" s="167" t="s">
        <v>69</v>
      </c>
      <c r="BN77" s="167" t="s">
        <v>69</v>
      </c>
      <c r="BO77" s="167" t="s">
        <v>69</v>
      </c>
      <c r="BP77" s="167" t="s">
        <v>69</v>
      </c>
      <c r="BQ77" s="167" t="s">
        <v>69</v>
      </c>
      <c r="BR77" s="167" t="s">
        <v>69</v>
      </c>
      <c r="BS77" s="167" t="s">
        <v>69</v>
      </c>
      <c r="BT77" s="167" t="s">
        <v>69</v>
      </c>
      <c r="BU77" s="167" t="s">
        <v>69</v>
      </c>
      <c r="BV77" s="167" t="s">
        <v>69</v>
      </c>
      <c r="BW77" s="167" t="s">
        <v>69</v>
      </c>
      <c r="BX77" s="167" t="s">
        <v>69</v>
      </c>
      <c r="BY77" s="167" t="s">
        <v>69</v>
      </c>
      <c r="BZ77" s="167" t="s">
        <v>69</v>
      </c>
      <c r="CA77" s="167" t="s">
        <v>69</v>
      </c>
      <c r="CB77" s="167" t="s">
        <v>69</v>
      </c>
      <c r="CC77" s="167" t="s">
        <v>69</v>
      </c>
      <c r="CD77" s="167" t="s">
        <v>69</v>
      </c>
      <c r="CE77" s="167" t="s">
        <v>69</v>
      </c>
      <c r="CF77" s="167" t="s">
        <v>69</v>
      </c>
      <c r="CG77" s="167" t="s">
        <v>69</v>
      </c>
      <c r="CH77" s="167" t="s">
        <v>69</v>
      </c>
      <c r="CI77" s="167" t="s">
        <v>69</v>
      </c>
      <c r="CJ77" s="167" t="s">
        <v>69</v>
      </c>
      <c r="CK77" s="167" t="s">
        <v>69</v>
      </c>
      <c r="CL77" s="167" t="s">
        <v>69</v>
      </c>
      <c r="CM77" s="167">
        <v>3</v>
      </c>
      <c r="CN77" s="167">
        <v>2</v>
      </c>
      <c r="CO77" s="167">
        <v>2</v>
      </c>
      <c r="CP77" s="167">
        <v>2</v>
      </c>
      <c r="CQ77" s="167" t="s">
        <v>69</v>
      </c>
      <c r="CR77" s="167" t="s">
        <v>69</v>
      </c>
      <c r="CS77" s="167" t="s">
        <v>69</v>
      </c>
      <c r="CT77" s="167" t="s">
        <v>69</v>
      </c>
      <c r="CU77" s="167" t="s">
        <v>69</v>
      </c>
      <c r="CV77" s="167" t="s">
        <v>69</v>
      </c>
      <c r="CW77" s="167" t="s">
        <v>69</v>
      </c>
      <c r="CX77" s="167" t="s">
        <v>69</v>
      </c>
      <c r="CY77" s="167" t="s">
        <v>69</v>
      </c>
      <c r="CZ77" s="167" t="s">
        <v>69</v>
      </c>
      <c r="DA77" s="167" t="s">
        <v>69</v>
      </c>
      <c r="DB77" s="167" t="s">
        <v>69</v>
      </c>
      <c r="DC77" s="167" t="s">
        <v>69</v>
      </c>
      <c r="DD77" s="167" t="s">
        <v>69</v>
      </c>
      <c r="DE77" s="167" t="s">
        <v>69</v>
      </c>
      <c r="DF77" s="167" t="s">
        <v>69</v>
      </c>
      <c r="DG77" s="167" t="s">
        <v>69</v>
      </c>
      <c r="DH77" s="167" t="s">
        <v>69</v>
      </c>
      <c r="DI77" s="167" t="s">
        <v>69</v>
      </c>
      <c r="DJ77" s="167" t="s">
        <v>69</v>
      </c>
      <c r="DK77" s="167" t="s">
        <v>69</v>
      </c>
      <c r="DL77" s="167" t="s">
        <v>69</v>
      </c>
      <c r="DM77" s="167" t="s">
        <v>69</v>
      </c>
      <c r="DN77" s="167" t="s">
        <v>69</v>
      </c>
      <c r="DO77" s="167" t="s">
        <v>69</v>
      </c>
      <c r="DP77" s="167" t="s">
        <v>69</v>
      </c>
      <c r="DQ77" s="167" t="s">
        <v>69</v>
      </c>
      <c r="DR77" s="167" t="s">
        <v>69</v>
      </c>
      <c r="DS77" s="167" t="s">
        <v>69</v>
      </c>
      <c r="DT77" s="167" t="s">
        <v>69</v>
      </c>
      <c r="DU77" s="167" t="s">
        <v>69</v>
      </c>
      <c r="DV77" s="110">
        <f t="shared" si="0"/>
        <v>0.11290322580645161</v>
      </c>
      <c r="DW77" s="104">
        <f t="shared" si="1"/>
        <v>0.5714285714285714</v>
      </c>
    </row>
    <row r="78" spans="1:127" ht="42" hidden="1" customHeight="1" thickBot="1">
      <c r="A78" s="250" t="s">
        <v>707</v>
      </c>
      <c r="B78" s="242" t="s">
        <v>708</v>
      </c>
      <c r="C78" s="208">
        <v>45691</v>
      </c>
      <c r="D78" s="220" t="s">
        <v>434</v>
      </c>
      <c r="E78" s="256" t="s">
        <v>899</v>
      </c>
      <c r="F78" s="167" t="s">
        <v>69</v>
      </c>
      <c r="G78" s="167" t="s">
        <v>69</v>
      </c>
      <c r="H78" s="167" t="s">
        <v>69</v>
      </c>
      <c r="I78" s="167" t="s">
        <v>69</v>
      </c>
      <c r="J78" s="167" t="s">
        <v>69</v>
      </c>
      <c r="K78" s="167" t="s">
        <v>69</v>
      </c>
      <c r="L78" s="167" t="s">
        <v>69</v>
      </c>
      <c r="M78" s="167" t="s">
        <v>69</v>
      </c>
      <c r="N78" s="167" t="s">
        <v>69</v>
      </c>
      <c r="O78" s="167" t="s">
        <v>69</v>
      </c>
      <c r="P78" s="167" t="s">
        <v>69</v>
      </c>
      <c r="Q78" s="167">
        <v>2</v>
      </c>
      <c r="R78" s="167" t="s">
        <v>69</v>
      </c>
      <c r="S78" s="167" t="s">
        <v>69</v>
      </c>
      <c r="T78" s="167" t="s">
        <v>69</v>
      </c>
      <c r="U78" s="167" t="s">
        <v>69</v>
      </c>
      <c r="V78" s="167" t="s">
        <v>69</v>
      </c>
      <c r="W78" s="167" t="s">
        <v>69</v>
      </c>
      <c r="X78" s="167" t="s">
        <v>69</v>
      </c>
      <c r="Y78" s="167" t="s">
        <v>69</v>
      </c>
      <c r="Z78" s="167" t="s">
        <v>69</v>
      </c>
      <c r="AA78" s="167" t="s">
        <v>69</v>
      </c>
      <c r="AB78" s="167" t="s">
        <v>69</v>
      </c>
      <c r="AC78" s="167" t="s">
        <v>69</v>
      </c>
      <c r="AD78" s="167" t="s">
        <v>69</v>
      </c>
      <c r="AE78" s="167" t="s">
        <v>69</v>
      </c>
      <c r="AF78" s="167">
        <v>4</v>
      </c>
      <c r="AG78" s="167">
        <v>3</v>
      </c>
      <c r="AH78" s="167">
        <v>2</v>
      </c>
      <c r="AI78" s="167" t="s">
        <v>69</v>
      </c>
      <c r="AJ78" s="167" t="s">
        <v>69</v>
      </c>
      <c r="AK78" s="167" t="s">
        <v>69</v>
      </c>
      <c r="AL78" s="167" t="s">
        <v>69</v>
      </c>
      <c r="AM78" s="167" t="s">
        <v>69</v>
      </c>
      <c r="AN78" s="167" t="s">
        <v>69</v>
      </c>
      <c r="AO78" s="167" t="s">
        <v>69</v>
      </c>
      <c r="AP78" s="167" t="s">
        <v>69</v>
      </c>
      <c r="AQ78" s="167" t="s">
        <v>69</v>
      </c>
      <c r="AR78" s="167" t="s">
        <v>69</v>
      </c>
      <c r="AS78" s="167" t="s">
        <v>69</v>
      </c>
      <c r="AT78" s="167" t="s">
        <v>69</v>
      </c>
      <c r="AU78" s="167" t="s">
        <v>69</v>
      </c>
      <c r="AV78" s="167" t="s">
        <v>69</v>
      </c>
      <c r="AW78" s="167" t="s">
        <v>69</v>
      </c>
      <c r="AX78" s="167" t="s">
        <v>69</v>
      </c>
      <c r="AY78" s="167" t="s">
        <v>69</v>
      </c>
      <c r="AZ78" s="167" t="s">
        <v>69</v>
      </c>
      <c r="BA78" s="167" t="s">
        <v>69</v>
      </c>
      <c r="BB78" s="167" t="s">
        <v>69</v>
      </c>
      <c r="BC78" s="167" t="s">
        <v>69</v>
      </c>
      <c r="BD78" s="167" t="s">
        <v>69</v>
      </c>
      <c r="BE78" s="167" t="s">
        <v>69</v>
      </c>
      <c r="BF78" s="167" t="s">
        <v>69</v>
      </c>
      <c r="BG78" s="167" t="s">
        <v>69</v>
      </c>
      <c r="BH78" s="167" t="s">
        <v>69</v>
      </c>
      <c r="BI78" s="167" t="s">
        <v>69</v>
      </c>
      <c r="BJ78" s="167" t="s">
        <v>69</v>
      </c>
      <c r="BK78" s="167" t="s">
        <v>69</v>
      </c>
      <c r="BL78" s="167" t="s">
        <v>69</v>
      </c>
      <c r="BM78" s="167" t="s">
        <v>69</v>
      </c>
      <c r="BN78" s="167" t="s">
        <v>69</v>
      </c>
      <c r="BO78" s="167" t="s">
        <v>69</v>
      </c>
      <c r="BP78" s="167" t="s">
        <v>69</v>
      </c>
      <c r="BQ78" s="167">
        <v>3</v>
      </c>
      <c r="BR78" s="167" t="s">
        <v>69</v>
      </c>
      <c r="BS78" s="167" t="s">
        <v>69</v>
      </c>
      <c r="BT78" s="167" t="s">
        <v>69</v>
      </c>
      <c r="BU78" s="167">
        <v>3</v>
      </c>
      <c r="BV78" s="167">
        <v>3</v>
      </c>
      <c r="BW78" s="167" t="s">
        <v>69</v>
      </c>
      <c r="BX78" s="167" t="s">
        <v>69</v>
      </c>
      <c r="BY78" s="167" t="s">
        <v>69</v>
      </c>
      <c r="BZ78" s="167" t="s">
        <v>69</v>
      </c>
      <c r="CA78" s="167" t="s">
        <v>69</v>
      </c>
      <c r="CB78" s="167" t="s">
        <v>69</v>
      </c>
      <c r="CC78" s="167" t="s">
        <v>69</v>
      </c>
      <c r="CD78" s="167" t="s">
        <v>69</v>
      </c>
      <c r="CE78" s="167" t="s">
        <v>69</v>
      </c>
      <c r="CF78" s="167" t="s">
        <v>69</v>
      </c>
      <c r="CG78" s="167" t="s">
        <v>69</v>
      </c>
      <c r="CH78" s="167" t="s">
        <v>69</v>
      </c>
      <c r="CI78" s="167">
        <v>2</v>
      </c>
      <c r="CJ78" s="167">
        <v>2</v>
      </c>
      <c r="CK78" s="167" t="s">
        <v>69</v>
      </c>
      <c r="CL78" s="167" t="s">
        <v>69</v>
      </c>
      <c r="CM78" s="167" t="s">
        <v>69</v>
      </c>
      <c r="CN78" s="167">
        <v>2</v>
      </c>
      <c r="CO78" s="167">
        <v>3</v>
      </c>
      <c r="CP78" s="167">
        <v>3</v>
      </c>
      <c r="CQ78" s="167" t="s">
        <v>69</v>
      </c>
      <c r="CR78" s="167" t="s">
        <v>69</v>
      </c>
      <c r="CS78" s="167" t="s">
        <v>69</v>
      </c>
      <c r="CT78" s="167" t="s">
        <v>69</v>
      </c>
      <c r="CU78" s="167" t="s">
        <v>69</v>
      </c>
      <c r="CV78" s="167" t="s">
        <v>69</v>
      </c>
      <c r="CW78" s="167" t="s">
        <v>69</v>
      </c>
      <c r="CX78" s="167" t="s">
        <v>69</v>
      </c>
      <c r="CY78" s="167" t="s">
        <v>69</v>
      </c>
      <c r="CZ78" s="167" t="s">
        <v>69</v>
      </c>
      <c r="DA78" s="167" t="s">
        <v>69</v>
      </c>
      <c r="DB78" s="167" t="s">
        <v>69</v>
      </c>
      <c r="DC78" s="167" t="s">
        <v>69</v>
      </c>
      <c r="DD78" s="167" t="s">
        <v>69</v>
      </c>
      <c r="DE78" s="167" t="s">
        <v>69</v>
      </c>
      <c r="DF78" s="167">
        <v>1</v>
      </c>
      <c r="DG78" s="167" t="s">
        <v>69</v>
      </c>
      <c r="DH78" s="167" t="s">
        <v>69</v>
      </c>
      <c r="DI78" s="167" t="s">
        <v>69</v>
      </c>
      <c r="DJ78" s="167" t="s">
        <v>69</v>
      </c>
      <c r="DK78" s="167" t="s">
        <v>69</v>
      </c>
      <c r="DL78" s="167" t="s">
        <v>69</v>
      </c>
      <c r="DM78" s="167" t="s">
        <v>69</v>
      </c>
      <c r="DN78" s="167" t="s">
        <v>69</v>
      </c>
      <c r="DO78" s="167" t="s">
        <v>69</v>
      </c>
      <c r="DP78" s="167" t="s">
        <v>69</v>
      </c>
      <c r="DQ78" s="167" t="s">
        <v>69</v>
      </c>
      <c r="DR78" s="167" t="s">
        <v>69</v>
      </c>
      <c r="DS78" s="167" t="s">
        <v>69</v>
      </c>
      <c r="DT78" s="167" t="s">
        <v>69</v>
      </c>
      <c r="DU78" s="167" t="s">
        <v>69</v>
      </c>
      <c r="DV78" s="110">
        <f t="shared" si="0"/>
        <v>0.20967741935483872</v>
      </c>
      <c r="DW78" s="104">
        <f t="shared" si="1"/>
        <v>0.58333333333333337</v>
      </c>
    </row>
    <row r="79" spans="1:127" ht="42" hidden="1" customHeight="1" thickBot="1">
      <c r="A79" s="250" t="s">
        <v>711</v>
      </c>
      <c r="B79" s="242" t="s">
        <v>712</v>
      </c>
      <c r="C79" s="208">
        <v>45691</v>
      </c>
      <c r="D79" s="220" t="s">
        <v>434</v>
      </c>
      <c r="E79" s="256" t="s">
        <v>899</v>
      </c>
      <c r="F79" s="167">
        <v>3</v>
      </c>
      <c r="G79" s="167" t="s">
        <v>69</v>
      </c>
      <c r="H79" s="167">
        <v>3</v>
      </c>
      <c r="I79" s="167">
        <v>2</v>
      </c>
      <c r="J79" s="167" t="s">
        <v>69</v>
      </c>
      <c r="K79" s="167" t="s">
        <v>69</v>
      </c>
      <c r="L79" s="167" t="s">
        <v>69</v>
      </c>
      <c r="M79" s="167" t="s">
        <v>69</v>
      </c>
      <c r="N79" s="167" t="s">
        <v>69</v>
      </c>
      <c r="O79" s="167">
        <v>3</v>
      </c>
      <c r="P79" s="167" t="s">
        <v>69</v>
      </c>
      <c r="Q79" s="167" t="s">
        <v>69</v>
      </c>
      <c r="R79" s="167" t="s">
        <v>69</v>
      </c>
      <c r="S79" s="167" t="s">
        <v>69</v>
      </c>
      <c r="T79" s="167" t="s">
        <v>69</v>
      </c>
      <c r="U79" s="167" t="s">
        <v>69</v>
      </c>
      <c r="V79" s="167" t="s">
        <v>69</v>
      </c>
      <c r="W79" s="167" t="s">
        <v>69</v>
      </c>
      <c r="X79" s="167" t="s">
        <v>69</v>
      </c>
      <c r="Y79" s="167">
        <v>3</v>
      </c>
      <c r="Z79" s="167" t="s">
        <v>69</v>
      </c>
      <c r="AA79" s="167">
        <v>3</v>
      </c>
      <c r="AB79" s="167">
        <v>3</v>
      </c>
      <c r="AC79" s="167" t="s">
        <v>69</v>
      </c>
      <c r="AD79" s="167" t="s">
        <v>69</v>
      </c>
      <c r="AE79" s="167" t="s">
        <v>69</v>
      </c>
      <c r="AF79" s="167" t="s">
        <v>69</v>
      </c>
      <c r="AG79" s="167" t="s">
        <v>69</v>
      </c>
      <c r="AH79" s="167" t="s">
        <v>69</v>
      </c>
      <c r="AI79" s="167" t="s">
        <v>69</v>
      </c>
      <c r="AJ79" s="167" t="s">
        <v>69</v>
      </c>
      <c r="AK79" s="167" t="s">
        <v>69</v>
      </c>
      <c r="AL79" s="167" t="s">
        <v>69</v>
      </c>
      <c r="AM79" s="167" t="s">
        <v>69</v>
      </c>
      <c r="AN79" s="167" t="s">
        <v>69</v>
      </c>
      <c r="AO79" s="167" t="s">
        <v>69</v>
      </c>
      <c r="AP79" s="167" t="s">
        <v>69</v>
      </c>
      <c r="AQ79" s="167" t="s">
        <v>69</v>
      </c>
      <c r="AR79" s="167">
        <v>3</v>
      </c>
      <c r="AS79" s="167" t="s">
        <v>69</v>
      </c>
      <c r="AT79" s="167" t="s">
        <v>69</v>
      </c>
      <c r="AU79" s="167" t="s">
        <v>69</v>
      </c>
      <c r="AV79" s="167" t="s">
        <v>69</v>
      </c>
      <c r="AW79" s="167" t="s">
        <v>69</v>
      </c>
      <c r="AX79" s="167">
        <v>3</v>
      </c>
      <c r="AY79" s="167" t="s">
        <v>69</v>
      </c>
      <c r="AZ79" s="167" t="s">
        <v>69</v>
      </c>
      <c r="BA79" s="167" t="s">
        <v>69</v>
      </c>
      <c r="BB79" s="167" t="s">
        <v>69</v>
      </c>
      <c r="BC79" s="167" t="s">
        <v>69</v>
      </c>
      <c r="BD79" s="167">
        <v>3</v>
      </c>
      <c r="BE79" s="167">
        <v>3</v>
      </c>
      <c r="BF79" s="167" t="s">
        <v>69</v>
      </c>
      <c r="BG79" s="167" t="s">
        <v>69</v>
      </c>
      <c r="BH79" s="167" t="s">
        <v>69</v>
      </c>
      <c r="BI79" s="167" t="s">
        <v>69</v>
      </c>
      <c r="BJ79" s="167" t="s">
        <v>69</v>
      </c>
      <c r="BK79" s="167" t="s">
        <v>69</v>
      </c>
      <c r="BL79" s="167" t="s">
        <v>69</v>
      </c>
      <c r="BM79" s="167" t="s">
        <v>69</v>
      </c>
      <c r="BN79" s="167" t="s">
        <v>69</v>
      </c>
      <c r="BO79" s="167" t="s">
        <v>69</v>
      </c>
      <c r="BP79" s="167" t="s">
        <v>69</v>
      </c>
      <c r="BQ79" s="167" t="s">
        <v>69</v>
      </c>
      <c r="BR79" s="167">
        <v>2</v>
      </c>
      <c r="BS79" s="167" t="s">
        <v>69</v>
      </c>
      <c r="BT79" s="167" t="s">
        <v>69</v>
      </c>
      <c r="BU79" s="167" t="s">
        <v>69</v>
      </c>
      <c r="BV79" s="167" t="s">
        <v>69</v>
      </c>
      <c r="BW79" s="167" t="s">
        <v>69</v>
      </c>
      <c r="BX79" s="167" t="s">
        <v>69</v>
      </c>
      <c r="BY79" s="167" t="s">
        <v>69</v>
      </c>
      <c r="BZ79" s="167" t="s">
        <v>69</v>
      </c>
      <c r="CA79" s="167" t="s">
        <v>69</v>
      </c>
      <c r="CB79" s="167" t="s">
        <v>69</v>
      </c>
      <c r="CC79" s="167" t="s">
        <v>69</v>
      </c>
      <c r="CD79" s="167" t="s">
        <v>69</v>
      </c>
      <c r="CE79" s="167" t="s">
        <v>69</v>
      </c>
      <c r="CF79" s="167" t="s">
        <v>69</v>
      </c>
      <c r="CG79" s="167">
        <v>4</v>
      </c>
      <c r="CH79" s="167" t="s">
        <v>69</v>
      </c>
      <c r="CI79" s="167" t="s">
        <v>69</v>
      </c>
      <c r="CJ79" s="167" t="s">
        <v>69</v>
      </c>
      <c r="CK79" s="167" t="s">
        <v>69</v>
      </c>
      <c r="CL79" s="167" t="s">
        <v>69</v>
      </c>
      <c r="CM79" s="167" t="s">
        <v>69</v>
      </c>
      <c r="CN79" s="167" t="s">
        <v>69</v>
      </c>
      <c r="CO79" s="167" t="s">
        <v>69</v>
      </c>
      <c r="CP79" s="167" t="s">
        <v>69</v>
      </c>
      <c r="CQ79" s="167" t="s">
        <v>69</v>
      </c>
      <c r="CR79" s="167" t="s">
        <v>69</v>
      </c>
      <c r="CS79" s="167" t="s">
        <v>69</v>
      </c>
      <c r="CT79" s="167" t="s">
        <v>69</v>
      </c>
      <c r="CU79" s="167" t="s">
        <v>69</v>
      </c>
      <c r="CV79" s="167" t="s">
        <v>69</v>
      </c>
      <c r="CW79" s="167" t="s">
        <v>69</v>
      </c>
      <c r="CX79" s="167">
        <v>3</v>
      </c>
      <c r="CY79" s="167" t="s">
        <v>69</v>
      </c>
      <c r="CZ79" s="167" t="s">
        <v>69</v>
      </c>
      <c r="DA79" s="167">
        <v>3</v>
      </c>
      <c r="DB79" s="167" t="s">
        <v>69</v>
      </c>
      <c r="DC79" s="167">
        <v>3</v>
      </c>
      <c r="DD79" s="167">
        <v>2</v>
      </c>
      <c r="DE79" s="167">
        <v>2</v>
      </c>
      <c r="DF79" s="167">
        <v>3</v>
      </c>
      <c r="DG79" s="167" t="s">
        <v>69</v>
      </c>
      <c r="DH79" s="167" t="s">
        <v>69</v>
      </c>
      <c r="DI79" s="167" t="s">
        <v>69</v>
      </c>
      <c r="DJ79" s="167" t="s">
        <v>69</v>
      </c>
      <c r="DK79" s="167" t="s">
        <v>69</v>
      </c>
      <c r="DL79" s="167" t="s">
        <v>69</v>
      </c>
      <c r="DM79" s="167" t="s">
        <v>69</v>
      </c>
      <c r="DN79" s="167" t="s">
        <v>69</v>
      </c>
      <c r="DO79" s="167" t="s">
        <v>69</v>
      </c>
      <c r="DP79" s="167" t="s">
        <v>69</v>
      </c>
      <c r="DQ79" s="167" t="s">
        <v>69</v>
      </c>
      <c r="DR79" s="167" t="s">
        <v>69</v>
      </c>
      <c r="DS79" s="167" t="s">
        <v>69</v>
      </c>
      <c r="DT79" s="167" t="s">
        <v>69</v>
      </c>
      <c r="DU79" s="167" t="s">
        <v>69</v>
      </c>
      <c r="DV79" s="110">
        <f t="shared" si="0"/>
        <v>0.30645161290322581</v>
      </c>
      <c r="DW79" s="104">
        <f t="shared" si="1"/>
        <v>0.78947368421052633</v>
      </c>
    </row>
    <row r="80" spans="1:127" ht="42" hidden="1" customHeight="1" thickBot="1">
      <c r="A80" s="250" t="s">
        <v>713</v>
      </c>
      <c r="B80" s="242" t="s">
        <v>714</v>
      </c>
      <c r="C80" s="208">
        <v>45691</v>
      </c>
      <c r="D80" s="220" t="s">
        <v>434</v>
      </c>
      <c r="E80" s="256" t="s">
        <v>899</v>
      </c>
      <c r="F80" s="167" t="s">
        <v>69</v>
      </c>
      <c r="G80" s="167">
        <v>3</v>
      </c>
      <c r="H80" s="167" t="s">
        <v>69</v>
      </c>
      <c r="I80" s="167" t="s">
        <v>69</v>
      </c>
      <c r="J80" s="167" t="s">
        <v>69</v>
      </c>
      <c r="K80" s="167" t="s">
        <v>69</v>
      </c>
      <c r="L80" s="167" t="s">
        <v>69</v>
      </c>
      <c r="M80" s="167">
        <v>3</v>
      </c>
      <c r="N80" s="167">
        <v>3</v>
      </c>
      <c r="O80" s="167" t="s">
        <v>69</v>
      </c>
      <c r="P80" s="167" t="s">
        <v>69</v>
      </c>
      <c r="Q80" s="167" t="s">
        <v>69</v>
      </c>
      <c r="R80" s="167" t="s">
        <v>69</v>
      </c>
      <c r="S80" s="167" t="s">
        <v>69</v>
      </c>
      <c r="T80" s="167" t="s">
        <v>69</v>
      </c>
      <c r="U80" s="167" t="s">
        <v>69</v>
      </c>
      <c r="V80" s="167" t="s">
        <v>69</v>
      </c>
      <c r="W80" s="167" t="s">
        <v>69</v>
      </c>
      <c r="X80" s="167" t="s">
        <v>69</v>
      </c>
      <c r="Y80" s="167" t="s">
        <v>69</v>
      </c>
      <c r="Z80" s="167" t="s">
        <v>69</v>
      </c>
      <c r="AA80" s="167" t="s">
        <v>69</v>
      </c>
      <c r="AB80" s="167" t="s">
        <v>69</v>
      </c>
      <c r="AC80" s="167" t="s">
        <v>69</v>
      </c>
      <c r="AD80" s="167" t="s">
        <v>69</v>
      </c>
      <c r="AE80" s="167" t="s">
        <v>69</v>
      </c>
      <c r="AF80" s="167" t="s">
        <v>69</v>
      </c>
      <c r="AG80" s="167" t="s">
        <v>69</v>
      </c>
      <c r="AH80" s="167">
        <v>3</v>
      </c>
      <c r="AI80" s="167" t="s">
        <v>69</v>
      </c>
      <c r="AJ80" s="167" t="s">
        <v>69</v>
      </c>
      <c r="AK80" s="167" t="s">
        <v>69</v>
      </c>
      <c r="AL80" s="167" t="s">
        <v>69</v>
      </c>
      <c r="AM80" s="167" t="s">
        <v>69</v>
      </c>
      <c r="AN80" s="167" t="s">
        <v>69</v>
      </c>
      <c r="AO80" s="167" t="s">
        <v>69</v>
      </c>
      <c r="AP80" s="167" t="s">
        <v>69</v>
      </c>
      <c r="AQ80" s="167" t="s">
        <v>69</v>
      </c>
      <c r="AR80" s="167" t="s">
        <v>69</v>
      </c>
      <c r="AS80" s="167" t="s">
        <v>69</v>
      </c>
      <c r="AT80" s="167" t="s">
        <v>69</v>
      </c>
      <c r="AU80" s="167" t="s">
        <v>69</v>
      </c>
      <c r="AV80" s="167" t="s">
        <v>69</v>
      </c>
      <c r="AW80" s="167" t="s">
        <v>69</v>
      </c>
      <c r="AX80" s="167" t="s">
        <v>69</v>
      </c>
      <c r="AY80" s="167" t="s">
        <v>69</v>
      </c>
      <c r="AZ80" s="167" t="s">
        <v>69</v>
      </c>
      <c r="BA80" s="167" t="s">
        <v>69</v>
      </c>
      <c r="BB80" s="167" t="s">
        <v>69</v>
      </c>
      <c r="BC80" s="167" t="s">
        <v>69</v>
      </c>
      <c r="BD80" s="167" t="s">
        <v>69</v>
      </c>
      <c r="BE80" s="167" t="s">
        <v>69</v>
      </c>
      <c r="BF80" s="167" t="s">
        <v>69</v>
      </c>
      <c r="BG80" s="167" t="s">
        <v>69</v>
      </c>
      <c r="BH80" s="167" t="s">
        <v>69</v>
      </c>
      <c r="BI80" s="167" t="s">
        <v>69</v>
      </c>
      <c r="BJ80" s="167" t="s">
        <v>69</v>
      </c>
      <c r="BK80" s="167" t="s">
        <v>69</v>
      </c>
      <c r="BL80" s="167" t="s">
        <v>69</v>
      </c>
      <c r="BM80" s="167" t="s">
        <v>69</v>
      </c>
      <c r="BN80" s="167" t="s">
        <v>69</v>
      </c>
      <c r="BO80" s="167" t="s">
        <v>69</v>
      </c>
      <c r="BP80" s="167" t="s">
        <v>69</v>
      </c>
      <c r="BQ80" s="167">
        <v>4</v>
      </c>
      <c r="BR80" s="167" t="s">
        <v>69</v>
      </c>
      <c r="BS80" s="167" t="s">
        <v>69</v>
      </c>
      <c r="BT80" s="167" t="s">
        <v>69</v>
      </c>
      <c r="BU80" s="167" t="s">
        <v>69</v>
      </c>
      <c r="BV80" s="167" t="s">
        <v>69</v>
      </c>
      <c r="BW80" s="167" t="s">
        <v>69</v>
      </c>
      <c r="BX80" s="167" t="s">
        <v>69</v>
      </c>
      <c r="BY80" s="167">
        <v>3</v>
      </c>
      <c r="BZ80" s="167" t="s">
        <v>69</v>
      </c>
      <c r="CA80" s="167" t="s">
        <v>69</v>
      </c>
      <c r="CB80" s="167" t="s">
        <v>69</v>
      </c>
      <c r="CC80" s="167" t="s">
        <v>69</v>
      </c>
      <c r="CD80" s="167" t="s">
        <v>69</v>
      </c>
      <c r="CE80" s="167" t="s">
        <v>69</v>
      </c>
      <c r="CF80" s="167" t="s">
        <v>69</v>
      </c>
      <c r="CG80" s="167" t="s">
        <v>69</v>
      </c>
      <c r="CH80" s="167" t="s">
        <v>69</v>
      </c>
      <c r="CI80" s="167" t="s">
        <v>69</v>
      </c>
      <c r="CJ80" s="167" t="s">
        <v>69</v>
      </c>
      <c r="CK80" s="167" t="s">
        <v>69</v>
      </c>
      <c r="CL80" s="167" t="s">
        <v>69</v>
      </c>
      <c r="CM80" s="167" t="s">
        <v>69</v>
      </c>
      <c r="CN80" s="167" t="s">
        <v>69</v>
      </c>
      <c r="CO80" s="167" t="s">
        <v>69</v>
      </c>
      <c r="CP80" s="167" t="s">
        <v>69</v>
      </c>
      <c r="CQ80" s="167" t="s">
        <v>69</v>
      </c>
      <c r="CR80" s="167" t="s">
        <v>69</v>
      </c>
      <c r="CS80" s="167">
        <v>3</v>
      </c>
      <c r="CT80" s="167" t="s">
        <v>69</v>
      </c>
      <c r="CU80" s="167" t="s">
        <v>69</v>
      </c>
      <c r="CV80" s="167">
        <v>3</v>
      </c>
      <c r="CW80" s="167" t="s">
        <v>69</v>
      </c>
      <c r="CX80" s="167">
        <v>3</v>
      </c>
      <c r="CY80" s="167" t="s">
        <v>69</v>
      </c>
      <c r="CZ80" s="167" t="s">
        <v>69</v>
      </c>
      <c r="DA80" s="167" t="s">
        <v>69</v>
      </c>
      <c r="DB80" s="167" t="s">
        <v>69</v>
      </c>
      <c r="DC80" s="167" t="s">
        <v>69</v>
      </c>
      <c r="DD80" s="167" t="s">
        <v>69</v>
      </c>
      <c r="DE80" s="167" t="s">
        <v>69</v>
      </c>
      <c r="DF80" s="167" t="s">
        <v>69</v>
      </c>
      <c r="DG80" s="167" t="s">
        <v>69</v>
      </c>
      <c r="DH80" s="167" t="s">
        <v>69</v>
      </c>
      <c r="DI80" s="167" t="s">
        <v>69</v>
      </c>
      <c r="DJ80" s="167" t="s">
        <v>69</v>
      </c>
      <c r="DK80" s="167" t="s">
        <v>69</v>
      </c>
      <c r="DL80" s="167" t="s">
        <v>69</v>
      </c>
      <c r="DM80" s="167" t="s">
        <v>69</v>
      </c>
      <c r="DN80" s="167" t="s">
        <v>69</v>
      </c>
      <c r="DO80" s="167" t="s">
        <v>69</v>
      </c>
      <c r="DP80" s="167" t="s">
        <v>69</v>
      </c>
      <c r="DQ80" s="167" t="s">
        <v>69</v>
      </c>
      <c r="DR80" s="167" t="s">
        <v>69</v>
      </c>
      <c r="DS80" s="167" t="s">
        <v>69</v>
      </c>
      <c r="DT80" s="167" t="s">
        <v>69</v>
      </c>
      <c r="DU80" s="167" t="s">
        <v>69</v>
      </c>
      <c r="DV80" s="110">
        <f t="shared" si="0"/>
        <v>0.14516129032258066</v>
      </c>
      <c r="DW80" s="104">
        <f t="shared" si="1"/>
        <v>1</v>
      </c>
    </row>
    <row r="81" spans="1:127" ht="42" hidden="1" customHeight="1" thickBot="1">
      <c r="A81" s="250" t="s">
        <v>719</v>
      </c>
      <c r="B81" s="242" t="s">
        <v>720</v>
      </c>
      <c r="C81" s="208">
        <v>45721</v>
      </c>
      <c r="D81" s="220" t="s">
        <v>434</v>
      </c>
      <c r="E81" s="256" t="s">
        <v>899</v>
      </c>
      <c r="F81" s="167" t="s">
        <v>69</v>
      </c>
      <c r="G81" s="167" t="s">
        <v>69</v>
      </c>
      <c r="H81" s="167" t="s">
        <v>69</v>
      </c>
      <c r="I81" s="167" t="s">
        <v>69</v>
      </c>
      <c r="J81" s="167" t="s">
        <v>69</v>
      </c>
      <c r="K81" s="167" t="s">
        <v>69</v>
      </c>
      <c r="L81" s="167" t="s">
        <v>69</v>
      </c>
      <c r="M81" s="167" t="s">
        <v>69</v>
      </c>
      <c r="N81" s="167" t="s">
        <v>69</v>
      </c>
      <c r="O81" s="167" t="s">
        <v>69</v>
      </c>
      <c r="P81" s="167" t="s">
        <v>69</v>
      </c>
      <c r="Q81" s="167" t="s">
        <v>69</v>
      </c>
      <c r="R81" s="167" t="s">
        <v>69</v>
      </c>
      <c r="S81" s="167">
        <v>3</v>
      </c>
      <c r="T81" s="167">
        <v>3</v>
      </c>
      <c r="U81" s="167">
        <v>3</v>
      </c>
      <c r="V81" s="167" t="s">
        <v>69</v>
      </c>
      <c r="W81" s="167" t="s">
        <v>69</v>
      </c>
      <c r="X81" s="167" t="s">
        <v>69</v>
      </c>
      <c r="Y81" s="167" t="s">
        <v>69</v>
      </c>
      <c r="Z81" s="167" t="s">
        <v>69</v>
      </c>
      <c r="AA81" s="167">
        <v>2</v>
      </c>
      <c r="AB81" s="167" t="s">
        <v>69</v>
      </c>
      <c r="AC81" s="167" t="s">
        <v>69</v>
      </c>
      <c r="AD81" s="167" t="s">
        <v>69</v>
      </c>
      <c r="AE81" s="167" t="s">
        <v>69</v>
      </c>
      <c r="AF81" s="167">
        <v>3</v>
      </c>
      <c r="AG81" s="167">
        <v>3</v>
      </c>
      <c r="AH81" s="167" t="s">
        <v>69</v>
      </c>
      <c r="AI81" s="167" t="s">
        <v>69</v>
      </c>
      <c r="AJ81" s="167" t="s">
        <v>69</v>
      </c>
      <c r="AK81" s="167" t="s">
        <v>69</v>
      </c>
      <c r="AL81" s="167" t="s">
        <v>69</v>
      </c>
      <c r="AM81" s="167" t="s">
        <v>69</v>
      </c>
      <c r="AN81" s="167">
        <v>2</v>
      </c>
      <c r="AO81" s="167" t="s">
        <v>69</v>
      </c>
      <c r="AP81" s="167" t="s">
        <v>69</v>
      </c>
      <c r="AQ81" s="167" t="s">
        <v>69</v>
      </c>
      <c r="AR81" s="167" t="s">
        <v>69</v>
      </c>
      <c r="AS81" s="167" t="s">
        <v>69</v>
      </c>
      <c r="AT81" s="167" t="s">
        <v>69</v>
      </c>
      <c r="AU81" s="167" t="s">
        <v>69</v>
      </c>
      <c r="AV81" s="167" t="s">
        <v>69</v>
      </c>
      <c r="AW81" s="167" t="s">
        <v>69</v>
      </c>
      <c r="AX81" s="167" t="s">
        <v>69</v>
      </c>
      <c r="AY81" s="167" t="s">
        <v>69</v>
      </c>
      <c r="AZ81" s="167" t="s">
        <v>69</v>
      </c>
      <c r="BA81" s="167" t="s">
        <v>69</v>
      </c>
      <c r="BB81" s="167" t="s">
        <v>69</v>
      </c>
      <c r="BC81" s="167" t="s">
        <v>69</v>
      </c>
      <c r="BD81" s="167" t="s">
        <v>69</v>
      </c>
      <c r="BE81" s="167" t="s">
        <v>69</v>
      </c>
      <c r="BF81" s="167" t="s">
        <v>69</v>
      </c>
      <c r="BG81" s="167" t="s">
        <v>69</v>
      </c>
      <c r="BH81" s="167" t="s">
        <v>69</v>
      </c>
      <c r="BI81" s="167" t="s">
        <v>69</v>
      </c>
      <c r="BJ81" s="167" t="s">
        <v>69</v>
      </c>
      <c r="BK81" s="167" t="s">
        <v>69</v>
      </c>
      <c r="BL81" s="167" t="s">
        <v>69</v>
      </c>
      <c r="BM81" s="167" t="s">
        <v>69</v>
      </c>
      <c r="BN81" s="167" t="s">
        <v>69</v>
      </c>
      <c r="BO81" s="167" t="s">
        <v>69</v>
      </c>
      <c r="BP81" s="167" t="s">
        <v>69</v>
      </c>
      <c r="BQ81" s="167" t="s">
        <v>69</v>
      </c>
      <c r="BR81" s="167" t="s">
        <v>69</v>
      </c>
      <c r="BS81" s="167" t="s">
        <v>69</v>
      </c>
      <c r="BT81" s="167" t="s">
        <v>69</v>
      </c>
      <c r="BU81" s="167">
        <v>3</v>
      </c>
      <c r="BV81" s="167">
        <v>3</v>
      </c>
      <c r="BW81" s="167" t="s">
        <v>69</v>
      </c>
      <c r="BX81" s="167" t="s">
        <v>69</v>
      </c>
      <c r="BY81" s="167" t="s">
        <v>69</v>
      </c>
      <c r="BZ81" s="167" t="s">
        <v>69</v>
      </c>
      <c r="CA81" s="167" t="s">
        <v>69</v>
      </c>
      <c r="CB81" s="167" t="s">
        <v>69</v>
      </c>
      <c r="CC81" s="167" t="s">
        <v>69</v>
      </c>
      <c r="CD81" s="167" t="s">
        <v>69</v>
      </c>
      <c r="CE81" s="167" t="s">
        <v>69</v>
      </c>
      <c r="CF81" s="167" t="s">
        <v>69</v>
      </c>
      <c r="CG81" s="167" t="s">
        <v>69</v>
      </c>
      <c r="CH81" s="167" t="s">
        <v>69</v>
      </c>
      <c r="CI81" s="167" t="s">
        <v>69</v>
      </c>
      <c r="CJ81" s="167" t="s">
        <v>69</v>
      </c>
      <c r="CK81" s="167" t="s">
        <v>69</v>
      </c>
      <c r="CL81" s="167" t="s">
        <v>69</v>
      </c>
      <c r="CM81" s="167" t="s">
        <v>69</v>
      </c>
      <c r="CN81" s="167" t="s">
        <v>69</v>
      </c>
      <c r="CO81" s="167" t="s">
        <v>69</v>
      </c>
      <c r="CP81" s="167" t="s">
        <v>69</v>
      </c>
      <c r="CQ81" s="167" t="s">
        <v>69</v>
      </c>
      <c r="CR81" s="167" t="s">
        <v>69</v>
      </c>
      <c r="CS81" s="167" t="s">
        <v>69</v>
      </c>
      <c r="CT81" s="167" t="s">
        <v>69</v>
      </c>
      <c r="CU81" s="167" t="s">
        <v>69</v>
      </c>
      <c r="CV81" s="167" t="s">
        <v>69</v>
      </c>
      <c r="CW81" s="167" t="s">
        <v>69</v>
      </c>
      <c r="CX81" s="167" t="s">
        <v>69</v>
      </c>
      <c r="CY81" s="167" t="s">
        <v>69</v>
      </c>
      <c r="CZ81" s="167">
        <v>2</v>
      </c>
      <c r="DA81" s="167">
        <v>2</v>
      </c>
      <c r="DB81" s="167" t="s">
        <v>69</v>
      </c>
      <c r="DC81" s="167" t="s">
        <v>69</v>
      </c>
      <c r="DD81" s="167" t="s">
        <v>69</v>
      </c>
      <c r="DE81" s="167" t="s">
        <v>69</v>
      </c>
      <c r="DF81" s="167" t="s">
        <v>69</v>
      </c>
      <c r="DG81" s="167" t="s">
        <v>69</v>
      </c>
      <c r="DH81" s="167" t="s">
        <v>69</v>
      </c>
      <c r="DI81" s="167" t="s">
        <v>69</v>
      </c>
      <c r="DJ81" s="167" t="s">
        <v>69</v>
      </c>
      <c r="DK81" s="167" t="s">
        <v>69</v>
      </c>
      <c r="DL81" s="167" t="s">
        <v>69</v>
      </c>
      <c r="DM81" s="167" t="s">
        <v>69</v>
      </c>
      <c r="DN81" s="167" t="s">
        <v>69</v>
      </c>
      <c r="DO81" s="167" t="s">
        <v>69</v>
      </c>
      <c r="DP81" s="167" t="s">
        <v>69</v>
      </c>
      <c r="DQ81" s="167" t="s">
        <v>69</v>
      </c>
      <c r="DR81" s="167" t="s">
        <v>69</v>
      </c>
      <c r="DS81" s="167" t="s">
        <v>69</v>
      </c>
      <c r="DT81" s="167" t="s">
        <v>69</v>
      </c>
      <c r="DU81" s="167" t="s">
        <v>69</v>
      </c>
      <c r="DV81" s="110">
        <f t="shared" ref="DV81:DV96" si="2">COUNTIF(F81:DU81,"&gt;0")/62</f>
        <v>0.17741935483870969</v>
      </c>
      <c r="DW81" s="104">
        <f t="shared" ref="DW81:DW96" si="3">+COUNTIF(F81:DU81,"&gt;2")/COUNTIF(F81:DU81,"&gt;1")</f>
        <v>0.63636363636363635</v>
      </c>
    </row>
    <row r="82" spans="1:127" ht="42" hidden="1" customHeight="1" thickBot="1">
      <c r="A82" s="250" t="s">
        <v>721</v>
      </c>
      <c r="B82" s="242" t="s">
        <v>722</v>
      </c>
      <c r="C82" s="208">
        <v>45719</v>
      </c>
      <c r="D82" s="220" t="s">
        <v>434</v>
      </c>
      <c r="E82" s="256" t="s">
        <v>899</v>
      </c>
      <c r="F82" s="167">
        <v>3</v>
      </c>
      <c r="G82" s="167">
        <v>3</v>
      </c>
      <c r="H82" s="167">
        <v>3</v>
      </c>
      <c r="I82" s="167" t="s">
        <v>69</v>
      </c>
      <c r="J82" s="167">
        <v>3</v>
      </c>
      <c r="K82" s="167" t="s">
        <v>69</v>
      </c>
      <c r="L82" s="167" t="s">
        <v>69</v>
      </c>
      <c r="M82" s="167" t="s">
        <v>69</v>
      </c>
      <c r="N82" s="167" t="s">
        <v>69</v>
      </c>
      <c r="O82" s="167">
        <v>3</v>
      </c>
      <c r="P82" s="167">
        <v>3</v>
      </c>
      <c r="Q82" s="167" t="s">
        <v>69</v>
      </c>
      <c r="R82" s="167" t="s">
        <v>69</v>
      </c>
      <c r="S82" s="167" t="s">
        <v>69</v>
      </c>
      <c r="T82" s="167" t="s">
        <v>69</v>
      </c>
      <c r="U82" s="167" t="s">
        <v>69</v>
      </c>
      <c r="V82" s="167" t="s">
        <v>69</v>
      </c>
      <c r="W82" s="167" t="s">
        <v>69</v>
      </c>
      <c r="X82" s="167" t="s">
        <v>69</v>
      </c>
      <c r="Y82" s="167" t="s">
        <v>69</v>
      </c>
      <c r="Z82" s="167" t="s">
        <v>69</v>
      </c>
      <c r="AA82" s="167" t="s">
        <v>69</v>
      </c>
      <c r="AB82" s="167" t="s">
        <v>69</v>
      </c>
      <c r="AC82" s="167" t="s">
        <v>69</v>
      </c>
      <c r="AD82" s="167" t="s">
        <v>69</v>
      </c>
      <c r="AE82" s="167" t="s">
        <v>69</v>
      </c>
      <c r="AF82" s="167" t="s">
        <v>69</v>
      </c>
      <c r="AG82" s="167" t="s">
        <v>69</v>
      </c>
      <c r="AH82" s="167" t="s">
        <v>69</v>
      </c>
      <c r="AI82" s="167" t="s">
        <v>69</v>
      </c>
      <c r="AJ82" s="167" t="s">
        <v>69</v>
      </c>
      <c r="AK82" s="167" t="s">
        <v>69</v>
      </c>
      <c r="AL82" s="167" t="s">
        <v>69</v>
      </c>
      <c r="AM82" s="167" t="s">
        <v>69</v>
      </c>
      <c r="AN82" s="167" t="s">
        <v>69</v>
      </c>
      <c r="AO82" s="167" t="s">
        <v>69</v>
      </c>
      <c r="AP82" s="167" t="s">
        <v>69</v>
      </c>
      <c r="AQ82" s="167" t="s">
        <v>69</v>
      </c>
      <c r="AR82" s="167">
        <v>3</v>
      </c>
      <c r="AS82" s="167" t="s">
        <v>69</v>
      </c>
      <c r="AT82" s="167" t="s">
        <v>69</v>
      </c>
      <c r="AU82" s="167" t="s">
        <v>69</v>
      </c>
      <c r="AV82" s="167" t="s">
        <v>69</v>
      </c>
      <c r="AW82" s="167" t="s">
        <v>69</v>
      </c>
      <c r="AX82" s="167" t="s">
        <v>69</v>
      </c>
      <c r="AY82" s="167" t="s">
        <v>69</v>
      </c>
      <c r="AZ82" s="167" t="s">
        <v>69</v>
      </c>
      <c r="BA82" s="167" t="s">
        <v>69</v>
      </c>
      <c r="BB82" s="167" t="s">
        <v>69</v>
      </c>
      <c r="BC82" s="167" t="s">
        <v>69</v>
      </c>
      <c r="BD82" s="167" t="s">
        <v>69</v>
      </c>
      <c r="BE82" s="167" t="s">
        <v>69</v>
      </c>
      <c r="BF82" s="167" t="s">
        <v>69</v>
      </c>
      <c r="BG82" s="167" t="s">
        <v>69</v>
      </c>
      <c r="BH82" s="167" t="s">
        <v>69</v>
      </c>
      <c r="BI82" s="167" t="s">
        <v>69</v>
      </c>
      <c r="BJ82" s="167" t="s">
        <v>69</v>
      </c>
      <c r="BK82" s="167" t="s">
        <v>69</v>
      </c>
      <c r="BL82" s="167" t="s">
        <v>69</v>
      </c>
      <c r="BM82" s="167" t="s">
        <v>69</v>
      </c>
      <c r="BN82" s="167" t="s">
        <v>69</v>
      </c>
      <c r="BO82" s="167" t="s">
        <v>69</v>
      </c>
      <c r="BP82" s="167" t="s">
        <v>69</v>
      </c>
      <c r="BQ82" s="167" t="s">
        <v>69</v>
      </c>
      <c r="BR82" s="167" t="s">
        <v>69</v>
      </c>
      <c r="BS82" s="167" t="s">
        <v>69</v>
      </c>
      <c r="BT82" s="167" t="s">
        <v>69</v>
      </c>
      <c r="BU82" s="167" t="s">
        <v>69</v>
      </c>
      <c r="BV82" s="167" t="s">
        <v>69</v>
      </c>
      <c r="BW82" s="167" t="s">
        <v>69</v>
      </c>
      <c r="BX82" s="167" t="s">
        <v>69</v>
      </c>
      <c r="BY82" s="167" t="s">
        <v>69</v>
      </c>
      <c r="BZ82" s="167" t="s">
        <v>69</v>
      </c>
      <c r="CA82" s="167" t="s">
        <v>69</v>
      </c>
      <c r="CB82" s="167" t="s">
        <v>69</v>
      </c>
      <c r="CC82" s="167" t="s">
        <v>69</v>
      </c>
      <c r="CD82" s="167" t="s">
        <v>69</v>
      </c>
      <c r="CE82" s="167" t="s">
        <v>69</v>
      </c>
      <c r="CF82" s="167" t="s">
        <v>69</v>
      </c>
      <c r="CG82" s="167" t="s">
        <v>69</v>
      </c>
      <c r="CH82" s="167" t="s">
        <v>69</v>
      </c>
      <c r="CI82" s="167" t="s">
        <v>69</v>
      </c>
      <c r="CJ82" s="167" t="s">
        <v>69</v>
      </c>
      <c r="CK82" s="167" t="s">
        <v>69</v>
      </c>
      <c r="CL82" s="167" t="s">
        <v>69</v>
      </c>
      <c r="CM82" s="167" t="s">
        <v>69</v>
      </c>
      <c r="CN82" s="167" t="s">
        <v>69</v>
      </c>
      <c r="CO82" s="167">
        <v>3</v>
      </c>
      <c r="CP82" s="167" t="s">
        <v>69</v>
      </c>
      <c r="CQ82" s="167" t="s">
        <v>69</v>
      </c>
      <c r="CR82" s="167" t="s">
        <v>69</v>
      </c>
      <c r="CS82" s="167" t="s">
        <v>69</v>
      </c>
      <c r="CT82" s="167" t="s">
        <v>69</v>
      </c>
      <c r="CU82" s="167" t="s">
        <v>69</v>
      </c>
      <c r="CV82" s="167" t="s">
        <v>69</v>
      </c>
      <c r="CW82" s="167" t="s">
        <v>69</v>
      </c>
      <c r="CX82" s="167" t="s">
        <v>69</v>
      </c>
      <c r="CY82" s="167" t="s">
        <v>69</v>
      </c>
      <c r="CZ82" s="167" t="s">
        <v>69</v>
      </c>
      <c r="DA82" s="167">
        <v>3</v>
      </c>
      <c r="DB82" s="167" t="s">
        <v>69</v>
      </c>
      <c r="DC82" s="167">
        <v>3</v>
      </c>
      <c r="DD82" s="167" t="s">
        <v>69</v>
      </c>
      <c r="DE82" s="167" t="s">
        <v>69</v>
      </c>
      <c r="DF82" s="167" t="s">
        <v>69</v>
      </c>
      <c r="DG82" s="167" t="s">
        <v>69</v>
      </c>
      <c r="DH82" s="167" t="s">
        <v>69</v>
      </c>
      <c r="DI82" s="167" t="s">
        <v>69</v>
      </c>
      <c r="DJ82" s="167" t="s">
        <v>69</v>
      </c>
      <c r="DK82" s="167" t="s">
        <v>69</v>
      </c>
      <c r="DL82" s="167" t="s">
        <v>69</v>
      </c>
      <c r="DM82" s="167" t="s">
        <v>69</v>
      </c>
      <c r="DN82" s="167" t="s">
        <v>69</v>
      </c>
      <c r="DO82" s="167" t="s">
        <v>69</v>
      </c>
      <c r="DP82" s="167" t="s">
        <v>69</v>
      </c>
      <c r="DQ82" s="167" t="s">
        <v>69</v>
      </c>
      <c r="DR82" s="167" t="s">
        <v>69</v>
      </c>
      <c r="DS82" s="167" t="s">
        <v>69</v>
      </c>
      <c r="DT82" s="167">
        <v>2</v>
      </c>
      <c r="DU82" s="167" t="s">
        <v>69</v>
      </c>
      <c r="DV82" s="110">
        <f t="shared" si="2"/>
        <v>0.17741935483870969</v>
      </c>
      <c r="DW82" s="104">
        <f t="shared" si="3"/>
        <v>0.90909090909090906</v>
      </c>
    </row>
    <row r="83" spans="1:127" ht="42" hidden="1" customHeight="1" thickBot="1">
      <c r="A83" s="250" t="s">
        <v>723</v>
      </c>
      <c r="B83" s="242" t="s">
        <v>724</v>
      </c>
      <c r="C83" s="208">
        <v>45721</v>
      </c>
      <c r="D83" s="220" t="s">
        <v>434</v>
      </c>
      <c r="E83" s="256" t="s">
        <v>899</v>
      </c>
      <c r="F83" s="167">
        <v>3</v>
      </c>
      <c r="G83" s="167" t="s">
        <v>69</v>
      </c>
      <c r="H83" s="167">
        <v>3</v>
      </c>
      <c r="I83" s="167" t="s">
        <v>69</v>
      </c>
      <c r="J83" s="167" t="s">
        <v>69</v>
      </c>
      <c r="K83" s="167" t="s">
        <v>69</v>
      </c>
      <c r="L83" s="167" t="s">
        <v>69</v>
      </c>
      <c r="M83" s="167" t="s">
        <v>69</v>
      </c>
      <c r="N83" s="167" t="s">
        <v>69</v>
      </c>
      <c r="O83" s="167">
        <v>3</v>
      </c>
      <c r="P83" s="167" t="s">
        <v>69</v>
      </c>
      <c r="Q83" s="167" t="s">
        <v>69</v>
      </c>
      <c r="R83" s="167" t="s">
        <v>69</v>
      </c>
      <c r="S83" s="167" t="s">
        <v>69</v>
      </c>
      <c r="T83" s="167" t="s">
        <v>69</v>
      </c>
      <c r="U83" s="167" t="s">
        <v>69</v>
      </c>
      <c r="V83" s="167" t="s">
        <v>69</v>
      </c>
      <c r="W83" s="167" t="s">
        <v>69</v>
      </c>
      <c r="X83" s="167" t="s">
        <v>69</v>
      </c>
      <c r="Y83" s="167" t="s">
        <v>69</v>
      </c>
      <c r="Z83" s="167" t="s">
        <v>69</v>
      </c>
      <c r="AA83" s="167" t="s">
        <v>69</v>
      </c>
      <c r="AB83" s="167" t="s">
        <v>69</v>
      </c>
      <c r="AC83" s="167" t="s">
        <v>69</v>
      </c>
      <c r="AD83" s="167" t="s">
        <v>69</v>
      </c>
      <c r="AE83" s="167" t="s">
        <v>69</v>
      </c>
      <c r="AF83" s="167" t="s">
        <v>69</v>
      </c>
      <c r="AG83" s="167" t="s">
        <v>69</v>
      </c>
      <c r="AH83" s="167" t="s">
        <v>69</v>
      </c>
      <c r="AI83" s="167" t="s">
        <v>69</v>
      </c>
      <c r="AJ83" s="167" t="s">
        <v>69</v>
      </c>
      <c r="AK83" s="167" t="s">
        <v>69</v>
      </c>
      <c r="AL83" s="167" t="s">
        <v>69</v>
      </c>
      <c r="AM83" s="167" t="s">
        <v>69</v>
      </c>
      <c r="AN83" s="167">
        <v>2</v>
      </c>
      <c r="AO83" s="167" t="s">
        <v>69</v>
      </c>
      <c r="AP83" s="167" t="s">
        <v>69</v>
      </c>
      <c r="AQ83" s="167" t="s">
        <v>69</v>
      </c>
      <c r="AR83" s="167" t="s">
        <v>69</v>
      </c>
      <c r="AS83" s="167" t="s">
        <v>69</v>
      </c>
      <c r="AT83" s="167" t="s">
        <v>69</v>
      </c>
      <c r="AU83" s="167" t="s">
        <v>69</v>
      </c>
      <c r="AV83" s="167" t="s">
        <v>69</v>
      </c>
      <c r="AW83" s="167" t="s">
        <v>69</v>
      </c>
      <c r="AX83" s="167" t="s">
        <v>69</v>
      </c>
      <c r="AY83" s="167" t="s">
        <v>69</v>
      </c>
      <c r="AZ83" s="167" t="s">
        <v>69</v>
      </c>
      <c r="BA83" s="167" t="s">
        <v>69</v>
      </c>
      <c r="BB83" s="167" t="s">
        <v>69</v>
      </c>
      <c r="BC83" s="167" t="s">
        <v>69</v>
      </c>
      <c r="BD83" s="167" t="s">
        <v>69</v>
      </c>
      <c r="BE83" s="167" t="s">
        <v>69</v>
      </c>
      <c r="BF83" s="167" t="s">
        <v>69</v>
      </c>
      <c r="BG83" s="167" t="s">
        <v>69</v>
      </c>
      <c r="BH83" s="167" t="s">
        <v>69</v>
      </c>
      <c r="BI83" s="167" t="s">
        <v>69</v>
      </c>
      <c r="BJ83" s="167" t="s">
        <v>69</v>
      </c>
      <c r="BK83" s="167" t="s">
        <v>69</v>
      </c>
      <c r="BL83" s="167" t="s">
        <v>69</v>
      </c>
      <c r="BM83" s="167" t="s">
        <v>69</v>
      </c>
      <c r="BN83" s="167" t="s">
        <v>69</v>
      </c>
      <c r="BO83" s="167" t="s">
        <v>69</v>
      </c>
      <c r="BP83" s="167" t="s">
        <v>69</v>
      </c>
      <c r="BQ83" s="167" t="s">
        <v>69</v>
      </c>
      <c r="BR83" s="167" t="s">
        <v>69</v>
      </c>
      <c r="BS83" s="167" t="s">
        <v>69</v>
      </c>
      <c r="BT83" s="167" t="s">
        <v>69</v>
      </c>
      <c r="BU83" s="167" t="s">
        <v>69</v>
      </c>
      <c r="BV83" s="167" t="s">
        <v>69</v>
      </c>
      <c r="BW83" s="167" t="s">
        <v>69</v>
      </c>
      <c r="BX83" s="167" t="s">
        <v>69</v>
      </c>
      <c r="BY83" s="167" t="s">
        <v>69</v>
      </c>
      <c r="BZ83" s="167" t="s">
        <v>69</v>
      </c>
      <c r="CA83" s="167" t="s">
        <v>69</v>
      </c>
      <c r="CB83" s="167" t="s">
        <v>69</v>
      </c>
      <c r="CC83" s="167" t="s">
        <v>69</v>
      </c>
      <c r="CD83" s="167" t="s">
        <v>69</v>
      </c>
      <c r="CE83" s="167" t="s">
        <v>69</v>
      </c>
      <c r="CF83" s="167" t="s">
        <v>69</v>
      </c>
      <c r="CG83" s="167" t="s">
        <v>69</v>
      </c>
      <c r="CH83" s="167" t="s">
        <v>69</v>
      </c>
      <c r="CI83" s="167" t="s">
        <v>69</v>
      </c>
      <c r="CJ83" s="167" t="s">
        <v>69</v>
      </c>
      <c r="CK83" s="167" t="s">
        <v>69</v>
      </c>
      <c r="CL83" s="167" t="s">
        <v>69</v>
      </c>
      <c r="CM83" s="167" t="s">
        <v>69</v>
      </c>
      <c r="CN83" s="167">
        <v>2</v>
      </c>
      <c r="CO83" s="167" t="s">
        <v>69</v>
      </c>
      <c r="CP83" s="167" t="s">
        <v>69</v>
      </c>
      <c r="CQ83" s="167" t="s">
        <v>69</v>
      </c>
      <c r="CR83" s="167" t="s">
        <v>69</v>
      </c>
      <c r="CS83" s="167" t="s">
        <v>69</v>
      </c>
      <c r="CT83" s="167" t="s">
        <v>69</v>
      </c>
      <c r="CU83" s="167" t="s">
        <v>69</v>
      </c>
      <c r="CV83" s="167" t="s">
        <v>69</v>
      </c>
      <c r="CW83" s="167" t="s">
        <v>69</v>
      </c>
      <c r="CX83" s="167" t="s">
        <v>69</v>
      </c>
      <c r="CY83" s="167" t="s">
        <v>69</v>
      </c>
      <c r="CZ83" s="167" t="s">
        <v>69</v>
      </c>
      <c r="DA83" s="167" t="s">
        <v>69</v>
      </c>
      <c r="DB83" s="167">
        <v>2</v>
      </c>
      <c r="DC83" s="167" t="s">
        <v>69</v>
      </c>
      <c r="DD83" s="167">
        <v>2</v>
      </c>
      <c r="DE83" s="167" t="s">
        <v>69</v>
      </c>
      <c r="DF83" s="167" t="s">
        <v>69</v>
      </c>
      <c r="DG83" s="167" t="s">
        <v>69</v>
      </c>
      <c r="DH83" s="167" t="s">
        <v>69</v>
      </c>
      <c r="DI83" s="167" t="s">
        <v>69</v>
      </c>
      <c r="DJ83" s="167" t="s">
        <v>69</v>
      </c>
      <c r="DK83" s="167" t="s">
        <v>69</v>
      </c>
      <c r="DL83" s="167" t="s">
        <v>69</v>
      </c>
      <c r="DM83" s="167" t="s">
        <v>69</v>
      </c>
      <c r="DN83" s="167" t="s">
        <v>69</v>
      </c>
      <c r="DO83" s="167" t="s">
        <v>69</v>
      </c>
      <c r="DP83" s="167" t="s">
        <v>69</v>
      </c>
      <c r="DQ83" s="167" t="s">
        <v>69</v>
      </c>
      <c r="DR83" s="167" t="s">
        <v>69</v>
      </c>
      <c r="DS83" s="167" t="s">
        <v>69</v>
      </c>
      <c r="DT83" s="167" t="s">
        <v>69</v>
      </c>
      <c r="DU83" s="167" t="s">
        <v>69</v>
      </c>
      <c r="DV83" s="110">
        <f t="shared" si="2"/>
        <v>0.11290322580645161</v>
      </c>
      <c r="DW83" s="104">
        <f t="shared" si="3"/>
        <v>0.42857142857142855</v>
      </c>
    </row>
    <row r="84" spans="1:127" ht="42" hidden="1" customHeight="1" thickBot="1">
      <c r="A84" s="250" t="s">
        <v>725</v>
      </c>
      <c r="B84" s="242" t="s">
        <v>726</v>
      </c>
      <c r="C84" s="208">
        <v>45719</v>
      </c>
      <c r="D84" s="220" t="s">
        <v>434</v>
      </c>
      <c r="E84" s="256" t="s">
        <v>899</v>
      </c>
      <c r="F84" s="167">
        <v>3</v>
      </c>
      <c r="G84" s="167" t="s">
        <v>69</v>
      </c>
      <c r="H84" s="167">
        <v>3</v>
      </c>
      <c r="I84" s="167" t="s">
        <v>69</v>
      </c>
      <c r="J84" s="167" t="s">
        <v>69</v>
      </c>
      <c r="K84" s="167" t="s">
        <v>69</v>
      </c>
      <c r="L84" s="167" t="s">
        <v>69</v>
      </c>
      <c r="M84" s="167">
        <v>4</v>
      </c>
      <c r="N84" s="167">
        <v>2</v>
      </c>
      <c r="O84" s="167" t="s">
        <v>69</v>
      </c>
      <c r="P84" s="167" t="s">
        <v>69</v>
      </c>
      <c r="Q84" s="167">
        <v>2</v>
      </c>
      <c r="R84" s="167" t="s">
        <v>69</v>
      </c>
      <c r="S84" s="167" t="s">
        <v>69</v>
      </c>
      <c r="T84" s="167" t="s">
        <v>69</v>
      </c>
      <c r="U84" s="167" t="s">
        <v>69</v>
      </c>
      <c r="V84" s="167" t="s">
        <v>69</v>
      </c>
      <c r="W84" s="167" t="s">
        <v>69</v>
      </c>
      <c r="X84" s="167" t="s">
        <v>69</v>
      </c>
      <c r="Y84" s="167" t="s">
        <v>69</v>
      </c>
      <c r="Z84" s="167" t="s">
        <v>69</v>
      </c>
      <c r="AA84" s="167" t="s">
        <v>69</v>
      </c>
      <c r="AB84" s="167" t="s">
        <v>69</v>
      </c>
      <c r="AC84" s="167" t="s">
        <v>69</v>
      </c>
      <c r="AD84" s="167" t="s">
        <v>69</v>
      </c>
      <c r="AE84" s="167" t="s">
        <v>69</v>
      </c>
      <c r="AF84" s="167" t="s">
        <v>69</v>
      </c>
      <c r="AG84" s="167" t="s">
        <v>69</v>
      </c>
      <c r="AH84" s="167" t="s">
        <v>69</v>
      </c>
      <c r="AI84" s="167" t="s">
        <v>69</v>
      </c>
      <c r="AJ84" s="167" t="s">
        <v>69</v>
      </c>
      <c r="AK84" s="167" t="s">
        <v>69</v>
      </c>
      <c r="AL84" s="167" t="s">
        <v>69</v>
      </c>
      <c r="AM84" s="167" t="s">
        <v>69</v>
      </c>
      <c r="AN84" s="167" t="s">
        <v>69</v>
      </c>
      <c r="AO84" s="167" t="s">
        <v>69</v>
      </c>
      <c r="AP84" s="167">
        <v>2</v>
      </c>
      <c r="AQ84" s="167" t="s">
        <v>69</v>
      </c>
      <c r="AR84" s="167">
        <v>3</v>
      </c>
      <c r="AS84" s="167" t="s">
        <v>69</v>
      </c>
      <c r="AT84" s="167" t="s">
        <v>69</v>
      </c>
      <c r="AU84" s="167" t="s">
        <v>69</v>
      </c>
      <c r="AV84" s="167" t="s">
        <v>69</v>
      </c>
      <c r="AW84" s="167" t="s">
        <v>69</v>
      </c>
      <c r="AX84" s="167" t="s">
        <v>69</v>
      </c>
      <c r="AY84" s="167" t="s">
        <v>69</v>
      </c>
      <c r="AZ84" s="167" t="s">
        <v>69</v>
      </c>
      <c r="BA84" s="167" t="s">
        <v>69</v>
      </c>
      <c r="BB84" s="167" t="s">
        <v>69</v>
      </c>
      <c r="BC84" s="167" t="s">
        <v>69</v>
      </c>
      <c r="BD84" s="167" t="s">
        <v>69</v>
      </c>
      <c r="BE84" s="167" t="s">
        <v>69</v>
      </c>
      <c r="BF84" s="167" t="s">
        <v>69</v>
      </c>
      <c r="BG84" s="167" t="s">
        <v>69</v>
      </c>
      <c r="BH84" s="167" t="s">
        <v>69</v>
      </c>
      <c r="BI84" s="167" t="s">
        <v>69</v>
      </c>
      <c r="BJ84" s="167" t="s">
        <v>69</v>
      </c>
      <c r="BK84" s="167" t="s">
        <v>69</v>
      </c>
      <c r="BL84" s="167" t="s">
        <v>69</v>
      </c>
      <c r="BM84" s="167" t="s">
        <v>69</v>
      </c>
      <c r="BN84" s="167" t="s">
        <v>69</v>
      </c>
      <c r="BO84" s="167" t="s">
        <v>69</v>
      </c>
      <c r="BP84" s="167" t="s">
        <v>69</v>
      </c>
      <c r="BQ84" s="167" t="s">
        <v>69</v>
      </c>
      <c r="BR84" s="167" t="s">
        <v>69</v>
      </c>
      <c r="BS84" s="167" t="s">
        <v>69</v>
      </c>
      <c r="BT84" s="167" t="s">
        <v>69</v>
      </c>
      <c r="BU84" s="167" t="s">
        <v>69</v>
      </c>
      <c r="BV84" s="167" t="s">
        <v>69</v>
      </c>
      <c r="BW84" s="167" t="s">
        <v>69</v>
      </c>
      <c r="BX84" s="167" t="s">
        <v>69</v>
      </c>
      <c r="BY84" s="167" t="s">
        <v>69</v>
      </c>
      <c r="BZ84" s="167" t="s">
        <v>69</v>
      </c>
      <c r="CA84" s="167" t="s">
        <v>69</v>
      </c>
      <c r="CB84" s="167" t="s">
        <v>69</v>
      </c>
      <c r="CC84" s="167" t="s">
        <v>69</v>
      </c>
      <c r="CD84" s="167" t="s">
        <v>69</v>
      </c>
      <c r="CE84" s="167" t="s">
        <v>69</v>
      </c>
      <c r="CF84" s="167" t="s">
        <v>69</v>
      </c>
      <c r="CG84" s="167" t="s">
        <v>69</v>
      </c>
      <c r="CH84" s="167" t="s">
        <v>69</v>
      </c>
      <c r="CI84" s="167" t="s">
        <v>69</v>
      </c>
      <c r="CJ84" s="167" t="s">
        <v>69</v>
      </c>
      <c r="CK84" s="167" t="s">
        <v>69</v>
      </c>
      <c r="CL84" s="167" t="s">
        <v>69</v>
      </c>
      <c r="CM84" s="167" t="s">
        <v>69</v>
      </c>
      <c r="CN84" s="167" t="s">
        <v>69</v>
      </c>
      <c r="CO84" s="167">
        <v>3</v>
      </c>
      <c r="CP84" s="167">
        <v>3</v>
      </c>
      <c r="CQ84" s="167" t="s">
        <v>69</v>
      </c>
      <c r="CR84" s="167" t="s">
        <v>69</v>
      </c>
      <c r="CS84" s="167" t="s">
        <v>69</v>
      </c>
      <c r="CT84" s="167" t="s">
        <v>69</v>
      </c>
      <c r="CU84" s="167" t="s">
        <v>69</v>
      </c>
      <c r="CV84" s="167" t="s">
        <v>69</v>
      </c>
      <c r="CW84" s="167" t="s">
        <v>69</v>
      </c>
      <c r="CX84" s="167">
        <v>3</v>
      </c>
      <c r="CY84" s="167" t="s">
        <v>69</v>
      </c>
      <c r="CZ84" s="167" t="s">
        <v>69</v>
      </c>
      <c r="DA84" s="167" t="s">
        <v>69</v>
      </c>
      <c r="DB84" s="167" t="s">
        <v>69</v>
      </c>
      <c r="DC84" s="167" t="s">
        <v>69</v>
      </c>
      <c r="DD84" s="167" t="s">
        <v>69</v>
      </c>
      <c r="DE84" s="167" t="s">
        <v>69</v>
      </c>
      <c r="DF84" s="167" t="s">
        <v>69</v>
      </c>
      <c r="DG84" s="167" t="s">
        <v>69</v>
      </c>
      <c r="DH84" s="167" t="s">
        <v>69</v>
      </c>
      <c r="DI84" s="167" t="s">
        <v>69</v>
      </c>
      <c r="DJ84" s="167" t="s">
        <v>69</v>
      </c>
      <c r="DK84" s="167" t="s">
        <v>69</v>
      </c>
      <c r="DL84" s="167" t="s">
        <v>69</v>
      </c>
      <c r="DM84" s="167" t="s">
        <v>69</v>
      </c>
      <c r="DN84" s="167" t="s">
        <v>69</v>
      </c>
      <c r="DO84" s="167" t="s">
        <v>69</v>
      </c>
      <c r="DP84" s="167" t="s">
        <v>69</v>
      </c>
      <c r="DQ84" s="167" t="s">
        <v>69</v>
      </c>
      <c r="DR84" s="167" t="s">
        <v>69</v>
      </c>
      <c r="DS84" s="167" t="s">
        <v>69</v>
      </c>
      <c r="DT84" s="167" t="s">
        <v>69</v>
      </c>
      <c r="DU84" s="167" t="s">
        <v>69</v>
      </c>
      <c r="DV84" s="110">
        <f t="shared" si="2"/>
        <v>0.16129032258064516</v>
      </c>
      <c r="DW84" s="104">
        <f t="shared" si="3"/>
        <v>0.7</v>
      </c>
    </row>
    <row r="85" spans="1:127" ht="42" hidden="1" customHeight="1" thickBot="1">
      <c r="A85" s="250" t="s">
        <v>727</v>
      </c>
      <c r="B85" s="242" t="s">
        <v>728</v>
      </c>
      <c r="C85" s="208">
        <v>45719</v>
      </c>
      <c r="D85" s="220" t="s">
        <v>434</v>
      </c>
      <c r="E85" s="256" t="s">
        <v>899</v>
      </c>
      <c r="F85" s="167">
        <v>3</v>
      </c>
      <c r="G85" s="167" t="s">
        <v>69</v>
      </c>
      <c r="H85" s="167" t="s">
        <v>69</v>
      </c>
      <c r="I85" s="167" t="s">
        <v>69</v>
      </c>
      <c r="J85" s="167" t="s">
        <v>69</v>
      </c>
      <c r="K85" s="167" t="s">
        <v>69</v>
      </c>
      <c r="L85" s="167" t="s">
        <v>69</v>
      </c>
      <c r="M85" s="167" t="s">
        <v>69</v>
      </c>
      <c r="N85" s="167" t="s">
        <v>69</v>
      </c>
      <c r="O85" s="167" t="s">
        <v>69</v>
      </c>
      <c r="P85" s="167" t="s">
        <v>69</v>
      </c>
      <c r="Q85" s="167">
        <v>3</v>
      </c>
      <c r="R85" s="167" t="s">
        <v>69</v>
      </c>
      <c r="S85" s="167" t="s">
        <v>69</v>
      </c>
      <c r="T85" s="167" t="s">
        <v>69</v>
      </c>
      <c r="U85" s="167" t="s">
        <v>69</v>
      </c>
      <c r="V85" s="167" t="s">
        <v>69</v>
      </c>
      <c r="W85" s="167" t="s">
        <v>69</v>
      </c>
      <c r="X85" s="167" t="s">
        <v>69</v>
      </c>
      <c r="Y85" s="167" t="s">
        <v>69</v>
      </c>
      <c r="Z85" s="167" t="s">
        <v>69</v>
      </c>
      <c r="AA85" s="167">
        <v>3</v>
      </c>
      <c r="AB85" s="167" t="s">
        <v>69</v>
      </c>
      <c r="AC85" s="167" t="s">
        <v>69</v>
      </c>
      <c r="AD85" s="167" t="s">
        <v>69</v>
      </c>
      <c r="AE85" s="167" t="s">
        <v>69</v>
      </c>
      <c r="AF85" s="167" t="s">
        <v>69</v>
      </c>
      <c r="AG85" s="167" t="s">
        <v>69</v>
      </c>
      <c r="AH85" s="167" t="s">
        <v>69</v>
      </c>
      <c r="AI85" s="167" t="s">
        <v>69</v>
      </c>
      <c r="AJ85" s="167" t="s">
        <v>69</v>
      </c>
      <c r="AK85" s="167" t="s">
        <v>69</v>
      </c>
      <c r="AL85" s="167" t="s">
        <v>69</v>
      </c>
      <c r="AM85" s="167" t="s">
        <v>69</v>
      </c>
      <c r="AN85" s="167" t="s">
        <v>69</v>
      </c>
      <c r="AO85" s="167" t="s">
        <v>69</v>
      </c>
      <c r="AP85" s="167" t="s">
        <v>69</v>
      </c>
      <c r="AQ85" s="167" t="s">
        <v>69</v>
      </c>
      <c r="AR85" s="167" t="s">
        <v>69</v>
      </c>
      <c r="AS85" s="167" t="s">
        <v>69</v>
      </c>
      <c r="AT85" s="167" t="s">
        <v>69</v>
      </c>
      <c r="AU85" s="167">
        <v>2</v>
      </c>
      <c r="AV85" s="167" t="s">
        <v>69</v>
      </c>
      <c r="AW85" s="167" t="s">
        <v>69</v>
      </c>
      <c r="AX85" s="167" t="s">
        <v>69</v>
      </c>
      <c r="AY85" s="167" t="s">
        <v>69</v>
      </c>
      <c r="AZ85" s="167" t="s">
        <v>69</v>
      </c>
      <c r="BA85" s="167" t="s">
        <v>69</v>
      </c>
      <c r="BB85" s="167" t="s">
        <v>69</v>
      </c>
      <c r="BC85" s="167" t="s">
        <v>69</v>
      </c>
      <c r="BD85" s="167">
        <v>2</v>
      </c>
      <c r="BE85" s="167" t="s">
        <v>69</v>
      </c>
      <c r="BF85" s="167" t="s">
        <v>69</v>
      </c>
      <c r="BG85" s="167">
        <v>3</v>
      </c>
      <c r="BH85" s="167" t="s">
        <v>69</v>
      </c>
      <c r="BI85" s="167" t="s">
        <v>69</v>
      </c>
      <c r="BJ85" s="167" t="s">
        <v>69</v>
      </c>
      <c r="BK85" s="167" t="s">
        <v>69</v>
      </c>
      <c r="BL85" s="167" t="s">
        <v>69</v>
      </c>
      <c r="BM85" s="167" t="s">
        <v>69</v>
      </c>
      <c r="BN85" s="167" t="s">
        <v>69</v>
      </c>
      <c r="BO85" s="167" t="s">
        <v>69</v>
      </c>
      <c r="BP85" s="167" t="s">
        <v>69</v>
      </c>
      <c r="BQ85" s="167" t="s">
        <v>69</v>
      </c>
      <c r="BR85" s="167" t="s">
        <v>69</v>
      </c>
      <c r="BS85" s="167" t="s">
        <v>69</v>
      </c>
      <c r="BT85" s="167" t="s">
        <v>69</v>
      </c>
      <c r="BU85" s="167" t="s">
        <v>69</v>
      </c>
      <c r="BV85" s="167" t="s">
        <v>69</v>
      </c>
      <c r="BW85" s="167" t="s">
        <v>69</v>
      </c>
      <c r="BX85" s="167" t="s">
        <v>69</v>
      </c>
      <c r="BY85" s="167" t="s">
        <v>69</v>
      </c>
      <c r="BZ85" s="167" t="s">
        <v>69</v>
      </c>
      <c r="CA85" s="167" t="s">
        <v>69</v>
      </c>
      <c r="CB85" s="167" t="s">
        <v>69</v>
      </c>
      <c r="CC85" s="167" t="s">
        <v>69</v>
      </c>
      <c r="CD85" s="167" t="s">
        <v>69</v>
      </c>
      <c r="CE85" s="167" t="s">
        <v>69</v>
      </c>
      <c r="CF85" s="167" t="s">
        <v>69</v>
      </c>
      <c r="CG85" s="167">
        <v>3</v>
      </c>
      <c r="CH85" s="167" t="s">
        <v>69</v>
      </c>
      <c r="CI85" s="167" t="s">
        <v>69</v>
      </c>
      <c r="CJ85" s="167" t="s">
        <v>69</v>
      </c>
      <c r="CK85" s="167" t="s">
        <v>69</v>
      </c>
      <c r="CL85" s="167" t="s">
        <v>69</v>
      </c>
      <c r="CM85" s="167" t="s">
        <v>69</v>
      </c>
      <c r="CN85" s="167" t="s">
        <v>69</v>
      </c>
      <c r="CO85" s="167" t="s">
        <v>69</v>
      </c>
      <c r="CP85" s="167" t="s">
        <v>69</v>
      </c>
      <c r="CQ85" s="167" t="s">
        <v>69</v>
      </c>
      <c r="CR85" s="167" t="s">
        <v>69</v>
      </c>
      <c r="CS85" s="167" t="s">
        <v>69</v>
      </c>
      <c r="CT85" s="167">
        <v>2</v>
      </c>
      <c r="CU85" s="167" t="s">
        <v>69</v>
      </c>
      <c r="CV85" s="167" t="s">
        <v>69</v>
      </c>
      <c r="CW85" s="167" t="s">
        <v>69</v>
      </c>
      <c r="CX85" s="167">
        <v>3</v>
      </c>
      <c r="CY85" s="167" t="s">
        <v>69</v>
      </c>
      <c r="CZ85" s="167" t="s">
        <v>69</v>
      </c>
      <c r="DA85" s="167" t="s">
        <v>69</v>
      </c>
      <c r="DB85" s="167" t="s">
        <v>69</v>
      </c>
      <c r="DC85" s="167" t="s">
        <v>69</v>
      </c>
      <c r="DD85" s="167" t="s">
        <v>69</v>
      </c>
      <c r="DE85" s="167" t="s">
        <v>69</v>
      </c>
      <c r="DF85" s="167" t="s">
        <v>69</v>
      </c>
      <c r="DG85" s="167" t="s">
        <v>69</v>
      </c>
      <c r="DH85" s="167" t="s">
        <v>69</v>
      </c>
      <c r="DI85" s="167" t="s">
        <v>69</v>
      </c>
      <c r="DJ85" s="167" t="s">
        <v>69</v>
      </c>
      <c r="DK85" s="167" t="s">
        <v>69</v>
      </c>
      <c r="DL85" s="167" t="s">
        <v>69</v>
      </c>
      <c r="DM85" s="167" t="s">
        <v>69</v>
      </c>
      <c r="DN85" s="167" t="s">
        <v>69</v>
      </c>
      <c r="DO85" s="167" t="s">
        <v>69</v>
      </c>
      <c r="DP85" s="167" t="s">
        <v>69</v>
      </c>
      <c r="DQ85" s="167" t="s">
        <v>69</v>
      </c>
      <c r="DR85" s="167" t="s">
        <v>69</v>
      </c>
      <c r="DS85" s="167" t="s">
        <v>69</v>
      </c>
      <c r="DT85" s="167" t="s">
        <v>69</v>
      </c>
      <c r="DU85" s="167" t="s">
        <v>69</v>
      </c>
      <c r="DV85" s="110">
        <f t="shared" si="2"/>
        <v>0.14516129032258066</v>
      </c>
      <c r="DW85" s="104">
        <f t="shared" si="3"/>
        <v>0.66666666666666663</v>
      </c>
    </row>
    <row r="86" spans="1:127" ht="42" hidden="1" customHeight="1" thickBot="1">
      <c r="A86" s="250" t="s">
        <v>729</v>
      </c>
      <c r="B86" s="242" t="s">
        <v>730</v>
      </c>
      <c r="C86" s="208">
        <v>45721</v>
      </c>
      <c r="D86" s="220" t="s">
        <v>434</v>
      </c>
      <c r="E86" s="256" t="s">
        <v>899</v>
      </c>
      <c r="F86" s="167">
        <v>3</v>
      </c>
      <c r="G86" s="167" t="s">
        <v>69</v>
      </c>
      <c r="H86" s="167">
        <v>3</v>
      </c>
      <c r="I86" s="167">
        <v>2</v>
      </c>
      <c r="J86" s="167" t="s">
        <v>69</v>
      </c>
      <c r="K86" s="167" t="s">
        <v>69</v>
      </c>
      <c r="L86" s="167" t="s">
        <v>69</v>
      </c>
      <c r="M86" s="167" t="s">
        <v>69</v>
      </c>
      <c r="N86" s="167" t="s">
        <v>69</v>
      </c>
      <c r="O86" s="167">
        <v>3</v>
      </c>
      <c r="P86" s="167" t="s">
        <v>69</v>
      </c>
      <c r="Q86" s="167" t="s">
        <v>69</v>
      </c>
      <c r="R86" s="167" t="s">
        <v>69</v>
      </c>
      <c r="S86" s="167" t="s">
        <v>69</v>
      </c>
      <c r="T86" s="167" t="s">
        <v>69</v>
      </c>
      <c r="U86" s="167" t="s">
        <v>69</v>
      </c>
      <c r="V86" s="167" t="s">
        <v>69</v>
      </c>
      <c r="W86" s="167" t="s">
        <v>69</v>
      </c>
      <c r="X86" s="167" t="s">
        <v>69</v>
      </c>
      <c r="Y86" s="167" t="s">
        <v>69</v>
      </c>
      <c r="Z86" s="167" t="s">
        <v>69</v>
      </c>
      <c r="AA86" s="167" t="s">
        <v>69</v>
      </c>
      <c r="AB86" s="167">
        <v>3</v>
      </c>
      <c r="AC86" s="167" t="s">
        <v>69</v>
      </c>
      <c r="AD86" s="167" t="s">
        <v>69</v>
      </c>
      <c r="AE86" s="167" t="s">
        <v>69</v>
      </c>
      <c r="AF86" s="167" t="s">
        <v>69</v>
      </c>
      <c r="AG86" s="167" t="s">
        <v>69</v>
      </c>
      <c r="AH86" s="167" t="s">
        <v>69</v>
      </c>
      <c r="AI86" s="167" t="s">
        <v>69</v>
      </c>
      <c r="AJ86" s="167" t="s">
        <v>69</v>
      </c>
      <c r="AK86" s="167" t="s">
        <v>69</v>
      </c>
      <c r="AL86" s="167" t="s">
        <v>69</v>
      </c>
      <c r="AM86" s="167" t="s">
        <v>69</v>
      </c>
      <c r="AN86" s="167" t="s">
        <v>69</v>
      </c>
      <c r="AO86" s="167" t="s">
        <v>69</v>
      </c>
      <c r="AP86" s="167" t="s">
        <v>69</v>
      </c>
      <c r="AQ86" s="167" t="s">
        <v>69</v>
      </c>
      <c r="AR86" s="167" t="s">
        <v>69</v>
      </c>
      <c r="AS86" s="167">
        <v>3</v>
      </c>
      <c r="AT86" s="167" t="s">
        <v>69</v>
      </c>
      <c r="AU86" s="167" t="s">
        <v>69</v>
      </c>
      <c r="AV86" s="167" t="s">
        <v>69</v>
      </c>
      <c r="AW86" s="167" t="s">
        <v>69</v>
      </c>
      <c r="AX86" s="167">
        <v>3</v>
      </c>
      <c r="AY86" s="167">
        <v>3</v>
      </c>
      <c r="AZ86" s="167" t="s">
        <v>69</v>
      </c>
      <c r="BA86" s="167" t="s">
        <v>69</v>
      </c>
      <c r="BB86" s="167" t="s">
        <v>69</v>
      </c>
      <c r="BC86" s="167" t="s">
        <v>69</v>
      </c>
      <c r="BD86" s="167">
        <v>3</v>
      </c>
      <c r="BE86" s="167">
        <v>3</v>
      </c>
      <c r="BF86" s="167" t="s">
        <v>69</v>
      </c>
      <c r="BG86" s="167" t="s">
        <v>69</v>
      </c>
      <c r="BH86" s="167" t="s">
        <v>69</v>
      </c>
      <c r="BI86" s="167" t="s">
        <v>69</v>
      </c>
      <c r="BJ86" s="167" t="s">
        <v>69</v>
      </c>
      <c r="BK86" s="167" t="s">
        <v>69</v>
      </c>
      <c r="BL86" s="167" t="s">
        <v>69</v>
      </c>
      <c r="BM86" s="167" t="s">
        <v>69</v>
      </c>
      <c r="BN86" s="167" t="s">
        <v>69</v>
      </c>
      <c r="BO86" s="167" t="s">
        <v>69</v>
      </c>
      <c r="BP86" s="167" t="s">
        <v>69</v>
      </c>
      <c r="BQ86" s="167" t="s">
        <v>69</v>
      </c>
      <c r="BR86" s="167" t="s">
        <v>69</v>
      </c>
      <c r="BS86" s="167" t="s">
        <v>69</v>
      </c>
      <c r="BT86" s="167" t="s">
        <v>69</v>
      </c>
      <c r="BU86" s="167" t="s">
        <v>69</v>
      </c>
      <c r="BV86" s="167" t="s">
        <v>69</v>
      </c>
      <c r="BW86" s="167" t="s">
        <v>69</v>
      </c>
      <c r="BX86" s="167" t="s">
        <v>69</v>
      </c>
      <c r="BY86" s="167" t="s">
        <v>69</v>
      </c>
      <c r="BZ86" s="167" t="s">
        <v>69</v>
      </c>
      <c r="CA86" s="167" t="s">
        <v>69</v>
      </c>
      <c r="CB86" s="167" t="s">
        <v>69</v>
      </c>
      <c r="CC86" s="167" t="s">
        <v>69</v>
      </c>
      <c r="CD86" s="167" t="s">
        <v>69</v>
      </c>
      <c r="CE86" s="167" t="s">
        <v>69</v>
      </c>
      <c r="CF86" s="167" t="s">
        <v>69</v>
      </c>
      <c r="CG86" s="167">
        <v>2</v>
      </c>
      <c r="CH86" s="167" t="s">
        <v>69</v>
      </c>
      <c r="CI86" s="167" t="s">
        <v>69</v>
      </c>
      <c r="CJ86" s="167" t="s">
        <v>69</v>
      </c>
      <c r="CK86" s="167" t="s">
        <v>69</v>
      </c>
      <c r="CL86" s="167" t="s">
        <v>69</v>
      </c>
      <c r="CM86" s="167" t="s">
        <v>69</v>
      </c>
      <c r="CN86" s="167" t="s">
        <v>69</v>
      </c>
      <c r="CO86" s="167" t="s">
        <v>69</v>
      </c>
      <c r="CP86" s="167">
        <v>3</v>
      </c>
      <c r="CQ86" s="167" t="s">
        <v>69</v>
      </c>
      <c r="CR86" s="167" t="s">
        <v>69</v>
      </c>
      <c r="CS86" s="167">
        <v>2</v>
      </c>
      <c r="CT86" s="167">
        <v>2</v>
      </c>
      <c r="CU86" s="167" t="s">
        <v>69</v>
      </c>
      <c r="CV86" s="167" t="s">
        <v>69</v>
      </c>
      <c r="CW86" s="167" t="s">
        <v>69</v>
      </c>
      <c r="CX86" s="167">
        <v>3</v>
      </c>
      <c r="CY86" s="167" t="s">
        <v>69</v>
      </c>
      <c r="CZ86" s="167" t="s">
        <v>69</v>
      </c>
      <c r="DA86" s="167" t="s">
        <v>69</v>
      </c>
      <c r="DB86" s="167" t="s">
        <v>69</v>
      </c>
      <c r="DC86" s="167" t="s">
        <v>69</v>
      </c>
      <c r="DD86" s="167" t="s">
        <v>69</v>
      </c>
      <c r="DE86" s="167" t="s">
        <v>69</v>
      </c>
      <c r="DF86" s="167" t="s">
        <v>69</v>
      </c>
      <c r="DG86" s="167" t="s">
        <v>69</v>
      </c>
      <c r="DH86" s="167" t="s">
        <v>69</v>
      </c>
      <c r="DI86" s="167" t="s">
        <v>69</v>
      </c>
      <c r="DJ86" s="167" t="s">
        <v>69</v>
      </c>
      <c r="DK86" s="167" t="s">
        <v>69</v>
      </c>
      <c r="DL86" s="167" t="s">
        <v>69</v>
      </c>
      <c r="DM86" s="167" t="s">
        <v>69</v>
      </c>
      <c r="DN86" s="167" t="s">
        <v>69</v>
      </c>
      <c r="DO86" s="167" t="s">
        <v>69</v>
      </c>
      <c r="DP86" s="167" t="s">
        <v>69</v>
      </c>
      <c r="DQ86" s="167" t="s">
        <v>69</v>
      </c>
      <c r="DR86" s="167" t="s">
        <v>69</v>
      </c>
      <c r="DS86" s="167" t="s">
        <v>69</v>
      </c>
      <c r="DT86" s="167">
        <v>2</v>
      </c>
      <c r="DU86" s="167" t="s">
        <v>69</v>
      </c>
      <c r="DV86" s="110">
        <f t="shared" si="2"/>
        <v>0.25806451612903225</v>
      </c>
      <c r="DW86" s="104">
        <f t="shared" si="3"/>
        <v>0.6875</v>
      </c>
    </row>
    <row r="87" spans="1:127" ht="42" hidden="1" customHeight="1" thickBot="1">
      <c r="A87" s="250" t="s">
        <v>756</v>
      </c>
      <c r="B87" s="242" t="s">
        <v>757</v>
      </c>
      <c r="C87" s="208">
        <v>45721</v>
      </c>
      <c r="D87" s="220" t="s">
        <v>434</v>
      </c>
      <c r="E87" s="256" t="s">
        <v>899</v>
      </c>
      <c r="F87" s="167">
        <v>2</v>
      </c>
      <c r="G87" s="167" t="s">
        <v>69</v>
      </c>
      <c r="H87" s="167">
        <v>2</v>
      </c>
      <c r="I87" s="167" t="s">
        <v>69</v>
      </c>
      <c r="J87" s="167" t="s">
        <v>69</v>
      </c>
      <c r="K87" s="167" t="s">
        <v>69</v>
      </c>
      <c r="L87" s="167" t="s">
        <v>69</v>
      </c>
      <c r="M87" s="167" t="s">
        <v>69</v>
      </c>
      <c r="N87" s="167" t="s">
        <v>69</v>
      </c>
      <c r="O87" s="167" t="s">
        <v>69</v>
      </c>
      <c r="P87" s="167" t="s">
        <v>69</v>
      </c>
      <c r="Q87" s="167" t="s">
        <v>69</v>
      </c>
      <c r="R87" s="167" t="s">
        <v>69</v>
      </c>
      <c r="S87" s="167" t="s">
        <v>69</v>
      </c>
      <c r="T87" s="167" t="s">
        <v>69</v>
      </c>
      <c r="U87" s="167" t="s">
        <v>69</v>
      </c>
      <c r="V87" s="167" t="s">
        <v>69</v>
      </c>
      <c r="W87" s="167" t="s">
        <v>69</v>
      </c>
      <c r="X87" s="167" t="s">
        <v>69</v>
      </c>
      <c r="Y87" s="167" t="s">
        <v>69</v>
      </c>
      <c r="Z87" s="167" t="s">
        <v>69</v>
      </c>
      <c r="AA87" s="167" t="s">
        <v>69</v>
      </c>
      <c r="AB87" s="167" t="s">
        <v>69</v>
      </c>
      <c r="AC87" s="167" t="s">
        <v>69</v>
      </c>
      <c r="AD87" s="167" t="s">
        <v>69</v>
      </c>
      <c r="AE87" s="167" t="s">
        <v>69</v>
      </c>
      <c r="AF87" s="167">
        <v>3</v>
      </c>
      <c r="AG87" s="167">
        <v>3</v>
      </c>
      <c r="AH87" s="167" t="s">
        <v>69</v>
      </c>
      <c r="AI87" s="167" t="s">
        <v>69</v>
      </c>
      <c r="AJ87" s="167" t="s">
        <v>69</v>
      </c>
      <c r="AK87" s="167" t="s">
        <v>69</v>
      </c>
      <c r="AL87" s="167" t="s">
        <v>69</v>
      </c>
      <c r="AM87" s="167" t="s">
        <v>69</v>
      </c>
      <c r="AN87" s="167" t="s">
        <v>69</v>
      </c>
      <c r="AO87" s="167" t="s">
        <v>69</v>
      </c>
      <c r="AP87" s="167" t="s">
        <v>69</v>
      </c>
      <c r="AQ87" s="167" t="s">
        <v>69</v>
      </c>
      <c r="AR87" s="167" t="s">
        <v>69</v>
      </c>
      <c r="AS87" s="167" t="s">
        <v>69</v>
      </c>
      <c r="AT87" s="167" t="s">
        <v>69</v>
      </c>
      <c r="AU87" s="167">
        <v>2</v>
      </c>
      <c r="AV87" s="167" t="s">
        <v>69</v>
      </c>
      <c r="AW87" s="167" t="s">
        <v>69</v>
      </c>
      <c r="AX87" s="167" t="s">
        <v>69</v>
      </c>
      <c r="AY87" s="167" t="s">
        <v>69</v>
      </c>
      <c r="AZ87" s="167" t="s">
        <v>69</v>
      </c>
      <c r="BA87" s="167" t="s">
        <v>69</v>
      </c>
      <c r="BB87" s="167" t="s">
        <v>69</v>
      </c>
      <c r="BC87" s="167" t="s">
        <v>69</v>
      </c>
      <c r="BD87" s="167" t="s">
        <v>69</v>
      </c>
      <c r="BE87" s="167" t="s">
        <v>69</v>
      </c>
      <c r="BF87" s="167" t="s">
        <v>69</v>
      </c>
      <c r="BG87" s="167" t="s">
        <v>69</v>
      </c>
      <c r="BH87" s="167" t="s">
        <v>69</v>
      </c>
      <c r="BI87" s="167">
        <v>2</v>
      </c>
      <c r="BJ87" s="167">
        <v>2</v>
      </c>
      <c r="BK87" s="167">
        <v>2</v>
      </c>
      <c r="BL87" s="167" t="s">
        <v>69</v>
      </c>
      <c r="BM87" s="167" t="s">
        <v>69</v>
      </c>
      <c r="BN87" s="167">
        <v>2</v>
      </c>
      <c r="BO87" s="167" t="s">
        <v>69</v>
      </c>
      <c r="BP87" s="167" t="s">
        <v>69</v>
      </c>
      <c r="BQ87" s="167" t="s">
        <v>69</v>
      </c>
      <c r="BR87" s="167">
        <v>2</v>
      </c>
      <c r="BS87" s="167" t="s">
        <v>69</v>
      </c>
      <c r="BT87" s="167" t="s">
        <v>69</v>
      </c>
      <c r="BU87" s="167" t="s">
        <v>69</v>
      </c>
      <c r="BV87" s="167" t="s">
        <v>69</v>
      </c>
      <c r="BW87" s="167" t="s">
        <v>69</v>
      </c>
      <c r="BX87" s="167" t="s">
        <v>69</v>
      </c>
      <c r="BY87" s="167" t="s">
        <v>69</v>
      </c>
      <c r="BZ87" s="167" t="s">
        <v>69</v>
      </c>
      <c r="CA87" s="167" t="s">
        <v>69</v>
      </c>
      <c r="CB87" s="167" t="s">
        <v>69</v>
      </c>
      <c r="CC87" s="167" t="s">
        <v>69</v>
      </c>
      <c r="CD87" s="167" t="s">
        <v>69</v>
      </c>
      <c r="CE87" s="167" t="s">
        <v>69</v>
      </c>
      <c r="CF87" s="167" t="s">
        <v>69</v>
      </c>
      <c r="CG87" s="167">
        <v>3</v>
      </c>
      <c r="CH87" s="167" t="s">
        <v>69</v>
      </c>
      <c r="CI87" s="167" t="s">
        <v>69</v>
      </c>
      <c r="CJ87" s="167" t="s">
        <v>69</v>
      </c>
      <c r="CK87" s="167" t="s">
        <v>69</v>
      </c>
      <c r="CL87" s="167" t="s">
        <v>69</v>
      </c>
      <c r="CM87" s="167" t="s">
        <v>69</v>
      </c>
      <c r="CN87" s="167" t="s">
        <v>69</v>
      </c>
      <c r="CO87" s="167" t="s">
        <v>69</v>
      </c>
      <c r="CP87" s="167" t="s">
        <v>69</v>
      </c>
      <c r="CQ87" s="167" t="s">
        <v>69</v>
      </c>
      <c r="CR87" s="167" t="s">
        <v>69</v>
      </c>
      <c r="CS87" s="167" t="s">
        <v>69</v>
      </c>
      <c r="CT87" s="167" t="s">
        <v>69</v>
      </c>
      <c r="CU87" s="167" t="s">
        <v>69</v>
      </c>
      <c r="CV87" s="167" t="s">
        <v>69</v>
      </c>
      <c r="CW87" s="167" t="s">
        <v>69</v>
      </c>
      <c r="CX87" s="167" t="s">
        <v>69</v>
      </c>
      <c r="CY87" s="167" t="s">
        <v>69</v>
      </c>
      <c r="CZ87" s="167" t="s">
        <v>69</v>
      </c>
      <c r="DA87" s="167">
        <v>4</v>
      </c>
      <c r="DB87" s="167">
        <v>3</v>
      </c>
      <c r="DC87" s="167">
        <v>2</v>
      </c>
      <c r="DD87" s="167" t="s">
        <v>69</v>
      </c>
      <c r="DE87" s="167" t="s">
        <v>69</v>
      </c>
      <c r="DF87" s="167">
        <v>2</v>
      </c>
      <c r="DG87" s="167" t="s">
        <v>69</v>
      </c>
      <c r="DH87" s="167" t="s">
        <v>69</v>
      </c>
      <c r="DI87" s="167" t="s">
        <v>69</v>
      </c>
      <c r="DJ87" s="167" t="s">
        <v>69</v>
      </c>
      <c r="DK87" s="167" t="s">
        <v>69</v>
      </c>
      <c r="DL87" s="167" t="s">
        <v>69</v>
      </c>
      <c r="DM87" s="167" t="s">
        <v>69</v>
      </c>
      <c r="DN87" s="167" t="s">
        <v>69</v>
      </c>
      <c r="DO87" s="167" t="s">
        <v>69</v>
      </c>
      <c r="DP87" s="167" t="s">
        <v>69</v>
      </c>
      <c r="DQ87" s="167" t="s">
        <v>69</v>
      </c>
      <c r="DR87" s="167" t="s">
        <v>69</v>
      </c>
      <c r="DS87" s="167" t="s">
        <v>69</v>
      </c>
      <c r="DT87" s="167" t="s">
        <v>69</v>
      </c>
      <c r="DU87" s="167" t="s">
        <v>69</v>
      </c>
      <c r="DV87" s="110">
        <f t="shared" si="2"/>
        <v>0.24193548387096775</v>
      </c>
      <c r="DW87" s="104">
        <f t="shared" si="3"/>
        <v>0.33333333333333331</v>
      </c>
    </row>
    <row r="88" spans="1:127" ht="42" hidden="1" customHeight="1" thickBot="1">
      <c r="A88" s="250" t="s">
        <v>800</v>
      </c>
      <c r="B88" s="242" t="s">
        <v>801</v>
      </c>
      <c r="C88" s="208">
        <v>45945</v>
      </c>
      <c r="D88" s="220" t="s">
        <v>434</v>
      </c>
      <c r="E88" s="256" t="s">
        <v>899</v>
      </c>
      <c r="F88" s="167" t="s">
        <v>69</v>
      </c>
      <c r="G88" s="167" t="s">
        <v>69</v>
      </c>
      <c r="H88" s="167" t="s">
        <v>69</v>
      </c>
      <c r="I88" s="167" t="s">
        <v>69</v>
      </c>
      <c r="J88" s="167" t="s">
        <v>69</v>
      </c>
      <c r="K88" s="167" t="s">
        <v>69</v>
      </c>
      <c r="L88" s="167" t="s">
        <v>69</v>
      </c>
      <c r="M88" s="167" t="s">
        <v>69</v>
      </c>
      <c r="N88" s="167" t="s">
        <v>69</v>
      </c>
      <c r="O88" s="167" t="s">
        <v>69</v>
      </c>
      <c r="P88" s="167" t="s">
        <v>69</v>
      </c>
      <c r="Q88" s="167" t="s">
        <v>69</v>
      </c>
      <c r="R88" s="167" t="s">
        <v>69</v>
      </c>
      <c r="S88" s="167" t="s">
        <v>69</v>
      </c>
      <c r="T88" s="167" t="s">
        <v>69</v>
      </c>
      <c r="U88" s="167" t="s">
        <v>69</v>
      </c>
      <c r="V88" s="167" t="s">
        <v>69</v>
      </c>
      <c r="W88" s="167" t="s">
        <v>69</v>
      </c>
      <c r="X88" s="167" t="s">
        <v>69</v>
      </c>
      <c r="Y88" s="167" t="s">
        <v>69</v>
      </c>
      <c r="Z88" s="167" t="s">
        <v>69</v>
      </c>
      <c r="AA88" s="167" t="s">
        <v>69</v>
      </c>
      <c r="AB88" s="167" t="s">
        <v>69</v>
      </c>
      <c r="AC88" s="167" t="s">
        <v>69</v>
      </c>
      <c r="AD88" s="167" t="s">
        <v>69</v>
      </c>
      <c r="AE88" s="167" t="s">
        <v>69</v>
      </c>
      <c r="AF88" s="167" t="s">
        <v>69</v>
      </c>
      <c r="AG88" s="167" t="s">
        <v>69</v>
      </c>
      <c r="AH88" s="167" t="s">
        <v>69</v>
      </c>
      <c r="AI88" s="167" t="s">
        <v>69</v>
      </c>
      <c r="AJ88" s="167" t="s">
        <v>69</v>
      </c>
      <c r="AK88" s="167" t="s">
        <v>69</v>
      </c>
      <c r="AL88" s="167" t="s">
        <v>69</v>
      </c>
      <c r="AM88" s="167" t="s">
        <v>69</v>
      </c>
      <c r="AN88" s="167" t="s">
        <v>69</v>
      </c>
      <c r="AO88" s="167" t="s">
        <v>69</v>
      </c>
      <c r="AP88" s="167" t="s">
        <v>69</v>
      </c>
      <c r="AQ88" s="167" t="s">
        <v>69</v>
      </c>
      <c r="AR88" s="167" t="s">
        <v>69</v>
      </c>
      <c r="AS88" s="167" t="s">
        <v>69</v>
      </c>
      <c r="AT88" s="167" t="s">
        <v>69</v>
      </c>
      <c r="AU88" s="167" t="s">
        <v>69</v>
      </c>
      <c r="AV88" s="167" t="s">
        <v>69</v>
      </c>
      <c r="AW88" s="167" t="s">
        <v>69</v>
      </c>
      <c r="AX88" s="167" t="s">
        <v>69</v>
      </c>
      <c r="AY88" s="167" t="s">
        <v>69</v>
      </c>
      <c r="AZ88" s="167" t="s">
        <v>69</v>
      </c>
      <c r="BA88" s="167" t="s">
        <v>69</v>
      </c>
      <c r="BB88" s="167" t="s">
        <v>69</v>
      </c>
      <c r="BC88" s="167" t="s">
        <v>69</v>
      </c>
      <c r="BD88" s="167" t="s">
        <v>69</v>
      </c>
      <c r="BE88" s="167" t="s">
        <v>69</v>
      </c>
      <c r="BF88" s="167" t="s">
        <v>69</v>
      </c>
      <c r="BG88" s="167" t="s">
        <v>69</v>
      </c>
      <c r="BH88" s="167" t="s">
        <v>69</v>
      </c>
      <c r="BI88" s="167" t="s">
        <v>69</v>
      </c>
      <c r="BJ88" s="167" t="s">
        <v>69</v>
      </c>
      <c r="BK88" s="167" t="s">
        <v>69</v>
      </c>
      <c r="BL88" s="167" t="s">
        <v>69</v>
      </c>
      <c r="BM88" s="167" t="s">
        <v>69</v>
      </c>
      <c r="BN88" s="167" t="s">
        <v>69</v>
      </c>
      <c r="BO88" s="167" t="s">
        <v>69</v>
      </c>
      <c r="BP88" s="167" t="s">
        <v>69</v>
      </c>
      <c r="BQ88" s="167" t="s">
        <v>69</v>
      </c>
      <c r="BR88" s="167" t="s">
        <v>69</v>
      </c>
      <c r="BS88" s="167" t="s">
        <v>69</v>
      </c>
      <c r="BT88" s="167" t="s">
        <v>69</v>
      </c>
      <c r="BU88" s="167" t="s">
        <v>69</v>
      </c>
      <c r="BV88" s="167" t="s">
        <v>69</v>
      </c>
      <c r="BW88" s="167" t="s">
        <v>69</v>
      </c>
      <c r="BX88" s="167" t="s">
        <v>69</v>
      </c>
      <c r="BY88" s="167" t="s">
        <v>69</v>
      </c>
      <c r="BZ88" s="167" t="s">
        <v>69</v>
      </c>
      <c r="CA88" s="167" t="s">
        <v>69</v>
      </c>
      <c r="CB88" s="167" t="s">
        <v>69</v>
      </c>
      <c r="CC88" s="167" t="s">
        <v>69</v>
      </c>
      <c r="CD88" s="167" t="s">
        <v>69</v>
      </c>
      <c r="CE88" s="167" t="s">
        <v>69</v>
      </c>
      <c r="CF88" s="167" t="s">
        <v>69</v>
      </c>
      <c r="CG88" s="167" t="s">
        <v>69</v>
      </c>
      <c r="CH88" s="167" t="s">
        <v>69</v>
      </c>
      <c r="CI88" s="167" t="s">
        <v>69</v>
      </c>
      <c r="CJ88" s="167" t="s">
        <v>69</v>
      </c>
      <c r="CK88" s="167" t="s">
        <v>69</v>
      </c>
      <c r="CL88" s="167" t="s">
        <v>69</v>
      </c>
      <c r="CM88" s="167" t="s">
        <v>69</v>
      </c>
      <c r="CN88" s="167" t="s">
        <v>69</v>
      </c>
      <c r="CO88" s="167">
        <v>2</v>
      </c>
      <c r="CP88" s="167">
        <v>2</v>
      </c>
      <c r="CQ88" s="167" t="s">
        <v>69</v>
      </c>
      <c r="CR88" s="167" t="s">
        <v>69</v>
      </c>
      <c r="CS88" s="167" t="s">
        <v>69</v>
      </c>
      <c r="CT88" s="167" t="s">
        <v>69</v>
      </c>
      <c r="CU88" s="167" t="s">
        <v>69</v>
      </c>
      <c r="CV88" s="167" t="s">
        <v>69</v>
      </c>
      <c r="CW88" s="167" t="s">
        <v>69</v>
      </c>
      <c r="CX88" s="167" t="s">
        <v>69</v>
      </c>
      <c r="CY88" s="167" t="s">
        <v>69</v>
      </c>
      <c r="CZ88" s="167" t="s">
        <v>69</v>
      </c>
      <c r="DA88" s="167" t="s">
        <v>69</v>
      </c>
      <c r="DB88" s="167" t="s">
        <v>69</v>
      </c>
      <c r="DC88" s="167" t="s">
        <v>69</v>
      </c>
      <c r="DD88" s="167" t="s">
        <v>69</v>
      </c>
      <c r="DE88" s="167" t="s">
        <v>69</v>
      </c>
      <c r="DF88" s="167" t="s">
        <v>69</v>
      </c>
      <c r="DG88" s="167" t="s">
        <v>69</v>
      </c>
      <c r="DH88" s="167" t="s">
        <v>69</v>
      </c>
      <c r="DI88" s="167" t="s">
        <v>69</v>
      </c>
      <c r="DJ88" s="167" t="s">
        <v>69</v>
      </c>
      <c r="DK88" s="167" t="s">
        <v>69</v>
      </c>
      <c r="DL88" s="167" t="s">
        <v>69</v>
      </c>
      <c r="DM88" s="167" t="s">
        <v>69</v>
      </c>
      <c r="DN88" s="167" t="s">
        <v>69</v>
      </c>
      <c r="DO88" s="167" t="s">
        <v>69</v>
      </c>
      <c r="DP88" s="167" t="s">
        <v>69</v>
      </c>
      <c r="DQ88" s="167" t="s">
        <v>69</v>
      </c>
      <c r="DR88" s="167" t="s">
        <v>69</v>
      </c>
      <c r="DS88" s="167" t="s">
        <v>69</v>
      </c>
      <c r="DT88" s="167" t="s">
        <v>69</v>
      </c>
      <c r="DU88" s="167" t="s">
        <v>69</v>
      </c>
      <c r="DV88" s="110">
        <f t="shared" si="2"/>
        <v>3.2258064516129031E-2</v>
      </c>
      <c r="DW88" s="104">
        <f t="shared" si="3"/>
        <v>0</v>
      </c>
    </row>
    <row r="89" spans="1:127" ht="42" hidden="1" customHeight="1" thickBot="1">
      <c r="A89" s="250" t="s">
        <v>802</v>
      </c>
      <c r="B89" s="242" t="s">
        <v>803</v>
      </c>
      <c r="C89" s="208">
        <v>45945</v>
      </c>
      <c r="D89" s="220" t="s">
        <v>434</v>
      </c>
      <c r="E89" s="256" t="s">
        <v>900</v>
      </c>
      <c r="F89" s="167" t="s">
        <v>69</v>
      </c>
      <c r="G89" s="167" t="s">
        <v>69</v>
      </c>
      <c r="H89" s="167" t="s">
        <v>69</v>
      </c>
      <c r="I89" s="167" t="s">
        <v>69</v>
      </c>
      <c r="J89" s="167" t="s">
        <v>69</v>
      </c>
      <c r="K89" s="167" t="s">
        <v>69</v>
      </c>
      <c r="L89" s="167" t="s">
        <v>69</v>
      </c>
      <c r="M89" s="167">
        <v>2</v>
      </c>
      <c r="N89" s="167" t="s">
        <v>69</v>
      </c>
      <c r="O89" s="167" t="s">
        <v>69</v>
      </c>
      <c r="P89" s="167" t="s">
        <v>69</v>
      </c>
      <c r="Q89" s="167" t="s">
        <v>69</v>
      </c>
      <c r="R89" s="167" t="s">
        <v>69</v>
      </c>
      <c r="S89" s="167" t="s">
        <v>69</v>
      </c>
      <c r="T89" s="167" t="s">
        <v>69</v>
      </c>
      <c r="U89" s="167" t="s">
        <v>69</v>
      </c>
      <c r="V89" s="167" t="s">
        <v>69</v>
      </c>
      <c r="W89" s="167" t="s">
        <v>69</v>
      </c>
      <c r="X89" s="167" t="s">
        <v>69</v>
      </c>
      <c r="Y89" s="167" t="s">
        <v>69</v>
      </c>
      <c r="Z89" s="167" t="s">
        <v>69</v>
      </c>
      <c r="AA89" s="167" t="s">
        <v>69</v>
      </c>
      <c r="AB89" s="167" t="s">
        <v>69</v>
      </c>
      <c r="AC89" s="167" t="s">
        <v>69</v>
      </c>
      <c r="AD89" s="167" t="s">
        <v>69</v>
      </c>
      <c r="AE89" s="167" t="s">
        <v>69</v>
      </c>
      <c r="AF89" s="167" t="s">
        <v>69</v>
      </c>
      <c r="AG89" s="167" t="s">
        <v>69</v>
      </c>
      <c r="AH89" s="167" t="s">
        <v>69</v>
      </c>
      <c r="AI89" s="167" t="s">
        <v>69</v>
      </c>
      <c r="AJ89" s="167" t="s">
        <v>69</v>
      </c>
      <c r="AK89" s="167" t="s">
        <v>69</v>
      </c>
      <c r="AL89" s="167" t="s">
        <v>69</v>
      </c>
      <c r="AM89" s="167" t="s">
        <v>69</v>
      </c>
      <c r="AN89" s="167" t="s">
        <v>69</v>
      </c>
      <c r="AO89" s="167" t="s">
        <v>69</v>
      </c>
      <c r="AP89" s="167" t="s">
        <v>69</v>
      </c>
      <c r="AQ89" s="167" t="s">
        <v>69</v>
      </c>
      <c r="AR89" s="167" t="s">
        <v>69</v>
      </c>
      <c r="AS89" s="167" t="s">
        <v>69</v>
      </c>
      <c r="AT89" s="167" t="s">
        <v>69</v>
      </c>
      <c r="AU89" s="167" t="s">
        <v>69</v>
      </c>
      <c r="AV89" s="167" t="s">
        <v>69</v>
      </c>
      <c r="AW89" s="167" t="s">
        <v>69</v>
      </c>
      <c r="AX89" s="167" t="s">
        <v>69</v>
      </c>
      <c r="AY89" s="167" t="s">
        <v>69</v>
      </c>
      <c r="AZ89" s="167" t="s">
        <v>69</v>
      </c>
      <c r="BA89" s="167" t="s">
        <v>69</v>
      </c>
      <c r="BB89" s="167" t="s">
        <v>69</v>
      </c>
      <c r="BC89" s="167" t="s">
        <v>69</v>
      </c>
      <c r="BD89" s="167" t="s">
        <v>69</v>
      </c>
      <c r="BE89" s="167" t="s">
        <v>69</v>
      </c>
      <c r="BF89" s="167" t="s">
        <v>69</v>
      </c>
      <c r="BG89" s="167" t="s">
        <v>69</v>
      </c>
      <c r="BH89" s="167" t="s">
        <v>69</v>
      </c>
      <c r="BI89" s="167" t="s">
        <v>69</v>
      </c>
      <c r="BJ89" s="167" t="s">
        <v>69</v>
      </c>
      <c r="BK89" s="167" t="s">
        <v>69</v>
      </c>
      <c r="BL89" s="167" t="s">
        <v>69</v>
      </c>
      <c r="BM89" s="167" t="s">
        <v>69</v>
      </c>
      <c r="BN89" s="167" t="s">
        <v>69</v>
      </c>
      <c r="BO89" s="167" t="s">
        <v>69</v>
      </c>
      <c r="BP89" s="167" t="s">
        <v>69</v>
      </c>
      <c r="BQ89" s="167" t="s">
        <v>69</v>
      </c>
      <c r="BR89" s="167" t="s">
        <v>69</v>
      </c>
      <c r="BS89" s="167" t="s">
        <v>69</v>
      </c>
      <c r="BT89" s="167" t="s">
        <v>69</v>
      </c>
      <c r="BU89" s="167" t="s">
        <v>69</v>
      </c>
      <c r="BV89" s="167" t="s">
        <v>69</v>
      </c>
      <c r="BW89" s="167" t="s">
        <v>69</v>
      </c>
      <c r="BX89" s="167" t="s">
        <v>69</v>
      </c>
      <c r="BY89" s="167" t="s">
        <v>69</v>
      </c>
      <c r="BZ89" s="167" t="s">
        <v>69</v>
      </c>
      <c r="CA89" s="167" t="s">
        <v>69</v>
      </c>
      <c r="CB89" s="167" t="s">
        <v>69</v>
      </c>
      <c r="CC89" s="167" t="s">
        <v>69</v>
      </c>
      <c r="CD89" s="167" t="s">
        <v>69</v>
      </c>
      <c r="CE89" s="167" t="s">
        <v>69</v>
      </c>
      <c r="CF89" s="167" t="s">
        <v>69</v>
      </c>
      <c r="CG89" s="167" t="s">
        <v>69</v>
      </c>
      <c r="CH89" s="167" t="s">
        <v>69</v>
      </c>
      <c r="CI89" s="167" t="s">
        <v>69</v>
      </c>
      <c r="CJ89" s="167" t="s">
        <v>69</v>
      </c>
      <c r="CK89" s="167" t="s">
        <v>69</v>
      </c>
      <c r="CL89" s="167" t="s">
        <v>69</v>
      </c>
      <c r="CM89" s="167" t="s">
        <v>69</v>
      </c>
      <c r="CN89" s="167" t="s">
        <v>69</v>
      </c>
      <c r="CO89" s="167" t="s">
        <v>69</v>
      </c>
      <c r="CP89" s="167">
        <v>2</v>
      </c>
      <c r="CQ89" s="167" t="s">
        <v>69</v>
      </c>
      <c r="CR89" s="167" t="s">
        <v>69</v>
      </c>
      <c r="CS89" s="167">
        <v>2</v>
      </c>
      <c r="CT89" s="167" t="s">
        <v>69</v>
      </c>
      <c r="CU89" s="167" t="s">
        <v>69</v>
      </c>
      <c r="CV89" s="167" t="s">
        <v>69</v>
      </c>
      <c r="CW89" s="167" t="s">
        <v>69</v>
      </c>
      <c r="CX89" s="167">
        <v>2</v>
      </c>
      <c r="CY89" s="167" t="s">
        <v>69</v>
      </c>
      <c r="CZ89" s="167" t="s">
        <v>69</v>
      </c>
      <c r="DA89" s="167" t="s">
        <v>69</v>
      </c>
      <c r="DB89" s="167" t="s">
        <v>69</v>
      </c>
      <c r="DC89" s="167" t="s">
        <v>69</v>
      </c>
      <c r="DD89" s="167" t="s">
        <v>69</v>
      </c>
      <c r="DE89" s="167" t="s">
        <v>69</v>
      </c>
      <c r="DF89" s="167" t="s">
        <v>69</v>
      </c>
      <c r="DG89" s="167" t="s">
        <v>69</v>
      </c>
      <c r="DH89" s="167" t="s">
        <v>69</v>
      </c>
      <c r="DI89" s="167" t="s">
        <v>69</v>
      </c>
      <c r="DJ89" s="167" t="s">
        <v>69</v>
      </c>
      <c r="DK89" s="167" t="s">
        <v>69</v>
      </c>
      <c r="DL89" s="167" t="s">
        <v>69</v>
      </c>
      <c r="DM89" s="167" t="s">
        <v>69</v>
      </c>
      <c r="DN89" s="167" t="s">
        <v>69</v>
      </c>
      <c r="DO89" s="167" t="s">
        <v>69</v>
      </c>
      <c r="DP89" s="167" t="s">
        <v>69</v>
      </c>
      <c r="DQ89" s="167" t="s">
        <v>69</v>
      </c>
      <c r="DR89" s="167" t="s">
        <v>69</v>
      </c>
      <c r="DS89" s="167" t="s">
        <v>69</v>
      </c>
      <c r="DT89" s="167" t="s">
        <v>69</v>
      </c>
      <c r="DU89" s="167" t="s">
        <v>69</v>
      </c>
      <c r="DV89" s="110">
        <f t="shared" si="2"/>
        <v>6.4516129032258063E-2</v>
      </c>
      <c r="DW89" s="104">
        <f t="shared" si="3"/>
        <v>0</v>
      </c>
    </row>
    <row r="90" spans="1:127" ht="42" hidden="1" customHeight="1" thickBot="1">
      <c r="A90" s="250" t="s">
        <v>804</v>
      </c>
      <c r="B90" s="242" t="s">
        <v>805</v>
      </c>
      <c r="C90" s="208">
        <v>45945</v>
      </c>
      <c r="D90" s="220" t="s">
        <v>434</v>
      </c>
      <c r="E90" s="256" t="s">
        <v>900</v>
      </c>
      <c r="F90" s="167" t="s">
        <v>69</v>
      </c>
      <c r="G90" s="167" t="s">
        <v>69</v>
      </c>
      <c r="H90" s="167" t="s">
        <v>69</v>
      </c>
      <c r="I90" s="167" t="s">
        <v>69</v>
      </c>
      <c r="J90" s="167" t="s">
        <v>69</v>
      </c>
      <c r="K90" s="167" t="s">
        <v>69</v>
      </c>
      <c r="L90" s="167" t="s">
        <v>69</v>
      </c>
      <c r="M90" s="167" t="s">
        <v>69</v>
      </c>
      <c r="N90" s="167" t="s">
        <v>69</v>
      </c>
      <c r="O90" s="167" t="s">
        <v>69</v>
      </c>
      <c r="P90" s="167" t="s">
        <v>69</v>
      </c>
      <c r="Q90" s="167" t="s">
        <v>69</v>
      </c>
      <c r="R90" s="167" t="s">
        <v>69</v>
      </c>
      <c r="S90" s="167" t="s">
        <v>69</v>
      </c>
      <c r="T90" s="167" t="s">
        <v>69</v>
      </c>
      <c r="U90" s="167" t="s">
        <v>69</v>
      </c>
      <c r="V90" s="167" t="s">
        <v>69</v>
      </c>
      <c r="W90" s="167" t="s">
        <v>69</v>
      </c>
      <c r="X90" s="167" t="s">
        <v>69</v>
      </c>
      <c r="Y90" s="167" t="s">
        <v>69</v>
      </c>
      <c r="Z90" s="167" t="s">
        <v>69</v>
      </c>
      <c r="AA90" s="167" t="s">
        <v>69</v>
      </c>
      <c r="AB90" s="167" t="s">
        <v>69</v>
      </c>
      <c r="AC90" s="167" t="s">
        <v>69</v>
      </c>
      <c r="AD90" s="167" t="s">
        <v>69</v>
      </c>
      <c r="AE90" s="167" t="s">
        <v>69</v>
      </c>
      <c r="AF90" s="167">
        <v>2</v>
      </c>
      <c r="AG90" s="167" t="s">
        <v>69</v>
      </c>
      <c r="AH90" s="167" t="s">
        <v>69</v>
      </c>
      <c r="AI90" s="167" t="s">
        <v>69</v>
      </c>
      <c r="AJ90" s="167" t="s">
        <v>69</v>
      </c>
      <c r="AK90" s="167" t="s">
        <v>69</v>
      </c>
      <c r="AL90" s="167" t="s">
        <v>69</v>
      </c>
      <c r="AM90" s="167" t="s">
        <v>69</v>
      </c>
      <c r="AN90" s="167">
        <v>2</v>
      </c>
      <c r="AO90" s="167" t="s">
        <v>69</v>
      </c>
      <c r="AP90" s="167" t="s">
        <v>69</v>
      </c>
      <c r="AQ90" s="167" t="s">
        <v>69</v>
      </c>
      <c r="AR90" s="167" t="s">
        <v>69</v>
      </c>
      <c r="AS90" s="167" t="s">
        <v>69</v>
      </c>
      <c r="AT90" s="167" t="s">
        <v>69</v>
      </c>
      <c r="AU90" s="167" t="s">
        <v>69</v>
      </c>
      <c r="AV90" s="167" t="s">
        <v>69</v>
      </c>
      <c r="AW90" s="167" t="s">
        <v>69</v>
      </c>
      <c r="AX90" s="167" t="s">
        <v>69</v>
      </c>
      <c r="AY90" s="167" t="s">
        <v>69</v>
      </c>
      <c r="AZ90" s="167" t="s">
        <v>69</v>
      </c>
      <c r="BA90" s="167" t="s">
        <v>69</v>
      </c>
      <c r="BB90" s="167" t="s">
        <v>69</v>
      </c>
      <c r="BC90" s="167" t="s">
        <v>69</v>
      </c>
      <c r="BD90" s="167" t="s">
        <v>69</v>
      </c>
      <c r="BE90" s="167">
        <v>2</v>
      </c>
      <c r="BF90" s="167" t="s">
        <v>69</v>
      </c>
      <c r="BG90" s="167" t="s">
        <v>69</v>
      </c>
      <c r="BH90" s="167" t="s">
        <v>69</v>
      </c>
      <c r="BI90" s="167" t="s">
        <v>69</v>
      </c>
      <c r="BJ90" s="167" t="s">
        <v>69</v>
      </c>
      <c r="BK90" s="167" t="s">
        <v>69</v>
      </c>
      <c r="BL90" s="167" t="s">
        <v>69</v>
      </c>
      <c r="BM90" s="167" t="s">
        <v>69</v>
      </c>
      <c r="BN90" s="167" t="s">
        <v>69</v>
      </c>
      <c r="BO90" s="167" t="s">
        <v>69</v>
      </c>
      <c r="BP90" s="167" t="s">
        <v>69</v>
      </c>
      <c r="BQ90" s="167" t="s">
        <v>69</v>
      </c>
      <c r="BR90" s="167" t="s">
        <v>69</v>
      </c>
      <c r="BS90" s="167" t="s">
        <v>69</v>
      </c>
      <c r="BT90" s="167" t="s">
        <v>69</v>
      </c>
      <c r="BU90" s="167" t="s">
        <v>69</v>
      </c>
      <c r="BV90" s="167" t="s">
        <v>69</v>
      </c>
      <c r="BW90" s="167" t="s">
        <v>69</v>
      </c>
      <c r="BX90" s="167" t="s">
        <v>69</v>
      </c>
      <c r="BY90" s="167" t="s">
        <v>69</v>
      </c>
      <c r="BZ90" s="167" t="s">
        <v>69</v>
      </c>
      <c r="CA90" s="167" t="s">
        <v>69</v>
      </c>
      <c r="CB90" s="167" t="s">
        <v>69</v>
      </c>
      <c r="CC90" s="167" t="s">
        <v>69</v>
      </c>
      <c r="CD90" s="167" t="s">
        <v>69</v>
      </c>
      <c r="CE90" s="167" t="s">
        <v>69</v>
      </c>
      <c r="CF90" s="167" t="s">
        <v>69</v>
      </c>
      <c r="CG90" s="167">
        <v>2</v>
      </c>
      <c r="CH90" s="167" t="s">
        <v>69</v>
      </c>
      <c r="CI90" s="167" t="s">
        <v>69</v>
      </c>
      <c r="CJ90" s="167" t="s">
        <v>69</v>
      </c>
      <c r="CK90" s="167" t="s">
        <v>69</v>
      </c>
      <c r="CL90" s="167" t="s">
        <v>69</v>
      </c>
      <c r="CM90" s="167" t="s">
        <v>69</v>
      </c>
      <c r="CN90" s="167" t="s">
        <v>69</v>
      </c>
      <c r="CO90" s="167" t="s">
        <v>69</v>
      </c>
      <c r="CP90" s="167" t="s">
        <v>69</v>
      </c>
      <c r="CQ90" s="167" t="s">
        <v>69</v>
      </c>
      <c r="CR90" s="167" t="s">
        <v>69</v>
      </c>
      <c r="CS90" s="167" t="s">
        <v>69</v>
      </c>
      <c r="CT90" s="167" t="s">
        <v>69</v>
      </c>
      <c r="CU90" s="167" t="s">
        <v>69</v>
      </c>
      <c r="CV90" s="167" t="s">
        <v>69</v>
      </c>
      <c r="CW90" s="167" t="s">
        <v>69</v>
      </c>
      <c r="CX90" s="167" t="s">
        <v>69</v>
      </c>
      <c r="CY90" s="167" t="s">
        <v>69</v>
      </c>
      <c r="CZ90" s="167" t="s">
        <v>69</v>
      </c>
      <c r="DA90" s="167" t="s">
        <v>69</v>
      </c>
      <c r="DB90" s="167" t="s">
        <v>69</v>
      </c>
      <c r="DC90" s="167" t="s">
        <v>69</v>
      </c>
      <c r="DD90" s="167" t="s">
        <v>69</v>
      </c>
      <c r="DE90" s="167" t="s">
        <v>69</v>
      </c>
      <c r="DF90" s="167" t="s">
        <v>69</v>
      </c>
      <c r="DG90" s="167" t="s">
        <v>69</v>
      </c>
      <c r="DH90" s="167" t="s">
        <v>69</v>
      </c>
      <c r="DI90" s="167" t="s">
        <v>69</v>
      </c>
      <c r="DJ90" s="167" t="s">
        <v>69</v>
      </c>
      <c r="DK90" s="167" t="s">
        <v>69</v>
      </c>
      <c r="DL90" s="167">
        <v>2</v>
      </c>
      <c r="DM90" s="167" t="s">
        <v>69</v>
      </c>
      <c r="DN90" s="167" t="s">
        <v>69</v>
      </c>
      <c r="DO90" s="167" t="s">
        <v>69</v>
      </c>
      <c r="DP90" s="167" t="s">
        <v>69</v>
      </c>
      <c r="DQ90" s="167" t="s">
        <v>69</v>
      </c>
      <c r="DR90" s="167" t="s">
        <v>69</v>
      </c>
      <c r="DS90" s="167" t="s">
        <v>69</v>
      </c>
      <c r="DT90" s="167" t="s">
        <v>69</v>
      </c>
      <c r="DU90" s="167" t="s">
        <v>69</v>
      </c>
      <c r="DV90" s="110">
        <f t="shared" si="2"/>
        <v>8.0645161290322578E-2</v>
      </c>
      <c r="DW90" s="104">
        <f t="shared" si="3"/>
        <v>0</v>
      </c>
    </row>
    <row r="91" spans="1:127" ht="42" hidden="1" customHeight="1" thickBot="1">
      <c r="A91" s="250" t="s">
        <v>806</v>
      </c>
      <c r="B91" s="242" t="s">
        <v>807</v>
      </c>
      <c r="C91" s="208">
        <v>45945</v>
      </c>
      <c r="D91" s="220" t="s">
        <v>434</v>
      </c>
      <c r="E91" s="256" t="s">
        <v>900</v>
      </c>
      <c r="F91" s="167">
        <v>2</v>
      </c>
      <c r="G91" s="167" t="s">
        <v>69</v>
      </c>
      <c r="H91" s="167" t="s">
        <v>69</v>
      </c>
      <c r="I91" s="167" t="s">
        <v>69</v>
      </c>
      <c r="J91" s="167" t="s">
        <v>69</v>
      </c>
      <c r="K91" s="167" t="s">
        <v>69</v>
      </c>
      <c r="L91" s="167" t="s">
        <v>69</v>
      </c>
      <c r="M91" s="167" t="s">
        <v>69</v>
      </c>
      <c r="N91" s="167" t="s">
        <v>69</v>
      </c>
      <c r="O91" s="167" t="s">
        <v>69</v>
      </c>
      <c r="P91" s="167" t="s">
        <v>69</v>
      </c>
      <c r="Q91" s="167" t="s">
        <v>69</v>
      </c>
      <c r="R91" s="167" t="s">
        <v>69</v>
      </c>
      <c r="S91" s="167" t="s">
        <v>69</v>
      </c>
      <c r="T91" s="167" t="s">
        <v>69</v>
      </c>
      <c r="U91" s="167" t="s">
        <v>69</v>
      </c>
      <c r="V91" s="167" t="s">
        <v>69</v>
      </c>
      <c r="W91" s="167" t="s">
        <v>69</v>
      </c>
      <c r="X91" s="167" t="s">
        <v>69</v>
      </c>
      <c r="Y91" s="167" t="s">
        <v>69</v>
      </c>
      <c r="Z91" s="167" t="s">
        <v>69</v>
      </c>
      <c r="AA91" s="167">
        <v>3</v>
      </c>
      <c r="AB91" s="167" t="s">
        <v>69</v>
      </c>
      <c r="AC91" s="167" t="s">
        <v>69</v>
      </c>
      <c r="AD91" s="167" t="s">
        <v>69</v>
      </c>
      <c r="AE91" s="167" t="s">
        <v>69</v>
      </c>
      <c r="AF91" s="167" t="s">
        <v>69</v>
      </c>
      <c r="AG91" s="167" t="s">
        <v>69</v>
      </c>
      <c r="AH91" s="167" t="s">
        <v>69</v>
      </c>
      <c r="AI91" s="167" t="s">
        <v>69</v>
      </c>
      <c r="AJ91" s="167" t="s">
        <v>69</v>
      </c>
      <c r="AK91" s="167" t="s">
        <v>69</v>
      </c>
      <c r="AL91" s="167" t="s">
        <v>69</v>
      </c>
      <c r="AM91" s="167" t="s">
        <v>69</v>
      </c>
      <c r="AN91" s="167" t="s">
        <v>69</v>
      </c>
      <c r="AO91" s="167" t="s">
        <v>69</v>
      </c>
      <c r="AP91" s="167" t="s">
        <v>69</v>
      </c>
      <c r="AQ91" s="167" t="s">
        <v>69</v>
      </c>
      <c r="AR91" s="167" t="s">
        <v>69</v>
      </c>
      <c r="AS91" s="167" t="s">
        <v>69</v>
      </c>
      <c r="AT91" s="167" t="s">
        <v>69</v>
      </c>
      <c r="AU91" s="167" t="s">
        <v>69</v>
      </c>
      <c r="AV91" s="167" t="s">
        <v>69</v>
      </c>
      <c r="AW91" s="167" t="s">
        <v>69</v>
      </c>
      <c r="AX91" s="167" t="s">
        <v>69</v>
      </c>
      <c r="AY91" s="167" t="s">
        <v>69</v>
      </c>
      <c r="AZ91" s="167" t="s">
        <v>69</v>
      </c>
      <c r="BA91" s="167" t="s">
        <v>69</v>
      </c>
      <c r="BB91" s="167" t="s">
        <v>69</v>
      </c>
      <c r="BC91" s="167" t="s">
        <v>69</v>
      </c>
      <c r="BD91" s="167">
        <v>2</v>
      </c>
      <c r="BE91" s="167" t="s">
        <v>69</v>
      </c>
      <c r="BF91" s="167" t="s">
        <v>69</v>
      </c>
      <c r="BG91" s="167" t="s">
        <v>69</v>
      </c>
      <c r="BH91" s="167" t="s">
        <v>69</v>
      </c>
      <c r="BI91" s="167" t="s">
        <v>69</v>
      </c>
      <c r="BJ91" s="167" t="s">
        <v>69</v>
      </c>
      <c r="BK91" s="167" t="s">
        <v>69</v>
      </c>
      <c r="BL91" s="167" t="s">
        <v>69</v>
      </c>
      <c r="BM91" s="167" t="s">
        <v>69</v>
      </c>
      <c r="BN91" s="167" t="s">
        <v>69</v>
      </c>
      <c r="BO91" s="167" t="s">
        <v>69</v>
      </c>
      <c r="BP91" s="167" t="s">
        <v>69</v>
      </c>
      <c r="BQ91" s="167" t="s">
        <v>69</v>
      </c>
      <c r="BR91" s="167" t="s">
        <v>69</v>
      </c>
      <c r="BS91" s="167" t="s">
        <v>69</v>
      </c>
      <c r="BT91" s="167" t="s">
        <v>69</v>
      </c>
      <c r="BU91" s="167" t="s">
        <v>69</v>
      </c>
      <c r="BV91" s="167" t="s">
        <v>69</v>
      </c>
      <c r="BW91" s="167" t="s">
        <v>69</v>
      </c>
      <c r="BX91" s="167" t="s">
        <v>69</v>
      </c>
      <c r="BY91" s="167" t="s">
        <v>69</v>
      </c>
      <c r="BZ91" s="167" t="s">
        <v>69</v>
      </c>
      <c r="CA91" s="167" t="s">
        <v>69</v>
      </c>
      <c r="CB91" s="167" t="s">
        <v>69</v>
      </c>
      <c r="CC91" s="167" t="s">
        <v>69</v>
      </c>
      <c r="CD91" s="167" t="s">
        <v>69</v>
      </c>
      <c r="CE91" s="167" t="s">
        <v>69</v>
      </c>
      <c r="CF91" s="167" t="s">
        <v>69</v>
      </c>
      <c r="CG91" s="167" t="s">
        <v>69</v>
      </c>
      <c r="CH91" s="167" t="s">
        <v>69</v>
      </c>
      <c r="CI91" s="167" t="s">
        <v>69</v>
      </c>
      <c r="CJ91" s="167" t="s">
        <v>69</v>
      </c>
      <c r="CK91" s="167">
        <v>2</v>
      </c>
      <c r="CL91" s="167" t="s">
        <v>69</v>
      </c>
      <c r="CM91" s="167" t="s">
        <v>69</v>
      </c>
      <c r="CN91" s="167" t="s">
        <v>69</v>
      </c>
      <c r="CO91" s="167" t="s">
        <v>69</v>
      </c>
      <c r="CP91" s="167" t="s">
        <v>69</v>
      </c>
      <c r="CQ91" s="167" t="s">
        <v>69</v>
      </c>
      <c r="CR91" s="167" t="s">
        <v>69</v>
      </c>
      <c r="CS91" s="167" t="s">
        <v>69</v>
      </c>
      <c r="CT91" s="167" t="s">
        <v>69</v>
      </c>
      <c r="CU91" s="167" t="s">
        <v>69</v>
      </c>
      <c r="CV91" s="167" t="s">
        <v>69</v>
      </c>
      <c r="CW91" s="167" t="s">
        <v>69</v>
      </c>
      <c r="CX91" s="167" t="s">
        <v>69</v>
      </c>
      <c r="CY91" s="167" t="s">
        <v>69</v>
      </c>
      <c r="CZ91" s="167" t="s">
        <v>69</v>
      </c>
      <c r="DA91" s="167" t="s">
        <v>69</v>
      </c>
      <c r="DB91" s="167" t="s">
        <v>69</v>
      </c>
      <c r="DC91" s="167" t="s">
        <v>69</v>
      </c>
      <c r="DD91" s="167" t="s">
        <v>69</v>
      </c>
      <c r="DE91" s="167" t="s">
        <v>69</v>
      </c>
      <c r="DF91" s="167" t="s">
        <v>69</v>
      </c>
      <c r="DG91" s="167" t="s">
        <v>69</v>
      </c>
      <c r="DH91" s="167" t="s">
        <v>69</v>
      </c>
      <c r="DI91" s="167" t="s">
        <v>69</v>
      </c>
      <c r="DJ91" s="167" t="s">
        <v>69</v>
      </c>
      <c r="DK91" s="167" t="s">
        <v>69</v>
      </c>
      <c r="DL91" s="167" t="s">
        <v>69</v>
      </c>
      <c r="DM91" s="167" t="s">
        <v>69</v>
      </c>
      <c r="DN91" s="167" t="s">
        <v>69</v>
      </c>
      <c r="DO91" s="167" t="s">
        <v>69</v>
      </c>
      <c r="DP91" s="167" t="s">
        <v>69</v>
      </c>
      <c r="DQ91" s="167" t="s">
        <v>69</v>
      </c>
      <c r="DR91" s="167" t="s">
        <v>69</v>
      </c>
      <c r="DS91" s="167" t="s">
        <v>69</v>
      </c>
      <c r="DT91" s="167" t="s">
        <v>69</v>
      </c>
      <c r="DU91" s="167" t="s">
        <v>69</v>
      </c>
      <c r="DV91" s="110">
        <f t="shared" si="2"/>
        <v>6.4516129032258063E-2</v>
      </c>
      <c r="DW91" s="104">
        <f t="shared" si="3"/>
        <v>0.25</v>
      </c>
    </row>
    <row r="92" spans="1:127" ht="42" hidden="1" customHeight="1" thickBot="1">
      <c r="A92" s="250" t="s">
        <v>808</v>
      </c>
      <c r="B92" s="242" t="s">
        <v>809</v>
      </c>
      <c r="C92" s="208">
        <v>45945</v>
      </c>
      <c r="D92" s="220" t="s">
        <v>434</v>
      </c>
      <c r="E92" s="256" t="s">
        <v>900</v>
      </c>
      <c r="F92" s="167" t="s">
        <v>69</v>
      </c>
      <c r="G92" s="167" t="s">
        <v>69</v>
      </c>
      <c r="H92" s="167" t="s">
        <v>69</v>
      </c>
      <c r="I92" s="167" t="s">
        <v>69</v>
      </c>
      <c r="J92" s="167" t="s">
        <v>69</v>
      </c>
      <c r="K92" s="167" t="s">
        <v>69</v>
      </c>
      <c r="L92" s="167" t="s">
        <v>69</v>
      </c>
      <c r="M92" s="167">
        <v>3</v>
      </c>
      <c r="N92" s="167" t="s">
        <v>69</v>
      </c>
      <c r="O92" s="167" t="s">
        <v>69</v>
      </c>
      <c r="P92" s="167" t="s">
        <v>69</v>
      </c>
      <c r="Q92" s="167" t="s">
        <v>69</v>
      </c>
      <c r="R92" s="167" t="s">
        <v>69</v>
      </c>
      <c r="S92" s="167" t="s">
        <v>69</v>
      </c>
      <c r="T92" s="167" t="s">
        <v>69</v>
      </c>
      <c r="U92" s="167" t="s">
        <v>69</v>
      </c>
      <c r="V92" s="167" t="s">
        <v>69</v>
      </c>
      <c r="W92" s="167" t="s">
        <v>69</v>
      </c>
      <c r="X92" s="167" t="s">
        <v>69</v>
      </c>
      <c r="Y92" s="167" t="s">
        <v>69</v>
      </c>
      <c r="Z92" s="167" t="s">
        <v>69</v>
      </c>
      <c r="AA92" s="167" t="s">
        <v>69</v>
      </c>
      <c r="AB92" s="167" t="s">
        <v>69</v>
      </c>
      <c r="AC92" s="167" t="s">
        <v>69</v>
      </c>
      <c r="AD92" s="167" t="s">
        <v>69</v>
      </c>
      <c r="AE92" s="167" t="s">
        <v>69</v>
      </c>
      <c r="AF92" s="167" t="s">
        <v>69</v>
      </c>
      <c r="AG92" s="167" t="s">
        <v>69</v>
      </c>
      <c r="AH92" s="167">
        <v>2</v>
      </c>
      <c r="AI92" s="167" t="s">
        <v>69</v>
      </c>
      <c r="AJ92" s="167" t="s">
        <v>69</v>
      </c>
      <c r="AK92" s="167" t="s">
        <v>69</v>
      </c>
      <c r="AL92" s="167" t="s">
        <v>69</v>
      </c>
      <c r="AM92" s="167" t="s">
        <v>69</v>
      </c>
      <c r="AN92" s="167" t="s">
        <v>69</v>
      </c>
      <c r="AO92" s="167" t="s">
        <v>69</v>
      </c>
      <c r="AP92" s="167" t="s">
        <v>69</v>
      </c>
      <c r="AQ92" s="167" t="s">
        <v>69</v>
      </c>
      <c r="AR92" s="167" t="s">
        <v>69</v>
      </c>
      <c r="AS92" s="167" t="s">
        <v>69</v>
      </c>
      <c r="AT92" s="167" t="s">
        <v>69</v>
      </c>
      <c r="AU92" s="167">
        <v>2</v>
      </c>
      <c r="AV92" s="167" t="s">
        <v>69</v>
      </c>
      <c r="AW92" s="167" t="s">
        <v>69</v>
      </c>
      <c r="AX92" s="167" t="s">
        <v>69</v>
      </c>
      <c r="AY92" s="167" t="s">
        <v>69</v>
      </c>
      <c r="AZ92" s="167" t="s">
        <v>69</v>
      </c>
      <c r="BA92" s="167" t="s">
        <v>69</v>
      </c>
      <c r="BB92" s="167" t="s">
        <v>69</v>
      </c>
      <c r="BC92" s="167" t="s">
        <v>69</v>
      </c>
      <c r="BD92" s="167" t="s">
        <v>69</v>
      </c>
      <c r="BE92" s="167" t="s">
        <v>69</v>
      </c>
      <c r="BF92" s="167" t="s">
        <v>69</v>
      </c>
      <c r="BG92" s="167" t="s">
        <v>69</v>
      </c>
      <c r="BH92" s="167" t="s">
        <v>69</v>
      </c>
      <c r="BI92" s="167" t="s">
        <v>69</v>
      </c>
      <c r="BJ92" s="167" t="s">
        <v>69</v>
      </c>
      <c r="BK92" s="167" t="s">
        <v>69</v>
      </c>
      <c r="BL92" s="167" t="s">
        <v>69</v>
      </c>
      <c r="BM92" s="167" t="s">
        <v>69</v>
      </c>
      <c r="BN92" s="167" t="s">
        <v>69</v>
      </c>
      <c r="BO92" s="167" t="s">
        <v>69</v>
      </c>
      <c r="BP92" s="167" t="s">
        <v>69</v>
      </c>
      <c r="BQ92" s="167" t="s">
        <v>69</v>
      </c>
      <c r="BR92" s="167" t="s">
        <v>69</v>
      </c>
      <c r="BS92" s="167" t="s">
        <v>69</v>
      </c>
      <c r="BT92" s="167" t="s">
        <v>69</v>
      </c>
      <c r="BU92" s="167" t="s">
        <v>69</v>
      </c>
      <c r="BV92" s="167" t="s">
        <v>69</v>
      </c>
      <c r="BW92" s="167" t="s">
        <v>69</v>
      </c>
      <c r="BX92" s="167" t="s">
        <v>69</v>
      </c>
      <c r="BY92" s="167" t="s">
        <v>69</v>
      </c>
      <c r="BZ92" s="167" t="s">
        <v>69</v>
      </c>
      <c r="CA92" s="167" t="s">
        <v>69</v>
      </c>
      <c r="CB92" s="167" t="s">
        <v>69</v>
      </c>
      <c r="CC92" s="167" t="s">
        <v>69</v>
      </c>
      <c r="CD92" s="167" t="s">
        <v>69</v>
      </c>
      <c r="CE92" s="167" t="s">
        <v>69</v>
      </c>
      <c r="CF92" s="167" t="s">
        <v>69</v>
      </c>
      <c r="CG92" s="167" t="s">
        <v>69</v>
      </c>
      <c r="CH92" s="167" t="s">
        <v>69</v>
      </c>
      <c r="CI92" s="167" t="s">
        <v>69</v>
      </c>
      <c r="CJ92" s="167" t="s">
        <v>69</v>
      </c>
      <c r="CK92" s="167" t="s">
        <v>69</v>
      </c>
      <c r="CL92" s="167" t="s">
        <v>69</v>
      </c>
      <c r="CM92" s="167" t="s">
        <v>69</v>
      </c>
      <c r="CN92" s="167" t="s">
        <v>69</v>
      </c>
      <c r="CO92" s="167">
        <v>2</v>
      </c>
      <c r="CP92" s="167" t="s">
        <v>69</v>
      </c>
      <c r="CQ92" s="167" t="s">
        <v>69</v>
      </c>
      <c r="CR92" s="167" t="s">
        <v>69</v>
      </c>
      <c r="CS92" s="167">
        <v>2</v>
      </c>
      <c r="CT92" s="167" t="s">
        <v>69</v>
      </c>
      <c r="CU92" s="167" t="s">
        <v>69</v>
      </c>
      <c r="CV92" s="167" t="s">
        <v>69</v>
      </c>
      <c r="CW92" s="167" t="s">
        <v>69</v>
      </c>
      <c r="CX92" s="167" t="s">
        <v>69</v>
      </c>
      <c r="CY92" s="167" t="s">
        <v>69</v>
      </c>
      <c r="CZ92" s="167" t="s">
        <v>69</v>
      </c>
      <c r="DA92" s="167" t="s">
        <v>69</v>
      </c>
      <c r="DB92" s="167" t="s">
        <v>69</v>
      </c>
      <c r="DC92" s="167" t="s">
        <v>69</v>
      </c>
      <c r="DD92" s="167" t="s">
        <v>69</v>
      </c>
      <c r="DE92" s="167" t="s">
        <v>69</v>
      </c>
      <c r="DF92" s="167" t="s">
        <v>69</v>
      </c>
      <c r="DG92" s="167" t="s">
        <v>69</v>
      </c>
      <c r="DH92" s="167" t="s">
        <v>69</v>
      </c>
      <c r="DI92" s="167" t="s">
        <v>69</v>
      </c>
      <c r="DJ92" s="167" t="s">
        <v>69</v>
      </c>
      <c r="DK92" s="167" t="s">
        <v>69</v>
      </c>
      <c r="DL92" s="167" t="s">
        <v>69</v>
      </c>
      <c r="DM92" s="167" t="s">
        <v>69</v>
      </c>
      <c r="DN92" s="167" t="s">
        <v>69</v>
      </c>
      <c r="DO92" s="167" t="s">
        <v>69</v>
      </c>
      <c r="DP92" s="167" t="s">
        <v>69</v>
      </c>
      <c r="DQ92" s="167" t="s">
        <v>69</v>
      </c>
      <c r="DR92" s="167" t="s">
        <v>69</v>
      </c>
      <c r="DS92" s="167" t="s">
        <v>69</v>
      </c>
      <c r="DT92" s="167" t="s">
        <v>69</v>
      </c>
      <c r="DU92" s="167" t="s">
        <v>69</v>
      </c>
      <c r="DV92" s="110">
        <f t="shared" si="2"/>
        <v>8.0645161290322578E-2</v>
      </c>
      <c r="DW92" s="104">
        <f t="shared" si="3"/>
        <v>0.2</v>
      </c>
    </row>
    <row r="93" spans="1:127" ht="42" hidden="1" customHeight="1" thickBot="1">
      <c r="A93" s="250" t="s">
        <v>810</v>
      </c>
      <c r="B93" s="242" t="s">
        <v>811</v>
      </c>
      <c r="C93" s="208">
        <v>45945</v>
      </c>
      <c r="D93" s="220" t="s">
        <v>434</v>
      </c>
      <c r="E93" s="256" t="s">
        <v>900</v>
      </c>
      <c r="F93" s="167" t="s">
        <v>69</v>
      </c>
      <c r="G93" s="167" t="s">
        <v>69</v>
      </c>
      <c r="H93" s="167" t="s">
        <v>69</v>
      </c>
      <c r="I93" s="167" t="s">
        <v>69</v>
      </c>
      <c r="J93" s="167" t="s">
        <v>69</v>
      </c>
      <c r="K93" s="167" t="s">
        <v>69</v>
      </c>
      <c r="L93" s="167" t="s">
        <v>69</v>
      </c>
      <c r="M93" s="167" t="s">
        <v>69</v>
      </c>
      <c r="N93" s="167" t="s">
        <v>69</v>
      </c>
      <c r="O93" s="167" t="s">
        <v>69</v>
      </c>
      <c r="P93" s="167" t="s">
        <v>69</v>
      </c>
      <c r="Q93" s="167" t="s">
        <v>69</v>
      </c>
      <c r="R93" s="167" t="s">
        <v>69</v>
      </c>
      <c r="S93" s="167" t="s">
        <v>69</v>
      </c>
      <c r="T93" s="167" t="s">
        <v>69</v>
      </c>
      <c r="U93" s="167" t="s">
        <v>69</v>
      </c>
      <c r="V93" s="167" t="s">
        <v>69</v>
      </c>
      <c r="W93" s="167" t="s">
        <v>69</v>
      </c>
      <c r="X93" s="167" t="s">
        <v>69</v>
      </c>
      <c r="Y93" s="167" t="s">
        <v>69</v>
      </c>
      <c r="Z93" s="167" t="s">
        <v>69</v>
      </c>
      <c r="AA93" s="167" t="s">
        <v>69</v>
      </c>
      <c r="AB93" s="167" t="s">
        <v>69</v>
      </c>
      <c r="AC93" s="167" t="s">
        <v>69</v>
      </c>
      <c r="AD93" s="167" t="s">
        <v>69</v>
      </c>
      <c r="AE93" s="167" t="s">
        <v>69</v>
      </c>
      <c r="AF93" s="167" t="s">
        <v>69</v>
      </c>
      <c r="AG93" s="167" t="s">
        <v>69</v>
      </c>
      <c r="AH93" s="167">
        <v>2</v>
      </c>
      <c r="AI93" s="167" t="s">
        <v>69</v>
      </c>
      <c r="AJ93" s="167" t="s">
        <v>69</v>
      </c>
      <c r="AK93" s="167" t="s">
        <v>69</v>
      </c>
      <c r="AL93" s="167" t="s">
        <v>69</v>
      </c>
      <c r="AM93" s="167" t="s">
        <v>69</v>
      </c>
      <c r="AN93" s="167" t="s">
        <v>69</v>
      </c>
      <c r="AO93" s="167" t="s">
        <v>69</v>
      </c>
      <c r="AP93" s="167" t="s">
        <v>69</v>
      </c>
      <c r="AQ93" s="167" t="s">
        <v>69</v>
      </c>
      <c r="AR93" s="167" t="s">
        <v>69</v>
      </c>
      <c r="AS93" s="167" t="s">
        <v>69</v>
      </c>
      <c r="AT93" s="167" t="s">
        <v>69</v>
      </c>
      <c r="AU93" s="167" t="s">
        <v>69</v>
      </c>
      <c r="AV93" s="167" t="s">
        <v>69</v>
      </c>
      <c r="AW93" s="167" t="s">
        <v>69</v>
      </c>
      <c r="AX93" s="167" t="s">
        <v>69</v>
      </c>
      <c r="AY93" s="167" t="s">
        <v>69</v>
      </c>
      <c r="AZ93" s="167" t="s">
        <v>69</v>
      </c>
      <c r="BA93" s="167" t="s">
        <v>69</v>
      </c>
      <c r="BB93" s="167" t="s">
        <v>69</v>
      </c>
      <c r="BC93" s="167" t="s">
        <v>69</v>
      </c>
      <c r="BD93" s="167" t="s">
        <v>69</v>
      </c>
      <c r="BE93" s="167" t="s">
        <v>69</v>
      </c>
      <c r="BF93" s="167" t="s">
        <v>69</v>
      </c>
      <c r="BG93" s="167" t="s">
        <v>69</v>
      </c>
      <c r="BH93" s="167" t="s">
        <v>69</v>
      </c>
      <c r="BI93" s="167" t="s">
        <v>69</v>
      </c>
      <c r="BJ93" s="167" t="s">
        <v>69</v>
      </c>
      <c r="BK93" s="167" t="s">
        <v>69</v>
      </c>
      <c r="BL93" s="167" t="s">
        <v>69</v>
      </c>
      <c r="BM93" s="167" t="s">
        <v>69</v>
      </c>
      <c r="BN93" s="167" t="s">
        <v>69</v>
      </c>
      <c r="BO93" s="167" t="s">
        <v>69</v>
      </c>
      <c r="BP93" s="167" t="s">
        <v>69</v>
      </c>
      <c r="BQ93" s="167" t="s">
        <v>69</v>
      </c>
      <c r="BR93" s="167" t="s">
        <v>69</v>
      </c>
      <c r="BS93" s="167" t="s">
        <v>69</v>
      </c>
      <c r="BT93" s="167" t="s">
        <v>69</v>
      </c>
      <c r="BU93" s="167" t="s">
        <v>69</v>
      </c>
      <c r="BV93" s="167" t="s">
        <v>69</v>
      </c>
      <c r="BW93" s="167" t="s">
        <v>69</v>
      </c>
      <c r="BX93" s="167" t="s">
        <v>69</v>
      </c>
      <c r="BY93" s="167" t="s">
        <v>69</v>
      </c>
      <c r="BZ93" s="167" t="s">
        <v>69</v>
      </c>
      <c r="CA93" s="167" t="s">
        <v>69</v>
      </c>
      <c r="CB93" s="167" t="s">
        <v>69</v>
      </c>
      <c r="CC93" s="167" t="s">
        <v>69</v>
      </c>
      <c r="CD93" s="167" t="s">
        <v>69</v>
      </c>
      <c r="CE93" s="167" t="s">
        <v>69</v>
      </c>
      <c r="CF93" s="167" t="s">
        <v>69</v>
      </c>
      <c r="CG93" s="167" t="s">
        <v>69</v>
      </c>
      <c r="CH93" s="167" t="s">
        <v>69</v>
      </c>
      <c r="CI93" s="167" t="s">
        <v>69</v>
      </c>
      <c r="CJ93" s="167" t="s">
        <v>69</v>
      </c>
      <c r="CK93" s="167" t="s">
        <v>69</v>
      </c>
      <c r="CL93" s="167" t="s">
        <v>69</v>
      </c>
      <c r="CM93" s="167" t="s">
        <v>69</v>
      </c>
      <c r="CN93" s="167" t="s">
        <v>69</v>
      </c>
      <c r="CO93" s="167" t="s">
        <v>69</v>
      </c>
      <c r="CP93" s="167" t="s">
        <v>69</v>
      </c>
      <c r="CQ93" s="167" t="s">
        <v>69</v>
      </c>
      <c r="CR93" s="167" t="s">
        <v>69</v>
      </c>
      <c r="CS93" s="167" t="s">
        <v>69</v>
      </c>
      <c r="CT93" s="167" t="s">
        <v>69</v>
      </c>
      <c r="CU93" s="167" t="s">
        <v>69</v>
      </c>
      <c r="CV93" s="167" t="s">
        <v>69</v>
      </c>
      <c r="CW93" s="167" t="s">
        <v>69</v>
      </c>
      <c r="CX93" s="167" t="s">
        <v>69</v>
      </c>
      <c r="CY93" s="167" t="s">
        <v>69</v>
      </c>
      <c r="CZ93" s="167" t="s">
        <v>69</v>
      </c>
      <c r="DA93" s="167">
        <v>2</v>
      </c>
      <c r="DB93" s="167" t="s">
        <v>69</v>
      </c>
      <c r="DC93" s="167"/>
      <c r="DD93" s="167" t="s">
        <v>69</v>
      </c>
      <c r="DE93" s="167" t="s">
        <v>69</v>
      </c>
      <c r="DF93" s="167" t="s">
        <v>69</v>
      </c>
      <c r="DG93" s="167" t="s">
        <v>69</v>
      </c>
      <c r="DH93" s="167" t="s">
        <v>69</v>
      </c>
      <c r="DI93" s="167" t="s">
        <v>69</v>
      </c>
      <c r="DJ93" s="167" t="s">
        <v>69</v>
      </c>
      <c r="DK93" s="167" t="s">
        <v>69</v>
      </c>
      <c r="DL93" s="167">
        <v>2</v>
      </c>
      <c r="DM93" s="167" t="s">
        <v>69</v>
      </c>
      <c r="DN93" s="167" t="s">
        <v>69</v>
      </c>
      <c r="DO93" s="167" t="s">
        <v>69</v>
      </c>
      <c r="DP93" s="167">
        <v>2</v>
      </c>
      <c r="DQ93" s="167" t="s">
        <v>69</v>
      </c>
      <c r="DR93" s="167" t="s">
        <v>69</v>
      </c>
      <c r="DS93" s="167" t="s">
        <v>69</v>
      </c>
      <c r="DT93" s="167" t="s">
        <v>69</v>
      </c>
      <c r="DU93" s="167" t="s">
        <v>69</v>
      </c>
      <c r="DV93" s="110">
        <f t="shared" si="2"/>
        <v>6.4516129032258063E-2</v>
      </c>
      <c r="DW93" s="104">
        <f t="shared" si="3"/>
        <v>0</v>
      </c>
    </row>
    <row r="94" spans="1:127" ht="42" hidden="1" customHeight="1" thickBot="1">
      <c r="A94" s="250" t="s">
        <v>812</v>
      </c>
      <c r="B94" s="242" t="s">
        <v>813</v>
      </c>
      <c r="C94" s="208">
        <v>45945</v>
      </c>
      <c r="D94" s="220" t="s">
        <v>434</v>
      </c>
      <c r="E94" s="256" t="s">
        <v>900</v>
      </c>
      <c r="F94" s="167" t="s">
        <v>69</v>
      </c>
      <c r="G94" s="167" t="s">
        <v>69</v>
      </c>
      <c r="H94" s="167">
        <v>2</v>
      </c>
      <c r="I94" s="167" t="s">
        <v>69</v>
      </c>
      <c r="J94" s="167" t="s">
        <v>69</v>
      </c>
      <c r="K94" s="167" t="s">
        <v>69</v>
      </c>
      <c r="L94" s="167" t="s">
        <v>69</v>
      </c>
      <c r="M94" s="167">
        <v>2</v>
      </c>
      <c r="N94" s="167" t="s">
        <v>69</v>
      </c>
      <c r="O94" s="167" t="s">
        <v>69</v>
      </c>
      <c r="P94" s="167" t="s">
        <v>69</v>
      </c>
      <c r="Q94" s="167" t="s">
        <v>69</v>
      </c>
      <c r="R94" s="167" t="s">
        <v>69</v>
      </c>
      <c r="S94" s="167" t="s">
        <v>69</v>
      </c>
      <c r="T94" s="167" t="s">
        <v>69</v>
      </c>
      <c r="U94" s="167" t="s">
        <v>69</v>
      </c>
      <c r="V94" s="167" t="s">
        <v>69</v>
      </c>
      <c r="W94" s="167" t="s">
        <v>69</v>
      </c>
      <c r="X94" s="167" t="s">
        <v>69</v>
      </c>
      <c r="Y94" s="167" t="s">
        <v>69</v>
      </c>
      <c r="Z94" s="167" t="s">
        <v>69</v>
      </c>
      <c r="AA94" s="167">
        <v>2</v>
      </c>
      <c r="AB94" s="167" t="s">
        <v>69</v>
      </c>
      <c r="AC94" s="167" t="s">
        <v>69</v>
      </c>
      <c r="AD94" s="167" t="s">
        <v>69</v>
      </c>
      <c r="AE94" s="167" t="s">
        <v>69</v>
      </c>
      <c r="AF94" s="167" t="s">
        <v>69</v>
      </c>
      <c r="AG94" s="167" t="s">
        <v>69</v>
      </c>
      <c r="AH94" s="167" t="s">
        <v>69</v>
      </c>
      <c r="AI94" s="167" t="s">
        <v>69</v>
      </c>
      <c r="AJ94" s="167" t="s">
        <v>69</v>
      </c>
      <c r="AK94" s="167" t="s">
        <v>69</v>
      </c>
      <c r="AL94" s="167" t="s">
        <v>69</v>
      </c>
      <c r="AM94" s="167" t="s">
        <v>69</v>
      </c>
      <c r="AN94" s="167" t="s">
        <v>69</v>
      </c>
      <c r="AO94" s="167" t="s">
        <v>69</v>
      </c>
      <c r="AP94" s="167" t="s">
        <v>69</v>
      </c>
      <c r="AQ94" s="167" t="s">
        <v>69</v>
      </c>
      <c r="AR94" s="167" t="s">
        <v>69</v>
      </c>
      <c r="AS94" s="167" t="s">
        <v>69</v>
      </c>
      <c r="AT94" s="167" t="s">
        <v>69</v>
      </c>
      <c r="AU94" s="167" t="s">
        <v>69</v>
      </c>
      <c r="AV94" s="167" t="s">
        <v>69</v>
      </c>
      <c r="AW94" s="167" t="s">
        <v>69</v>
      </c>
      <c r="AX94" s="167" t="s">
        <v>69</v>
      </c>
      <c r="AY94" s="167" t="s">
        <v>69</v>
      </c>
      <c r="AZ94" s="167" t="s">
        <v>69</v>
      </c>
      <c r="BA94" s="167" t="s">
        <v>69</v>
      </c>
      <c r="BB94" s="167" t="s">
        <v>69</v>
      </c>
      <c r="BC94" s="167" t="s">
        <v>69</v>
      </c>
      <c r="BD94" s="167">
        <v>2</v>
      </c>
      <c r="BE94" s="167" t="s">
        <v>69</v>
      </c>
      <c r="BF94" s="167" t="s">
        <v>69</v>
      </c>
      <c r="BG94" s="167" t="s">
        <v>69</v>
      </c>
      <c r="BH94" s="167" t="s">
        <v>69</v>
      </c>
      <c r="BI94" s="167" t="s">
        <v>69</v>
      </c>
      <c r="BJ94" s="167" t="s">
        <v>69</v>
      </c>
      <c r="BK94" s="167" t="s">
        <v>69</v>
      </c>
      <c r="BL94" s="167" t="s">
        <v>69</v>
      </c>
      <c r="BM94" s="167" t="s">
        <v>69</v>
      </c>
      <c r="BN94" s="167" t="s">
        <v>69</v>
      </c>
      <c r="BO94" s="167" t="s">
        <v>69</v>
      </c>
      <c r="BP94" s="167" t="s">
        <v>69</v>
      </c>
      <c r="BQ94" s="167" t="s">
        <v>69</v>
      </c>
      <c r="BR94" s="167" t="s">
        <v>69</v>
      </c>
      <c r="BS94" s="167" t="s">
        <v>69</v>
      </c>
      <c r="BT94" s="167" t="s">
        <v>69</v>
      </c>
      <c r="BU94" s="167" t="s">
        <v>69</v>
      </c>
      <c r="BV94" s="167" t="s">
        <v>69</v>
      </c>
      <c r="BW94" s="167" t="s">
        <v>69</v>
      </c>
      <c r="BX94" s="167" t="s">
        <v>69</v>
      </c>
      <c r="BY94" s="167" t="s">
        <v>69</v>
      </c>
      <c r="BZ94" s="167" t="s">
        <v>69</v>
      </c>
      <c r="CA94" s="167" t="s">
        <v>69</v>
      </c>
      <c r="CB94" s="167" t="s">
        <v>69</v>
      </c>
      <c r="CC94" s="167" t="s">
        <v>69</v>
      </c>
      <c r="CD94" s="167" t="s">
        <v>69</v>
      </c>
      <c r="CE94" s="167" t="s">
        <v>69</v>
      </c>
      <c r="CF94" s="167" t="s">
        <v>69</v>
      </c>
      <c r="CG94" s="167" t="s">
        <v>69</v>
      </c>
      <c r="CH94" s="167" t="s">
        <v>69</v>
      </c>
      <c r="CI94" s="167" t="s">
        <v>69</v>
      </c>
      <c r="CJ94" s="167" t="s">
        <v>69</v>
      </c>
      <c r="CK94" s="167" t="s">
        <v>69</v>
      </c>
      <c r="CL94" s="167" t="s">
        <v>69</v>
      </c>
      <c r="CM94" s="167" t="s">
        <v>69</v>
      </c>
      <c r="CN94" s="167" t="s">
        <v>69</v>
      </c>
      <c r="CO94" s="167" t="s">
        <v>69</v>
      </c>
      <c r="CP94" s="167" t="s">
        <v>69</v>
      </c>
      <c r="CQ94" s="167" t="s">
        <v>69</v>
      </c>
      <c r="CR94" s="167" t="s">
        <v>69</v>
      </c>
      <c r="CS94" s="167" t="s">
        <v>69</v>
      </c>
      <c r="CT94" s="167" t="s">
        <v>69</v>
      </c>
      <c r="CU94" s="167" t="s">
        <v>69</v>
      </c>
      <c r="CV94" s="167" t="s">
        <v>69</v>
      </c>
      <c r="CW94" s="167" t="s">
        <v>69</v>
      </c>
      <c r="CX94" s="167" t="s">
        <v>69</v>
      </c>
      <c r="CY94" s="167" t="s">
        <v>69</v>
      </c>
      <c r="CZ94" s="167" t="s">
        <v>69</v>
      </c>
      <c r="DA94" s="167" t="s">
        <v>69</v>
      </c>
      <c r="DB94" s="167" t="s">
        <v>69</v>
      </c>
      <c r="DC94" s="167" t="s">
        <v>69</v>
      </c>
      <c r="DD94" s="167" t="s">
        <v>69</v>
      </c>
      <c r="DE94" s="167" t="s">
        <v>69</v>
      </c>
      <c r="DF94" s="167" t="s">
        <v>69</v>
      </c>
      <c r="DG94" s="167" t="s">
        <v>69</v>
      </c>
      <c r="DH94" s="167" t="s">
        <v>69</v>
      </c>
      <c r="DI94" s="167" t="s">
        <v>69</v>
      </c>
      <c r="DJ94" s="167" t="s">
        <v>69</v>
      </c>
      <c r="DK94" s="167" t="s">
        <v>69</v>
      </c>
      <c r="DL94" s="167" t="s">
        <v>69</v>
      </c>
      <c r="DM94" s="167" t="s">
        <v>69</v>
      </c>
      <c r="DN94" s="167" t="s">
        <v>69</v>
      </c>
      <c r="DO94" s="167" t="s">
        <v>69</v>
      </c>
      <c r="DP94" s="167" t="s">
        <v>69</v>
      </c>
      <c r="DQ94" s="167" t="s">
        <v>69</v>
      </c>
      <c r="DR94" s="167" t="s">
        <v>69</v>
      </c>
      <c r="DS94" s="167" t="s">
        <v>69</v>
      </c>
      <c r="DT94" s="167" t="s">
        <v>69</v>
      </c>
      <c r="DU94" s="167" t="s">
        <v>69</v>
      </c>
      <c r="DV94" s="110">
        <f t="shared" si="2"/>
        <v>6.4516129032258063E-2</v>
      </c>
      <c r="DW94" s="104">
        <f t="shared" si="3"/>
        <v>0</v>
      </c>
    </row>
    <row r="95" spans="1:127" ht="42" hidden="1" customHeight="1" thickBot="1">
      <c r="A95" s="250" t="s">
        <v>814</v>
      </c>
      <c r="B95" s="242" t="s">
        <v>815</v>
      </c>
      <c r="C95" s="208">
        <v>45945</v>
      </c>
      <c r="D95" s="220" t="s">
        <v>434</v>
      </c>
      <c r="E95" s="256" t="s">
        <v>900</v>
      </c>
      <c r="F95" s="167">
        <v>2</v>
      </c>
      <c r="G95" s="167" t="s">
        <v>69</v>
      </c>
      <c r="H95" s="167" t="s">
        <v>69</v>
      </c>
      <c r="I95" s="167" t="s">
        <v>69</v>
      </c>
      <c r="J95" s="167" t="s">
        <v>69</v>
      </c>
      <c r="K95" s="167" t="s">
        <v>69</v>
      </c>
      <c r="L95" s="167" t="s">
        <v>69</v>
      </c>
      <c r="M95" s="167" t="s">
        <v>69</v>
      </c>
      <c r="N95" s="167" t="s">
        <v>69</v>
      </c>
      <c r="O95" s="167" t="s">
        <v>69</v>
      </c>
      <c r="P95" s="167" t="s">
        <v>69</v>
      </c>
      <c r="Q95" s="167" t="s">
        <v>69</v>
      </c>
      <c r="R95" s="167" t="s">
        <v>69</v>
      </c>
      <c r="S95" s="167" t="s">
        <v>69</v>
      </c>
      <c r="T95" s="167" t="s">
        <v>69</v>
      </c>
      <c r="U95" s="167" t="s">
        <v>69</v>
      </c>
      <c r="V95" s="167" t="s">
        <v>69</v>
      </c>
      <c r="W95" s="167" t="s">
        <v>69</v>
      </c>
      <c r="X95" s="167" t="s">
        <v>69</v>
      </c>
      <c r="Y95" s="167" t="s">
        <v>69</v>
      </c>
      <c r="Z95" s="167" t="s">
        <v>69</v>
      </c>
      <c r="AA95" s="167" t="s">
        <v>69</v>
      </c>
      <c r="AB95" s="167" t="s">
        <v>69</v>
      </c>
      <c r="AC95" s="167" t="s">
        <v>69</v>
      </c>
      <c r="AD95" s="167" t="s">
        <v>69</v>
      </c>
      <c r="AE95" s="167" t="s">
        <v>69</v>
      </c>
      <c r="AF95" s="167" t="s">
        <v>69</v>
      </c>
      <c r="AG95" s="167" t="s">
        <v>69</v>
      </c>
      <c r="AH95" s="167" t="s">
        <v>69</v>
      </c>
      <c r="AI95" s="167" t="s">
        <v>69</v>
      </c>
      <c r="AJ95" s="167" t="s">
        <v>69</v>
      </c>
      <c r="AK95" s="167" t="s">
        <v>69</v>
      </c>
      <c r="AL95" s="167" t="s">
        <v>69</v>
      </c>
      <c r="AM95" s="167" t="s">
        <v>69</v>
      </c>
      <c r="AN95" s="167">
        <v>2</v>
      </c>
      <c r="AO95" s="167" t="s">
        <v>69</v>
      </c>
      <c r="AP95" s="167" t="s">
        <v>69</v>
      </c>
      <c r="AQ95" s="167" t="s">
        <v>69</v>
      </c>
      <c r="AR95" s="167" t="s">
        <v>69</v>
      </c>
      <c r="AS95" s="167" t="s">
        <v>69</v>
      </c>
      <c r="AT95" s="167" t="s">
        <v>69</v>
      </c>
      <c r="AU95" s="167" t="s">
        <v>69</v>
      </c>
      <c r="AV95" s="167" t="s">
        <v>69</v>
      </c>
      <c r="AW95" s="167" t="s">
        <v>69</v>
      </c>
      <c r="AX95" s="167" t="s">
        <v>69</v>
      </c>
      <c r="AY95" s="167" t="s">
        <v>69</v>
      </c>
      <c r="AZ95" s="167" t="s">
        <v>69</v>
      </c>
      <c r="BA95" s="167" t="s">
        <v>69</v>
      </c>
      <c r="BB95" s="167" t="s">
        <v>69</v>
      </c>
      <c r="BC95" s="167" t="s">
        <v>69</v>
      </c>
      <c r="BD95" s="167">
        <v>2</v>
      </c>
      <c r="BE95" s="167" t="s">
        <v>69</v>
      </c>
      <c r="BF95" s="167" t="s">
        <v>69</v>
      </c>
      <c r="BG95" s="167" t="s">
        <v>69</v>
      </c>
      <c r="BH95" s="167" t="s">
        <v>69</v>
      </c>
      <c r="BI95" s="167" t="s">
        <v>69</v>
      </c>
      <c r="BJ95" s="167" t="s">
        <v>69</v>
      </c>
      <c r="BK95" s="167" t="s">
        <v>69</v>
      </c>
      <c r="BL95" s="167" t="s">
        <v>69</v>
      </c>
      <c r="BM95" s="167" t="s">
        <v>69</v>
      </c>
      <c r="BN95" s="167" t="s">
        <v>69</v>
      </c>
      <c r="BO95" s="167" t="s">
        <v>69</v>
      </c>
      <c r="BP95" s="167" t="s">
        <v>69</v>
      </c>
      <c r="BQ95" s="167" t="s">
        <v>69</v>
      </c>
      <c r="BR95" s="167" t="s">
        <v>69</v>
      </c>
      <c r="BS95" s="167" t="s">
        <v>69</v>
      </c>
      <c r="BT95" s="167" t="s">
        <v>69</v>
      </c>
      <c r="BU95" s="167" t="s">
        <v>69</v>
      </c>
      <c r="BV95" s="167" t="s">
        <v>69</v>
      </c>
      <c r="BW95" s="167" t="s">
        <v>69</v>
      </c>
      <c r="BX95" s="167" t="s">
        <v>69</v>
      </c>
      <c r="BY95" s="167" t="s">
        <v>69</v>
      </c>
      <c r="BZ95" s="167" t="s">
        <v>69</v>
      </c>
      <c r="CA95" s="167" t="s">
        <v>69</v>
      </c>
      <c r="CB95" s="167" t="s">
        <v>69</v>
      </c>
      <c r="CC95" s="167" t="s">
        <v>69</v>
      </c>
      <c r="CD95" s="167" t="s">
        <v>69</v>
      </c>
      <c r="CE95" s="167" t="s">
        <v>69</v>
      </c>
      <c r="CF95" s="167" t="s">
        <v>69</v>
      </c>
      <c r="CG95" s="167">
        <v>2</v>
      </c>
      <c r="CH95" s="167" t="s">
        <v>69</v>
      </c>
      <c r="CI95" s="167" t="s">
        <v>69</v>
      </c>
      <c r="CJ95" s="167" t="s">
        <v>69</v>
      </c>
      <c r="CK95" s="167" t="s">
        <v>69</v>
      </c>
      <c r="CL95" s="167" t="s">
        <v>69</v>
      </c>
      <c r="CM95" s="167" t="s">
        <v>69</v>
      </c>
      <c r="CN95" s="167" t="s">
        <v>69</v>
      </c>
      <c r="CO95" s="167">
        <v>2</v>
      </c>
      <c r="CP95" s="167" t="s">
        <v>69</v>
      </c>
      <c r="CQ95" s="167" t="s">
        <v>69</v>
      </c>
      <c r="CR95" s="167" t="s">
        <v>69</v>
      </c>
      <c r="CS95" s="167" t="s">
        <v>69</v>
      </c>
      <c r="CT95" s="167" t="s">
        <v>69</v>
      </c>
      <c r="CU95" s="167" t="s">
        <v>69</v>
      </c>
      <c r="CV95" s="167" t="s">
        <v>69</v>
      </c>
      <c r="CW95" s="167" t="s">
        <v>69</v>
      </c>
      <c r="CX95" s="167" t="s">
        <v>69</v>
      </c>
      <c r="CY95" s="167" t="s">
        <v>69</v>
      </c>
      <c r="CZ95" s="167" t="s">
        <v>69</v>
      </c>
      <c r="DA95" s="167" t="s">
        <v>69</v>
      </c>
      <c r="DB95" s="167" t="s">
        <v>69</v>
      </c>
      <c r="DC95" s="167" t="s">
        <v>69</v>
      </c>
      <c r="DD95" s="167" t="s">
        <v>69</v>
      </c>
      <c r="DE95" s="167" t="s">
        <v>69</v>
      </c>
      <c r="DF95" s="167" t="s">
        <v>69</v>
      </c>
      <c r="DG95" s="167" t="s">
        <v>69</v>
      </c>
      <c r="DH95" s="167" t="s">
        <v>69</v>
      </c>
      <c r="DI95" s="167" t="s">
        <v>69</v>
      </c>
      <c r="DJ95" s="167" t="s">
        <v>69</v>
      </c>
      <c r="DK95" s="167" t="s">
        <v>69</v>
      </c>
      <c r="DL95" s="167" t="s">
        <v>69</v>
      </c>
      <c r="DM95" s="167" t="s">
        <v>69</v>
      </c>
      <c r="DN95" s="167" t="s">
        <v>69</v>
      </c>
      <c r="DO95" s="167" t="s">
        <v>69</v>
      </c>
      <c r="DP95" s="167" t="s">
        <v>69</v>
      </c>
      <c r="DQ95" s="167" t="s">
        <v>69</v>
      </c>
      <c r="DR95" s="167" t="s">
        <v>69</v>
      </c>
      <c r="DS95" s="167" t="s">
        <v>69</v>
      </c>
      <c r="DT95" s="167" t="s">
        <v>69</v>
      </c>
      <c r="DU95" s="167" t="s">
        <v>69</v>
      </c>
      <c r="DV95" s="110">
        <f t="shared" si="2"/>
        <v>8.0645161290322578E-2</v>
      </c>
      <c r="DW95" s="104">
        <f t="shared" si="3"/>
        <v>0</v>
      </c>
    </row>
    <row r="96" spans="1:127" ht="42" customHeight="1" thickBot="1">
      <c r="A96" s="250" t="s">
        <v>816</v>
      </c>
      <c r="B96" s="242" t="s">
        <v>817</v>
      </c>
      <c r="C96" s="208">
        <v>45945</v>
      </c>
      <c r="D96" s="220" t="s">
        <v>434</v>
      </c>
      <c r="E96" s="256" t="s">
        <v>900</v>
      </c>
      <c r="F96" s="167">
        <v>2</v>
      </c>
      <c r="G96" s="167" t="s">
        <v>69</v>
      </c>
      <c r="H96" s="167">
        <v>2</v>
      </c>
      <c r="I96" s="167" t="s">
        <v>69</v>
      </c>
      <c r="J96" s="167" t="s">
        <v>69</v>
      </c>
      <c r="K96" s="167" t="s">
        <v>69</v>
      </c>
      <c r="L96" s="167" t="s">
        <v>69</v>
      </c>
      <c r="M96" s="167" t="s">
        <v>69</v>
      </c>
      <c r="N96" s="167" t="s">
        <v>69</v>
      </c>
      <c r="O96" s="167" t="s">
        <v>69</v>
      </c>
      <c r="P96" s="167" t="s">
        <v>69</v>
      </c>
      <c r="Q96" s="167" t="s">
        <v>69</v>
      </c>
      <c r="R96" s="167" t="s">
        <v>69</v>
      </c>
      <c r="S96" s="167" t="s">
        <v>69</v>
      </c>
      <c r="T96" s="167" t="s">
        <v>69</v>
      </c>
      <c r="U96" s="167" t="s">
        <v>69</v>
      </c>
      <c r="V96" s="167" t="s">
        <v>69</v>
      </c>
      <c r="W96" s="167" t="s">
        <v>69</v>
      </c>
      <c r="X96" s="167" t="s">
        <v>69</v>
      </c>
      <c r="Y96" s="167" t="s">
        <v>69</v>
      </c>
      <c r="Z96" s="167" t="s">
        <v>69</v>
      </c>
      <c r="AA96" s="167" t="s">
        <v>69</v>
      </c>
      <c r="AB96" s="167" t="s">
        <v>69</v>
      </c>
      <c r="AC96" s="167" t="s">
        <v>69</v>
      </c>
      <c r="AD96" s="167" t="s">
        <v>69</v>
      </c>
      <c r="AE96" s="167" t="s">
        <v>69</v>
      </c>
      <c r="AF96" s="167" t="s">
        <v>69</v>
      </c>
      <c r="AG96" s="167" t="s">
        <v>69</v>
      </c>
      <c r="AH96" s="167" t="s">
        <v>69</v>
      </c>
      <c r="AI96" s="167" t="s">
        <v>69</v>
      </c>
      <c r="AJ96" s="167" t="s">
        <v>69</v>
      </c>
      <c r="AK96" s="167" t="s">
        <v>69</v>
      </c>
      <c r="AL96" s="167" t="s">
        <v>69</v>
      </c>
      <c r="AM96" s="167" t="s">
        <v>69</v>
      </c>
      <c r="AN96" s="167" t="s">
        <v>69</v>
      </c>
      <c r="AO96" s="167" t="s">
        <v>69</v>
      </c>
      <c r="AP96" s="167" t="s">
        <v>69</v>
      </c>
      <c r="AQ96" s="167" t="s">
        <v>69</v>
      </c>
      <c r="AR96" s="167" t="s">
        <v>69</v>
      </c>
      <c r="AS96" s="167" t="s">
        <v>69</v>
      </c>
      <c r="AT96" s="167" t="s">
        <v>69</v>
      </c>
      <c r="AU96" s="167" t="s">
        <v>69</v>
      </c>
      <c r="AV96" s="167" t="s">
        <v>69</v>
      </c>
      <c r="AW96" s="167" t="s">
        <v>69</v>
      </c>
      <c r="AX96" s="167">
        <v>2</v>
      </c>
      <c r="AY96" s="167" t="s">
        <v>69</v>
      </c>
      <c r="AZ96" s="167" t="s">
        <v>69</v>
      </c>
      <c r="BA96" s="167" t="s">
        <v>69</v>
      </c>
      <c r="BB96" s="167" t="s">
        <v>69</v>
      </c>
      <c r="BC96" s="167" t="s">
        <v>69</v>
      </c>
      <c r="BD96" s="167">
        <v>2</v>
      </c>
      <c r="BE96" s="167" t="s">
        <v>69</v>
      </c>
      <c r="BF96" s="167" t="s">
        <v>69</v>
      </c>
      <c r="BG96" s="167" t="s">
        <v>69</v>
      </c>
      <c r="BH96" s="167" t="s">
        <v>69</v>
      </c>
      <c r="BI96" s="167" t="s">
        <v>69</v>
      </c>
      <c r="BJ96" s="167" t="s">
        <v>69</v>
      </c>
      <c r="BK96" s="167" t="s">
        <v>69</v>
      </c>
      <c r="BL96" s="167" t="s">
        <v>69</v>
      </c>
      <c r="BM96" s="167" t="s">
        <v>69</v>
      </c>
      <c r="BN96" s="167" t="s">
        <v>69</v>
      </c>
      <c r="BO96" s="167" t="s">
        <v>69</v>
      </c>
      <c r="BP96" s="167" t="s">
        <v>69</v>
      </c>
      <c r="BQ96" s="167" t="s">
        <v>69</v>
      </c>
      <c r="BR96" s="167" t="s">
        <v>69</v>
      </c>
      <c r="BS96" s="167" t="s">
        <v>69</v>
      </c>
      <c r="BT96" s="167" t="s">
        <v>69</v>
      </c>
      <c r="BU96" s="167" t="s">
        <v>69</v>
      </c>
      <c r="BV96" s="167" t="s">
        <v>69</v>
      </c>
      <c r="BW96" s="167" t="s">
        <v>69</v>
      </c>
      <c r="BX96" s="167" t="s">
        <v>69</v>
      </c>
      <c r="BY96" s="167" t="s">
        <v>69</v>
      </c>
      <c r="BZ96" s="167" t="s">
        <v>69</v>
      </c>
      <c r="CA96" s="167" t="s">
        <v>69</v>
      </c>
      <c r="CB96" s="167" t="s">
        <v>69</v>
      </c>
      <c r="CC96" s="167" t="s">
        <v>69</v>
      </c>
      <c r="CD96" s="167" t="s">
        <v>69</v>
      </c>
      <c r="CE96" s="167" t="s">
        <v>69</v>
      </c>
      <c r="CF96" s="167" t="s">
        <v>69</v>
      </c>
      <c r="CG96" s="167" t="s">
        <v>69</v>
      </c>
      <c r="CH96" s="167" t="s">
        <v>69</v>
      </c>
      <c r="CI96" s="167" t="s">
        <v>69</v>
      </c>
      <c r="CJ96" s="167" t="s">
        <v>69</v>
      </c>
      <c r="CK96" s="167" t="s">
        <v>69</v>
      </c>
      <c r="CL96" s="167" t="s">
        <v>69</v>
      </c>
      <c r="CM96" s="167" t="s">
        <v>69</v>
      </c>
      <c r="CN96" s="167" t="s">
        <v>69</v>
      </c>
      <c r="CO96" s="167" t="s">
        <v>69</v>
      </c>
      <c r="CP96" s="167" t="s">
        <v>69</v>
      </c>
      <c r="CQ96" s="167" t="s">
        <v>69</v>
      </c>
      <c r="CR96" s="167" t="s">
        <v>69</v>
      </c>
      <c r="CS96" s="167" t="s">
        <v>69</v>
      </c>
      <c r="CT96" s="167" t="s">
        <v>69</v>
      </c>
      <c r="CU96" s="167" t="s">
        <v>69</v>
      </c>
      <c r="CV96" s="167" t="s">
        <v>69</v>
      </c>
      <c r="CW96" s="167" t="s">
        <v>69</v>
      </c>
      <c r="CX96" s="167" t="s">
        <v>69</v>
      </c>
      <c r="CY96" s="167" t="s">
        <v>69</v>
      </c>
      <c r="CZ96" s="167" t="s">
        <v>69</v>
      </c>
      <c r="DA96" s="167" t="s">
        <v>69</v>
      </c>
      <c r="DB96" s="167" t="s">
        <v>69</v>
      </c>
      <c r="DC96" s="167" t="s">
        <v>69</v>
      </c>
      <c r="DD96" s="167" t="s">
        <v>69</v>
      </c>
      <c r="DE96" s="167" t="s">
        <v>69</v>
      </c>
      <c r="DF96" s="167" t="s">
        <v>69</v>
      </c>
      <c r="DG96" s="167" t="s">
        <v>69</v>
      </c>
      <c r="DH96" s="167" t="s">
        <v>69</v>
      </c>
      <c r="DI96" s="167" t="s">
        <v>69</v>
      </c>
      <c r="DJ96" s="167" t="s">
        <v>69</v>
      </c>
      <c r="DK96" s="167" t="s">
        <v>69</v>
      </c>
      <c r="DL96" s="167" t="s">
        <v>69</v>
      </c>
      <c r="DM96" s="167" t="s">
        <v>69</v>
      </c>
      <c r="DN96" s="167" t="s">
        <v>69</v>
      </c>
      <c r="DO96" s="167" t="s">
        <v>69</v>
      </c>
      <c r="DP96" s="167" t="s">
        <v>69</v>
      </c>
      <c r="DQ96" s="167" t="s">
        <v>69</v>
      </c>
      <c r="DR96" s="167" t="s">
        <v>69</v>
      </c>
      <c r="DS96" s="167" t="s">
        <v>69</v>
      </c>
      <c r="DT96" s="167" t="s">
        <v>69</v>
      </c>
      <c r="DU96" s="167" t="s">
        <v>69</v>
      </c>
      <c r="DV96" s="110">
        <f t="shared" si="2"/>
        <v>6.4516129032258063E-2</v>
      </c>
      <c r="DW96" s="104">
        <f t="shared" si="3"/>
        <v>0</v>
      </c>
    </row>
    <row r="97" spans="1:127" ht="42" hidden="1" customHeight="1" thickBot="1">
      <c r="A97" s="250" t="s">
        <v>818</v>
      </c>
      <c r="B97" s="242" t="s">
        <v>819</v>
      </c>
      <c r="C97" s="208">
        <v>45945</v>
      </c>
      <c r="D97" s="220" t="s">
        <v>434</v>
      </c>
      <c r="E97" s="256" t="s">
        <v>900</v>
      </c>
      <c r="F97" s="167">
        <v>2</v>
      </c>
      <c r="G97" s="167" t="s">
        <v>69</v>
      </c>
      <c r="H97" s="167" t="s">
        <v>69</v>
      </c>
      <c r="I97" s="167" t="s">
        <v>69</v>
      </c>
      <c r="J97" s="167" t="s">
        <v>69</v>
      </c>
      <c r="K97" s="167" t="s">
        <v>69</v>
      </c>
      <c r="L97" s="167" t="s">
        <v>69</v>
      </c>
      <c r="M97" s="167" t="s">
        <v>69</v>
      </c>
      <c r="N97" s="167" t="s">
        <v>69</v>
      </c>
      <c r="O97" s="167" t="s">
        <v>69</v>
      </c>
      <c r="P97" s="167" t="s">
        <v>69</v>
      </c>
      <c r="Q97" s="167" t="s">
        <v>69</v>
      </c>
      <c r="R97" s="167" t="s">
        <v>69</v>
      </c>
      <c r="S97" s="167" t="s">
        <v>69</v>
      </c>
      <c r="T97" s="167" t="s">
        <v>69</v>
      </c>
      <c r="U97" s="167" t="s">
        <v>69</v>
      </c>
      <c r="V97" s="167" t="s">
        <v>69</v>
      </c>
      <c r="W97" s="167" t="s">
        <v>69</v>
      </c>
      <c r="X97" s="167" t="s">
        <v>69</v>
      </c>
      <c r="Y97" s="167" t="s">
        <v>69</v>
      </c>
      <c r="Z97" s="167" t="s">
        <v>69</v>
      </c>
      <c r="AA97" s="167">
        <v>2</v>
      </c>
      <c r="AB97" s="167" t="s">
        <v>69</v>
      </c>
      <c r="AC97" s="167" t="s">
        <v>69</v>
      </c>
      <c r="AD97" s="167" t="s">
        <v>69</v>
      </c>
      <c r="AE97" s="167" t="s">
        <v>69</v>
      </c>
      <c r="AF97" s="167" t="s">
        <v>69</v>
      </c>
      <c r="AG97" s="167" t="s">
        <v>69</v>
      </c>
      <c r="AH97" s="167" t="s">
        <v>69</v>
      </c>
      <c r="AI97" s="167" t="s">
        <v>69</v>
      </c>
      <c r="AJ97" s="167" t="s">
        <v>69</v>
      </c>
      <c r="AK97" s="167" t="s">
        <v>69</v>
      </c>
      <c r="AL97" s="167" t="s">
        <v>69</v>
      </c>
      <c r="AM97" s="167" t="s">
        <v>69</v>
      </c>
      <c r="AN97" s="167" t="s">
        <v>69</v>
      </c>
      <c r="AO97" s="167" t="s">
        <v>69</v>
      </c>
      <c r="AP97" s="167" t="s">
        <v>69</v>
      </c>
      <c r="AQ97" s="167" t="s">
        <v>69</v>
      </c>
      <c r="AR97" s="167" t="s">
        <v>69</v>
      </c>
      <c r="AS97" s="167" t="s">
        <v>69</v>
      </c>
      <c r="AT97" s="167" t="s">
        <v>69</v>
      </c>
      <c r="AU97" s="167" t="s">
        <v>69</v>
      </c>
      <c r="AV97" s="167" t="s">
        <v>69</v>
      </c>
      <c r="AW97" s="167" t="s">
        <v>69</v>
      </c>
      <c r="AX97" s="167" t="s">
        <v>69</v>
      </c>
      <c r="AY97" s="167" t="s">
        <v>69</v>
      </c>
      <c r="AZ97" s="167" t="s">
        <v>69</v>
      </c>
      <c r="BA97" s="167" t="s">
        <v>69</v>
      </c>
      <c r="BB97" s="167" t="s">
        <v>69</v>
      </c>
      <c r="BC97" s="167" t="s">
        <v>69</v>
      </c>
      <c r="BD97" s="167" t="s">
        <v>69</v>
      </c>
      <c r="BE97" s="167" t="s">
        <v>69</v>
      </c>
      <c r="BF97" s="167" t="s">
        <v>69</v>
      </c>
      <c r="BG97" s="167" t="s">
        <v>69</v>
      </c>
      <c r="BH97" s="167" t="s">
        <v>69</v>
      </c>
      <c r="BI97" s="167" t="s">
        <v>69</v>
      </c>
      <c r="BJ97" s="167" t="s">
        <v>69</v>
      </c>
      <c r="BK97" s="167" t="s">
        <v>69</v>
      </c>
      <c r="BL97" s="167" t="s">
        <v>69</v>
      </c>
      <c r="BM97" s="167" t="s">
        <v>69</v>
      </c>
      <c r="BN97" s="167" t="s">
        <v>69</v>
      </c>
      <c r="BO97" s="167" t="s">
        <v>69</v>
      </c>
      <c r="BP97" s="167" t="s">
        <v>69</v>
      </c>
      <c r="BQ97" s="167" t="s">
        <v>69</v>
      </c>
      <c r="BR97" s="167" t="s">
        <v>69</v>
      </c>
      <c r="BS97" s="167" t="s">
        <v>69</v>
      </c>
      <c r="BT97" s="167" t="s">
        <v>69</v>
      </c>
      <c r="BU97" s="167" t="s">
        <v>69</v>
      </c>
      <c r="BV97" s="167" t="s">
        <v>69</v>
      </c>
      <c r="BW97" s="167" t="s">
        <v>69</v>
      </c>
      <c r="BX97" s="167" t="s">
        <v>69</v>
      </c>
      <c r="BY97" s="167" t="s">
        <v>69</v>
      </c>
      <c r="BZ97" s="167" t="s">
        <v>69</v>
      </c>
      <c r="CA97" s="167" t="s">
        <v>69</v>
      </c>
      <c r="CB97" s="167" t="s">
        <v>69</v>
      </c>
      <c r="CC97" s="167" t="s">
        <v>69</v>
      </c>
      <c r="CD97" s="167" t="s">
        <v>69</v>
      </c>
      <c r="CE97" s="167" t="s">
        <v>69</v>
      </c>
      <c r="CF97" s="167" t="s">
        <v>69</v>
      </c>
      <c r="CG97" s="167" t="s">
        <v>69</v>
      </c>
      <c r="CH97" s="167" t="s">
        <v>69</v>
      </c>
      <c r="CI97" s="167" t="s">
        <v>69</v>
      </c>
      <c r="CJ97" s="167" t="s">
        <v>69</v>
      </c>
      <c r="CK97" s="167" t="s">
        <v>69</v>
      </c>
      <c r="CL97" s="167" t="s">
        <v>69</v>
      </c>
      <c r="CM97" s="167" t="s">
        <v>69</v>
      </c>
      <c r="CN97" s="167" t="s">
        <v>69</v>
      </c>
      <c r="CO97" s="167" t="s">
        <v>69</v>
      </c>
      <c r="CP97" s="167" t="s">
        <v>69</v>
      </c>
      <c r="CQ97" s="167" t="s">
        <v>69</v>
      </c>
      <c r="CR97" s="167" t="s">
        <v>69</v>
      </c>
      <c r="CS97" s="167" t="s">
        <v>69</v>
      </c>
      <c r="CT97" s="167" t="s">
        <v>69</v>
      </c>
      <c r="CU97" s="167" t="s">
        <v>69</v>
      </c>
      <c r="CV97" s="167" t="s">
        <v>69</v>
      </c>
      <c r="CW97" s="167" t="s">
        <v>69</v>
      </c>
      <c r="CX97" s="167">
        <v>2</v>
      </c>
      <c r="CY97" s="167" t="s">
        <v>69</v>
      </c>
      <c r="CZ97" s="167" t="s">
        <v>69</v>
      </c>
      <c r="DA97" s="167" t="s">
        <v>69</v>
      </c>
      <c r="DB97" s="167" t="s">
        <v>69</v>
      </c>
      <c r="DC97" s="167">
        <v>2</v>
      </c>
      <c r="DD97" s="167" t="s">
        <v>69</v>
      </c>
      <c r="DE97" s="167" t="s">
        <v>69</v>
      </c>
      <c r="DF97" s="167" t="s">
        <v>69</v>
      </c>
      <c r="DG97" s="167" t="s">
        <v>69</v>
      </c>
      <c r="DH97" s="167" t="s">
        <v>69</v>
      </c>
      <c r="DI97" s="167" t="s">
        <v>69</v>
      </c>
      <c r="DJ97" s="167" t="s">
        <v>69</v>
      </c>
      <c r="DK97" s="167" t="s">
        <v>69</v>
      </c>
      <c r="DL97" s="167" t="s">
        <v>69</v>
      </c>
      <c r="DM97" s="167" t="s">
        <v>69</v>
      </c>
      <c r="DN97" s="167" t="s">
        <v>69</v>
      </c>
      <c r="DO97" s="167" t="s">
        <v>69</v>
      </c>
      <c r="DP97" s="167" t="s">
        <v>69</v>
      </c>
      <c r="DQ97" s="167" t="s">
        <v>69</v>
      </c>
      <c r="DR97" s="167" t="s">
        <v>69</v>
      </c>
      <c r="DS97" s="167" t="s">
        <v>69</v>
      </c>
      <c r="DT97" s="167" t="s">
        <v>69</v>
      </c>
      <c r="DU97" s="167" t="s">
        <v>69</v>
      </c>
      <c r="DV97" s="110">
        <f>COUNTIF(F97:DU97,"&gt;0")/62</f>
        <v>6.4516129032258063E-2</v>
      </c>
      <c r="DW97" s="104">
        <f>+COUNTIF(F97:DU97,"&gt;2")/COUNTIF(F97:DU97,"&gt;1")</f>
        <v>0</v>
      </c>
    </row>
    <row r="98" spans="1:127" ht="42" hidden="1" customHeight="1" thickBot="1">
      <c r="A98" s="250" t="s">
        <v>820</v>
      </c>
      <c r="B98" s="242" t="s">
        <v>821</v>
      </c>
      <c r="C98" s="208">
        <v>45945</v>
      </c>
      <c r="D98" s="220" t="s">
        <v>434</v>
      </c>
      <c r="E98" s="256" t="s">
        <v>900</v>
      </c>
      <c r="F98" s="167" t="s">
        <v>69</v>
      </c>
      <c r="G98" s="167" t="s">
        <v>69</v>
      </c>
      <c r="H98" s="167" t="s">
        <v>69</v>
      </c>
      <c r="I98" s="167" t="s">
        <v>69</v>
      </c>
      <c r="J98" s="167" t="s">
        <v>69</v>
      </c>
      <c r="K98" s="167" t="s">
        <v>69</v>
      </c>
      <c r="L98" s="167" t="s">
        <v>69</v>
      </c>
      <c r="M98" s="167" t="s">
        <v>69</v>
      </c>
      <c r="N98" s="167" t="s">
        <v>69</v>
      </c>
      <c r="O98" s="167" t="s">
        <v>69</v>
      </c>
      <c r="P98" s="167" t="s">
        <v>69</v>
      </c>
      <c r="Q98" s="167" t="s">
        <v>69</v>
      </c>
      <c r="R98" s="167" t="s">
        <v>69</v>
      </c>
      <c r="S98" s="167" t="s">
        <v>69</v>
      </c>
      <c r="T98" s="167" t="s">
        <v>69</v>
      </c>
      <c r="U98" s="167" t="s">
        <v>69</v>
      </c>
      <c r="V98" s="167" t="s">
        <v>69</v>
      </c>
      <c r="W98" s="167" t="s">
        <v>69</v>
      </c>
      <c r="X98" s="167" t="s">
        <v>69</v>
      </c>
      <c r="Y98" s="167" t="s">
        <v>69</v>
      </c>
      <c r="Z98" s="167" t="s">
        <v>69</v>
      </c>
      <c r="AA98" s="167" t="s">
        <v>69</v>
      </c>
      <c r="AB98" s="167" t="s">
        <v>69</v>
      </c>
      <c r="AC98" s="167" t="s">
        <v>69</v>
      </c>
      <c r="AD98" s="167" t="s">
        <v>69</v>
      </c>
      <c r="AE98" s="167" t="s">
        <v>69</v>
      </c>
      <c r="AF98" s="167" t="s">
        <v>69</v>
      </c>
      <c r="AG98" s="167" t="s">
        <v>69</v>
      </c>
      <c r="AH98" s="167" t="s">
        <v>69</v>
      </c>
      <c r="AI98" s="167" t="s">
        <v>69</v>
      </c>
      <c r="AJ98" s="167" t="s">
        <v>69</v>
      </c>
      <c r="AK98" s="167" t="s">
        <v>69</v>
      </c>
      <c r="AL98" s="167" t="s">
        <v>69</v>
      </c>
      <c r="AM98" s="167" t="s">
        <v>69</v>
      </c>
      <c r="AN98" s="167" t="s">
        <v>69</v>
      </c>
      <c r="AO98" s="167" t="s">
        <v>69</v>
      </c>
      <c r="AP98" s="167" t="s">
        <v>69</v>
      </c>
      <c r="AQ98" s="167" t="s">
        <v>69</v>
      </c>
      <c r="AR98" s="167" t="s">
        <v>69</v>
      </c>
      <c r="AS98" s="167" t="s">
        <v>69</v>
      </c>
      <c r="AT98" s="167" t="s">
        <v>69</v>
      </c>
      <c r="AU98" s="167" t="s">
        <v>69</v>
      </c>
      <c r="AV98" s="167" t="s">
        <v>69</v>
      </c>
      <c r="AW98" s="167" t="s">
        <v>69</v>
      </c>
      <c r="AX98" s="167" t="s">
        <v>69</v>
      </c>
      <c r="AY98" s="167" t="s">
        <v>69</v>
      </c>
      <c r="AZ98" s="167" t="s">
        <v>69</v>
      </c>
      <c r="BA98" s="167" t="s">
        <v>69</v>
      </c>
      <c r="BB98" s="167" t="s">
        <v>69</v>
      </c>
      <c r="BC98" s="167" t="s">
        <v>69</v>
      </c>
      <c r="BD98" s="167" t="s">
        <v>69</v>
      </c>
      <c r="BE98" s="167" t="s">
        <v>69</v>
      </c>
      <c r="BF98" s="167" t="s">
        <v>69</v>
      </c>
      <c r="BG98" s="167" t="s">
        <v>69</v>
      </c>
      <c r="BH98" s="167" t="s">
        <v>69</v>
      </c>
      <c r="BI98" s="167" t="s">
        <v>69</v>
      </c>
      <c r="BJ98" s="167" t="s">
        <v>69</v>
      </c>
      <c r="BK98" s="167" t="s">
        <v>69</v>
      </c>
      <c r="BL98" s="167" t="s">
        <v>69</v>
      </c>
      <c r="BM98" s="167" t="s">
        <v>69</v>
      </c>
      <c r="BN98" s="167" t="s">
        <v>69</v>
      </c>
      <c r="BO98" s="167" t="s">
        <v>69</v>
      </c>
      <c r="BP98" s="167" t="s">
        <v>69</v>
      </c>
      <c r="BQ98" s="167" t="s">
        <v>69</v>
      </c>
      <c r="BR98" s="167" t="s">
        <v>69</v>
      </c>
      <c r="BS98" s="167" t="s">
        <v>69</v>
      </c>
      <c r="BT98" s="167" t="s">
        <v>69</v>
      </c>
      <c r="BU98" s="167" t="s">
        <v>69</v>
      </c>
      <c r="BV98" s="167" t="s">
        <v>69</v>
      </c>
      <c r="BW98" s="167" t="s">
        <v>69</v>
      </c>
      <c r="BX98" s="167" t="s">
        <v>69</v>
      </c>
      <c r="BY98" s="167" t="s">
        <v>69</v>
      </c>
      <c r="BZ98" s="167" t="s">
        <v>69</v>
      </c>
      <c r="CA98" s="167" t="s">
        <v>69</v>
      </c>
      <c r="CB98" s="167" t="s">
        <v>69</v>
      </c>
      <c r="CC98" s="167" t="s">
        <v>69</v>
      </c>
      <c r="CD98" s="167" t="s">
        <v>69</v>
      </c>
      <c r="CE98" s="167" t="s">
        <v>69</v>
      </c>
      <c r="CF98" s="167" t="s">
        <v>69</v>
      </c>
      <c r="CG98" s="167" t="s">
        <v>69</v>
      </c>
      <c r="CH98" s="167" t="s">
        <v>69</v>
      </c>
      <c r="CI98" s="167" t="s">
        <v>69</v>
      </c>
      <c r="CJ98" s="167" t="s">
        <v>69</v>
      </c>
      <c r="CK98" s="167" t="s">
        <v>69</v>
      </c>
      <c r="CL98" s="167" t="s">
        <v>69</v>
      </c>
      <c r="CM98" s="167" t="s">
        <v>69</v>
      </c>
      <c r="CN98" s="167" t="s">
        <v>69</v>
      </c>
      <c r="CO98" s="167" t="s">
        <v>69</v>
      </c>
      <c r="CP98" s="167">
        <v>2</v>
      </c>
      <c r="CQ98" s="167" t="s">
        <v>69</v>
      </c>
      <c r="CR98" s="167" t="s">
        <v>69</v>
      </c>
      <c r="CS98" s="167" t="s">
        <v>69</v>
      </c>
      <c r="CT98" s="167" t="s">
        <v>69</v>
      </c>
      <c r="CU98" s="167" t="s">
        <v>69</v>
      </c>
      <c r="CV98" s="167" t="s">
        <v>69</v>
      </c>
      <c r="CW98" s="167" t="s">
        <v>69</v>
      </c>
      <c r="CX98" s="167">
        <v>2</v>
      </c>
      <c r="CY98" s="167" t="s">
        <v>69</v>
      </c>
      <c r="CZ98" s="167" t="s">
        <v>69</v>
      </c>
      <c r="DA98" s="167" t="s">
        <v>69</v>
      </c>
      <c r="DB98" s="167" t="s">
        <v>69</v>
      </c>
      <c r="DC98" s="167" t="s">
        <v>69</v>
      </c>
      <c r="DD98" s="167" t="s">
        <v>69</v>
      </c>
      <c r="DE98" s="167" t="s">
        <v>69</v>
      </c>
      <c r="DF98" s="167" t="s">
        <v>69</v>
      </c>
      <c r="DG98" s="167" t="s">
        <v>69</v>
      </c>
      <c r="DH98" s="167" t="s">
        <v>69</v>
      </c>
      <c r="DI98" s="167" t="s">
        <v>69</v>
      </c>
      <c r="DJ98" s="167" t="s">
        <v>69</v>
      </c>
      <c r="DK98" s="167" t="s">
        <v>69</v>
      </c>
      <c r="DL98" s="167" t="s">
        <v>69</v>
      </c>
      <c r="DM98" s="167" t="s">
        <v>69</v>
      </c>
      <c r="DN98" s="167" t="s">
        <v>69</v>
      </c>
      <c r="DO98" s="167" t="s">
        <v>69</v>
      </c>
      <c r="DP98" s="167" t="s">
        <v>69</v>
      </c>
      <c r="DQ98" s="167" t="s">
        <v>69</v>
      </c>
      <c r="DR98" s="167" t="s">
        <v>69</v>
      </c>
      <c r="DS98" s="167" t="s">
        <v>69</v>
      </c>
      <c r="DT98" s="167" t="s">
        <v>69</v>
      </c>
      <c r="DU98" s="167" t="s">
        <v>69</v>
      </c>
      <c r="DV98" s="110">
        <f t="shared" ref="DV98" si="4">COUNTIF(F98:DU98,"&gt;0")/62</f>
        <v>3.2258064516129031E-2</v>
      </c>
      <c r="DW98" s="104">
        <f t="shared" ref="DW98" si="5">+COUNTIF(F98:DU98,"&gt;2")/COUNTIF(F98:DU98,"&gt;1")</f>
        <v>0</v>
      </c>
    </row>
    <row r="99" spans="1:127" ht="42" hidden="1" customHeight="1" thickBot="1">
      <c r="A99" s="271" t="s">
        <v>866</v>
      </c>
      <c r="B99" s="272" t="s">
        <v>867</v>
      </c>
      <c r="C99" s="208">
        <v>45965</v>
      </c>
      <c r="D99" s="220" t="s">
        <v>434</v>
      </c>
      <c r="E99" s="256" t="s">
        <v>900</v>
      </c>
      <c r="F99" s="167" t="s">
        <v>69</v>
      </c>
      <c r="G99" s="167" t="s">
        <v>69</v>
      </c>
      <c r="H99" s="167">
        <v>2</v>
      </c>
      <c r="I99" s="167" t="s">
        <v>69</v>
      </c>
      <c r="J99" s="167" t="s">
        <v>69</v>
      </c>
      <c r="K99" s="167" t="s">
        <v>69</v>
      </c>
      <c r="L99" s="167" t="s">
        <v>69</v>
      </c>
      <c r="M99" s="167" t="s">
        <v>69</v>
      </c>
      <c r="N99" s="167" t="s">
        <v>69</v>
      </c>
      <c r="O99" s="167" t="s">
        <v>69</v>
      </c>
      <c r="P99" s="167" t="s">
        <v>69</v>
      </c>
      <c r="Q99" s="167" t="s">
        <v>69</v>
      </c>
      <c r="R99" s="167" t="s">
        <v>69</v>
      </c>
      <c r="S99" s="167" t="s">
        <v>69</v>
      </c>
      <c r="T99" s="167" t="s">
        <v>69</v>
      </c>
      <c r="U99" s="167" t="s">
        <v>69</v>
      </c>
      <c r="V99" s="167" t="s">
        <v>69</v>
      </c>
      <c r="W99" s="167" t="s">
        <v>69</v>
      </c>
      <c r="X99" s="167" t="s">
        <v>69</v>
      </c>
      <c r="Y99" s="167" t="s">
        <v>69</v>
      </c>
      <c r="Z99" s="167" t="s">
        <v>69</v>
      </c>
      <c r="AA99" s="167" t="s">
        <v>69</v>
      </c>
      <c r="AB99" s="167" t="s">
        <v>69</v>
      </c>
      <c r="AC99" s="167" t="s">
        <v>69</v>
      </c>
      <c r="AD99" s="167" t="s">
        <v>69</v>
      </c>
      <c r="AE99" s="167" t="s">
        <v>69</v>
      </c>
      <c r="AF99" s="167" t="s">
        <v>69</v>
      </c>
      <c r="AG99" s="167" t="s">
        <v>69</v>
      </c>
      <c r="AH99" s="167">
        <v>2</v>
      </c>
      <c r="AI99" s="167" t="s">
        <v>69</v>
      </c>
      <c r="AJ99" s="167" t="s">
        <v>69</v>
      </c>
      <c r="AK99" s="167" t="s">
        <v>69</v>
      </c>
      <c r="AL99" s="167" t="s">
        <v>69</v>
      </c>
      <c r="AM99" s="167" t="s">
        <v>69</v>
      </c>
      <c r="AN99" s="167" t="s">
        <v>69</v>
      </c>
      <c r="AO99" s="167" t="s">
        <v>69</v>
      </c>
      <c r="AP99" s="167" t="s">
        <v>69</v>
      </c>
      <c r="AQ99" s="167" t="s">
        <v>69</v>
      </c>
      <c r="AR99" s="167" t="s">
        <v>69</v>
      </c>
      <c r="AS99" s="167">
        <v>1</v>
      </c>
      <c r="AT99" s="167" t="s">
        <v>69</v>
      </c>
      <c r="AU99" s="167" t="s">
        <v>69</v>
      </c>
      <c r="AV99" s="167" t="s">
        <v>69</v>
      </c>
      <c r="AW99" s="167" t="s">
        <v>69</v>
      </c>
      <c r="AX99" s="167" t="s">
        <v>69</v>
      </c>
      <c r="AY99" s="167">
        <v>1</v>
      </c>
      <c r="AZ99" s="167" t="s">
        <v>69</v>
      </c>
      <c r="BA99" s="167" t="s">
        <v>69</v>
      </c>
      <c r="BB99" s="167" t="s">
        <v>69</v>
      </c>
      <c r="BC99" s="167" t="s">
        <v>69</v>
      </c>
      <c r="BD99" s="167" t="s">
        <v>69</v>
      </c>
      <c r="BE99" s="167" t="s">
        <v>69</v>
      </c>
      <c r="BF99" s="167" t="s">
        <v>69</v>
      </c>
      <c r="BG99" s="167" t="s">
        <v>69</v>
      </c>
      <c r="BH99" s="167" t="s">
        <v>69</v>
      </c>
      <c r="BI99" s="167" t="s">
        <v>69</v>
      </c>
      <c r="BJ99" s="167" t="s">
        <v>69</v>
      </c>
      <c r="BK99" s="167" t="s">
        <v>69</v>
      </c>
      <c r="BL99" s="167" t="s">
        <v>69</v>
      </c>
      <c r="BM99" s="167" t="s">
        <v>69</v>
      </c>
      <c r="BN99" s="167" t="s">
        <v>69</v>
      </c>
      <c r="BO99" s="167" t="s">
        <v>69</v>
      </c>
      <c r="BP99" s="167" t="s">
        <v>69</v>
      </c>
      <c r="BQ99" s="167" t="s">
        <v>69</v>
      </c>
      <c r="BR99" s="167" t="s">
        <v>69</v>
      </c>
      <c r="BS99" s="167" t="s">
        <v>69</v>
      </c>
      <c r="BT99" s="167" t="s">
        <v>69</v>
      </c>
      <c r="BU99" s="167" t="s">
        <v>69</v>
      </c>
      <c r="BV99" s="167" t="s">
        <v>69</v>
      </c>
      <c r="BW99" s="167" t="s">
        <v>69</v>
      </c>
      <c r="BX99" s="167" t="s">
        <v>69</v>
      </c>
      <c r="BY99" s="167" t="s">
        <v>69</v>
      </c>
      <c r="BZ99" s="167" t="s">
        <v>69</v>
      </c>
      <c r="CA99" s="167" t="s">
        <v>69</v>
      </c>
      <c r="CB99" s="167" t="s">
        <v>69</v>
      </c>
      <c r="CC99" s="167" t="s">
        <v>69</v>
      </c>
      <c r="CD99" s="167" t="s">
        <v>69</v>
      </c>
      <c r="CE99" s="167" t="s">
        <v>69</v>
      </c>
      <c r="CF99" s="167" t="s">
        <v>69</v>
      </c>
      <c r="CG99" s="167" t="s">
        <v>69</v>
      </c>
      <c r="CH99" s="167" t="s">
        <v>69</v>
      </c>
      <c r="CI99" s="167" t="s">
        <v>69</v>
      </c>
      <c r="CJ99" s="167" t="s">
        <v>69</v>
      </c>
      <c r="CK99" s="167" t="s">
        <v>69</v>
      </c>
      <c r="CL99" s="167" t="s">
        <v>69</v>
      </c>
      <c r="CM99" s="167" t="s">
        <v>69</v>
      </c>
      <c r="CN99" s="167" t="s">
        <v>69</v>
      </c>
      <c r="CO99" s="167" t="s">
        <v>69</v>
      </c>
      <c r="CP99" s="167" t="s">
        <v>69</v>
      </c>
      <c r="CQ99" s="167" t="s">
        <v>69</v>
      </c>
      <c r="CR99" s="167" t="s">
        <v>69</v>
      </c>
      <c r="CS99" s="167" t="s">
        <v>69</v>
      </c>
      <c r="CT99" s="167" t="s">
        <v>69</v>
      </c>
      <c r="CU99" s="167" t="s">
        <v>69</v>
      </c>
      <c r="CV99" s="167" t="s">
        <v>69</v>
      </c>
      <c r="CW99" s="167" t="s">
        <v>69</v>
      </c>
      <c r="CX99" s="167" t="s">
        <v>69</v>
      </c>
      <c r="CY99" s="167" t="s">
        <v>69</v>
      </c>
      <c r="CZ99" s="167" t="s">
        <v>69</v>
      </c>
      <c r="DA99" s="167" t="s">
        <v>69</v>
      </c>
      <c r="DB99" s="167" t="s">
        <v>69</v>
      </c>
      <c r="DC99" s="167" t="s">
        <v>69</v>
      </c>
      <c r="DD99" s="167" t="s">
        <v>69</v>
      </c>
      <c r="DE99" s="167" t="s">
        <v>69</v>
      </c>
      <c r="DF99" s="167" t="s">
        <v>69</v>
      </c>
      <c r="DG99" s="167" t="s">
        <v>69</v>
      </c>
      <c r="DH99" s="167" t="s">
        <v>69</v>
      </c>
      <c r="DI99" s="167" t="s">
        <v>69</v>
      </c>
      <c r="DJ99" s="167" t="s">
        <v>69</v>
      </c>
      <c r="DK99" s="167" t="s">
        <v>69</v>
      </c>
      <c r="DL99" s="167" t="s">
        <v>69</v>
      </c>
      <c r="DM99" s="167" t="s">
        <v>69</v>
      </c>
      <c r="DN99" s="167" t="s">
        <v>69</v>
      </c>
      <c r="DO99" s="167" t="s">
        <v>69</v>
      </c>
      <c r="DP99" s="167" t="s">
        <v>69</v>
      </c>
      <c r="DQ99" s="167" t="s">
        <v>69</v>
      </c>
      <c r="DR99" s="167" t="s">
        <v>69</v>
      </c>
      <c r="DS99" s="167" t="s">
        <v>69</v>
      </c>
      <c r="DT99" s="167" t="s">
        <v>69</v>
      </c>
      <c r="DU99" s="167" t="s">
        <v>69</v>
      </c>
      <c r="DV99" s="110">
        <f t="shared" ref="DV99:DV112" si="6">COUNTIF(F99:DU99,"&gt;0")/62</f>
        <v>6.4516129032258063E-2</v>
      </c>
      <c r="DW99" s="104">
        <f t="shared" ref="DW99:DW112" si="7">+COUNTIF(F99:DU99,"&gt;2")/COUNTIF(F99:DU99,"&gt;1")</f>
        <v>0</v>
      </c>
    </row>
    <row r="100" spans="1:127" ht="42" hidden="1" customHeight="1" thickBot="1">
      <c r="A100" s="271" t="s">
        <v>868</v>
      </c>
      <c r="B100" s="272" t="s">
        <v>869</v>
      </c>
      <c r="C100" s="208">
        <v>45965</v>
      </c>
      <c r="D100" s="220" t="s">
        <v>434</v>
      </c>
      <c r="E100" s="256" t="s">
        <v>900</v>
      </c>
      <c r="F100" s="167" t="s">
        <v>69</v>
      </c>
      <c r="G100" s="167" t="s">
        <v>69</v>
      </c>
      <c r="H100" s="167" t="s">
        <v>69</v>
      </c>
      <c r="I100" s="167" t="s">
        <v>69</v>
      </c>
      <c r="J100" s="167" t="s">
        <v>69</v>
      </c>
      <c r="K100" s="167" t="s">
        <v>69</v>
      </c>
      <c r="L100" s="167" t="s">
        <v>69</v>
      </c>
      <c r="M100" s="167" t="s">
        <v>69</v>
      </c>
      <c r="N100" s="167" t="s">
        <v>69</v>
      </c>
      <c r="O100" s="167" t="s">
        <v>69</v>
      </c>
      <c r="P100" s="167" t="s">
        <v>69</v>
      </c>
      <c r="Q100" s="167" t="s">
        <v>69</v>
      </c>
      <c r="R100" s="167" t="s">
        <v>69</v>
      </c>
      <c r="S100" s="167" t="s">
        <v>69</v>
      </c>
      <c r="T100" s="167" t="s">
        <v>69</v>
      </c>
      <c r="U100" s="167" t="s">
        <v>69</v>
      </c>
      <c r="V100" s="167" t="s">
        <v>69</v>
      </c>
      <c r="W100" s="167" t="s">
        <v>69</v>
      </c>
      <c r="X100" s="167" t="s">
        <v>69</v>
      </c>
      <c r="Y100" s="167" t="s">
        <v>69</v>
      </c>
      <c r="Z100" s="167" t="s">
        <v>69</v>
      </c>
      <c r="AA100" s="167" t="s">
        <v>69</v>
      </c>
      <c r="AB100" s="167" t="s">
        <v>69</v>
      </c>
      <c r="AC100" s="167" t="s">
        <v>69</v>
      </c>
      <c r="AD100" s="167" t="s">
        <v>69</v>
      </c>
      <c r="AE100" s="167" t="s">
        <v>69</v>
      </c>
      <c r="AF100" s="167" t="s">
        <v>69</v>
      </c>
      <c r="AG100" s="167" t="s">
        <v>69</v>
      </c>
      <c r="AH100" s="167" t="s">
        <v>69</v>
      </c>
      <c r="AI100" s="167" t="s">
        <v>69</v>
      </c>
      <c r="AJ100" s="167" t="s">
        <v>69</v>
      </c>
      <c r="AK100" s="167" t="s">
        <v>69</v>
      </c>
      <c r="AL100" s="167" t="s">
        <v>69</v>
      </c>
      <c r="AM100" s="167" t="s">
        <v>69</v>
      </c>
      <c r="AN100" s="167" t="s">
        <v>69</v>
      </c>
      <c r="AO100" s="167" t="s">
        <v>69</v>
      </c>
      <c r="AP100" s="167" t="s">
        <v>69</v>
      </c>
      <c r="AQ100" s="167" t="s">
        <v>69</v>
      </c>
      <c r="AR100" s="167" t="s">
        <v>69</v>
      </c>
      <c r="AS100" s="167" t="s">
        <v>69</v>
      </c>
      <c r="AT100" s="167" t="s">
        <v>69</v>
      </c>
      <c r="AU100" s="167" t="s">
        <v>69</v>
      </c>
      <c r="AV100" s="167" t="s">
        <v>69</v>
      </c>
      <c r="AW100" s="167" t="s">
        <v>69</v>
      </c>
      <c r="AX100" s="167" t="s">
        <v>69</v>
      </c>
      <c r="AY100" s="167" t="s">
        <v>69</v>
      </c>
      <c r="AZ100" s="167" t="s">
        <v>69</v>
      </c>
      <c r="BA100" s="167" t="s">
        <v>69</v>
      </c>
      <c r="BB100" s="167" t="s">
        <v>69</v>
      </c>
      <c r="BC100" s="167" t="s">
        <v>69</v>
      </c>
      <c r="BD100" s="167" t="s">
        <v>69</v>
      </c>
      <c r="BE100" s="167" t="s">
        <v>69</v>
      </c>
      <c r="BF100" s="167" t="s">
        <v>69</v>
      </c>
      <c r="BG100" s="167" t="s">
        <v>69</v>
      </c>
      <c r="BH100" s="167" t="s">
        <v>69</v>
      </c>
      <c r="BI100" s="167" t="s">
        <v>69</v>
      </c>
      <c r="BJ100" s="167" t="s">
        <v>69</v>
      </c>
      <c r="BK100" s="167" t="s">
        <v>69</v>
      </c>
      <c r="BL100" s="167" t="s">
        <v>69</v>
      </c>
      <c r="BM100" s="167" t="s">
        <v>69</v>
      </c>
      <c r="BN100" s="167" t="s">
        <v>69</v>
      </c>
      <c r="BO100" s="167" t="s">
        <v>69</v>
      </c>
      <c r="BP100" s="167" t="s">
        <v>69</v>
      </c>
      <c r="BQ100" s="167" t="s">
        <v>69</v>
      </c>
      <c r="BR100" s="167" t="s">
        <v>69</v>
      </c>
      <c r="BS100" s="167" t="s">
        <v>69</v>
      </c>
      <c r="BT100" s="167" t="s">
        <v>69</v>
      </c>
      <c r="BU100" s="167" t="s">
        <v>69</v>
      </c>
      <c r="BV100" s="167" t="s">
        <v>69</v>
      </c>
      <c r="BW100" s="167" t="s">
        <v>69</v>
      </c>
      <c r="BX100" s="167" t="s">
        <v>69</v>
      </c>
      <c r="BY100" s="167" t="s">
        <v>69</v>
      </c>
      <c r="BZ100" s="167" t="s">
        <v>69</v>
      </c>
      <c r="CA100" s="167" t="s">
        <v>69</v>
      </c>
      <c r="CB100" s="167" t="s">
        <v>69</v>
      </c>
      <c r="CC100" s="167" t="s">
        <v>69</v>
      </c>
      <c r="CD100" s="167" t="s">
        <v>69</v>
      </c>
      <c r="CE100" s="167" t="s">
        <v>69</v>
      </c>
      <c r="CF100" s="167" t="s">
        <v>69</v>
      </c>
      <c r="CG100" s="167" t="s">
        <v>69</v>
      </c>
      <c r="CH100" s="167" t="s">
        <v>69</v>
      </c>
      <c r="CI100" s="167" t="s">
        <v>69</v>
      </c>
      <c r="CJ100" s="167" t="s">
        <v>69</v>
      </c>
      <c r="CK100" s="167" t="s">
        <v>69</v>
      </c>
      <c r="CL100" s="167" t="s">
        <v>69</v>
      </c>
      <c r="CM100" s="167" t="s">
        <v>69</v>
      </c>
      <c r="CN100" s="167" t="s">
        <v>69</v>
      </c>
      <c r="CO100" s="167" t="s">
        <v>69</v>
      </c>
      <c r="CP100" s="167" t="s">
        <v>69</v>
      </c>
      <c r="CQ100" s="167" t="s">
        <v>69</v>
      </c>
      <c r="CR100" s="167" t="s">
        <v>69</v>
      </c>
      <c r="CS100" s="167" t="s">
        <v>69</v>
      </c>
      <c r="CT100" s="167" t="s">
        <v>69</v>
      </c>
      <c r="CU100" s="167" t="s">
        <v>69</v>
      </c>
      <c r="CV100" s="167" t="s">
        <v>69</v>
      </c>
      <c r="CW100" s="167" t="s">
        <v>69</v>
      </c>
      <c r="CX100" s="167" t="s">
        <v>69</v>
      </c>
      <c r="CY100" s="167" t="s">
        <v>69</v>
      </c>
      <c r="CZ100" s="167" t="s">
        <v>69</v>
      </c>
      <c r="DA100" s="167" t="s">
        <v>69</v>
      </c>
      <c r="DB100" s="167" t="s">
        <v>69</v>
      </c>
      <c r="DC100" s="167">
        <v>2</v>
      </c>
      <c r="DD100" s="167" t="s">
        <v>69</v>
      </c>
      <c r="DE100" s="167" t="s">
        <v>69</v>
      </c>
      <c r="DF100" s="167" t="s">
        <v>69</v>
      </c>
      <c r="DG100" s="167" t="s">
        <v>69</v>
      </c>
      <c r="DH100" s="167" t="s">
        <v>69</v>
      </c>
      <c r="DI100" s="167" t="s">
        <v>69</v>
      </c>
      <c r="DJ100" s="167" t="s">
        <v>69</v>
      </c>
      <c r="DK100" s="167" t="s">
        <v>69</v>
      </c>
      <c r="DL100" s="167" t="s">
        <v>69</v>
      </c>
      <c r="DM100" s="167" t="s">
        <v>69</v>
      </c>
      <c r="DN100" s="167" t="s">
        <v>69</v>
      </c>
      <c r="DO100" s="167" t="s">
        <v>69</v>
      </c>
      <c r="DP100" s="167" t="s">
        <v>69</v>
      </c>
      <c r="DQ100" s="167" t="s">
        <v>69</v>
      </c>
      <c r="DR100" s="167" t="s">
        <v>69</v>
      </c>
      <c r="DS100" s="167" t="s">
        <v>69</v>
      </c>
      <c r="DT100" s="167" t="s">
        <v>69</v>
      </c>
      <c r="DU100" s="167" t="s">
        <v>69</v>
      </c>
      <c r="DV100" s="110">
        <f t="shared" si="6"/>
        <v>1.6129032258064516E-2</v>
      </c>
      <c r="DW100" s="104">
        <f t="shared" si="7"/>
        <v>0</v>
      </c>
    </row>
    <row r="101" spans="1:127" ht="42" hidden="1" customHeight="1" thickBot="1">
      <c r="A101" s="271" t="s">
        <v>870</v>
      </c>
      <c r="B101" s="272" t="s">
        <v>871</v>
      </c>
      <c r="C101" s="208">
        <v>45965</v>
      </c>
      <c r="D101" s="220" t="s">
        <v>434</v>
      </c>
      <c r="E101" s="256" t="s">
        <v>900</v>
      </c>
      <c r="F101" s="167" t="s">
        <v>69</v>
      </c>
      <c r="G101" s="167" t="s">
        <v>69</v>
      </c>
      <c r="H101" s="167" t="s">
        <v>69</v>
      </c>
      <c r="I101" s="167" t="s">
        <v>69</v>
      </c>
      <c r="J101" s="167" t="s">
        <v>69</v>
      </c>
      <c r="K101" s="167" t="s">
        <v>69</v>
      </c>
      <c r="L101" s="167" t="s">
        <v>69</v>
      </c>
      <c r="M101" s="167" t="s">
        <v>69</v>
      </c>
      <c r="N101" s="167" t="s">
        <v>69</v>
      </c>
      <c r="O101" s="167" t="s">
        <v>69</v>
      </c>
      <c r="P101" s="167" t="s">
        <v>69</v>
      </c>
      <c r="Q101" s="167" t="s">
        <v>69</v>
      </c>
      <c r="R101" s="167" t="s">
        <v>69</v>
      </c>
      <c r="S101" s="167" t="s">
        <v>69</v>
      </c>
      <c r="T101" s="167" t="s">
        <v>69</v>
      </c>
      <c r="U101" s="167" t="s">
        <v>69</v>
      </c>
      <c r="V101" s="167" t="s">
        <v>69</v>
      </c>
      <c r="W101" s="167" t="s">
        <v>69</v>
      </c>
      <c r="X101" s="167" t="s">
        <v>69</v>
      </c>
      <c r="Y101" s="167" t="s">
        <v>69</v>
      </c>
      <c r="Z101" s="167" t="s">
        <v>69</v>
      </c>
      <c r="AA101" s="167" t="s">
        <v>69</v>
      </c>
      <c r="AB101" s="167" t="s">
        <v>69</v>
      </c>
      <c r="AC101" s="167" t="s">
        <v>69</v>
      </c>
      <c r="AD101" s="167" t="s">
        <v>69</v>
      </c>
      <c r="AE101" s="167" t="s">
        <v>69</v>
      </c>
      <c r="AF101" s="167" t="s">
        <v>69</v>
      </c>
      <c r="AG101" s="167" t="s">
        <v>69</v>
      </c>
      <c r="AH101" s="167" t="s">
        <v>69</v>
      </c>
      <c r="AI101" s="167" t="s">
        <v>69</v>
      </c>
      <c r="AJ101" s="167" t="s">
        <v>69</v>
      </c>
      <c r="AK101" s="167" t="s">
        <v>69</v>
      </c>
      <c r="AL101" s="167" t="s">
        <v>69</v>
      </c>
      <c r="AM101" s="167" t="s">
        <v>69</v>
      </c>
      <c r="AN101" s="167">
        <v>2</v>
      </c>
      <c r="AO101" s="167" t="s">
        <v>69</v>
      </c>
      <c r="AP101" s="167" t="s">
        <v>69</v>
      </c>
      <c r="AQ101" s="167" t="s">
        <v>69</v>
      </c>
      <c r="AR101" s="167" t="s">
        <v>69</v>
      </c>
      <c r="AS101" s="167" t="s">
        <v>69</v>
      </c>
      <c r="AT101" s="167" t="s">
        <v>69</v>
      </c>
      <c r="AU101" s="167">
        <v>1</v>
      </c>
      <c r="AV101" s="167" t="s">
        <v>69</v>
      </c>
      <c r="AW101" s="167" t="s">
        <v>69</v>
      </c>
      <c r="AX101" s="167">
        <v>2</v>
      </c>
      <c r="AY101" s="167" t="s">
        <v>69</v>
      </c>
      <c r="AZ101" s="167" t="s">
        <v>69</v>
      </c>
      <c r="BA101" s="167" t="s">
        <v>69</v>
      </c>
      <c r="BB101" s="167" t="s">
        <v>69</v>
      </c>
      <c r="BC101" s="167" t="s">
        <v>69</v>
      </c>
      <c r="BD101" s="167" t="s">
        <v>69</v>
      </c>
      <c r="BE101" s="167" t="s">
        <v>69</v>
      </c>
      <c r="BF101" s="167" t="s">
        <v>69</v>
      </c>
      <c r="BG101" s="167" t="s">
        <v>69</v>
      </c>
      <c r="BH101" s="167" t="s">
        <v>69</v>
      </c>
      <c r="BI101" s="167" t="s">
        <v>69</v>
      </c>
      <c r="BJ101" s="167" t="s">
        <v>69</v>
      </c>
      <c r="BK101" s="167" t="s">
        <v>69</v>
      </c>
      <c r="BL101" s="167" t="s">
        <v>69</v>
      </c>
      <c r="BM101" s="167" t="s">
        <v>69</v>
      </c>
      <c r="BN101" s="167" t="s">
        <v>69</v>
      </c>
      <c r="BO101" s="167" t="s">
        <v>69</v>
      </c>
      <c r="BP101" s="167" t="s">
        <v>69</v>
      </c>
      <c r="BQ101" s="167" t="s">
        <v>69</v>
      </c>
      <c r="BR101" s="167" t="s">
        <v>69</v>
      </c>
      <c r="BS101" s="167" t="s">
        <v>69</v>
      </c>
      <c r="BT101" s="167" t="s">
        <v>69</v>
      </c>
      <c r="BU101" s="167" t="s">
        <v>69</v>
      </c>
      <c r="BV101" s="167" t="s">
        <v>69</v>
      </c>
      <c r="BW101" s="167" t="s">
        <v>69</v>
      </c>
      <c r="BX101" s="167" t="s">
        <v>69</v>
      </c>
      <c r="BY101" s="167" t="s">
        <v>69</v>
      </c>
      <c r="BZ101" s="167" t="s">
        <v>69</v>
      </c>
      <c r="CA101" s="167" t="s">
        <v>69</v>
      </c>
      <c r="CB101" s="167" t="s">
        <v>69</v>
      </c>
      <c r="CC101" s="167" t="s">
        <v>69</v>
      </c>
      <c r="CD101" s="167" t="s">
        <v>69</v>
      </c>
      <c r="CE101" s="167" t="s">
        <v>69</v>
      </c>
      <c r="CF101" s="167" t="s">
        <v>69</v>
      </c>
      <c r="CG101" s="167" t="s">
        <v>69</v>
      </c>
      <c r="CH101" s="167" t="s">
        <v>69</v>
      </c>
      <c r="CI101" s="167" t="s">
        <v>69</v>
      </c>
      <c r="CJ101" s="167" t="s">
        <v>69</v>
      </c>
      <c r="CK101" s="167" t="s">
        <v>69</v>
      </c>
      <c r="CL101" s="167" t="s">
        <v>69</v>
      </c>
      <c r="CM101" s="167" t="s">
        <v>69</v>
      </c>
      <c r="CN101" s="167" t="s">
        <v>69</v>
      </c>
      <c r="CO101" s="167" t="s">
        <v>69</v>
      </c>
      <c r="CP101" s="167" t="s">
        <v>69</v>
      </c>
      <c r="CQ101" s="167" t="s">
        <v>69</v>
      </c>
      <c r="CR101" s="167" t="s">
        <v>69</v>
      </c>
      <c r="CS101" s="167" t="s">
        <v>69</v>
      </c>
      <c r="CT101" s="167" t="s">
        <v>69</v>
      </c>
      <c r="CU101" s="167" t="s">
        <v>69</v>
      </c>
      <c r="CV101" s="167" t="s">
        <v>69</v>
      </c>
      <c r="CW101" s="167" t="s">
        <v>69</v>
      </c>
      <c r="CX101" s="167" t="s">
        <v>69</v>
      </c>
      <c r="CY101" s="167" t="s">
        <v>69</v>
      </c>
      <c r="CZ101" s="167" t="s">
        <v>69</v>
      </c>
      <c r="DA101" s="167" t="s">
        <v>69</v>
      </c>
      <c r="DB101" s="167" t="s">
        <v>69</v>
      </c>
      <c r="DC101" s="167" t="s">
        <v>69</v>
      </c>
      <c r="DD101" s="167" t="s">
        <v>69</v>
      </c>
      <c r="DE101" s="167" t="s">
        <v>69</v>
      </c>
      <c r="DF101" s="167" t="s">
        <v>69</v>
      </c>
      <c r="DG101" s="167" t="s">
        <v>69</v>
      </c>
      <c r="DH101" s="167" t="s">
        <v>69</v>
      </c>
      <c r="DI101" s="167" t="s">
        <v>69</v>
      </c>
      <c r="DJ101" s="167" t="s">
        <v>69</v>
      </c>
      <c r="DK101" s="167" t="s">
        <v>69</v>
      </c>
      <c r="DL101" s="167" t="s">
        <v>69</v>
      </c>
      <c r="DM101" s="167" t="s">
        <v>69</v>
      </c>
      <c r="DN101" s="167" t="s">
        <v>69</v>
      </c>
      <c r="DO101" s="167" t="s">
        <v>69</v>
      </c>
      <c r="DP101" s="167" t="s">
        <v>69</v>
      </c>
      <c r="DQ101" s="167" t="s">
        <v>69</v>
      </c>
      <c r="DR101" s="167" t="s">
        <v>69</v>
      </c>
      <c r="DS101" s="167" t="s">
        <v>69</v>
      </c>
      <c r="DT101" s="167" t="s">
        <v>69</v>
      </c>
      <c r="DU101" s="167" t="s">
        <v>69</v>
      </c>
      <c r="DV101" s="110">
        <f t="shared" si="6"/>
        <v>4.8387096774193547E-2</v>
      </c>
      <c r="DW101" s="104">
        <f t="shared" si="7"/>
        <v>0</v>
      </c>
    </row>
    <row r="102" spans="1:127" ht="42" hidden="1" customHeight="1" thickBot="1">
      <c r="A102" s="271" t="s">
        <v>872</v>
      </c>
      <c r="B102" s="272" t="s">
        <v>873</v>
      </c>
      <c r="C102" s="208">
        <v>45965</v>
      </c>
      <c r="D102" s="220" t="s">
        <v>434</v>
      </c>
      <c r="E102" s="256" t="s">
        <v>900</v>
      </c>
      <c r="F102" s="167">
        <v>2</v>
      </c>
      <c r="G102" s="167" t="s">
        <v>69</v>
      </c>
      <c r="H102" s="167" t="s">
        <v>69</v>
      </c>
      <c r="I102" s="167" t="s">
        <v>69</v>
      </c>
      <c r="J102" s="167" t="s">
        <v>69</v>
      </c>
      <c r="K102" s="167" t="s">
        <v>69</v>
      </c>
      <c r="L102" s="167" t="s">
        <v>69</v>
      </c>
      <c r="M102" s="167" t="s">
        <v>69</v>
      </c>
      <c r="N102" s="167" t="s">
        <v>69</v>
      </c>
      <c r="O102" s="167" t="s">
        <v>69</v>
      </c>
      <c r="P102" s="167" t="s">
        <v>69</v>
      </c>
      <c r="Q102" s="167" t="s">
        <v>69</v>
      </c>
      <c r="R102" s="167" t="s">
        <v>69</v>
      </c>
      <c r="S102" s="167" t="s">
        <v>69</v>
      </c>
      <c r="T102" s="167" t="s">
        <v>69</v>
      </c>
      <c r="U102" s="167" t="s">
        <v>69</v>
      </c>
      <c r="V102" s="167" t="s">
        <v>69</v>
      </c>
      <c r="W102" s="167" t="s">
        <v>69</v>
      </c>
      <c r="X102" s="167" t="s">
        <v>69</v>
      </c>
      <c r="Y102" s="167" t="s">
        <v>69</v>
      </c>
      <c r="Z102" s="167" t="s">
        <v>69</v>
      </c>
      <c r="AA102" s="167" t="s">
        <v>69</v>
      </c>
      <c r="AB102" s="167" t="s">
        <v>69</v>
      </c>
      <c r="AC102" s="167" t="s">
        <v>69</v>
      </c>
      <c r="AD102" s="167" t="s">
        <v>69</v>
      </c>
      <c r="AE102" s="167" t="s">
        <v>69</v>
      </c>
      <c r="AF102" s="167" t="s">
        <v>69</v>
      </c>
      <c r="AG102" s="167" t="s">
        <v>69</v>
      </c>
      <c r="AH102" s="167" t="s">
        <v>69</v>
      </c>
      <c r="AI102" s="167" t="s">
        <v>69</v>
      </c>
      <c r="AJ102" s="167" t="s">
        <v>69</v>
      </c>
      <c r="AK102" s="167" t="s">
        <v>69</v>
      </c>
      <c r="AL102" s="167" t="s">
        <v>69</v>
      </c>
      <c r="AM102" s="167" t="s">
        <v>69</v>
      </c>
      <c r="AN102" s="167" t="s">
        <v>69</v>
      </c>
      <c r="AO102" s="167" t="s">
        <v>69</v>
      </c>
      <c r="AP102" s="167" t="s">
        <v>69</v>
      </c>
      <c r="AQ102" s="167" t="s">
        <v>69</v>
      </c>
      <c r="AR102" s="167" t="s">
        <v>69</v>
      </c>
      <c r="AS102" s="167" t="s">
        <v>69</v>
      </c>
      <c r="AT102" s="167" t="s">
        <v>69</v>
      </c>
      <c r="AU102" s="167" t="s">
        <v>69</v>
      </c>
      <c r="AV102" s="167" t="s">
        <v>69</v>
      </c>
      <c r="AW102" s="167" t="s">
        <v>69</v>
      </c>
      <c r="AX102" s="167" t="s">
        <v>69</v>
      </c>
      <c r="AY102" s="167" t="s">
        <v>69</v>
      </c>
      <c r="AZ102" s="167" t="s">
        <v>69</v>
      </c>
      <c r="BA102" s="167" t="s">
        <v>69</v>
      </c>
      <c r="BB102" s="167" t="s">
        <v>69</v>
      </c>
      <c r="BC102" s="167" t="s">
        <v>69</v>
      </c>
      <c r="BD102" s="167" t="s">
        <v>69</v>
      </c>
      <c r="BE102" s="167" t="s">
        <v>69</v>
      </c>
      <c r="BF102" s="167" t="s">
        <v>69</v>
      </c>
      <c r="BG102" s="167" t="s">
        <v>69</v>
      </c>
      <c r="BH102" s="167" t="s">
        <v>69</v>
      </c>
      <c r="BI102" s="167" t="s">
        <v>69</v>
      </c>
      <c r="BJ102" s="167" t="s">
        <v>69</v>
      </c>
      <c r="BK102" s="167" t="s">
        <v>69</v>
      </c>
      <c r="BL102" s="167" t="s">
        <v>69</v>
      </c>
      <c r="BM102" s="167" t="s">
        <v>69</v>
      </c>
      <c r="BN102" s="167" t="s">
        <v>69</v>
      </c>
      <c r="BO102" s="167" t="s">
        <v>69</v>
      </c>
      <c r="BP102" s="167" t="s">
        <v>69</v>
      </c>
      <c r="BQ102" s="167" t="s">
        <v>69</v>
      </c>
      <c r="BR102" s="167" t="s">
        <v>69</v>
      </c>
      <c r="BS102" s="167" t="s">
        <v>69</v>
      </c>
      <c r="BT102" s="167" t="s">
        <v>69</v>
      </c>
      <c r="BU102" s="167" t="s">
        <v>69</v>
      </c>
      <c r="BV102" s="167" t="s">
        <v>69</v>
      </c>
      <c r="BW102" s="167" t="s">
        <v>69</v>
      </c>
      <c r="BX102" s="167" t="s">
        <v>69</v>
      </c>
      <c r="BY102" s="167" t="s">
        <v>69</v>
      </c>
      <c r="BZ102" s="167" t="s">
        <v>69</v>
      </c>
      <c r="CA102" s="167" t="s">
        <v>69</v>
      </c>
      <c r="CB102" s="167" t="s">
        <v>69</v>
      </c>
      <c r="CC102" s="167" t="s">
        <v>69</v>
      </c>
      <c r="CD102" s="167" t="s">
        <v>69</v>
      </c>
      <c r="CE102" s="167" t="s">
        <v>69</v>
      </c>
      <c r="CF102" s="167" t="s">
        <v>69</v>
      </c>
      <c r="CG102" s="167" t="s">
        <v>69</v>
      </c>
      <c r="CH102" s="167" t="s">
        <v>69</v>
      </c>
      <c r="CI102" s="167" t="s">
        <v>69</v>
      </c>
      <c r="CJ102" s="167" t="s">
        <v>69</v>
      </c>
      <c r="CK102" s="167" t="s">
        <v>69</v>
      </c>
      <c r="CL102" s="167" t="s">
        <v>69</v>
      </c>
      <c r="CM102" s="167" t="s">
        <v>69</v>
      </c>
      <c r="CN102" s="167" t="s">
        <v>69</v>
      </c>
      <c r="CO102" s="167" t="s">
        <v>69</v>
      </c>
      <c r="CP102" s="167" t="s">
        <v>69</v>
      </c>
      <c r="CQ102" s="167" t="s">
        <v>69</v>
      </c>
      <c r="CR102" s="167" t="s">
        <v>69</v>
      </c>
      <c r="CS102" s="167" t="s">
        <v>69</v>
      </c>
      <c r="CT102" s="167" t="s">
        <v>69</v>
      </c>
      <c r="CU102" s="167" t="s">
        <v>69</v>
      </c>
      <c r="CV102" s="167" t="s">
        <v>69</v>
      </c>
      <c r="CW102" s="167" t="s">
        <v>69</v>
      </c>
      <c r="CX102" s="167" t="s">
        <v>69</v>
      </c>
      <c r="CY102" s="167" t="s">
        <v>69</v>
      </c>
      <c r="CZ102" s="167" t="s">
        <v>69</v>
      </c>
      <c r="DA102" s="167" t="s">
        <v>69</v>
      </c>
      <c r="DB102" s="167" t="s">
        <v>69</v>
      </c>
      <c r="DC102" s="167" t="s">
        <v>69</v>
      </c>
      <c r="DD102" s="167" t="s">
        <v>69</v>
      </c>
      <c r="DE102" s="167" t="s">
        <v>69</v>
      </c>
      <c r="DF102" s="167" t="s">
        <v>69</v>
      </c>
      <c r="DG102" s="167" t="s">
        <v>69</v>
      </c>
      <c r="DH102" s="167" t="s">
        <v>69</v>
      </c>
      <c r="DI102" s="167" t="s">
        <v>69</v>
      </c>
      <c r="DJ102" s="167" t="s">
        <v>69</v>
      </c>
      <c r="DK102" s="167" t="s">
        <v>69</v>
      </c>
      <c r="DL102" s="167" t="s">
        <v>69</v>
      </c>
      <c r="DM102" s="167" t="s">
        <v>69</v>
      </c>
      <c r="DN102" s="167" t="s">
        <v>69</v>
      </c>
      <c r="DO102" s="167" t="s">
        <v>69</v>
      </c>
      <c r="DP102" s="167" t="s">
        <v>69</v>
      </c>
      <c r="DQ102" s="167" t="s">
        <v>69</v>
      </c>
      <c r="DR102" s="167" t="s">
        <v>69</v>
      </c>
      <c r="DS102" s="167" t="s">
        <v>69</v>
      </c>
      <c r="DT102" s="167" t="s">
        <v>69</v>
      </c>
      <c r="DU102" s="167" t="s">
        <v>69</v>
      </c>
      <c r="DV102" s="110">
        <f t="shared" si="6"/>
        <v>1.6129032258064516E-2</v>
      </c>
      <c r="DW102" s="104">
        <f t="shared" si="7"/>
        <v>0</v>
      </c>
    </row>
    <row r="103" spans="1:127" ht="42" hidden="1" customHeight="1" thickBot="1">
      <c r="A103" s="271" t="s">
        <v>874</v>
      </c>
      <c r="B103" s="272" t="s">
        <v>875</v>
      </c>
      <c r="C103" s="208">
        <v>45965</v>
      </c>
      <c r="D103" s="220" t="s">
        <v>434</v>
      </c>
      <c r="E103" s="256" t="s">
        <v>900</v>
      </c>
      <c r="F103" s="167" t="s">
        <v>69</v>
      </c>
      <c r="G103" s="167" t="s">
        <v>69</v>
      </c>
      <c r="H103" s="167">
        <v>2</v>
      </c>
      <c r="I103" s="167" t="s">
        <v>69</v>
      </c>
      <c r="J103" s="167" t="s">
        <v>69</v>
      </c>
      <c r="K103" s="167" t="s">
        <v>69</v>
      </c>
      <c r="L103" s="167" t="s">
        <v>69</v>
      </c>
      <c r="M103" s="167" t="s">
        <v>69</v>
      </c>
      <c r="N103" s="167" t="s">
        <v>69</v>
      </c>
      <c r="O103" s="167" t="s">
        <v>69</v>
      </c>
      <c r="P103" s="167" t="s">
        <v>69</v>
      </c>
      <c r="Q103" s="167" t="s">
        <v>69</v>
      </c>
      <c r="R103" s="167" t="s">
        <v>69</v>
      </c>
      <c r="S103" s="167" t="s">
        <v>69</v>
      </c>
      <c r="T103" s="167" t="s">
        <v>69</v>
      </c>
      <c r="U103" s="167" t="s">
        <v>69</v>
      </c>
      <c r="V103" s="167" t="s">
        <v>69</v>
      </c>
      <c r="W103" s="167" t="s">
        <v>69</v>
      </c>
      <c r="X103" s="167" t="s">
        <v>69</v>
      </c>
      <c r="Y103" s="167" t="s">
        <v>69</v>
      </c>
      <c r="Z103" s="167" t="s">
        <v>69</v>
      </c>
      <c r="AA103" s="167" t="s">
        <v>69</v>
      </c>
      <c r="AB103" s="167" t="s">
        <v>69</v>
      </c>
      <c r="AC103" s="167" t="s">
        <v>69</v>
      </c>
      <c r="AD103" s="167" t="s">
        <v>69</v>
      </c>
      <c r="AE103" s="167" t="s">
        <v>69</v>
      </c>
      <c r="AF103" s="167" t="s">
        <v>69</v>
      </c>
      <c r="AG103" s="167" t="s">
        <v>69</v>
      </c>
      <c r="AH103" s="167" t="s">
        <v>69</v>
      </c>
      <c r="AI103" s="167" t="s">
        <v>69</v>
      </c>
      <c r="AJ103" s="167" t="s">
        <v>69</v>
      </c>
      <c r="AK103" s="167" t="s">
        <v>69</v>
      </c>
      <c r="AL103" s="167" t="s">
        <v>69</v>
      </c>
      <c r="AM103" s="167" t="s">
        <v>69</v>
      </c>
      <c r="AN103" s="167" t="s">
        <v>69</v>
      </c>
      <c r="AO103" s="167" t="s">
        <v>69</v>
      </c>
      <c r="AP103" s="167" t="s">
        <v>69</v>
      </c>
      <c r="AQ103" s="167" t="s">
        <v>69</v>
      </c>
      <c r="AR103" s="167" t="s">
        <v>69</v>
      </c>
      <c r="AS103" s="167" t="s">
        <v>69</v>
      </c>
      <c r="AT103" s="167" t="s">
        <v>69</v>
      </c>
      <c r="AU103" s="167" t="s">
        <v>69</v>
      </c>
      <c r="AV103" s="167" t="s">
        <v>69</v>
      </c>
      <c r="AW103" s="167" t="s">
        <v>69</v>
      </c>
      <c r="AX103" s="167" t="s">
        <v>69</v>
      </c>
      <c r="AY103" s="167" t="s">
        <v>69</v>
      </c>
      <c r="AZ103" s="167" t="s">
        <v>69</v>
      </c>
      <c r="BA103" s="167" t="s">
        <v>69</v>
      </c>
      <c r="BB103" s="167" t="s">
        <v>69</v>
      </c>
      <c r="BC103" s="167" t="s">
        <v>69</v>
      </c>
      <c r="BD103" s="167" t="s">
        <v>69</v>
      </c>
      <c r="BE103" s="167" t="s">
        <v>69</v>
      </c>
      <c r="BF103" s="167" t="s">
        <v>69</v>
      </c>
      <c r="BG103" s="167" t="s">
        <v>69</v>
      </c>
      <c r="BH103" s="167" t="s">
        <v>69</v>
      </c>
      <c r="BI103" s="167" t="s">
        <v>69</v>
      </c>
      <c r="BJ103" s="167" t="s">
        <v>69</v>
      </c>
      <c r="BK103" s="167" t="s">
        <v>69</v>
      </c>
      <c r="BL103" s="167" t="s">
        <v>69</v>
      </c>
      <c r="BM103" s="167" t="s">
        <v>69</v>
      </c>
      <c r="BN103" s="167" t="s">
        <v>69</v>
      </c>
      <c r="BO103" s="167" t="s">
        <v>69</v>
      </c>
      <c r="BP103" s="167" t="s">
        <v>69</v>
      </c>
      <c r="BQ103" s="167" t="s">
        <v>69</v>
      </c>
      <c r="BR103" s="167" t="s">
        <v>69</v>
      </c>
      <c r="BS103" s="167" t="s">
        <v>69</v>
      </c>
      <c r="BT103" s="167" t="s">
        <v>69</v>
      </c>
      <c r="BU103" s="167" t="s">
        <v>69</v>
      </c>
      <c r="BV103" s="167" t="s">
        <v>69</v>
      </c>
      <c r="BW103" s="167" t="s">
        <v>69</v>
      </c>
      <c r="BX103" s="167" t="s">
        <v>69</v>
      </c>
      <c r="BY103" s="167" t="s">
        <v>69</v>
      </c>
      <c r="BZ103" s="167" t="s">
        <v>69</v>
      </c>
      <c r="CA103" s="167" t="s">
        <v>69</v>
      </c>
      <c r="CB103" s="167" t="s">
        <v>69</v>
      </c>
      <c r="CC103" s="167" t="s">
        <v>69</v>
      </c>
      <c r="CD103" s="167" t="s">
        <v>69</v>
      </c>
      <c r="CE103" s="167" t="s">
        <v>69</v>
      </c>
      <c r="CF103" s="167" t="s">
        <v>69</v>
      </c>
      <c r="CG103" s="167" t="s">
        <v>69</v>
      </c>
      <c r="CH103" s="167" t="s">
        <v>69</v>
      </c>
      <c r="CI103" s="167" t="s">
        <v>69</v>
      </c>
      <c r="CJ103" s="167" t="s">
        <v>69</v>
      </c>
      <c r="CK103" s="167" t="s">
        <v>69</v>
      </c>
      <c r="CL103" s="167" t="s">
        <v>69</v>
      </c>
      <c r="CM103" s="167" t="s">
        <v>69</v>
      </c>
      <c r="CN103" s="167" t="s">
        <v>69</v>
      </c>
      <c r="CO103" s="167" t="s">
        <v>69</v>
      </c>
      <c r="CP103" s="167" t="s">
        <v>69</v>
      </c>
      <c r="CQ103" s="167" t="s">
        <v>69</v>
      </c>
      <c r="CR103" s="167" t="s">
        <v>69</v>
      </c>
      <c r="CS103" s="167" t="s">
        <v>69</v>
      </c>
      <c r="CT103" s="167" t="s">
        <v>69</v>
      </c>
      <c r="CU103" s="167" t="s">
        <v>69</v>
      </c>
      <c r="CV103" s="167" t="s">
        <v>69</v>
      </c>
      <c r="CW103" s="167" t="s">
        <v>69</v>
      </c>
      <c r="CX103" s="167" t="s">
        <v>69</v>
      </c>
      <c r="CY103" s="167" t="s">
        <v>69</v>
      </c>
      <c r="CZ103" s="167" t="s">
        <v>69</v>
      </c>
      <c r="DA103" s="167" t="s">
        <v>69</v>
      </c>
      <c r="DB103" s="167" t="s">
        <v>69</v>
      </c>
      <c r="DC103" s="167" t="s">
        <v>69</v>
      </c>
      <c r="DD103" s="167" t="s">
        <v>69</v>
      </c>
      <c r="DE103" s="167" t="s">
        <v>69</v>
      </c>
      <c r="DF103" s="167">
        <v>1</v>
      </c>
      <c r="DG103" s="167" t="s">
        <v>69</v>
      </c>
      <c r="DH103" s="167" t="s">
        <v>69</v>
      </c>
      <c r="DI103" s="167" t="s">
        <v>69</v>
      </c>
      <c r="DJ103" s="167" t="s">
        <v>69</v>
      </c>
      <c r="DK103" s="167" t="s">
        <v>69</v>
      </c>
      <c r="DL103" s="167" t="s">
        <v>69</v>
      </c>
      <c r="DM103" s="167" t="s">
        <v>69</v>
      </c>
      <c r="DN103" s="167" t="s">
        <v>69</v>
      </c>
      <c r="DO103" s="167" t="s">
        <v>69</v>
      </c>
      <c r="DP103" s="167" t="s">
        <v>69</v>
      </c>
      <c r="DQ103" s="167" t="s">
        <v>69</v>
      </c>
      <c r="DR103" s="167" t="s">
        <v>69</v>
      </c>
      <c r="DS103" s="167" t="s">
        <v>69</v>
      </c>
      <c r="DT103" s="167" t="s">
        <v>69</v>
      </c>
      <c r="DU103" s="167" t="s">
        <v>69</v>
      </c>
      <c r="DV103" s="110">
        <f t="shared" si="6"/>
        <v>3.2258064516129031E-2</v>
      </c>
      <c r="DW103" s="104">
        <f t="shared" si="7"/>
        <v>0</v>
      </c>
    </row>
    <row r="104" spans="1:127" ht="42" hidden="1" customHeight="1" thickBot="1">
      <c r="A104" s="271" t="s">
        <v>876</v>
      </c>
      <c r="B104" s="272" t="s">
        <v>877</v>
      </c>
      <c r="C104" s="208">
        <v>45965</v>
      </c>
      <c r="D104" s="220" t="s">
        <v>434</v>
      </c>
      <c r="E104" s="256" t="s">
        <v>900</v>
      </c>
      <c r="F104" s="167" t="s">
        <v>69</v>
      </c>
      <c r="G104" s="167" t="s">
        <v>69</v>
      </c>
      <c r="H104" s="167" t="s">
        <v>69</v>
      </c>
      <c r="I104" s="167" t="s">
        <v>69</v>
      </c>
      <c r="J104" s="167" t="s">
        <v>69</v>
      </c>
      <c r="K104" s="167" t="s">
        <v>69</v>
      </c>
      <c r="L104" s="167" t="s">
        <v>69</v>
      </c>
      <c r="M104" s="167" t="s">
        <v>69</v>
      </c>
      <c r="N104" s="167" t="s">
        <v>69</v>
      </c>
      <c r="O104" s="167" t="s">
        <v>69</v>
      </c>
      <c r="P104" s="167" t="s">
        <v>69</v>
      </c>
      <c r="Q104" s="167" t="s">
        <v>69</v>
      </c>
      <c r="R104" s="167" t="s">
        <v>69</v>
      </c>
      <c r="S104" s="167" t="s">
        <v>69</v>
      </c>
      <c r="T104" s="167" t="s">
        <v>69</v>
      </c>
      <c r="U104" s="167" t="s">
        <v>69</v>
      </c>
      <c r="V104" s="167" t="s">
        <v>69</v>
      </c>
      <c r="W104" s="167" t="s">
        <v>69</v>
      </c>
      <c r="X104" s="167" t="s">
        <v>69</v>
      </c>
      <c r="Y104" s="167" t="s">
        <v>69</v>
      </c>
      <c r="Z104" s="167" t="s">
        <v>69</v>
      </c>
      <c r="AA104" s="167" t="s">
        <v>69</v>
      </c>
      <c r="AB104" s="167" t="s">
        <v>69</v>
      </c>
      <c r="AC104" s="167" t="s">
        <v>69</v>
      </c>
      <c r="AD104" s="167" t="s">
        <v>69</v>
      </c>
      <c r="AE104" s="167" t="s">
        <v>69</v>
      </c>
      <c r="AF104" s="167" t="s">
        <v>69</v>
      </c>
      <c r="AG104" s="167" t="s">
        <v>69</v>
      </c>
      <c r="AH104" s="167">
        <v>2</v>
      </c>
      <c r="AI104" s="167" t="s">
        <v>69</v>
      </c>
      <c r="AJ104" s="167" t="s">
        <v>69</v>
      </c>
      <c r="AK104" s="167" t="s">
        <v>69</v>
      </c>
      <c r="AL104" s="167" t="s">
        <v>69</v>
      </c>
      <c r="AM104" s="167" t="s">
        <v>69</v>
      </c>
      <c r="AN104" s="167" t="s">
        <v>69</v>
      </c>
      <c r="AO104" s="167" t="s">
        <v>69</v>
      </c>
      <c r="AP104" s="167" t="s">
        <v>69</v>
      </c>
      <c r="AQ104" s="167" t="s">
        <v>69</v>
      </c>
      <c r="AR104" s="167" t="s">
        <v>69</v>
      </c>
      <c r="AS104" s="167" t="s">
        <v>69</v>
      </c>
      <c r="AT104" s="167" t="s">
        <v>69</v>
      </c>
      <c r="AU104" s="167" t="s">
        <v>69</v>
      </c>
      <c r="AV104" s="167" t="s">
        <v>69</v>
      </c>
      <c r="AW104" s="167" t="s">
        <v>69</v>
      </c>
      <c r="AX104" s="167" t="s">
        <v>69</v>
      </c>
      <c r="AY104" s="167" t="s">
        <v>69</v>
      </c>
      <c r="AZ104" s="167" t="s">
        <v>69</v>
      </c>
      <c r="BA104" s="167" t="s">
        <v>69</v>
      </c>
      <c r="BB104" s="167" t="s">
        <v>69</v>
      </c>
      <c r="BC104" s="167" t="s">
        <v>69</v>
      </c>
      <c r="BD104" s="167" t="s">
        <v>69</v>
      </c>
      <c r="BE104" s="167" t="s">
        <v>69</v>
      </c>
      <c r="BF104" s="167" t="s">
        <v>69</v>
      </c>
      <c r="BG104" s="167" t="s">
        <v>69</v>
      </c>
      <c r="BH104" s="167" t="s">
        <v>69</v>
      </c>
      <c r="BI104" s="167" t="s">
        <v>69</v>
      </c>
      <c r="BJ104" s="167" t="s">
        <v>69</v>
      </c>
      <c r="BK104" s="167" t="s">
        <v>69</v>
      </c>
      <c r="BL104" s="167" t="s">
        <v>69</v>
      </c>
      <c r="BM104" s="167" t="s">
        <v>69</v>
      </c>
      <c r="BN104" s="167" t="s">
        <v>69</v>
      </c>
      <c r="BO104" s="167" t="s">
        <v>69</v>
      </c>
      <c r="BP104" s="167" t="s">
        <v>69</v>
      </c>
      <c r="BQ104" s="167" t="s">
        <v>69</v>
      </c>
      <c r="BR104" s="167" t="s">
        <v>69</v>
      </c>
      <c r="BS104" s="167" t="s">
        <v>69</v>
      </c>
      <c r="BT104" s="167" t="s">
        <v>69</v>
      </c>
      <c r="BU104" s="167" t="s">
        <v>69</v>
      </c>
      <c r="BV104" s="167" t="s">
        <v>69</v>
      </c>
      <c r="BW104" s="167" t="s">
        <v>69</v>
      </c>
      <c r="BX104" s="167" t="s">
        <v>69</v>
      </c>
      <c r="BY104" s="167" t="s">
        <v>69</v>
      </c>
      <c r="BZ104" s="167" t="s">
        <v>69</v>
      </c>
      <c r="CA104" s="167" t="s">
        <v>69</v>
      </c>
      <c r="CB104" s="167" t="s">
        <v>69</v>
      </c>
      <c r="CC104" s="167" t="s">
        <v>69</v>
      </c>
      <c r="CD104" s="167" t="s">
        <v>69</v>
      </c>
      <c r="CE104" s="167" t="s">
        <v>69</v>
      </c>
      <c r="CF104" s="167" t="s">
        <v>69</v>
      </c>
      <c r="CG104" s="167" t="s">
        <v>69</v>
      </c>
      <c r="CH104" s="167" t="s">
        <v>69</v>
      </c>
      <c r="CI104" s="167" t="s">
        <v>69</v>
      </c>
      <c r="CJ104" s="167" t="s">
        <v>69</v>
      </c>
      <c r="CK104" s="167" t="s">
        <v>69</v>
      </c>
      <c r="CL104" s="167" t="s">
        <v>69</v>
      </c>
      <c r="CM104" s="167" t="s">
        <v>69</v>
      </c>
      <c r="CN104" s="167" t="s">
        <v>69</v>
      </c>
      <c r="CO104" s="167" t="s">
        <v>69</v>
      </c>
      <c r="CP104" s="167" t="s">
        <v>69</v>
      </c>
      <c r="CQ104" s="167" t="s">
        <v>69</v>
      </c>
      <c r="CR104" s="167" t="s">
        <v>69</v>
      </c>
      <c r="CS104" s="167" t="s">
        <v>69</v>
      </c>
      <c r="CT104" s="167" t="s">
        <v>69</v>
      </c>
      <c r="CU104" s="167" t="s">
        <v>69</v>
      </c>
      <c r="CV104" s="167" t="s">
        <v>69</v>
      </c>
      <c r="CW104" s="167" t="s">
        <v>69</v>
      </c>
      <c r="CX104" s="167" t="s">
        <v>69</v>
      </c>
      <c r="CY104" s="167" t="s">
        <v>69</v>
      </c>
      <c r="CZ104" s="167" t="s">
        <v>69</v>
      </c>
      <c r="DA104" s="167" t="s">
        <v>69</v>
      </c>
      <c r="DB104" s="167" t="s">
        <v>69</v>
      </c>
      <c r="DC104" s="167" t="s">
        <v>69</v>
      </c>
      <c r="DD104" s="167" t="s">
        <v>69</v>
      </c>
      <c r="DE104" s="167" t="s">
        <v>69</v>
      </c>
      <c r="DF104" s="167" t="s">
        <v>69</v>
      </c>
      <c r="DG104" s="167" t="s">
        <v>69</v>
      </c>
      <c r="DH104" s="167" t="s">
        <v>69</v>
      </c>
      <c r="DI104" s="167" t="s">
        <v>69</v>
      </c>
      <c r="DJ104" s="167" t="s">
        <v>69</v>
      </c>
      <c r="DK104" s="167" t="s">
        <v>69</v>
      </c>
      <c r="DL104" s="167" t="s">
        <v>69</v>
      </c>
      <c r="DM104" s="167" t="s">
        <v>69</v>
      </c>
      <c r="DN104" s="167" t="s">
        <v>69</v>
      </c>
      <c r="DO104" s="167" t="s">
        <v>69</v>
      </c>
      <c r="DP104" s="167" t="s">
        <v>69</v>
      </c>
      <c r="DQ104" s="167" t="s">
        <v>69</v>
      </c>
      <c r="DR104" s="167" t="s">
        <v>69</v>
      </c>
      <c r="DS104" s="167" t="s">
        <v>69</v>
      </c>
      <c r="DT104" s="167" t="s">
        <v>69</v>
      </c>
      <c r="DU104" s="167" t="s">
        <v>69</v>
      </c>
      <c r="DV104" s="110">
        <f t="shared" si="6"/>
        <v>1.6129032258064516E-2</v>
      </c>
      <c r="DW104" s="104">
        <f t="shared" si="7"/>
        <v>0</v>
      </c>
    </row>
    <row r="105" spans="1:127" ht="42" hidden="1" customHeight="1" thickBot="1">
      <c r="A105" s="271" t="s">
        <v>880</v>
      </c>
      <c r="B105" s="272" t="s">
        <v>881</v>
      </c>
      <c r="C105" s="208">
        <v>45965</v>
      </c>
      <c r="D105" s="220" t="s">
        <v>434</v>
      </c>
      <c r="E105" s="256" t="s">
        <v>900</v>
      </c>
      <c r="F105" s="167" t="s">
        <v>69</v>
      </c>
      <c r="G105" s="167" t="s">
        <v>69</v>
      </c>
      <c r="H105" s="167" t="s">
        <v>69</v>
      </c>
      <c r="I105" s="167" t="s">
        <v>69</v>
      </c>
      <c r="J105" s="167" t="s">
        <v>69</v>
      </c>
      <c r="K105" s="167" t="s">
        <v>69</v>
      </c>
      <c r="L105" s="167" t="s">
        <v>69</v>
      </c>
      <c r="M105" s="167" t="s">
        <v>69</v>
      </c>
      <c r="N105" s="167" t="s">
        <v>69</v>
      </c>
      <c r="O105" s="167" t="s">
        <v>69</v>
      </c>
      <c r="P105" s="167" t="s">
        <v>69</v>
      </c>
      <c r="Q105" s="167" t="s">
        <v>69</v>
      </c>
      <c r="R105" s="167" t="s">
        <v>69</v>
      </c>
      <c r="S105" s="167" t="s">
        <v>69</v>
      </c>
      <c r="T105" s="167" t="s">
        <v>69</v>
      </c>
      <c r="U105" s="167" t="s">
        <v>69</v>
      </c>
      <c r="V105" s="167" t="s">
        <v>69</v>
      </c>
      <c r="W105" s="167" t="s">
        <v>69</v>
      </c>
      <c r="X105" s="167" t="s">
        <v>69</v>
      </c>
      <c r="Y105" s="167" t="s">
        <v>69</v>
      </c>
      <c r="Z105" s="167" t="s">
        <v>69</v>
      </c>
      <c r="AA105" s="167" t="s">
        <v>69</v>
      </c>
      <c r="AB105" s="167" t="s">
        <v>69</v>
      </c>
      <c r="AC105" s="167" t="s">
        <v>69</v>
      </c>
      <c r="AD105" s="167" t="s">
        <v>69</v>
      </c>
      <c r="AE105" s="167" t="s">
        <v>69</v>
      </c>
      <c r="AF105" s="167" t="s">
        <v>69</v>
      </c>
      <c r="AG105" s="167" t="s">
        <v>69</v>
      </c>
      <c r="AH105" s="167" t="s">
        <v>69</v>
      </c>
      <c r="AI105" s="167" t="s">
        <v>69</v>
      </c>
      <c r="AJ105" s="167" t="s">
        <v>69</v>
      </c>
      <c r="AK105" s="167" t="s">
        <v>69</v>
      </c>
      <c r="AL105" s="167" t="s">
        <v>69</v>
      </c>
      <c r="AM105" s="167" t="s">
        <v>69</v>
      </c>
      <c r="AN105" s="167" t="s">
        <v>69</v>
      </c>
      <c r="AO105" s="167" t="s">
        <v>69</v>
      </c>
      <c r="AP105" s="167" t="s">
        <v>69</v>
      </c>
      <c r="AQ105" s="167" t="s">
        <v>69</v>
      </c>
      <c r="AR105" s="167" t="s">
        <v>69</v>
      </c>
      <c r="AS105" s="167" t="s">
        <v>69</v>
      </c>
      <c r="AT105" s="167" t="s">
        <v>69</v>
      </c>
      <c r="AU105" s="167" t="s">
        <v>69</v>
      </c>
      <c r="AV105" s="167" t="s">
        <v>69</v>
      </c>
      <c r="AW105" s="167" t="s">
        <v>69</v>
      </c>
      <c r="AX105" s="167" t="s">
        <v>69</v>
      </c>
      <c r="AY105" s="167" t="s">
        <v>69</v>
      </c>
      <c r="AZ105" s="167" t="s">
        <v>69</v>
      </c>
      <c r="BA105" s="167" t="s">
        <v>69</v>
      </c>
      <c r="BB105" s="167" t="s">
        <v>69</v>
      </c>
      <c r="BC105" s="167" t="s">
        <v>69</v>
      </c>
      <c r="BD105" s="167" t="s">
        <v>69</v>
      </c>
      <c r="BE105" s="167" t="s">
        <v>69</v>
      </c>
      <c r="BF105" s="167" t="s">
        <v>69</v>
      </c>
      <c r="BG105" s="167" t="s">
        <v>69</v>
      </c>
      <c r="BH105" s="167" t="s">
        <v>69</v>
      </c>
      <c r="BI105" s="167" t="s">
        <v>69</v>
      </c>
      <c r="BJ105" s="167" t="s">
        <v>69</v>
      </c>
      <c r="BK105" s="167" t="s">
        <v>69</v>
      </c>
      <c r="BL105" s="167" t="s">
        <v>69</v>
      </c>
      <c r="BM105" s="167" t="s">
        <v>69</v>
      </c>
      <c r="BN105" s="167" t="s">
        <v>69</v>
      </c>
      <c r="BO105" s="167" t="s">
        <v>69</v>
      </c>
      <c r="BP105" s="167" t="s">
        <v>69</v>
      </c>
      <c r="BQ105" s="167" t="s">
        <v>69</v>
      </c>
      <c r="BR105" s="167" t="s">
        <v>69</v>
      </c>
      <c r="BS105" s="167" t="s">
        <v>69</v>
      </c>
      <c r="BT105" s="167" t="s">
        <v>69</v>
      </c>
      <c r="BU105" s="167" t="s">
        <v>69</v>
      </c>
      <c r="BV105" s="167" t="s">
        <v>69</v>
      </c>
      <c r="BW105" s="167" t="s">
        <v>69</v>
      </c>
      <c r="BX105" s="167" t="s">
        <v>69</v>
      </c>
      <c r="BY105" s="167" t="s">
        <v>69</v>
      </c>
      <c r="BZ105" s="167" t="s">
        <v>69</v>
      </c>
      <c r="CA105" s="167" t="s">
        <v>69</v>
      </c>
      <c r="CB105" s="167" t="s">
        <v>69</v>
      </c>
      <c r="CC105" s="167" t="s">
        <v>69</v>
      </c>
      <c r="CD105" s="167" t="s">
        <v>69</v>
      </c>
      <c r="CE105" s="167" t="s">
        <v>69</v>
      </c>
      <c r="CF105" s="167" t="s">
        <v>69</v>
      </c>
      <c r="CG105" s="167" t="s">
        <v>69</v>
      </c>
      <c r="CH105" s="167" t="s">
        <v>69</v>
      </c>
      <c r="CI105" s="167" t="s">
        <v>69</v>
      </c>
      <c r="CJ105" s="167" t="s">
        <v>69</v>
      </c>
      <c r="CK105" s="167" t="s">
        <v>69</v>
      </c>
      <c r="CL105" s="167" t="s">
        <v>69</v>
      </c>
      <c r="CM105" s="167" t="s">
        <v>69</v>
      </c>
      <c r="CN105" s="167" t="s">
        <v>69</v>
      </c>
      <c r="CO105" s="167" t="s">
        <v>69</v>
      </c>
      <c r="CP105" s="167">
        <v>2</v>
      </c>
      <c r="CQ105" s="167" t="s">
        <v>69</v>
      </c>
      <c r="CR105" s="167" t="s">
        <v>69</v>
      </c>
      <c r="CS105" s="167" t="s">
        <v>69</v>
      </c>
      <c r="CT105" s="167" t="s">
        <v>69</v>
      </c>
      <c r="CU105" s="167" t="s">
        <v>69</v>
      </c>
      <c r="CV105" s="167" t="s">
        <v>69</v>
      </c>
      <c r="CW105" s="167" t="s">
        <v>69</v>
      </c>
      <c r="CX105" s="167" t="s">
        <v>69</v>
      </c>
      <c r="CY105" s="167" t="s">
        <v>69</v>
      </c>
      <c r="CZ105" s="167" t="s">
        <v>69</v>
      </c>
      <c r="DA105" s="167" t="s">
        <v>69</v>
      </c>
      <c r="DB105" s="167" t="s">
        <v>69</v>
      </c>
      <c r="DC105" s="167" t="s">
        <v>69</v>
      </c>
      <c r="DD105" s="167" t="s">
        <v>69</v>
      </c>
      <c r="DE105" s="167" t="s">
        <v>69</v>
      </c>
      <c r="DF105" s="167">
        <v>1</v>
      </c>
      <c r="DG105" s="167" t="s">
        <v>69</v>
      </c>
      <c r="DH105" s="167" t="s">
        <v>69</v>
      </c>
      <c r="DI105" s="167" t="s">
        <v>69</v>
      </c>
      <c r="DJ105" s="167" t="s">
        <v>69</v>
      </c>
      <c r="DK105" s="167" t="s">
        <v>69</v>
      </c>
      <c r="DL105" s="167" t="s">
        <v>69</v>
      </c>
      <c r="DM105" s="167" t="s">
        <v>69</v>
      </c>
      <c r="DN105" s="167" t="s">
        <v>69</v>
      </c>
      <c r="DO105" s="167" t="s">
        <v>69</v>
      </c>
      <c r="DP105" s="167" t="s">
        <v>69</v>
      </c>
      <c r="DQ105" s="167" t="s">
        <v>69</v>
      </c>
      <c r="DR105" s="167" t="s">
        <v>69</v>
      </c>
      <c r="DS105" s="167" t="s">
        <v>69</v>
      </c>
      <c r="DT105" s="167" t="s">
        <v>69</v>
      </c>
      <c r="DU105" s="167" t="s">
        <v>69</v>
      </c>
      <c r="DV105" s="110">
        <f t="shared" si="6"/>
        <v>3.2258064516129031E-2</v>
      </c>
      <c r="DW105" s="104">
        <f t="shared" si="7"/>
        <v>0</v>
      </c>
    </row>
    <row r="106" spans="1:127" ht="42" hidden="1" customHeight="1" thickBot="1">
      <c r="A106" s="271" t="s">
        <v>882</v>
      </c>
      <c r="B106" s="272" t="s">
        <v>883</v>
      </c>
      <c r="C106" s="208">
        <v>45965</v>
      </c>
      <c r="D106" s="220" t="s">
        <v>434</v>
      </c>
      <c r="E106" s="256" t="s">
        <v>900</v>
      </c>
      <c r="F106" s="167" t="s">
        <v>69</v>
      </c>
      <c r="G106" s="167" t="s">
        <v>69</v>
      </c>
      <c r="H106" s="167" t="s">
        <v>69</v>
      </c>
      <c r="I106" s="167" t="s">
        <v>69</v>
      </c>
      <c r="J106" s="167" t="s">
        <v>69</v>
      </c>
      <c r="K106" s="167" t="s">
        <v>69</v>
      </c>
      <c r="L106" s="167" t="s">
        <v>69</v>
      </c>
      <c r="M106" s="167" t="s">
        <v>69</v>
      </c>
      <c r="N106" s="167" t="s">
        <v>69</v>
      </c>
      <c r="O106" s="167" t="s">
        <v>69</v>
      </c>
      <c r="P106" s="167" t="s">
        <v>69</v>
      </c>
      <c r="Q106" s="167" t="s">
        <v>69</v>
      </c>
      <c r="R106" s="167" t="s">
        <v>69</v>
      </c>
      <c r="S106" s="167" t="s">
        <v>69</v>
      </c>
      <c r="T106" s="167" t="s">
        <v>69</v>
      </c>
      <c r="U106" s="167" t="s">
        <v>69</v>
      </c>
      <c r="V106" s="167" t="s">
        <v>69</v>
      </c>
      <c r="W106" s="167" t="s">
        <v>69</v>
      </c>
      <c r="X106" s="167" t="s">
        <v>69</v>
      </c>
      <c r="Y106" s="167" t="s">
        <v>69</v>
      </c>
      <c r="Z106" s="167" t="s">
        <v>69</v>
      </c>
      <c r="AA106" s="167" t="s">
        <v>69</v>
      </c>
      <c r="AB106" s="167" t="s">
        <v>69</v>
      </c>
      <c r="AC106" s="167" t="s">
        <v>69</v>
      </c>
      <c r="AD106" s="167" t="s">
        <v>69</v>
      </c>
      <c r="AE106" s="167" t="s">
        <v>69</v>
      </c>
      <c r="AF106" s="167" t="s">
        <v>69</v>
      </c>
      <c r="AG106" s="167" t="s">
        <v>69</v>
      </c>
      <c r="AH106" s="167" t="s">
        <v>69</v>
      </c>
      <c r="AI106" s="167" t="s">
        <v>69</v>
      </c>
      <c r="AJ106" s="167" t="s">
        <v>69</v>
      </c>
      <c r="AK106" s="167" t="s">
        <v>69</v>
      </c>
      <c r="AL106" s="167">
        <v>2</v>
      </c>
      <c r="AM106" s="167" t="s">
        <v>69</v>
      </c>
      <c r="AN106" s="167" t="s">
        <v>69</v>
      </c>
      <c r="AO106" s="167" t="s">
        <v>69</v>
      </c>
      <c r="AP106" s="167" t="s">
        <v>69</v>
      </c>
      <c r="AQ106" s="167" t="s">
        <v>69</v>
      </c>
      <c r="AR106" s="167" t="s">
        <v>69</v>
      </c>
      <c r="AS106" s="167" t="s">
        <v>69</v>
      </c>
      <c r="AT106" s="167" t="s">
        <v>69</v>
      </c>
      <c r="AU106" s="167" t="s">
        <v>69</v>
      </c>
      <c r="AV106" s="167" t="s">
        <v>69</v>
      </c>
      <c r="AW106" s="167" t="s">
        <v>69</v>
      </c>
      <c r="AX106" s="167" t="s">
        <v>69</v>
      </c>
      <c r="AY106" s="167" t="s">
        <v>69</v>
      </c>
      <c r="AZ106" s="167" t="s">
        <v>69</v>
      </c>
      <c r="BA106" s="167" t="s">
        <v>69</v>
      </c>
      <c r="BB106" s="167" t="s">
        <v>69</v>
      </c>
      <c r="BC106" s="167" t="s">
        <v>69</v>
      </c>
      <c r="BD106" s="167">
        <v>2</v>
      </c>
      <c r="BE106" s="167" t="s">
        <v>69</v>
      </c>
      <c r="BF106" s="167" t="s">
        <v>69</v>
      </c>
      <c r="BG106" s="167" t="s">
        <v>69</v>
      </c>
      <c r="BH106" s="167" t="s">
        <v>69</v>
      </c>
      <c r="BI106" s="167" t="s">
        <v>69</v>
      </c>
      <c r="BJ106" s="167" t="s">
        <v>69</v>
      </c>
      <c r="BK106" s="167" t="s">
        <v>69</v>
      </c>
      <c r="BL106" s="167" t="s">
        <v>69</v>
      </c>
      <c r="BM106" s="167" t="s">
        <v>69</v>
      </c>
      <c r="BN106" s="167" t="s">
        <v>69</v>
      </c>
      <c r="BO106" s="167" t="s">
        <v>69</v>
      </c>
      <c r="BP106" s="167" t="s">
        <v>69</v>
      </c>
      <c r="BQ106" s="167" t="s">
        <v>69</v>
      </c>
      <c r="BR106" s="167" t="s">
        <v>69</v>
      </c>
      <c r="BS106" s="167" t="s">
        <v>69</v>
      </c>
      <c r="BT106" s="167" t="s">
        <v>69</v>
      </c>
      <c r="BU106" s="167" t="s">
        <v>69</v>
      </c>
      <c r="BV106" s="167" t="s">
        <v>69</v>
      </c>
      <c r="BW106" s="167" t="s">
        <v>69</v>
      </c>
      <c r="BX106" s="167" t="s">
        <v>69</v>
      </c>
      <c r="BY106" s="167" t="s">
        <v>69</v>
      </c>
      <c r="BZ106" s="167" t="s">
        <v>69</v>
      </c>
      <c r="CA106" s="167" t="s">
        <v>69</v>
      </c>
      <c r="CB106" s="167" t="s">
        <v>69</v>
      </c>
      <c r="CC106" s="167" t="s">
        <v>69</v>
      </c>
      <c r="CD106" s="167" t="s">
        <v>69</v>
      </c>
      <c r="CE106" s="167" t="s">
        <v>69</v>
      </c>
      <c r="CF106" s="167" t="s">
        <v>69</v>
      </c>
      <c r="CG106" s="167" t="s">
        <v>69</v>
      </c>
      <c r="CH106" s="167" t="s">
        <v>69</v>
      </c>
      <c r="CI106" s="167" t="s">
        <v>69</v>
      </c>
      <c r="CJ106" s="167" t="s">
        <v>69</v>
      </c>
      <c r="CK106" s="167" t="s">
        <v>69</v>
      </c>
      <c r="CL106" s="167" t="s">
        <v>69</v>
      </c>
      <c r="CM106" s="167" t="s">
        <v>69</v>
      </c>
      <c r="CN106" s="167" t="s">
        <v>69</v>
      </c>
      <c r="CO106" s="167" t="s">
        <v>69</v>
      </c>
      <c r="CP106" s="167" t="s">
        <v>69</v>
      </c>
      <c r="CQ106" s="167" t="s">
        <v>69</v>
      </c>
      <c r="CR106" s="167" t="s">
        <v>69</v>
      </c>
      <c r="CS106" s="167" t="s">
        <v>69</v>
      </c>
      <c r="CT106" s="167" t="s">
        <v>69</v>
      </c>
      <c r="CU106" s="167" t="s">
        <v>69</v>
      </c>
      <c r="CV106" s="167" t="s">
        <v>69</v>
      </c>
      <c r="CW106" s="167" t="s">
        <v>69</v>
      </c>
      <c r="CX106" s="167" t="s">
        <v>69</v>
      </c>
      <c r="CY106" s="167" t="s">
        <v>69</v>
      </c>
      <c r="CZ106" s="167" t="s">
        <v>69</v>
      </c>
      <c r="DA106" s="167" t="s">
        <v>69</v>
      </c>
      <c r="DB106" s="167" t="s">
        <v>69</v>
      </c>
      <c r="DC106" s="167" t="s">
        <v>69</v>
      </c>
      <c r="DD106" s="167" t="s">
        <v>69</v>
      </c>
      <c r="DE106" s="167" t="s">
        <v>69</v>
      </c>
      <c r="DF106" s="167" t="s">
        <v>69</v>
      </c>
      <c r="DG106" s="167" t="s">
        <v>69</v>
      </c>
      <c r="DH106" s="167" t="s">
        <v>69</v>
      </c>
      <c r="DI106" s="167" t="s">
        <v>69</v>
      </c>
      <c r="DJ106" s="167" t="s">
        <v>69</v>
      </c>
      <c r="DK106" s="167" t="s">
        <v>69</v>
      </c>
      <c r="DL106" s="167" t="s">
        <v>69</v>
      </c>
      <c r="DM106" s="167" t="s">
        <v>69</v>
      </c>
      <c r="DN106" s="167" t="s">
        <v>69</v>
      </c>
      <c r="DO106" s="167" t="s">
        <v>69</v>
      </c>
      <c r="DP106" s="167">
        <v>2</v>
      </c>
      <c r="DQ106" s="167" t="s">
        <v>69</v>
      </c>
      <c r="DR106" s="167" t="s">
        <v>69</v>
      </c>
      <c r="DS106" s="167" t="s">
        <v>69</v>
      </c>
      <c r="DT106" s="167" t="s">
        <v>69</v>
      </c>
      <c r="DU106" s="167" t="s">
        <v>69</v>
      </c>
      <c r="DV106" s="110">
        <f t="shared" si="6"/>
        <v>4.8387096774193547E-2</v>
      </c>
      <c r="DW106" s="104">
        <f t="shared" si="7"/>
        <v>0</v>
      </c>
    </row>
    <row r="107" spans="1:127" ht="42" hidden="1" customHeight="1" thickBot="1">
      <c r="A107" s="271" t="s">
        <v>884</v>
      </c>
      <c r="B107" s="272" t="s">
        <v>885</v>
      </c>
      <c r="C107" s="208">
        <v>45965</v>
      </c>
      <c r="D107" s="220" t="s">
        <v>434</v>
      </c>
      <c r="E107" s="256" t="s">
        <v>900</v>
      </c>
      <c r="F107" s="167" t="s">
        <v>69</v>
      </c>
      <c r="G107" s="167" t="s">
        <v>69</v>
      </c>
      <c r="H107" s="167" t="s">
        <v>69</v>
      </c>
      <c r="I107" s="167" t="s">
        <v>69</v>
      </c>
      <c r="J107" s="167" t="s">
        <v>69</v>
      </c>
      <c r="K107" s="167" t="s">
        <v>69</v>
      </c>
      <c r="L107" s="167" t="s">
        <v>69</v>
      </c>
      <c r="M107" s="167" t="s">
        <v>69</v>
      </c>
      <c r="N107" s="167" t="s">
        <v>69</v>
      </c>
      <c r="O107" s="167" t="s">
        <v>69</v>
      </c>
      <c r="P107" s="167" t="s">
        <v>69</v>
      </c>
      <c r="Q107" s="167" t="s">
        <v>69</v>
      </c>
      <c r="R107" s="167" t="s">
        <v>69</v>
      </c>
      <c r="S107" s="167" t="s">
        <v>69</v>
      </c>
      <c r="T107" s="167" t="s">
        <v>69</v>
      </c>
      <c r="U107" s="167" t="s">
        <v>69</v>
      </c>
      <c r="V107" s="167" t="s">
        <v>69</v>
      </c>
      <c r="W107" s="167" t="s">
        <v>69</v>
      </c>
      <c r="X107" s="167" t="s">
        <v>69</v>
      </c>
      <c r="Y107" s="167" t="s">
        <v>69</v>
      </c>
      <c r="Z107" s="167" t="s">
        <v>69</v>
      </c>
      <c r="AA107" s="167" t="s">
        <v>69</v>
      </c>
      <c r="AB107" s="167" t="s">
        <v>69</v>
      </c>
      <c r="AC107" s="167" t="s">
        <v>69</v>
      </c>
      <c r="AD107" s="167" t="s">
        <v>69</v>
      </c>
      <c r="AE107" s="167" t="s">
        <v>69</v>
      </c>
      <c r="AF107" s="167" t="s">
        <v>69</v>
      </c>
      <c r="AG107" s="167" t="s">
        <v>69</v>
      </c>
      <c r="AH107" s="167" t="s">
        <v>69</v>
      </c>
      <c r="AI107" s="167" t="s">
        <v>69</v>
      </c>
      <c r="AJ107" s="167" t="s">
        <v>69</v>
      </c>
      <c r="AK107" s="167" t="s">
        <v>69</v>
      </c>
      <c r="AL107" s="167" t="s">
        <v>69</v>
      </c>
      <c r="AM107" s="167" t="s">
        <v>69</v>
      </c>
      <c r="AN107" s="167">
        <v>2</v>
      </c>
      <c r="AO107" s="167" t="s">
        <v>69</v>
      </c>
      <c r="AP107" s="167" t="s">
        <v>69</v>
      </c>
      <c r="AQ107" s="167" t="s">
        <v>69</v>
      </c>
      <c r="AR107" s="167" t="s">
        <v>69</v>
      </c>
      <c r="AS107" s="167" t="s">
        <v>69</v>
      </c>
      <c r="AT107" s="167" t="s">
        <v>69</v>
      </c>
      <c r="AU107" s="167" t="s">
        <v>69</v>
      </c>
      <c r="AV107" s="167" t="s">
        <v>69</v>
      </c>
      <c r="AW107" s="167" t="s">
        <v>69</v>
      </c>
      <c r="AX107" s="167" t="s">
        <v>69</v>
      </c>
      <c r="AY107" s="167" t="s">
        <v>69</v>
      </c>
      <c r="AZ107" s="167" t="s">
        <v>69</v>
      </c>
      <c r="BA107" s="167" t="s">
        <v>69</v>
      </c>
      <c r="BB107" s="167" t="s">
        <v>69</v>
      </c>
      <c r="BC107" s="167" t="s">
        <v>69</v>
      </c>
      <c r="BD107" s="167" t="s">
        <v>69</v>
      </c>
      <c r="BE107" s="167" t="s">
        <v>69</v>
      </c>
      <c r="BF107" s="167" t="s">
        <v>69</v>
      </c>
      <c r="BG107" s="167" t="s">
        <v>69</v>
      </c>
      <c r="BH107" s="167" t="s">
        <v>69</v>
      </c>
      <c r="BI107" s="167" t="s">
        <v>69</v>
      </c>
      <c r="BJ107" s="167" t="s">
        <v>69</v>
      </c>
      <c r="BK107" s="167" t="s">
        <v>69</v>
      </c>
      <c r="BL107" s="167" t="s">
        <v>69</v>
      </c>
      <c r="BM107" s="167" t="s">
        <v>69</v>
      </c>
      <c r="BN107" s="167" t="s">
        <v>69</v>
      </c>
      <c r="BO107" s="167" t="s">
        <v>69</v>
      </c>
      <c r="BP107" s="167" t="s">
        <v>69</v>
      </c>
      <c r="BQ107" s="167" t="s">
        <v>69</v>
      </c>
      <c r="BR107" s="167" t="s">
        <v>69</v>
      </c>
      <c r="BS107" s="167" t="s">
        <v>69</v>
      </c>
      <c r="BT107" s="167" t="s">
        <v>69</v>
      </c>
      <c r="BU107" s="167" t="s">
        <v>69</v>
      </c>
      <c r="BV107" s="167" t="s">
        <v>69</v>
      </c>
      <c r="BW107" s="167" t="s">
        <v>69</v>
      </c>
      <c r="BX107" s="167" t="s">
        <v>69</v>
      </c>
      <c r="BY107" s="167" t="s">
        <v>69</v>
      </c>
      <c r="BZ107" s="167" t="s">
        <v>69</v>
      </c>
      <c r="CA107" s="167" t="s">
        <v>69</v>
      </c>
      <c r="CB107" s="167" t="s">
        <v>69</v>
      </c>
      <c r="CC107" s="167" t="s">
        <v>69</v>
      </c>
      <c r="CD107" s="167" t="s">
        <v>69</v>
      </c>
      <c r="CE107" s="167" t="s">
        <v>69</v>
      </c>
      <c r="CF107" s="167" t="s">
        <v>69</v>
      </c>
      <c r="CG107" s="167" t="s">
        <v>69</v>
      </c>
      <c r="CH107" s="167" t="s">
        <v>69</v>
      </c>
      <c r="CI107" s="167" t="s">
        <v>69</v>
      </c>
      <c r="CJ107" s="167" t="s">
        <v>69</v>
      </c>
      <c r="CK107" s="167" t="s">
        <v>69</v>
      </c>
      <c r="CL107" s="167" t="s">
        <v>69</v>
      </c>
      <c r="CM107" s="167" t="s">
        <v>69</v>
      </c>
      <c r="CN107" s="167" t="s">
        <v>69</v>
      </c>
      <c r="CO107" s="167" t="s">
        <v>69</v>
      </c>
      <c r="CP107" s="167" t="s">
        <v>69</v>
      </c>
      <c r="CQ107" s="167" t="s">
        <v>69</v>
      </c>
      <c r="CR107" s="167" t="s">
        <v>69</v>
      </c>
      <c r="CS107" s="167" t="s">
        <v>69</v>
      </c>
      <c r="CT107" s="167" t="s">
        <v>69</v>
      </c>
      <c r="CU107" s="167" t="s">
        <v>69</v>
      </c>
      <c r="CV107" s="167" t="s">
        <v>69</v>
      </c>
      <c r="CW107" s="167" t="s">
        <v>69</v>
      </c>
      <c r="CX107" s="167" t="s">
        <v>69</v>
      </c>
      <c r="CY107" s="167" t="s">
        <v>69</v>
      </c>
      <c r="CZ107" s="167" t="s">
        <v>69</v>
      </c>
      <c r="DA107" s="167" t="s">
        <v>69</v>
      </c>
      <c r="DB107" s="167" t="s">
        <v>69</v>
      </c>
      <c r="DC107" s="167" t="s">
        <v>69</v>
      </c>
      <c r="DD107" s="167" t="s">
        <v>69</v>
      </c>
      <c r="DE107" s="167" t="s">
        <v>69</v>
      </c>
      <c r="DF107" s="167" t="s">
        <v>69</v>
      </c>
      <c r="DG107" s="167" t="s">
        <v>69</v>
      </c>
      <c r="DH107" s="167" t="s">
        <v>69</v>
      </c>
      <c r="DI107" s="167" t="s">
        <v>69</v>
      </c>
      <c r="DJ107" s="167" t="s">
        <v>69</v>
      </c>
      <c r="DK107" s="167" t="s">
        <v>69</v>
      </c>
      <c r="DL107" s="167" t="s">
        <v>69</v>
      </c>
      <c r="DM107" s="167" t="s">
        <v>69</v>
      </c>
      <c r="DN107" s="167" t="s">
        <v>69</v>
      </c>
      <c r="DO107" s="167" t="s">
        <v>69</v>
      </c>
      <c r="DP107" s="167" t="s">
        <v>69</v>
      </c>
      <c r="DQ107" s="167" t="s">
        <v>69</v>
      </c>
      <c r="DR107" s="167" t="s">
        <v>69</v>
      </c>
      <c r="DS107" s="167" t="s">
        <v>69</v>
      </c>
      <c r="DT107" s="167" t="s">
        <v>69</v>
      </c>
      <c r="DU107" s="167" t="s">
        <v>69</v>
      </c>
      <c r="DV107" s="110">
        <f t="shared" si="6"/>
        <v>1.6129032258064516E-2</v>
      </c>
      <c r="DW107" s="104">
        <f t="shared" si="7"/>
        <v>0</v>
      </c>
    </row>
    <row r="108" spans="1:127" ht="42" hidden="1" customHeight="1" thickBot="1">
      <c r="A108" s="271" t="s">
        <v>886</v>
      </c>
      <c r="B108" s="272" t="s">
        <v>887</v>
      </c>
      <c r="C108" s="208">
        <v>45965</v>
      </c>
      <c r="D108" s="220" t="s">
        <v>434</v>
      </c>
      <c r="E108" s="256" t="s">
        <v>900</v>
      </c>
      <c r="F108" s="167">
        <v>2</v>
      </c>
      <c r="G108" s="167" t="s">
        <v>69</v>
      </c>
      <c r="H108" s="167" t="s">
        <v>69</v>
      </c>
      <c r="I108" s="167" t="s">
        <v>69</v>
      </c>
      <c r="J108" s="167" t="s">
        <v>69</v>
      </c>
      <c r="K108" s="167" t="s">
        <v>69</v>
      </c>
      <c r="L108" s="167" t="s">
        <v>69</v>
      </c>
      <c r="M108" s="167" t="s">
        <v>69</v>
      </c>
      <c r="N108" s="167" t="s">
        <v>69</v>
      </c>
      <c r="O108" s="167" t="s">
        <v>69</v>
      </c>
      <c r="P108" s="167" t="s">
        <v>69</v>
      </c>
      <c r="Q108" s="167" t="s">
        <v>69</v>
      </c>
      <c r="R108" s="167" t="s">
        <v>69</v>
      </c>
      <c r="S108" s="167" t="s">
        <v>69</v>
      </c>
      <c r="T108" s="167" t="s">
        <v>69</v>
      </c>
      <c r="U108" s="167" t="s">
        <v>69</v>
      </c>
      <c r="V108" s="167" t="s">
        <v>69</v>
      </c>
      <c r="W108" s="167" t="s">
        <v>69</v>
      </c>
      <c r="X108" s="167" t="s">
        <v>69</v>
      </c>
      <c r="Y108" s="167" t="s">
        <v>69</v>
      </c>
      <c r="Z108" s="167" t="s">
        <v>69</v>
      </c>
      <c r="AA108" s="167" t="s">
        <v>69</v>
      </c>
      <c r="AB108" s="167" t="s">
        <v>69</v>
      </c>
      <c r="AC108" s="167" t="s">
        <v>69</v>
      </c>
      <c r="AD108" s="167" t="s">
        <v>69</v>
      </c>
      <c r="AE108" s="167" t="s">
        <v>69</v>
      </c>
      <c r="AF108" s="167" t="s">
        <v>69</v>
      </c>
      <c r="AG108" s="167" t="s">
        <v>69</v>
      </c>
      <c r="AH108" s="167" t="s">
        <v>69</v>
      </c>
      <c r="AI108" s="167" t="s">
        <v>69</v>
      </c>
      <c r="AJ108" s="167" t="s">
        <v>69</v>
      </c>
      <c r="AK108" s="167" t="s">
        <v>69</v>
      </c>
      <c r="AL108" s="167" t="s">
        <v>69</v>
      </c>
      <c r="AM108" s="167" t="s">
        <v>69</v>
      </c>
      <c r="AN108" s="167" t="s">
        <v>69</v>
      </c>
      <c r="AO108" s="167" t="s">
        <v>69</v>
      </c>
      <c r="AP108" s="167" t="s">
        <v>69</v>
      </c>
      <c r="AQ108" s="167" t="s">
        <v>69</v>
      </c>
      <c r="AR108" s="167" t="s">
        <v>69</v>
      </c>
      <c r="AS108" s="167" t="s">
        <v>69</v>
      </c>
      <c r="AT108" s="167" t="s">
        <v>69</v>
      </c>
      <c r="AU108" s="167" t="s">
        <v>69</v>
      </c>
      <c r="AV108" s="167" t="s">
        <v>69</v>
      </c>
      <c r="AW108" s="167" t="s">
        <v>69</v>
      </c>
      <c r="AX108" s="167" t="s">
        <v>69</v>
      </c>
      <c r="AY108" s="167" t="s">
        <v>69</v>
      </c>
      <c r="AZ108" s="167" t="s">
        <v>69</v>
      </c>
      <c r="BA108" s="167" t="s">
        <v>69</v>
      </c>
      <c r="BB108" s="167" t="s">
        <v>69</v>
      </c>
      <c r="BC108" s="167" t="s">
        <v>69</v>
      </c>
      <c r="BD108" s="167" t="s">
        <v>69</v>
      </c>
      <c r="BE108" s="167" t="s">
        <v>69</v>
      </c>
      <c r="BF108" s="167" t="s">
        <v>69</v>
      </c>
      <c r="BG108" s="167" t="s">
        <v>69</v>
      </c>
      <c r="BH108" s="167" t="s">
        <v>69</v>
      </c>
      <c r="BI108" s="167" t="s">
        <v>69</v>
      </c>
      <c r="BJ108" s="167" t="s">
        <v>69</v>
      </c>
      <c r="BK108" s="167" t="s">
        <v>69</v>
      </c>
      <c r="BL108" s="167" t="s">
        <v>69</v>
      </c>
      <c r="BM108" s="167" t="s">
        <v>69</v>
      </c>
      <c r="BN108" s="167" t="s">
        <v>69</v>
      </c>
      <c r="BO108" s="167" t="s">
        <v>69</v>
      </c>
      <c r="BP108" s="167" t="s">
        <v>69</v>
      </c>
      <c r="BQ108" s="167" t="s">
        <v>69</v>
      </c>
      <c r="BR108" s="167" t="s">
        <v>69</v>
      </c>
      <c r="BS108" s="167" t="s">
        <v>69</v>
      </c>
      <c r="BT108" s="167" t="s">
        <v>69</v>
      </c>
      <c r="BU108" s="167" t="s">
        <v>69</v>
      </c>
      <c r="BV108" s="167" t="s">
        <v>69</v>
      </c>
      <c r="BW108" s="167" t="s">
        <v>69</v>
      </c>
      <c r="BX108" s="167" t="s">
        <v>69</v>
      </c>
      <c r="BY108" s="167" t="s">
        <v>69</v>
      </c>
      <c r="BZ108" s="167" t="s">
        <v>69</v>
      </c>
      <c r="CA108" s="167" t="s">
        <v>69</v>
      </c>
      <c r="CB108" s="167" t="s">
        <v>69</v>
      </c>
      <c r="CC108" s="167" t="s">
        <v>69</v>
      </c>
      <c r="CD108" s="167" t="s">
        <v>69</v>
      </c>
      <c r="CE108" s="167" t="s">
        <v>69</v>
      </c>
      <c r="CF108" s="167" t="s">
        <v>69</v>
      </c>
      <c r="CG108" s="167" t="s">
        <v>69</v>
      </c>
      <c r="CH108" s="167" t="s">
        <v>69</v>
      </c>
      <c r="CI108" s="167" t="s">
        <v>69</v>
      </c>
      <c r="CJ108" s="167" t="s">
        <v>69</v>
      </c>
      <c r="CK108" s="167" t="s">
        <v>69</v>
      </c>
      <c r="CL108" s="167" t="s">
        <v>69</v>
      </c>
      <c r="CM108" s="167" t="s">
        <v>69</v>
      </c>
      <c r="CN108" s="167" t="s">
        <v>69</v>
      </c>
      <c r="CO108" s="167" t="s">
        <v>69</v>
      </c>
      <c r="CP108" s="167">
        <v>2</v>
      </c>
      <c r="CQ108" s="167" t="s">
        <v>69</v>
      </c>
      <c r="CR108" s="167" t="s">
        <v>69</v>
      </c>
      <c r="CS108" s="167" t="s">
        <v>69</v>
      </c>
      <c r="CT108" s="167" t="s">
        <v>69</v>
      </c>
      <c r="CU108" s="167" t="s">
        <v>69</v>
      </c>
      <c r="CV108" s="167" t="s">
        <v>69</v>
      </c>
      <c r="CW108" s="167" t="s">
        <v>69</v>
      </c>
      <c r="CX108" s="167" t="s">
        <v>69</v>
      </c>
      <c r="CY108" s="167" t="s">
        <v>69</v>
      </c>
      <c r="CZ108" s="167" t="s">
        <v>69</v>
      </c>
      <c r="DA108" s="167" t="s">
        <v>69</v>
      </c>
      <c r="DB108" s="167" t="s">
        <v>69</v>
      </c>
      <c r="DC108" s="167" t="s">
        <v>69</v>
      </c>
      <c r="DD108" s="167" t="s">
        <v>69</v>
      </c>
      <c r="DE108" s="167" t="s">
        <v>69</v>
      </c>
      <c r="DF108" s="167" t="s">
        <v>69</v>
      </c>
      <c r="DG108" s="167" t="s">
        <v>69</v>
      </c>
      <c r="DH108" s="167" t="s">
        <v>69</v>
      </c>
      <c r="DI108" s="167" t="s">
        <v>69</v>
      </c>
      <c r="DJ108" s="167" t="s">
        <v>69</v>
      </c>
      <c r="DK108" s="167" t="s">
        <v>69</v>
      </c>
      <c r="DL108" s="167" t="s">
        <v>69</v>
      </c>
      <c r="DM108" s="167" t="s">
        <v>69</v>
      </c>
      <c r="DN108" s="167" t="s">
        <v>69</v>
      </c>
      <c r="DO108" s="167" t="s">
        <v>69</v>
      </c>
      <c r="DP108" s="167" t="s">
        <v>69</v>
      </c>
      <c r="DQ108" s="167" t="s">
        <v>69</v>
      </c>
      <c r="DR108" s="167" t="s">
        <v>69</v>
      </c>
      <c r="DS108" s="167" t="s">
        <v>69</v>
      </c>
      <c r="DT108" s="167" t="s">
        <v>69</v>
      </c>
      <c r="DU108" s="167" t="s">
        <v>69</v>
      </c>
      <c r="DV108" s="110">
        <f t="shared" si="6"/>
        <v>3.2258064516129031E-2</v>
      </c>
      <c r="DW108" s="104">
        <f t="shared" si="7"/>
        <v>0</v>
      </c>
    </row>
    <row r="109" spans="1:127" ht="42" hidden="1" customHeight="1" thickBot="1">
      <c r="A109" s="271" t="s">
        <v>890</v>
      </c>
      <c r="B109" s="272" t="s">
        <v>891</v>
      </c>
      <c r="C109" s="208">
        <v>45965</v>
      </c>
      <c r="D109" s="220" t="s">
        <v>434</v>
      </c>
      <c r="E109" s="256" t="s">
        <v>900</v>
      </c>
      <c r="F109" s="167">
        <v>2</v>
      </c>
      <c r="G109" s="167" t="s">
        <v>69</v>
      </c>
      <c r="H109" s="167" t="s">
        <v>69</v>
      </c>
      <c r="I109" s="167" t="s">
        <v>69</v>
      </c>
      <c r="J109" s="167" t="s">
        <v>69</v>
      </c>
      <c r="K109" s="167" t="s">
        <v>69</v>
      </c>
      <c r="L109" s="167" t="s">
        <v>69</v>
      </c>
      <c r="M109" s="167" t="s">
        <v>69</v>
      </c>
      <c r="N109" s="167" t="s">
        <v>69</v>
      </c>
      <c r="O109" s="167" t="s">
        <v>69</v>
      </c>
      <c r="P109" s="167" t="s">
        <v>69</v>
      </c>
      <c r="Q109" s="167" t="s">
        <v>69</v>
      </c>
      <c r="R109" s="167" t="s">
        <v>69</v>
      </c>
      <c r="S109" s="167" t="s">
        <v>69</v>
      </c>
      <c r="T109" s="167" t="s">
        <v>69</v>
      </c>
      <c r="U109" s="167" t="s">
        <v>69</v>
      </c>
      <c r="V109" s="167" t="s">
        <v>69</v>
      </c>
      <c r="W109" s="167" t="s">
        <v>69</v>
      </c>
      <c r="X109" s="167" t="s">
        <v>69</v>
      </c>
      <c r="Y109" s="167" t="s">
        <v>69</v>
      </c>
      <c r="Z109" s="167" t="s">
        <v>69</v>
      </c>
      <c r="AA109" s="167" t="s">
        <v>69</v>
      </c>
      <c r="AB109" s="167" t="s">
        <v>69</v>
      </c>
      <c r="AC109" s="167" t="s">
        <v>69</v>
      </c>
      <c r="AD109" s="167" t="s">
        <v>69</v>
      </c>
      <c r="AE109" s="167" t="s">
        <v>69</v>
      </c>
      <c r="AF109" s="167" t="s">
        <v>69</v>
      </c>
      <c r="AG109" s="167" t="s">
        <v>69</v>
      </c>
      <c r="AH109" s="167" t="s">
        <v>69</v>
      </c>
      <c r="AI109" s="167" t="s">
        <v>69</v>
      </c>
      <c r="AJ109" s="167" t="s">
        <v>69</v>
      </c>
      <c r="AK109" s="167" t="s">
        <v>69</v>
      </c>
      <c r="AL109" s="167" t="s">
        <v>69</v>
      </c>
      <c r="AM109" s="167" t="s">
        <v>69</v>
      </c>
      <c r="AN109" s="167" t="s">
        <v>69</v>
      </c>
      <c r="AO109" s="167" t="s">
        <v>69</v>
      </c>
      <c r="AP109" s="167" t="s">
        <v>69</v>
      </c>
      <c r="AQ109" s="167" t="s">
        <v>69</v>
      </c>
      <c r="AR109" s="167" t="s">
        <v>69</v>
      </c>
      <c r="AS109" s="167" t="s">
        <v>69</v>
      </c>
      <c r="AT109" s="167" t="s">
        <v>69</v>
      </c>
      <c r="AU109" s="167" t="s">
        <v>69</v>
      </c>
      <c r="AV109" s="167" t="s">
        <v>69</v>
      </c>
      <c r="AW109" s="167" t="s">
        <v>69</v>
      </c>
      <c r="AX109" s="167" t="s">
        <v>69</v>
      </c>
      <c r="AY109" s="167" t="s">
        <v>69</v>
      </c>
      <c r="AZ109" s="167" t="s">
        <v>69</v>
      </c>
      <c r="BA109" s="167" t="s">
        <v>69</v>
      </c>
      <c r="BB109" s="167" t="s">
        <v>69</v>
      </c>
      <c r="BC109" s="167" t="s">
        <v>69</v>
      </c>
      <c r="BD109" s="167" t="s">
        <v>69</v>
      </c>
      <c r="BE109" s="167" t="s">
        <v>69</v>
      </c>
      <c r="BF109" s="167" t="s">
        <v>69</v>
      </c>
      <c r="BG109" s="167" t="s">
        <v>69</v>
      </c>
      <c r="BH109" s="167" t="s">
        <v>69</v>
      </c>
      <c r="BI109" s="167" t="s">
        <v>69</v>
      </c>
      <c r="BJ109" s="167" t="s">
        <v>69</v>
      </c>
      <c r="BK109" s="167" t="s">
        <v>69</v>
      </c>
      <c r="BL109" s="167" t="s">
        <v>69</v>
      </c>
      <c r="BM109" s="167" t="s">
        <v>69</v>
      </c>
      <c r="BN109" s="167" t="s">
        <v>69</v>
      </c>
      <c r="BO109" s="167" t="s">
        <v>69</v>
      </c>
      <c r="BP109" s="167" t="s">
        <v>69</v>
      </c>
      <c r="BQ109" s="167" t="s">
        <v>69</v>
      </c>
      <c r="BR109" s="167" t="s">
        <v>69</v>
      </c>
      <c r="BS109" s="167" t="s">
        <v>69</v>
      </c>
      <c r="BT109" s="167" t="s">
        <v>69</v>
      </c>
      <c r="BU109" s="167" t="s">
        <v>69</v>
      </c>
      <c r="BV109" s="167" t="s">
        <v>69</v>
      </c>
      <c r="BW109" s="167" t="s">
        <v>69</v>
      </c>
      <c r="BX109" s="167" t="s">
        <v>69</v>
      </c>
      <c r="BY109" s="167" t="s">
        <v>69</v>
      </c>
      <c r="BZ109" s="167" t="s">
        <v>69</v>
      </c>
      <c r="CA109" s="167" t="s">
        <v>69</v>
      </c>
      <c r="CB109" s="167" t="s">
        <v>69</v>
      </c>
      <c r="CC109" s="167" t="s">
        <v>69</v>
      </c>
      <c r="CD109" s="167" t="s">
        <v>69</v>
      </c>
      <c r="CE109" s="167" t="s">
        <v>69</v>
      </c>
      <c r="CF109" s="167" t="s">
        <v>69</v>
      </c>
      <c r="CG109" s="167" t="s">
        <v>69</v>
      </c>
      <c r="CH109" s="167" t="s">
        <v>69</v>
      </c>
      <c r="CI109" s="167" t="s">
        <v>69</v>
      </c>
      <c r="CJ109" s="167" t="s">
        <v>69</v>
      </c>
      <c r="CK109" s="167" t="s">
        <v>69</v>
      </c>
      <c r="CL109" s="167" t="s">
        <v>69</v>
      </c>
      <c r="CM109" s="167" t="s">
        <v>69</v>
      </c>
      <c r="CN109" s="167" t="s">
        <v>69</v>
      </c>
      <c r="CO109" s="167" t="s">
        <v>69</v>
      </c>
      <c r="CP109" s="167" t="s">
        <v>69</v>
      </c>
      <c r="CQ109" s="167" t="s">
        <v>69</v>
      </c>
      <c r="CR109" s="167" t="s">
        <v>69</v>
      </c>
      <c r="CS109" s="167" t="s">
        <v>69</v>
      </c>
      <c r="CT109" s="167" t="s">
        <v>69</v>
      </c>
      <c r="CU109" s="167" t="s">
        <v>69</v>
      </c>
      <c r="CV109" s="167" t="s">
        <v>69</v>
      </c>
      <c r="CW109" s="167" t="s">
        <v>69</v>
      </c>
      <c r="CX109" s="167" t="s">
        <v>69</v>
      </c>
      <c r="CY109" s="167" t="s">
        <v>69</v>
      </c>
      <c r="CZ109" s="167" t="s">
        <v>69</v>
      </c>
      <c r="DA109" s="167" t="s">
        <v>69</v>
      </c>
      <c r="DB109" s="167" t="s">
        <v>69</v>
      </c>
      <c r="DC109" s="167" t="s">
        <v>69</v>
      </c>
      <c r="DD109" s="167" t="s">
        <v>69</v>
      </c>
      <c r="DE109" s="167" t="s">
        <v>69</v>
      </c>
      <c r="DF109" s="167" t="s">
        <v>69</v>
      </c>
      <c r="DG109" s="167" t="s">
        <v>69</v>
      </c>
      <c r="DH109" s="167" t="s">
        <v>69</v>
      </c>
      <c r="DI109" s="167" t="s">
        <v>69</v>
      </c>
      <c r="DJ109" s="167" t="s">
        <v>69</v>
      </c>
      <c r="DK109" s="167" t="s">
        <v>69</v>
      </c>
      <c r="DL109" s="167" t="s">
        <v>69</v>
      </c>
      <c r="DM109" s="167" t="s">
        <v>69</v>
      </c>
      <c r="DN109" s="167" t="s">
        <v>69</v>
      </c>
      <c r="DO109" s="167" t="s">
        <v>69</v>
      </c>
      <c r="DP109" s="167" t="s">
        <v>69</v>
      </c>
      <c r="DQ109" s="167" t="s">
        <v>69</v>
      </c>
      <c r="DR109" s="167" t="s">
        <v>69</v>
      </c>
      <c r="DS109" s="167" t="s">
        <v>69</v>
      </c>
      <c r="DT109" s="167" t="s">
        <v>69</v>
      </c>
      <c r="DU109" s="167" t="s">
        <v>69</v>
      </c>
      <c r="DV109" s="110">
        <f t="shared" si="6"/>
        <v>1.6129032258064516E-2</v>
      </c>
      <c r="DW109" s="104">
        <f t="shared" si="7"/>
        <v>0</v>
      </c>
    </row>
    <row r="110" spans="1:127" ht="42" hidden="1" customHeight="1" thickBot="1">
      <c r="A110" s="271" t="s">
        <v>865</v>
      </c>
      <c r="B110" s="272" t="s">
        <v>892</v>
      </c>
      <c r="C110" s="208">
        <v>45965</v>
      </c>
      <c r="D110" s="220" t="s">
        <v>434</v>
      </c>
      <c r="E110" s="256" t="s">
        <v>900</v>
      </c>
      <c r="F110" s="167" t="s">
        <v>69</v>
      </c>
      <c r="G110" s="167" t="s">
        <v>69</v>
      </c>
      <c r="H110" s="167" t="s">
        <v>69</v>
      </c>
      <c r="I110" s="167" t="s">
        <v>69</v>
      </c>
      <c r="J110" s="167" t="s">
        <v>69</v>
      </c>
      <c r="K110" s="167" t="s">
        <v>69</v>
      </c>
      <c r="L110" s="167" t="s">
        <v>69</v>
      </c>
      <c r="M110" s="167" t="s">
        <v>69</v>
      </c>
      <c r="N110" s="167" t="s">
        <v>69</v>
      </c>
      <c r="O110" s="167" t="s">
        <v>69</v>
      </c>
      <c r="P110" s="167" t="s">
        <v>69</v>
      </c>
      <c r="Q110" s="167" t="s">
        <v>69</v>
      </c>
      <c r="R110" s="167" t="s">
        <v>69</v>
      </c>
      <c r="S110" s="167" t="s">
        <v>69</v>
      </c>
      <c r="T110" s="167" t="s">
        <v>69</v>
      </c>
      <c r="U110" s="167" t="s">
        <v>69</v>
      </c>
      <c r="V110" s="167" t="s">
        <v>69</v>
      </c>
      <c r="W110" s="167" t="s">
        <v>69</v>
      </c>
      <c r="X110" s="167" t="s">
        <v>69</v>
      </c>
      <c r="Y110" s="167" t="s">
        <v>69</v>
      </c>
      <c r="Z110" s="167" t="s">
        <v>69</v>
      </c>
      <c r="AA110" s="167" t="s">
        <v>69</v>
      </c>
      <c r="AB110" s="167" t="s">
        <v>69</v>
      </c>
      <c r="AC110" s="167" t="s">
        <v>69</v>
      </c>
      <c r="AD110" s="167" t="s">
        <v>69</v>
      </c>
      <c r="AE110" s="167" t="s">
        <v>69</v>
      </c>
      <c r="AF110" s="167" t="s">
        <v>69</v>
      </c>
      <c r="AG110" s="167" t="s">
        <v>69</v>
      </c>
      <c r="AH110" s="167" t="s">
        <v>69</v>
      </c>
      <c r="AI110" s="167" t="s">
        <v>69</v>
      </c>
      <c r="AJ110" s="167" t="s">
        <v>69</v>
      </c>
      <c r="AK110" s="167" t="s">
        <v>69</v>
      </c>
      <c r="AL110" s="167" t="s">
        <v>69</v>
      </c>
      <c r="AM110" s="167" t="s">
        <v>69</v>
      </c>
      <c r="AN110" s="167" t="s">
        <v>69</v>
      </c>
      <c r="AO110" s="167" t="s">
        <v>69</v>
      </c>
      <c r="AP110" s="167" t="s">
        <v>69</v>
      </c>
      <c r="AQ110" s="167" t="s">
        <v>69</v>
      </c>
      <c r="AR110" s="167" t="s">
        <v>69</v>
      </c>
      <c r="AS110" s="167" t="s">
        <v>69</v>
      </c>
      <c r="AT110" s="167" t="s">
        <v>69</v>
      </c>
      <c r="AU110" s="167" t="s">
        <v>69</v>
      </c>
      <c r="AV110" s="167" t="s">
        <v>69</v>
      </c>
      <c r="AW110" s="167" t="s">
        <v>69</v>
      </c>
      <c r="AX110" s="167" t="s">
        <v>69</v>
      </c>
      <c r="AY110" s="167" t="s">
        <v>69</v>
      </c>
      <c r="AZ110" s="167" t="s">
        <v>69</v>
      </c>
      <c r="BA110" s="167" t="s">
        <v>69</v>
      </c>
      <c r="BB110" s="167" t="s">
        <v>69</v>
      </c>
      <c r="BC110" s="167" t="s">
        <v>69</v>
      </c>
      <c r="BD110" s="167">
        <v>2</v>
      </c>
      <c r="BE110" s="167" t="s">
        <v>69</v>
      </c>
      <c r="BF110" s="167" t="s">
        <v>69</v>
      </c>
      <c r="BG110" s="167" t="s">
        <v>69</v>
      </c>
      <c r="BH110" s="167" t="s">
        <v>69</v>
      </c>
      <c r="BI110" s="167" t="s">
        <v>69</v>
      </c>
      <c r="BJ110" s="167" t="s">
        <v>69</v>
      </c>
      <c r="BK110" s="167" t="s">
        <v>69</v>
      </c>
      <c r="BL110" s="167" t="s">
        <v>69</v>
      </c>
      <c r="BM110" s="167" t="s">
        <v>69</v>
      </c>
      <c r="BN110" s="167" t="s">
        <v>69</v>
      </c>
      <c r="BO110" s="167" t="s">
        <v>69</v>
      </c>
      <c r="BP110" s="167" t="s">
        <v>69</v>
      </c>
      <c r="BQ110" s="167" t="s">
        <v>69</v>
      </c>
      <c r="BR110" s="167" t="s">
        <v>69</v>
      </c>
      <c r="BS110" s="167" t="s">
        <v>69</v>
      </c>
      <c r="BT110" s="167" t="s">
        <v>69</v>
      </c>
      <c r="BU110" s="167" t="s">
        <v>69</v>
      </c>
      <c r="BV110" s="167" t="s">
        <v>69</v>
      </c>
      <c r="BW110" s="167" t="s">
        <v>69</v>
      </c>
      <c r="BX110" s="167" t="s">
        <v>69</v>
      </c>
      <c r="BY110" s="167" t="s">
        <v>69</v>
      </c>
      <c r="BZ110" s="167" t="s">
        <v>69</v>
      </c>
      <c r="CA110" s="167" t="s">
        <v>69</v>
      </c>
      <c r="CB110" s="167" t="s">
        <v>69</v>
      </c>
      <c r="CC110" s="167" t="s">
        <v>69</v>
      </c>
      <c r="CD110" s="167" t="s">
        <v>69</v>
      </c>
      <c r="CE110" s="167" t="s">
        <v>69</v>
      </c>
      <c r="CF110" s="167" t="s">
        <v>69</v>
      </c>
      <c r="CG110" s="167" t="s">
        <v>69</v>
      </c>
      <c r="CH110" s="167" t="s">
        <v>69</v>
      </c>
      <c r="CI110" s="167" t="s">
        <v>69</v>
      </c>
      <c r="CJ110" s="167" t="s">
        <v>69</v>
      </c>
      <c r="CK110" s="167" t="s">
        <v>69</v>
      </c>
      <c r="CL110" s="167" t="s">
        <v>69</v>
      </c>
      <c r="CM110" s="167" t="s">
        <v>69</v>
      </c>
      <c r="CN110" s="167" t="s">
        <v>69</v>
      </c>
      <c r="CO110" s="167" t="s">
        <v>69</v>
      </c>
      <c r="CP110" s="167" t="s">
        <v>69</v>
      </c>
      <c r="CQ110" s="167" t="s">
        <v>69</v>
      </c>
      <c r="CR110" s="167" t="s">
        <v>69</v>
      </c>
      <c r="CS110" s="167" t="s">
        <v>69</v>
      </c>
      <c r="CT110" s="167" t="s">
        <v>69</v>
      </c>
      <c r="CU110" s="167" t="s">
        <v>69</v>
      </c>
      <c r="CV110" s="167" t="s">
        <v>69</v>
      </c>
      <c r="CW110" s="167" t="s">
        <v>69</v>
      </c>
      <c r="CX110" s="167" t="s">
        <v>69</v>
      </c>
      <c r="CY110" s="167" t="s">
        <v>69</v>
      </c>
      <c r="CZ110" s="167" t="s">
        <v>69</v>
      </c>
      <c r="DA110" s="167" t="s">
        <v>69</v>
      </c>
      <c r="DB110" s="167" t="s">
        <v>69</v>
      </c>
      <c r="DC110" s="167" t="s">
        <v>69</v>
      </c>
      <c r="DD110" s="167" t="s">
        <v>69</v>
      </c>
      <c r="DE110" s="167" t="s">
        <v>69</v>
      </c>
      <c r="DF110" s="167" t="s">
        <v>69</v>
      </c>
      <c r="DG110" s="167" t="s">
        <v>69</v>
      </c>
      <c r="DH110" s="167" t="s">
        <v>69</v>
      </c>
      <c r="DI110" s="167" t="s">
        <v>69</v>
      </c>
      <c r="DJ110" s="167" t="s">
        <v>69</v>
      </c>
      <c r="DK110" s="167" t="s">
        <v>69</v>
      </c>
      <c r="DL110" s="167" t="s">
        <v>69</v>
      </c>
      <c r="DM110" s="167" t="s">
        <v>69</v>
      </c>
      <c r="DN110" s="167" t="s">
        <v>69</v>
      </c>
      <c r="DO110" s="167" t="s">
        <v>69</v>
      </c>
      <c r="DP110" s="167" t="s">
        <v>69</v>
      </c>
      <c r="DQ110" s="167" t="s">
        <v>69</v>
      </c>
      <c r="DR110" s="167" t="s">
        <v>69</v>
      </c>
      <c r="DS110" s="167" t="s">
        <v>69</v>
      </c>
      <c r="DT110" s="167" t="s">
        <v>69</v>
      </c>
      <c r="DU110" s="167" t="s">
        <v>69</v>
      </c>
      <c r="DV110" s="110">
        <f t="shared" si="6"/>
        <v>1.6129032258064516E-2</v>
      </c>
      <c r="DW110" s="104">
        <f t="shared" si="7"/>
        <v>0</v>
      </c>
    </row>
    <row r="111" spans="1:127" ht="42" hidden="1" customHeight="1" thickBot="1">
      <c r="A111" s="271" t="s">
        <v>893</v>
      </c>
      <c r="B111" s="272" t="s">
        <v>894</v>
      </c>
      <c r="C111" s="208">
        <v>45965</v>
      </c>
      <c r="D111" s="220" t="s">
        <v>434</v>
      </c>
      <c r="E111" s="256" t="s">
        <v>900</v>
      </c>
      <c r="F111" s="167" t="s">
        <v>69</v>
      </c>
      <c r="G111" s="167" t="s">
        <v>69</v>
      </c>
      <c r="H111" s="167" t="s">
        <v>69</v>
      </c>
      <c r="I111" s="167" t="s">
        <v>69</v>
      </c>
      <c r="J111" s="167" t="s">
        <v>69</v>
      </c>
      <c r="K111" s="167" t="s">
        <v>69</v>
      </c>
      <c r="L111" s="167" t="s">
        <v>69</v>
      </c>
      <c r="M111" s="167" t="s">
        <v>69</v>
      </c>
      <c r="N111" s="167" t="s">
        <v>69</v>
      </c>
      <c r="O111" s="167" t="s">
        <v>69</v>
      </c>
      <c r="P111" s="167" t="s">
        <v>69</v>
      </c>
      <c r="Q111" s="167" t="s">
        <v>69</v>
      </c>
      <c r="R111" s="167" t="s">
        <v>69</v>
      </c>
      <c r="S111" s="167" t="s">
        <v>69</v>
      </c>
      <c r="T111" s="167" t="s">
        <v>69</v>
      </c>
      <c r="U111" s="167" t="s">
        <v>69</v>
      </c>
      <c r="V111" s="167" t="s">
        <v>69</v>
      </c>
      <c r="W111" s="167" t="s">
        <v>69</v>
      </c>
      <c r="X111" s="167" t="s">
        <v>69</v>
      </c>
      <c r="Y111" s="167" t="s">
        <v>69</v>
      </c>
      <c r="Z111" s="167" t="s">
        <v>69</v>
      </c>
      <c r="AA111" s="167" t="s">
        <v>69</v>
      </c>
      <c r="AB111" s="167" t="s">
        <v>69</v>
      </c>
      <c r="AC111" s="167" t="s">
        <v>69</v>
      </c>
      <c r="AD111" s="167" t="s">
        <v>69</v>
      </c>
      <c r="AE111" s="167" t="s">
        <v>69</v>
      </c>
      <c r="AF111" s="167" t="s">
        <v>69</v>
      </c>
      <c r="AG111" s="167" t="s">
        <v>69</v>
      </c>
      <c r="AH111" s="167" t="s">
        <v>69</v>
      </c>
      <c r="AI111" s="167" t="s">
        <v>69</v>
      </c>
      <c r="AJ111" s="167" t="s">
        <v>69</v>
      </c>
      <c r="AK111" s="167" t="s">
        <v>69</v>
      </c>
      <c r="AL111" s="167" t="s">
        <v>69</v>
      </c>
      <c r="AM111" s="167" t="s">
        <v>69</v>
      </c>
      <c r="AN111" s="167" t="s">
        <v>69</v>
      </c>
      <c r="AO111" s="167" t="s">
        <v>69</v>
      </c>
      <c r="AP111" s="167" t="s">
        <v>69</v>
      </c>
      <c r="AQ111" s="167" t="s">
        <v>69</v>
      </c>
      <c r="AR111" s="167">
        <v>1</v>
      </c>
      <c r="AS111" s="167" t="s">
        <v>69</v>
      </c>
      <c r="AT111" s="167" t="s">
        <v>69</v>
      </c>
      <c r="AU111" s="167" t="s">
        <v>69</v>
      </c>
      <c r="AV111" s="167" t="s">
        <v>69</v>
      </c>
      <c r="AW111" s="167" t="s">
        <v>69</v>
      </c>
      <c r="AX111" s="167" t="s">
        <v>69</v>
      </c>
      <c r="AY111" s="167" t="s">
        <v>69</v>
      </c>
      <c r="AZ111" s="167" t="s">
        <v>69</v>
      </c>
      <c r="BA111" s="167" t="s">
        <v>69</v>
      </c>
      <c r="BB111" s="167" t="s">
        <v>69</v>
      </c>
      <c r="BC111" s="167" t="s">
        <v>69</v>
      </c>
      <c r="BD111" s="167" t="s">
        <v>69</v>
      </c>
      <c r="BE111" s="167" t="s">
        <v>69</v>
      </c>
      <c r="BF111" s="167" t="s">
        <v>69</v>
      </c>
      <c r="BG111" s="167" t="s">
        <v>69</v>
      </c>
      <c r="BH111" s="167" t="s">
        <v>69</v>
      </c>
      <c r="BI111" s="167" t="s">
        <v>69</v>
      </c>
      <c r="BJ111" s="167" t="s">
        <v>69</v>
      </c>
      <c r="BK111" s="167" t="s">
        <v>69</v>
      </c>
      <c r="BL111" s="167" t="s">
        <v>69</v>
      </c>
      <c r="BM111" s="167" t="s">
        <v>69</v>
      </c>
      <c r="BN111" s="167" t="s">
        <v>69</v>
      </c>
      <c r="BO111" s="167" t="s">
        <v>69</v>
      </c>
      <c r="BP111" s="167" t="s">
        <v>69</v>
      </c>
      <c r="BQ111" s="167" t="s">
        <v>69</v>
      </c>
      <c r="BR111" s="167" t="s">
        <v>69</v>
      </c>
      <c r="BS111" s="167" t="s">
        <v>69</v>
      </c>
      <c r="BT111" s="167" t="s">
        <v>69</v>
      </c>
      <c r="BU111" s="167" t="s">
        <v>69</v>
      </c>
      <c r="BV111" s="167" t="s">
        <v>69</v>
      </c>
      <c r="BW111" s="167" t="s">
        <v>69</v>
      </c>
      <c r="BX111" s="167" t="s">
        <v>69</v>
      </c>
      <c r="BY111" s="167" t="s">
        <v>69</v>
      </c>
      <c r="BZ111" s="167" t="s">
        <v>69</v>
      </c>
      <c r="CA111" s="167" t="s">
        <v>69</v>
      </c>
      <c r="CB111" s="167" t="s">
        <v>69</v>
      </c>
      <c r="CC111" s="167" t="s">
        <v>69</v>
      </c>
      <c r="CD111" s="167" t="s">
        <v>69</v>
      </c>
      <c r="CE111" s="167" t="s">
        <v>69</v>
      </c>
      <c r="CF111" s="167" t="s">
        <v>69</v>
      </c>
      <c r="CG111" s="167" t="s">
        <v>69</v>
      </c>
      <c r="CH111" s="167" t="s">
        <v>69</v>
      </c>
      <c r="CI111" s="167" t="s">
        <v>69</v>
      </c>
      <c r="CJ111" s="167" t="s">
        <v>69</v>
      </c>
      <c r="CK111" s="167">
        <v>2</v>
      </c>
      <c r="CL111" s="167" t="s">
        <v>69</v>
      </c>
      <c r="CM111" s="167" t="s">
        <v>69</v>
      </c>
      <c r="CN111" s="167" t="s">
        <v>69</v>
      </c>
      <c r="CO111" s="167" t="s">
        <v>69</v>
      </c>
      <c r="CP111" s="167">
        <v>2</v>
      </c>
      <c r="CQ111" s="167" t="s">
        <v>69</v>
      </c>
      <c r="CR111" s="167" t="s">
        <v>69</v>
      </c>
      <c r="CS111" s="167" t="s">
        <v>69</v>
      </c>
      <c r="CT111" s="167" t="s">
        <v>69</v>
      </c>
      <c r="CU111" s="167" t="s">
        <v>69</v>
      </c>
      <c r="CV111" s="167" t="s">
        <v>69</v>
      </c>
      <c r="CW111" s="167" t="s">
        <v>69</v>
      </c>
      <c r="CX111" s="167" t="s">
        <v>69</v>
      </c>
      <c r="CY111" s="167" t="s">
        <v>69</v>
      </c>
      <c r="CZ111" s="167" t="s">
        <v>69</v>
      </c>
      <c r="DA111" s="167" t="s">
        <v>69</v>
      </c>
      <c r="DB111" s="167" t="s">
        <v>69</v>
      </c>
      <c r="DC111" s="167" t="s">
        <v>69</v>
      </c>
      <c r="DD111" s="167" t="s">
        <v>69</v>
      </c>
      <c r="DE111" s="167" t="s">
        <v>69</v>
      </c>
      <c r="DF111" s="167" t="s">
        <v>69</v>
      </c>
      <c r="DG111" s="167" t="s">
        <v>69</v>
      </c>
      <c r="DH111" s="167" t="s">
        <v>69</v>
      </c>
      <c r="DI111" s="167" t="s">
        <v>69</v>
      </c>
      <c r="DJ111" s="167" t="s">
        <v>69</v>
      </c>
      <c r="DK111" s="167" t="s">
        <v>69</v>
      </c>
      <c r="DL111" s="167" t="s">
        <v>69</v>
      </c>
      <c r="DM111" s="167" t="s">
        <v>69</v>
      </c>
      <c r="DN111" s="167" t="s">
        <v>69</v>
      </c>
      <c r="DO111" s="167" t="s">
        <v>69</v>
      </c>
      <c r="DP111" s="167" t="s">
        <v>69</v>
      </c>
      <c r="DQ111" s="167" t="s">
        <v>69</v>
      </c>
      <c r="DR111" s="167" t="s">
        <v>69</v>
      </c>
      <c r="DS111" s="167" t="s">
        <v>69</v>
      </c>
      <c r="DT111" s="167" t="s">
        <v>69</v>
      </c>
      <c r="DU111" s="167" t="s">
        <v>69</v>
      </c>
      <c r="DV111" s="110">
        <f t="shared" si="6"/>
        <v>4.8387096774193547E-2</v>
      </c>
      <c r="DW111" s="104">
        <f t="shared" si="7"/>
        <v>0</v>
      </c>
    </row>
    <row r="112" spans="1:127" ht="42" hidden="1" customHeight="1" thickBot="1">
      <c r="A112" s="271" t="s">
        <v>895</v>
      </c>
      <c r="B112" s="272" t="s">
        <v>896</v>
      </c>
      <c r="C112" s="208">
        <v>45965</v>
      </c>
      <c r="D112" s="220" t="s">
        <v>434</v>
      </c>
      <c r="E112" s="256" t="s">
        <v>900</v>
      </c>
      <c r="F112" s="167" t="s">
        <v>69</v>
      </c>
      <c r="G112" s="167" t="s">
        <v>69</v>
      </c>
      <c r="H112" s="167" t="s">
        <v>69</v>
      </c>
      <c r="I112" s="167" t="s">
        <v>69</v>
      </c>
      <c r="J112" s="167" t="s">
        <v>69</v>
      </c>
      <c r="K112" s="167" t="s">
        <v>69</v>
      </c>
      <c r="L112" s="167" t="s">
        <v>69</v>
      </c>
      <c r="M112" s="167" t="s">
        <v>69</v>
      </c>
      <c r="N112" s="167" t="s">
        <v>69</v>
      </c>
      <c r="O112" s="167" t="s">
        <v>69</v>
      </c>
      <c r="P112" s="167" t="s">
        <v>69</v>
      </c>
      <c r="Q112" s="167" t="s">
        <v>69</v>
      </c>
      <c r="R112" s="167" t="s">
        <v>69</v>
      </c>
      <c r="S112" s="167" t="s">
        <v>69</v>
      </c>
      <c r="T112" s="167" t="s">
        <v>69</v>
      </c>
      <c r="U112" s="167" t="s">
        <v>69</v>
      </c>
      <c r="V112" s="167" t="s">
        <v>69</v>
      </c>
      <c r="W112" s="167" t="s">
        <v>69</v>
      </c>
      <c r="X112" s="167" t="s">
        <v>69</v>
      </c>
      <c r="Y112" s="167" t="s">
        <v>69</v>
      </c>
      <c r="Z112" s="167" t="s">
        <v>69</v>
      </c>
      <c r="AA112" s="167" t="s">
        <v>69</v>
      </c>
      <c r="AB112" s="167" t="s">
        <v>69</v>
      </c>
      <c r="AC112" s="167" t="s">
        <v>69</v>
      </c>
      <c r="AD112" s="167" t="s">
        <v>69</v>
      </c>
      <c r="AE112" s="167" t="s">
        <v>69</v>
      </c>
      <c r="AF112" s="167">
        <v>2</v>
      </c>
      <c r="AG112" s="167" t="s">
        <v>69</v>
      </c>
      <c r="AH112" s="167" t="s">
        <v>69</v>
      </c>
      <c r="AI112" s="167" t="s">
        <v>69</v>
      </c>
      <c r="AJ112" s="167" t="s">
        <v>69</v>
      </c>
      <c r="AK112" s="167" t="s">
        <v>69</v>
      </c>
      <c r="AL112" s="167" t="s">
        <v>69</v>
      </c>
      <c r="AM112" s="167" t="s">
        <v>69</v>
      </c>
      <c r="AN112" s="167" t="s">
        <v>69</v>
      </c>
      <c r="AO112" s="167" t="s">
        <v>69</v>
      </c>
      <c r="AP112" s="167" t="s">
        <v>69</v>
      </c>
      <c r="AQ112" s="167" t="s">
        <v>69</v>
      </c>
      <c r="AR112" s="167" t="s">
        <v>69</v>
      </c>
      <c r="AS112" s="167" t="s">
        <v>69</v>
      </c>
      <c r="AT112" s="167" t="s">
        <v>69</v>
      </c>
      <c r="AU112" s="167" t="s">
        <v>69</v>
      </c>
      <c r="AV112" s="167" t="s">
        <v>69</v>
      </c>
      <c r="AW112" s="167" t="s">
        <v>69</v>
      </c>
      <c r="AX112" s="167" t="s">
        <v>69</v>
      </c>
      <c r="AY112" s="167" t="s">
        <v>69</v>
      </c>
      <c r="AZ112" s="167" t="s">
        <v>69</v>
      </c>
      <c r="BA112" s="167" t="s">
        <v>69</v>
      </c>
      <c r="BB112" s="167" t="s">
        <v>69</v>
      </c>
      <c r="BC112" s="167" t="s">
        <v>69</v>
      </c>
      <c r="BD112" s="167" t="s">
        <v>69</v>
      </c>
      <c r="BE112" s="167" t="s">
        <v>69</v>
      </c>
      <c r="BF112" s="167" t="s">
        <v>69</v>
      </c>
      <c r="BG112" s="167" t="s">
        <v>69</v>
      </c>
      <c r="BH112" s="167" t="s">
        <v>69</v>
      </c>
      <c r="BI112" s="167" t="s">
        <v>69</v>
      </c>
      <c r="BJ112" s="167" t="s">
        <v>69</v>
      </c>
      <c r="BK112" s="167" t="s">
        <v>69</v>
      </c>
      <c r="BL112" s="167" t="s">
        <v>69</v>
      </c>
      <c r="BM112" s="167" t="s">
        <v>69</v>
      </c>
      <c r="BN112" s="167" t="s">
        <v>69</v>
      </c>
      <c r="BO112" s="167" t="s">
        <v>69</v>
      </c>
      <c r="BP112" s="167" t="s">
        <v>69</v>
      </c>
      <c r="BQ112" s="167" t="s">
        <v>69</v>
      </c>
      <c r="BR112" s="167" t="s">
        <v>69</v>
      </c>
      <c r="BS112" s="167" t="s">
        <v>69</v>
      </c>
      <c r="BT112" s="167" t="s">
        <v>69</v>
      </c>
      <c r="BU112" s="167" t="s">
        <v>69</v>
      </c>
      <c r="BV112" s="167" t="s">
        <v>69</v>
      </c>
      <c r="BW112" s="167" t="s">
        <v>69</v>
      </c>
      <c r="BX112" s="167" t="s">
        <v>69</v>
      </c>
      <c r="BY112" s="167" t="s">
        <v>69</v>
      </c>
      <c r="BZ112" s="167" t="s">
        <v>69</v>
      </c>
      <c r="CA112" s="167" t="s">
        <v>69</v>
      </c>
      <c r="CB112" s="167" t="s">
        <v>69</v>
      </c>
      <c r="CC112" s="167" t="s">
        <v>69</v>
      </c>
      <c r="CD112" s="167" t="s">
        <v>69</v>
      </c>
      <c r="CE112" s="167" t="s">
        <v>69</v>
      </c>
      <c r="CF112" s="167" t="s">
        <v>69</v>
      </c>
      <c r="CG112" s="167" t="s">
        <v>69</v>
      </c>
      <c r="CH112" s="167" t="s">
        <v>69</v>
      </c>
      <c r="CI112" s="167" t="s">
        <v>69</v>
      </c>
      <c r="CJ112" s="167" t="s">
        <v>69</v>
      </c>
      <c r="CK112" s="167" t="s">
        <v>69</v>
      </c>
      <c r="CL112" s="167" t="s">
        <v>69</v>
      </c>
      <c r="CM112" s="167" t="s">
        <v>69</v>
      </c>
      <c r="CN112" s="167" t="s">
        <v>69</v>
      </c>
      <c r="CO112" s="167" t="s">
        <v>69</v>
      </c>
      <c r="CP112" s="167" t="s">
        <v>69</v>
      </c>
      <c r="CQ112" s="167" t="s">
        <v>69</v>
      </c>
      <c r="CR112" s="167" t="s">
        <v>69</v>
      </c>
      <c r="CS112" s="167" t="s">
        <v>69</v>
      </c>
      <c r="CT112" s="167" t="s">
        <v>69</v>
      </c>
      <c r="CU112" s="167" t="s">
        <v>69</v>
      </c>
      <c r="CV112" s="167" t="s">
        <v>69</v>
      </c>
      <c r="CW112" s="167" t="s">
        <v>69</v>
      </c>
      <c r="CX112" s="167" t="s">
        <v>69</v>
      </c>
      <c r="CY112" s="167" t="s">
        <v>69</v>
      </c>
      <c r="CZ112" s="167" t="s">
        <v>69</v>
      </c>
      <c r="DA112" s="167" t="s">
        <v>69</v>
      </c>
      <c r="DB112" s="167" t="s">
        <v>69</v>
      </c>
      <c r="DC112" s="167" t="s">
        <v>69</v>
      </c>
      <c r="DD112" s="167" t="s">
        <v>69</v>
      </c>
      <c r="DE112" s="167" t="s">
        <v>69</v>
      </c>
      <c r="DF112" s="167" t="s">
        <v>69</v>
      </c>
      <c r="DG112" s="167" t="s">
        <v>69</v>
      </c>
      <c r="DH112" s="167" t="s">
        <v>69</v>
      </c>
      <c r="DI112" s="167" t="s">
        <v>69</v>
      </c>
      <c r="DJ112" s="167" t="s">
        <v>69</v>
      </c>
      <c r="DK112" s="167">
        <v>2</v>
      </c>
      <c r="DL112" s="167" t="s">
        <v>69</v>
      </c>
      <c r="DM112" s="167" t="s">
        <v>69</v>
      </c>
      <c r="DN112" s="167" t="s">
        <v>69</v>
      </c>
      <c r="DO112" s="167" t="s">
        <v>69</v>
      </c>
      <c r="DP112" s="167" t="s">
        <v>69</v>
      </c>
      <c r="DQ112" s="167" t="s">
        <v>69</v>
      </c>
      <c r="DR112" s="167" t="s">
        <v>69</v>
      </c>
      <c r="DS112" s="167" t="s">
        <v>69</v>
      </c>
      <c r="DT112" s="167" t="s">
        <v>69</v>
      </c>
      <c r="DU112" s="167" t="s">
        <v>69</v>
      </c>
      <c r="DV112" s="110">
        <f t="shared" si="6"/>
        <v>3.2258064516129031E-2</v>
      </c>
      <c r="DW112" s="104">
        <f t="shared" si="7"/>
        <v>0</v>
      </c>
    </row>
    <row r="113" spans="1:127" s="174" customFormat="1" ht="68.25" hidden="1" customHeight="1" thickBot="1">
      <c r="A113" s="865"/>
      <c r="B113" s="227" t="s">
        <v>17</v>
      </c>
      <c r="C113" s="255"/>
      <c r="D113" s="255"/>
      <c r="E113" s="255"/>
      <c r="F113" s="197">
        <f t="shared" ref="F113:AK113" si="8">COUNTIF(F16:F98,"&gt;1")</f>
        <v>44</v>
      </c>
      <c r="G113" s="197">
        <f t="shared" si="8"/>
        <v>13</v>
      </c>
      <c r="H113" s="197">
        <f t="shared" si="8"/>
        <v>19</v>
      </c>
      <c r="I113" s="197">
        <f t="shared" si="8"/>
        <v>9</v>
      </c>
      <c r="J113" s="197">
        <f t="shared" si="8"/>
        <v>5</v>
      </c>
      <c r="K113" s="197">
        <f t="shared" si="8"/>
        <v>6</v>
      </c>
      <c r="L113" s="197">
        <f t="shared" si="8"/>
        <v>4</v>
      </c>
      <c r="M113" s="197">
        <f t="shared" si="8"/>
        <v>14</v>
      </c>
      <c r="N113" s="197">
        <f t="shared" si="8"/>
        <v>5</v>
      </c>
      <c r="O113" s="197">
        <f t="shared" si="8"/>
        <v>23</v>
      </c>
      <c r="P113" s="197">
        <f t="shared" si="8"/>
        <v>7</v>
      </c>
      <c r="Q113" s="197">
        <f t="shared" si="8"/>
        <v>16</v>
      </c>
      <c r="R113" s="197">
        <f t="shared" si="8"/>
        <v>4</v>
      </c>
      <c r="S113" s="197">
        <f t="shared" si="8"/>
        <v>6</v>
      </c>
      <c r="T113" s="197">
        <f t="shared" si="8"/>
        <v>3</v>
      </c>
      <c r="U113" s="197">
        <f t="shared" si="8"/>
        <v>3</v>
      </c>
      <c r="V113" s="197">
        <f t="shared" si="8"/>
        <v>4</v>
      </c>
      <c r="W113" s="197">
        <f t="shared" si="8"/>
        <v>2</v>
      </c>
      <c r="X113" s="197">
        <f t="shared" si="8"/>
        <v>3</v>
      </c>
      <c r="Y113" s="197">
        <f t="shared" si="8"/>
        <v>8</v>
      </c>
      <c r="Z113" s="197">
        <f t="shared" si="8"/>
        <v>3</v>
      </c>
      <c r="AA113" s="197">
        <f t="shared" si="8"/>
        <v>19</v>
      </c>
      <c r="AB113" s="197">
        <f t="shared" si="8"/>
        <v>5</v>
      </c>
      <c r="AC113" s="197">
        <f t="shared" si="8"/>
        <v>6</v>
      </c>
      <c r="AD113" s="197">
        <f t="shared" si="8"/>
        <v>7</v>
      </c>
      <c r="AE113" s="197">
        <f t="shared" si="8"/>
        <v>1</v>
      </c>
      <c r="AF113" s="197">
        <f t="shared" si="8"/>
        <v>15</v>
      </c>
      <c r="AG113" s="197">
        <f t="shared" si="8"/>
        <v>9</v>
      </c>
      <c r="AH113" s="197">
        <f t="shared" si="8"/>
        <v>12</v>
      </c>
      <c r="AI113" s="197">
        <f t="shared" si="8"/>
        <v>4</v>
      </c>
      <c r="AJ113" s="197">
        <f t="shared" si="8"/>
        <v>3</v>
      </c>
      <c r="AK113" s="197">
        <f t="shared" si="8"/>
        <v>2</v>
      </c>
      <c r="AL113" s="197">
        <f t="shared" ref="AL113:BR113" si="9">COUNTIF(AL16:AL98,"&gt;1")</f>
        <v>9</v>
      </c>
      <c r="AM113" s="197">
        <f t="shared" si="9"/>
        <v>7</v>
      </c>
      <c r="AN113" s="197">
        <f t="shared" si="9"/>
        <v>16</v>
      </c>
      <c r="AO113" s="197">
        <f t="shared" si="9"/>
        <v>7</v>
      </c>
      <c r="AP113" s="197">
        <f t="shared" si="9"/>
        <v>20</v>
      </c>
      <c r="AQ113" s="197">
        <f t="shared" si="9"/>
        <v>7</v>
      </c>
      <c r="AR113" s="197">
        <f t="shared" si="9"/>
        <v>13</v>
      </c>
      <c r="AS113" s="197">
        <f t="shared" si="9"/>
        <v>12</v>
      </c>
      <c r="AT113" s="197">
        <f t="shared" si="9"/>
        <v>6</v>
      </c>
      <c r="AU113" s="197">
        <f t="shared" si="9"/>
        <v>19</v>
      </c>
      <c r="AV113" s="197">
        <f t="shared" si="9"/>
        <v>9</v>
      </c>
      <c r="AW113" s="197">
        <f t="shared" si="9"/>
        <v>5</v>
      </c>
      <c r="AX113" s="197">
        <f t="shared" si="9"/>
        <v>16</v>
      </c>
      <c r="AY113" s="197">
        <f t="shared" si="9"/>
        <v>11</v>
      </c>
      <c r="AZ113" s="197">
        <f t="shared" si="9"/>
        <v>6</v>
      </c>
      <c r="BA113" s="197">
        <f t="shared" si="9"/>
        <v>5</v>
      </c>
      <c r="BB113" s="197">
        <f t="shared" si="9"/>
        <v>5</v>
      </c>
      <c r="BC113" s="197">
        <f t="shared" si="9"/>
        <v>5</v>
      </c>
      <c r="BD113" s="197">
        <f t="shared" si="9"/>
        <v>17</v>
      </c>
      <c r="BE113" s="197">
        <f t="shared" si="9"/>
        <v>24</v>
      </c>
      <c r="BF113" s="197">
        <f t="shared" si="9"/>
        <v>12</v>
      </c>
      <c r="BG113" s="197">
        <f t="shared" si="9"/>
        <v>5</v>
      </c>
      <c r="BH113" s="197">
        <f t="shared" si="9"/>
        <v>3</v>
      </c>
      <c r="BI113" s="197">
        <f t="shared" si="9"/>
        <v>7</v>
      </c>
      <c r="BJ113" s="197">
        <f t="shared" si="9"/>
        <v>8</v>
      </c>
      <c r="BK113" s="197">
        <f t="shared" si="9"/>
        <v>11</v>
      </c>
      <c r="BL113" s="197">
        <f t="shared" si="9"/>
        <v>6</v>
      </c>
      <c r="BM113" s="197">
        <f t="shared" si="9"/>
        <v>6</v>
      </c>
      <c r="BN113" s="197">
        <f t="shared" si="9"/>
        <v>11</v>
      </c>
      <c r="BO113" s="197">
        <f t="shared" si="9"/>
        <v>2</v>
      </c>
      <c r="BP113" s="197">
        <f t="shared" si="9"/>
        <v>9</v>
      </c>
      <c r="BQ113" s="197">
        <f t="shared" si="9"/>
        <v>8</v>
      </c>
      <c r="BR113" s="197">
        <f t="shared" si="9"/>
        <v>38</v>
      </c>
      <c r="BS113" s="197">
        <f t="shared" ref="BS113:DU113" si="10">COUNTIF(BS16:BS98,"&gt;1")</f>
        <v>3</v>
      </c>
      <c r="BT113" s="197">
        <f t="shared" si="10"/>
        <v>0</v>
      </c>
      <c r="BU113" s="197">
        <f t="shared" si="10"/>
        <v>9</v>
      </c>
      <c r="BV113" s="197">
        <f t="shared" si="10"/>
        <v>9</v>
      </c>
      <c r="BW113" s="197">
        <f t="shared" si="10"/>
        <v>1</v>
      </c>
      <c r="BX113" s="197">
        <f t="shared" si="10"/>
        <v>1</v>
      </c>
      <c r="BY113" s="197">
        <f t="shared" si="10"/>
        <v>20</v>
      </c>
      <c r="BZ113" s="197">
        <f t="shared" si="10"/>
        <v>10</v>
      </c>
      <c r="CA113" s="197">
        <f t="shared" si="10"/>
        <v>12</v>
      </c>
      <c r="CB113" s="197">
        <f t="shared" si="10"/>
        <v>8</v>
      </c>
      <c r="CC113" s="197">
        <f t="shared" si="10"/>
        <v>4</v>
      </c>
      <c r="CD113" s="197">
        <f t="shared" si="10"/>
        <v>0</v>
      </c>
      <c r="CE113" s="197">
        <f t="shared" si="10"/>
        <v>0</v>
      </c>
      <c r="CF113" s="197">
        <f t="shared" si="10"/>
        <v>0</v>
      </c>
      <c r="CG113" s="197">
        <f t="shared" si="10"/>
        <v>37</v>
      </c>
      <c r="CH113" s="197">
        <f t="shared" si="10"/>
        <v>6</v>
      </c>
      <c r="CI113" s="197">
        <f t="shared" si="10"/>
        <v>8</v>
      </c>
      <c r="CJ113" s="197">
        <f t="shared" si="10"/>
        <v>8</v>
      </c>
      <c r="CK113" s="197">
        <f t="shared" si="10"/>
        <v>6</v>
      </c>
      <c r="CL113" s="197">
        <f t="shared" si="10"/>
        <v>2</v>
      </c>
      <c r="CM113" s="197">
        <f t="shared" si="10"/>
        <v>17</v>
      </c>
      <c r="CN113" s="197">
        <f t="shared" si="10"/>
        <v>22</v>
      </c>
      <c r="CO113" s="197">
        <f t="shared" si="10"/>
        <v>32</v>
      </c>
      <c r="CP113" s="197">
        <f t="shared" si="10"/>
        <v>36</v>
      </c>
      <c r="CQ113" s="197">
        <f t="shared" si="10"/>
        <v>16</v>
      </c>
      <c r="CR113" s="197">
        <f t="shared" si="10"/>
        <v>6</v>
      </c>
      <c r="CS113" s="197">
        <f t="shared" si="10"/>
        <v>10</v>
      </c>
      <c r="CT113" s="197">
        <f t="shared" si="10"/>
        <v>12</v>
      </c>
      <c r="CU113" s="197">
        <f t="shared" si="10"/>
        <v>6</v>
      </c>
      <c r="CV113" s="197">
        <f t="shared" si="10"/>
        <v>13</v>
      </c>
      <c r="CW113" s="197">
        <f t="shared" si="10"/>
        <v>7</v>
      </c>
      <c r="CX113" s="197">
        <f t="shared" si="10"/>
        <v>18</v>
      </c>
      <c r="CY113" s="197">
        <f t="shared" si="10"/>
        <v>5</v>
      </c>
      <c r="CZ113" s="197">
        <f t="shared" si="10"/>
        <v>7</v>
      </c>
      <c r="DA113" s="197">
        <f t="shared" si="10"/>
        <v>19</v>
      </c>
      <c r="DB113" s="197">
        <f t="shared" si="10"/>
        <v>15</v>
      </c>
      <c r="DC113" s="197">
        <f t="shared" si="10"/>
        <v>21</v>
      </c>
      <c r="DD113" s="197">
        <f t="shared" si="10"/>
        <v>13</v>
      </c>
      <c r="DE113" s="197">
        <f t="shared" si="10"/>
        <v>5</v>
      </c>
      <c r="DF113" s="197">
        <f t="shared" si="10"/>
        <v>17</v>
      </c>
      <c r="DG113" s="197">
        <f t="shared" si="10"/>
        <v>3</v>
      </c>
      <c r="DH113" s="197">
        <f t="shared" si="10"/>
        <v>3</v>
      </c>
      <c r="DI113" s="197">
        <f t="shared" si="10"/>
        <v>2</v>
      </c>
      <c r="DJ113" s="197">
        <f t="shared" si="10"/>
        <v>5</v>
      </c>
      <c r="DK113" s="197">
        <f t="shared" si="10"/>
        <v>17</v>
      </c>
      <c r="DL113" s="197">
        <f t="shared" si="10"/>
        <v>12</v>
      </c>
      <c r="DM113" s="197">
        <f t="shared" si="10"/>
        <v>5</v>
      </c>
      <c r="DN113" s="197">
        <f t="shared" si="10"/>
        <v>0</v>
      </c>
      <c r="DO113" s="197">
        <f t="shared" si="10"/>
        <v>2</v>
      </c>
      <c r="DP113" s="197">
        <f t="shared" si="10"/>
        <v>2</v>
      </c>
      <c r="DQ113" s="197">
        <f t="shared" si="10"/>
        <v>2</v>
      </c>
      <c r="DR113" s="197">
        <f t="shared" si="10"/>
        <v>2</v>
      </c>
      <c r="DS113" s="197">
        <f t="shared" si="10"/>
        <v>12</v>
      </c>
      <c r="DT113" s="197">
        <f t="shared" si="10"/>
        <v>11</v>
      </c>
      <c r="DU113" s="197">
        <f t="shared" si="10"/>
        <v>44</v>
      </c>
      <c r="DV113" s="867"/>
      <c r="DW113" s="868"/>
    </row>
    <row r="114" spans="1:127" s="174" customFormat="1" ht="68.25" hidden="1" customHeight="1" thickBot="1">
      <c r="A114" s="866"/>
      <c r="B114" s="871" t="s">
        <v>12</v>
      </c>
      <c r="C114" s="872"/>
      <c r="D114" s="873"/>
      <c r="E114" s="255"/>
      <c r="F114" s="196">
        <v>3</v>
      </c>
      <c r="G114" s="196">
        <v>3</v>
      </c>
      <c r="H114" s="196">
        <v>3</v>
      </c>
      <c r="I114" s="196">
        <v>3</v>
      </c>
      <c r="J114" s="196">
        <v>3</v>
      </c>
      <c r="K114" s="196">
        <v>3</v>
      </c>
      <c r="L114" s="196">
        <v>3</v>
      </c>
      <c r="M114" s="196">
        <v>3</v>
      </c>
      <c r="N114" s="196">
        <v>3</v>
      </c>
      <c r="O114" s="196">
        <v>3</v>
      </c>
      <c r="P114" s="196">
        <v>3</v>
      </c>
      <c r="Q114" s="196">
        <v>3</v>
      </c>
      <c r="R114" s="196">
        <v>3</v>
      </c>
      <c r="S114" s="196">
        <v>3</v>
      </c>
      <c r="T114" s="196">
        <v>0</v>
      </c>
      <c r="U114" s="196">
        <v>3</v>
      </c>
      <c r="V114" s="196">
        <v>3</v>
      </c>
      <c r="W114" s="196">
        <v>3</v>
      </c>
      <c r="X114" s="196">
        <v>3</v>
      </c>
      <c r="Y114" s="196">
        <v>3</v>
      </c>
      <c r="Z114" s="196">
        <v>3</v>
      </c>
      <c r="AA114" s="196">
        <v>3</v>
      </c>
      <c r="AB114" s="196">
        <v>3</v>
      </c>
      <c r="AC114" s="196">
        <v>3</v>
      </c>
      <c r="AD114" s="196">
        <v>3</v>
      </c>
      <c r="AE114" s="196">
        <v>3</v>
      </c>
      <c r="AF114" s="196">
        <v>3</v>
      </c>
      <c r="AG114" s="196">
        <v>3</v>
      </c>
      <c r="AH114" s="196">
        <v>3</v>
      </c>
      <c r="AI114" s="196">
        <v>3</v>
      </c>
      <c r="AJ114" s="196">
        <v>3</v>
      </c>
      <c r="AK114" s="196">
        <v>3</v>
      </c>
      <c r="AL114" s="196">
        <v>3</v>
      </c>
      <c r="AM114" s="196">
        <v>3</v>
      </c>
      <c r="AN114" s="196">
        <v>3</v>
      </c>
      <c r="AO114" s="196">
        <v>3</v>
      </c>
      <c r="AP114" s="196">
        <v>3</v>
      </c>
      <c r="AQ114" s="196">
        <v>3</v>
      </c>
      <c r="AR114" s="196">
        <v>3</v>
      </c>
      <c r="AS114" s="196">
        <v>3</v>
      </c>
      <c r="AT114" s="196">
        <v>3</v>
      </c>
      <c r="AU114" s="196">
        <v>3</v>
      </c>
      <c r="AV114" s="196">
        <v>3</v>
      </c>
      <c r="AW114" s="196">
        <v>3</v>
      </c>
      <c r="AX114" s="196">
        <v>3</v>
      </c>
      <c r="AY114" s="196">
        <v>3</v>
      </c>
      <c r="AZ114" s="196">
        <v>3</v>
      </c>
      <c r="BA114" s="196">
        <v>3</v>
      </c>
      <c r="BB114" s="196">
        <v>3</v>
      </c>
      <c r="BC114" s="196">
        <v>3</v>
      </c>
      <c r="BD114" s="196">
        <v>3</v>
      </c>
      <c r="BE114" s="196">
        <v>3</v>
      </c>
      <c r="BF114" s="196">
        <v>3</v>
      </c>
      <c r="BG114" s="196">
        <v>3</v>
      </c>
      <c r="BH114" s="196">
        <v>3</v>
      </c>
      <c r="BI114" s="196">
        <v>3</v>
      </c>
      <c r="BJ114" s="196">
        <v>3</v>
      </c>
      <c r="BK114" s="196">
        <v>3</v>
      </c>
      <c r="BL114" s="196">
        <v>3</v>
      </c>
      <c r="BM114" s="196">
        <v>3</v>
      </c>
      <c r="BN114" s="196">
        <v>3</v>
      </c>
      <c r="BO114" s="196">
        <v>3</v>
      </c>
      <c r="BP114" s="196">
        <v>3</v>
      </c>
      <c r="BQ114" s="196">
        <v>3</v>
      </c>
      <c r="BR114" s="196">
        <v>3</v>
      </c>
      <c r="BS114" s="196">
        <v>3</v>
      </c>
      <c r="BT114" s="196">
        <v>3</v>
      </c>
      <c r="BU114" s="196">
        <v>3</v>
      </c>
      <c r="BV114" s="196">
        <v>3</v>
      </c>
      <c r="BW114" s="196">
        <v>3</v>
      </c>
      <c r="BX114" s="196">
        <v>3</v>
      </c>
      <c r="BY114" s="196">
        <v>3</v>
      </c>
      <c r="BZ114" s="196">
        <v>3</v>
      </c>
      <c r="CA114" s="196">
        <v>3</v>
      </c>
      <c r="CB114" s="196">
        <v>3</v>
      </c>
      <c r="CC114" s="196">
        <v>3</v>
      </c>
      <c r="CD114" s="196">
        <v>3</v>
      </c>
      <c r="CE114" s="196">
        <v>3</v>
      </c>
      <c r="CF114" s="196">
        <v>3</v>
      </c>
      <c r="CG114" s="196">
        <v>3</v>
      </c>
      <c r="CH114" s="196">
        <v>3</v>
      </c>
      <c r="CI114" s="196">
        <v>3</v>
      </c>
      <c r="CJ114" s="196">
        <v>3</v>
      </c>
      <c r="CK114" s="196">
        <v>3</v>
      </c>
      <c r="CL114" s="196">
        <v>3</v>
      </c>
      <c r="CM114" s="196">
        <v>3</v>
      </c>
      <c r="CN114" s="204">
        <v>3</v>
      </c>
      <c r="CO114" s="196">
        <v>3</v>
      </c>
      <c r="CP114" s="196">
        <v>3</v>
      </c>
      <c r="CQ114" s="196">
        <v>3</v>
      </c>
      <c r="CR114" s="197">
        <v>3</v>
      </c>
      <c r="CS114" s="196">
        <v>3</v>
      </c>
      <c r="CT114" s="196">
        <v>3</v>
      </c>
      <c r="CU114" s="196">
        <v>3</v>
      </c>
      <c r="CV114" s="196">
        <v>3</v>
      </c>
      <c r="CW114" s="196">
        <v>3</v>
      </c>
      <c r="CX114" s="196">
        <v>3</v>
      </c>
      <c r="CY114" s="196">
        <v>3</v>
      </c>
      <c r="CZ114" s="196">
        <v>3</v>
      </c>
      <c r="DA114" s="196">
        <v>3</v>
      </c>
      <c r="DB114" s="196">
        <v>3</v>
      </c>
      <c r="DC114" s="196">
        <v>3</v>
      </c>
      <c r="DD114" s="196">
        <v>3</v>
      </c>
      <c r="DE114" s="196">
        <v>3</v>
      </c>
      <c r="DF114" s="196">
        <v>3</v>
      </c>
      <c r="DG114" s="196">
        <v>3</v>
      </c>
      <c r="DH114" s="196">
        <v>3</v>
      </c>
      <c r="DI114" s="196">
        <v>3</v>
      </c>
      <c r="DJ114" s="196">
        <v>3</v>
      </c>
      <c r="DK114" s="196">
        <v>3</v>
      </c>
      <c r="DL114" s="196">
        <v>3</v>
      </c>
      <c r="DM114" s="196">
        <v>3</v>
      </c>
      <c r="DN114" s="196">
        <v>3</v>
      </c>
      <c r="DO114" s="196">
        <v>3</v>
      </c>
      <c r="DP114" s="196">
        <v>3</v>
      </c>
      <c r="DQ114" s="196">
        <v>3</v>
      </c>
      <c r="DR114" s="196">
        <v>3</v>
      </c>
      <c r="DS114" s="196">
        <v>3</v>
      </c>
      <c r="DT114" s="196">
        <v>3</v>
      </c>
      <c r="DU114" s="197">
        <v>3</v>
      </c>
      <c r="DV114" s="869"/>
      <c r="DW114" s="870"/>
    </row>
    <row r="115" spans="1:127" s="14" customFormat="1" ht="15.75" customHeight="1">
      <c r="A115" s="146"/>
      <c r="C115" s="146"/>
      <c r="D115" s="146"/>
      <c r="E115" s="1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194"/>
      <c r="CV115" s="194"/>
      <c r="CW115" s="194"/>
      <c r="CX115" s="194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/>
      <c r="DJ115" s="46"/>
      <c r="DK115" s="46"/>
      <c r="DL115" s="46"/>
      <c r="DM115" s="46"/>
      <c r="DN115" s="46"/>
      <c r="DO115" s="46"/>
      <c r="DP115" s="46"/>
      <c r="DQ115" s="46"/>
      <c r="DR115" s="46"/>
    </row>
    <row r="116" spans="1:127" s="14" customFormat="1" ht="15.75" customHeight="1">
      <c r="A116" s="146"/>
      <c r="B116" s="146"/>
      <c r="C116" s="146"/>
      <c r="D116" s="146"/>
      <c r="E116" s="1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194"/>
      <c r="CV116" s="194"/>
      <c r="CW116" s="194"/>
      <c r="CX116" s="194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/>
    </row>
    <row r="117" spans="1:127" s="14" customFormat="1" ht="15.75" customHeight="1">
      <c r="A117" s="146"/>
      <c r="B117" s="146"/>
      <c r="C117" s="146"/>
      <c r="D117" s="146"/>
      <c r="E117" s="146"/>
      <c r="F117" s="46"/>
      <c r="G117" s="46"/>
      <c r="H117" s="46"/>
      <c r="I117" s="46"/>
      <c r="J117" s="46"/>
      <c r="K117" s="46"/>
      <c r="L117" s="46"/>
      <c r="M117" s="46"/>
      <c r="N117" s="46" t="s">
        <v>213</v>
      </c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/>
      <c r="CQ117" s="46"/>
      <c r="CR117" s="46"/>
      <c r="CS117" s="46"/>
      <c r="CT117" s="46"/>
      <c r="CU117" s="194"/>
      <c r="CV117" s="194"/>
      <c r="CW117" s="194"/>
      <c r="CX117" s="194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/>
      <c r="DJ117" s="46"/>
      <c r="DK117" s="46"/>
      <c r="DL117" s="46"/>
      <c r="DM117" s="46"/>
      <c r="DN117" s="46"/>
      <c r="DO117" s="46"/>
      <c r="DP117" s="46"/>
      <c r="DQ117" s="46"/>
      <c r="DR117" s="46"/>
    </row>
    <row r="118" spans="1:127" s="14" customFormat="1" ht="15.75" customHeight="1">
      <c r="A118" s="146"/>
      <c r="B118" s="146"/>
      <c r="C118" s="146"/>
      <c r="D118" s="146"/>
      <c r="E118" s="1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  <c r="CS118" s="46"/>
      <c r="CT118" s="46"/>
      <c r="CU118" s="46"/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6"/>
      <c r="DN118" s="46"/>
      <c r="DO118" s="46"/>
      <c r="DP118" s="46"/>
      <c r="DQ118" s="46"/>
      <c r="DR118" s="46"/>
    </row>
    <row r="119" spans="1:127" s="14" customFormat="1" ht="15.75" customHeight="1" thickBot="1">
      <c r="A119" s="146"/>
      <c r="B119" s="146"/>
      <c r="C119" s="146"/>
      <c r="D119" s="146"/>
      <c r="E119" s="146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46" t="s">
        <v>781</v>
      </c>
      <c r="Z119" s="46"/>
      <c r="AA119" s="46"/>
      <c r="AB119" s="46"/>
      <c r="AC119" s="46"/>
      <c r="AD119" s="46"/>
      <c r="AE119" s="46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</row>
    <row r="120" spans="1:127" s="14" customFormat="1" ht="48" customHeight="1">
      <c r="A120" s="146"/>
      <c r="B120" s="874" t="s">
        <v>13</v>
      </c>
      <c r="C120" s="875"/>
      <c r="D120" s="875"/>
      <c r="E120" s="245"/>
      <c r="F120" s="874" t="s">
        <v>14</v>
      </c>
      <c r="G120" s="875"/>
      <c r="H120" s="875"/>
      <c r="I120" s="875"/>
      <c r="J120" s="875"/>
      <c r="K120" s="875"/>
      <c r="L120" s="875"/>
      <c r="M120" s="875"/>
      <c r="N120" s="875"/>
      <c r="O120" s="875"/>
      <c r="P120" s="875"/>
      <c r="Q120" s="875"/>
      <c r="R120" s="875"/>
      <c r="S120" s="875"/>
      <c r="T120" s="875"/>
      <c r="U120" s="875"/>
      <c r="V120" s="875"/>
      <c r="W120" s="875"/>
      <c r="X120" s="875"/>
      <c r="Y120" s="875"/>
      <c r="Z120" s="875"/>
      <c r="AA120" s="875"/>
      <c r="AB120" s="875"/>
      <c r="AC120" s="878"/>
      <c r="AD120" s="874" t="s">
        <v>15</v>
      </c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875"/>
      <c r="AO120" s="875"/>
      <c r="AP120" s="875"/>
      <c r="AQ120" s="875"/>
      <c r="AR120" s="875"/>
      <c r="AS120" s="875"/>
      <c r="AT120" s="875"/>
      <c r="AU120" s="875"/>
      <c r="AV120" s="875"/>
      <c r="AW120" s="875"/>
      <c r="AX120" s="875"/>
      <c r="AY120" s="875"/>
      <c r="AZ120" s="875"/>
      <c r="BA120" s="875"/>
      <c r="BB120" s="875"/>
      <c r="BC120" s="875"/>
      <c r="BD120" s="875"/>
      <c r="BE120" s="875"/>
      <c r="BF120" s="875"/>
      <c r="BG120" s="875"/>
      <c r="BH120" s="875"/>
      <c r="BI120" s="875"/>
      <c r="BJ120" s="880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</row>
    <row r="121" spans="1:127" s="14" customFormat="1" ht="48" customHeight="1">
      <c r="A121" s="146"/>
      <c r="B121" s="876"/>
      <c r="C121" s="877"/>
      <c r="D121" s="877"/>
      <c r="E121" s="246"/>
      <c r="F121" s="876"/>
      <c r="G121" s="877"/>
      <c r="H121" s="877"/>
      <c r="I121" s="877"/>
      <c r="J121" s="877"/>
      <c r="K121" s="877"/>
      <c r="L121" s="877"/>
      <c r="M121" s="877"/>
      <c r="N121" s="877"/>
      <c r="O121" s="877"/>
      <c r="P121" s="877"/>
      <c r="Q121" s="877"/>
      <c r="R121" s="877"/>
      <c r="S121" s="877"/>
      <c r="T121" s="877"/>
      <c r="U121" s="877"/>
      <c r="V121" s="877"/>
      <c r="W121" s="877"/>
      <c r="X121" s="877"/>
      <c r="Y121" s="877"/>
      <c r="Z121" s="877"/>
      <c r="AA121" s="877"/>
      <c r="AB121" s="877"/>
      <c r="AC121" s="879"/>
      <c r="AD121" s="876"/>
      <c r="AE121" s="877"/>
      <c r="AF121" s="877"/>
      <c r="AG121" s="877"/>
      <c r="AH121" s="877"/>
      <c r="AI121" s="877"/>
      <c r="AJ121" s="877"/>
      <c r="AK121" s="877"/>
      <c r="AL121" s="877"/>
      <c r="AM121" s="877"/>
      <c r="AN121" s="877"/>
      <c r="AO121" s="877"/>
      <c r="AP121" s="877"/>
      <c r="AQ121" s="877"/>
      <c r="AR121" s="877"/>
      <c r="AS121" s="877"/>
      <c r="AT121" s="877"/>
      <c r="AU121" s="877"/>
      <c r="AV121" s="877"/>
      <c r="AW121" s="877"/>
      <c r="AX121" s="877"/>
      <c r="AY121" s="877"/>
      <c r="AZ121" s="877"/>
      <c r="BA121" s="877"/>
      <c r="BB121" s="877"/>
      <c r="BC121" s="877"/>
      <c r="BD121" s="877"/>
      <c r="BE121" s="877"/>
      <c r="BF121" s="877"/>
      <c r="BG121" s="877"/>
      <c r="BH121" s="877"/>
      <c r="BI121" s="877"/>
      <c r="BJ121" s="881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</row>
    <row r="122" spans="1:127" s="14" customFormat="1" ht="29.25" customHeight="1">
      <c r="A122" s="146"/>
      <c r="B122" s="852" t="s">
        <v>16</v>
      </c>
      <c r="C122" s="853"/>
      <c r="D122" s="853"/>
      <c r="E122" s="247"/>
      <c r="F122" s="852" t="s">
        <v>16</v>
      </c>
      <c r="G122" s="853"/>
      <c r="H122" s="853"/>
      <c r="I122" s="853"/>
      <c r="J122" s="853"/>
      <c r="K122" s="853"/>
      <c r="L122" s="853"/>
      <c r="M122" s="853"/>
      <c r="N122" s="853"/>
      <c r="O122" s="853"/>
      <c r="P122" s="853"/>
      <c r="Q122" s="853"/>
      <c r="R122" s="853"/>
      <c r="S122" s="853"/>
      <c r="T122" s="853"/>
      <c r="U122" s="853"/>
      <c r="V122" s="853"/>
      <c r="W122" s="853"/>
      <c r="X122" s="853"/>
      <c r="Y122" s="853"/>
      <c r="Z122" s="853"/>
      <c r="AA122" s="853"/>
      <c r="AB122" s="853"/>
      <c r="AC122" s="858"/>
      <c r="AD122" s="852" t="s">
        <v>16</v>
      </c>
      <c r="AE122" s="853"/>
      <c r="AF122" s="853"/>
      <c r="AG122" s="853"/>
      <c r="AH122" s="853"/>
      <c r="AI122" s="853"/>
      <c r="AJ122" s="853"/>
      <c r="AK122" s="853"/>
      <c r="AL122" s="853"/>
      <c r="AM122" s="853"/>
      <c r="AN122" s="853"/>
      <c r="AO122" s="853"/>
      <c r="AP122" s="853"/>
      <c r="AQ122" s="853"/>
      <c r="AR122" s="853"/>
      <c r="AS122" s="853"/>
      <c r="AT122" s="853"/>
      <c r="AU122" s="853"/>
      <c r="AV122" s="853"/>
      <c r="AW122" s="853"/>
      <c r="AX122" s="853"/>
      <c r="AY122" s="853"/>
      <c r="AZ122" s="853"/>
      <c r="BA122" s="853"/>
      <c r="BB122" s="853"/>
      <c r="BC122" s="853"/>
      <c r="BD122" s="853"/>
      <c r="BE122" s="853"/>
      <c r="BF122" s="853"/>
      <c r="BG122" s="853"/>
      <c r="BH122" s="853"/>
      <c r="BI122" s="853"/>
      <c r="BJ122" s="861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</row>
    <row r="123" spans="1:127" s="14" customFormat="1" ht="29.25" customHeight="1">
      <c r="A123" s="146"/>
      <c r="B123" s="854"/>
      <c r="C123" s="855"/>
      <c r="D123" s="855"/>
      <c r="E123" s="248"/>
      <c r="F123" s="854"/>
      <c r="G123" s="855"/>
      <c r="H123" s="855"/>
      <c r="I123" s="855"/>
      <c r="J123" s="855"/>
      <c r="K123" s="855"/>
      <c r="L123" s="855"/>
      <c r="M123" s="855"/>
      <c r="N123" s="855"/>
      <c r="O123" s="855"/>
      <c r="P123" s="855"/>
      <c r="Q123" s="855"/>
      <c r="R123" s="855"/>
      <c r="S123" s="855"/>
      <c r="T123" s="855"/>
      <c r="U123" s="855"/>
      <c r="V123" s="855"/>
      <c r="W123" s="855"/>
      <c r="X123" s="855"/>
      <c r="Y123" s="855"/>
      <c r="Z123" s="855"/>
      <c r="AA123" s="855"/>
      <c r="AB123" s="855"/>
      <c r="AC123" s="859"/>
      <c r="AD123" s="854"/>
      <c r="AE123" s="855"/>
      <c r="AF123" s="855"/>
      <c r="AG123" s="855"/>
      <c r="AH123" s="855"/>
      <c r="AI123" s="855"/>
      <c r="AJ123" s="855"/>
      <c r="AK123" s="855"/>
      <c r="AL123" s="855"/>
      <c r="AM123" s="855"/>
      <c r="AN123" s="855"/>
      <c r="AO123" s="855"/>
      <c r="AP123" s="855"/>
      <c r="AQ123" s="855"/>
      <c r="AR123" s="855"/>
      <c r="AS123" s="855"/>
      <c r="AT123" s="855"/>
      <c r="AU123" s="855"/>
      <c r="AV123" s="855"/>
      <c r="AW123" s="855"/>
      <c r="AX123" s="855"/>
      <c r="AY123" s="855"/>
      <c r="AZ123" s="855"/>
      <c r="BA123" s="855"/>
      <c r="BB123" s="855"/>
      <c r="BC123" s="855"/>
      <c r="BD123" s="855"/>
      <c r="BE123" s="855"/>
      <c r="BF123" s="855"/>
      <c r="BG123" s="855"/>
      <c r="BH123" s="855"/>
      <c r="BI123" s="855"/>
      <c r="BJ123" s="862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</row>
    <row r="124" spans="1:127" s="14" customFormat="1" ht="29.25" customHeight="1">
      <c r="A124" s="146"/>
      <c r="B124" s="854"/>
      <c r="C124" s="855"/>
      <c r="D124" s="855"/>
      <c r="E124" s="248"/>
      <c r="F124" s="854"/>
      <c r="G124" s="855"/>
      <c r="H124" s="855"/>
      <c r="I124" s="855"/>
      <c r="J124" s="855"/>
      <c r="K124" s="855"/>
      <c r="L124" s="855"/>
      <c r="M124" s="855"/>
      <c r="N124" s="855"/>
      <c r="O124" s="855"/>
      <c r="P124" s="855"/>
      <c r="Q124" s="855"/>
      <c r="R124" s="855"/>
      <c r="S124" s="855"/>
      <c r="T124" s="855"/>
      <c r="U124" s="855"/>
      <c r="V124" s="855"/>
      <c r="W124" s="855"/>
      <c r="X124" s="855"/>
      <c r="Y124" s="855"/>
      <c r="Z124" s="855"/>
      <c r="AA124" s="855"/>
      <c r="AB124" s="855"/>
      <c r="AC124" s="859"/>
      <c r="AD124" s="854"/>
      <c r="AE124" s="855"/>
      <c r="AF124" s="855"/>
      <c r="AG124" s="855"/>
      <c r="AH124" s="855"/>
      <c r="AI124" s="855"/>
      <c r="AJ124" s="855"/>
      <c r="AK124" s="855"/>
      <c r="AL124" s="855"/>
      <c r="AM124" s="855"/>
      <c r="AN124" s="855"/>
      <c r="AO124" s="855"/>
      <c r="AP124" s="855"/>
      <c r="AQ124" s="855"/>
      <c r="AR124" s="855"/>
      <c r="AS124" s="855"/>
      <c r="AT124" s="855"/>
      <c r="AU124" s="855"/>
      <c r="AV124" s="855"/>
      <c r="AW124" s="855"/>
      <c r="AX124" s="855"/>
      <c r="AY124" s="855"/>
      <c r="AZ124" s="855"/>
      <c r="BA124" s="855"/>
      <c r="BB124" s="855"/>
      <c r="BC124" s="855"/>
      <c r="BD124" s="855"/>
      <c r="BE124" s="855"/>
      <c r="BF124" s="855"/>
      <c r="BG124" s="855"/>
      <c r="BH124" s="855"/>
      <c r="BI124" s="855"/>
      <c r="BJ124" s="862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</row>
    <row r="125" spans="1:127" s="14" customFormat="1" ht="29.25" customHeight="1">
      <c r="A125" s="146"/>
      <c r="B125" s="854"/>
      <c r="C125" s="855"/>
      <c r="D125" s="855"/>
      <c r="E125" s="248"/>
      <c r="F125" s="854"/>
      <c r="G125" s="855"/>
      <c r="H125" s="855"/>
      <c r="I125" s="855"/>
      <c r="J125" s="855"/>
      <c r="K125" s="855"/>
      <c r="L125" s="855"/>
      <c r="M125" s="855"/>
      <c r="N125" s="855"/>
      <c r="O125" s="855"/>
      <c r="P125" s="855"/>
      <c r="Q125" s="855"/>
      <c r="R125" s="855"/>
      <c r="S125" s="855"/>
      <c r="T125" s="855"/>
      <c r="U125" s="855"/>
      <c r="V125" s="855"/>
      <c r="W125" s="855"/>
      <c r="X125" s="855"/>
      <c r="Y125" s="855"/>
      <c r="Z125" s="855"/>
      <c r="AA125" s="855"/>
      <c r="AB125" s="855"/>
      <c r="AC125" s="859"/>
      <c r="AD125" s="854"/>
      <c r="AE125" s="855"/>
      <c r="AF125" s="855"/>
      <c r="AG125" s="855"/>
      <c r="AH125" s="855"/>
      <c r="AI125" s="855"/>
      <c r="AJ125" s="855"/>
      <c r="AK125" s="855"/>
      <c r="AL125" s="855"/>
      <c r="AM125" s="855"/>
      <c r="AN125" s="855"/>
      <c r="AO125" s="855"/>
      <c r="AP125" s="855"/>
      <c r="AQ125" s="855"/>
      <c r="AR125" s="855"/>
      <c r="AS125" s="855"/>
      <c r="AT125" s="855"/>
      <c r="AU125" s="855"/>
      <c r="AV125" s="855"/>
      <c r="AW125" s="855"/>
      <c r="AX125" s="855"/>
      <c r="AY125" s="855"/>
      <c r="AZ125" s="855"/>
      <c r="BA125" s="855"/>
      <c r="BB125" s="855"/>
      <c r="BC125" s="855"/>
      <c r="BD125" s="855"/>
      <c r="BE125" s="855"/>
      <c r="BF125" s="855"/>
      <c r="BG125" s="855"/>
      <c r="BH125" s="855"/>
      <c r="BI125" s="855"/>
      <c r="BJ125" s="862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</row>
    <row r="126" spans="1:127" s="14" customFormat="1" ht="29.25" customHeight="1">
      <c r="A126" s="146"/>
      <c r="B126" s="854"/>
      <c r="C126" s="855"/>
      <c r="D126" s="855"/>
      <c r="E126" s="248"/>
      <c r="F126" s="854"/>
      <c r="G126" s="855"/>
      <c r="H126" s="855"/>
      <c r="I126" s="855"/>
      <c r="J126" s="855"/>
      <c r="K126" s="855"/>
      <c r="L126" s="855"/>
      <c r="M126" s="855"/>
      <c r="N126" s="855"/>
      <c r="O126" s="855"/>
      <c r="P126" s="855"/>
      <c r="Q126" s="855"/>
      <c r="R126" s="855"/>
      <c r="S126" s="855"/>
      <c r="T126" s="855"/>
      <c r="U126" s="855"/>
      <c r="V126" s="855"/>
      <c r="W126" s="855"/>
      <c r="X126" s="855"/>
      <c r="Y126" s="855"/>
      <c r="Z126" s="855"/>
      <c r="AA126" s="855"/>
      <c r="AB126" s="855"/>
      <c r="AC126" s="859"/>
      <c r="AD126" s="854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62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</row>
    <row r="127" spans="1:127" s="14" customFormat="1" ht="29.25" customHeight="1">
      <c r="A127" s="146"/>
      <c r="B127" s="854"/>
      <c r="C127" s="855"/>
      <c r="D127" s="855"/>
      <c r="E127" s="248"/>
      <c r="F127" s="854"/>
      <c r="G127" s="855"/>
      <c r="H127" s="855"/>
      <c r="I127" s="855"/>
      <c r="J127" s="855"/>
      <c r="K127" s="855"/>
      <c r="L127" s="855"/>
      <c r="M127" s="855"/>
      <c r="N127" s="855"/>
      <c r="O127" s="855"/>
      <c r="P127" s="855"/>
      <c r="Q127" s="855"/>
      <c r="R127" s="855"/>
      <c r="S127" s="855"/>
      <c r="T127" s="855"/>
      <c r="U127" s="855"/>
      <c r="V127" s="855"/>
      <c r="W127" s="855"/>
      <c r="X127" s="855"/>
      <c r="Y127" s="855"/>
      <c r="Z127" s="855"/>
      <c r="AA127" s="855"/>
      <c r="AB127" s="855"/>
      <c r="AC127" s="859"/>
      <c r="AD127" s="854"/>
      <c r="AE127" s="855"/>
      <c r="AF127" s="855"/>
      <c r="AG127" s="855"/>
      <c r="AH127" s="855"/>
      <c r="AI127" s="855"/>
      <c r="AJ127" s="855"/>
      <c r="AK127" s="855"/>
      <c r="AL127" s="855"/>
      <c r="AM127" s="855"/>
      <c r="AN127" s="855"/>
      <c r="AO127" s="855"/>
      <c r="AP127" s="855"/>
      <c r="AQ127" s="855"/>
      <c r="AR127" s="855"/>
      <c r="AS127" s="855"/>
      <c r="AT127" s="855"/>
      <c r="AU127" s="855"/>
      <c r="AV127" s="855"/>
      <c r="AW127" s="855"/>
      <c r="AX127" s="855"/>
      <c r="AY127" s="855"/>
      <c r="AZ127" s="855"/>
      <c r="BA127" s="855"/>
      <c r="BB127" s="855"/>
      <c r="BC127" s="855"/>
      <c r="BD127" s="855"/>
      <c r="BE127" s="855"/>
      <c r="BF127" s="855"/>
      <c r="BG127" s="855"/>
      <c r="BH127" s="855"/>
      <c r="BI127" s="855"/>
      <c r="BJ127" s="862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</row>
    <row r="128" spans="1:127" s="14" customFormat="1" ht="29.25" customHeight="1">
      <c r="A128" s="146"/>
      <c r="B128" s="854"/>
      <c r="C128" s="855"/>
      <c r="D128" s="855"/>
      <c r="E128" s="248"/>
      <c r="F128" s="854"/>
      <c r="G128" s="855"/>
      <c r="H128" s="855"/>
      <c r="I128" s="855"/>
      <c r="J128" s="855"/>
      <c r="K128" s="855"/>
      <c r="L128" s="855"/>
      <c r="M128" s="855"/>
      <c r="N128" s="855"/>
      <c r="O128" s="855"/>
      <c r="P128" s="855"/>
      <c r="Q128" s="855"/>
      <c r="R128" s="855"/>
      <c r="S128" s="855"/>
      <c r="T128" s="855"/>
      <c r="U128" s="855"/>
      <c r="V128" s="855"/>
      <c r="W128" s="855"/>
      <c r="X128" s="855"/>
      <c r="Y128" s="855"/>
      <c r="Z128" s="855"/>
      <c r="AA128" s="855"/>
      <c r="AB128" s="855"/>
      <c r="AC128" s="859"/>
      <c r="AD128" s="854"/>
      <c r="AE128" s="855"/>
      <c r="AF128" s="855"/>
      <c r="AG128" s="855"/>
      <c r="AH128" s="855"/>
      <c r="AI128" s="855"/>
      <c r="AJ128" s="855"/>
      <c r="AK128" s="855"/>
      <c r="AL128" s="855"/>
      <c r="AM128" s="855"/>
      <c r="AN128" s="855"/>
      <c r="AO128" s="855"/>
      <c r="AP128" s="855"/>
      <c r="AQ128" s="855"/>
      <c r="AR128" s="855"/>
      <c r="AS128" s="855"/>
      <c r="AT128" s="855"/>
      <c r="AU128" s="855"/>
      <c r="AV128" s="855"/>
      <c r="AW128" s="855"/>
      <c r="AX128" s="855"/>
      <c r="AY128" s="855"/>
      <c r="AZ128" s="855"/>
      <c r="BA128" s="855"/>
      <c r="BB128" s="855"/>
      <c r="BC128" s="855"/>
      <c r="BD128" s="855"/>
      <c r="BE128" s="855"/>
      <c r="BF128" s="855"/>
      <c r="BG128" s="855"/>
      <c r="BH128" s="855"/>
      <c r="BI128" s="855"/>
      <c r="BJ128" s="862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</row>
    <row r="129" spans="1:118" s="14" customFormat="1" ht="29.25" customHeight="1">
      <c r="A129" s="146"/>
      <c r="B129" s="854"/>
      <c r="C129" s="855"/>
      <c r="D129" s="855"/>
      <c r="E129" s="248"/>
      <c r="F129" s="854"/>
      <c r="G129" s="855"/>
      <c r="H129" s="855"/>
      <c r="I129" s="855"/>
      <c r="J129" s="855"/>
      <c r="K129" s="855"/>
      <c r="L129" s="855"/>
      <c r="M129" s="855"/>
      <c r="N129" s="855"/>
      <c r="O129" s="855"/>
      <c r="P129" s="855"/>
      <c r="Q129" s="855"/>
      <c r="R129" s="855"/>
      <c r="S129" s="855"/>
      <c r="T129" s="855"/>
      <c r="U129" s="855"/>
      <c r="V129" s="855"/>
      <c r="W129" s="855"/>
      <c r="X129" s="855"/>
      <c r="Y129" s="855"/>
      <c r="Z129" s="855"/>
      <c r="AA129" s="855"/>
      <c r="AB129" s="855"/>
      <c r="AC129" s="859"/>
      <c r="AD129" s="854"/>
      <c r="AE129" s="855"/>
      <c r="AF129" s="855"/>
      <c r="AG129" s="855"/>
      <c r="AH129" s="855"/>
      <c r="AI129" s="855"/>
      <c r="AJ129" s="855"/>
      <c r="AK129" s="855"/>
      <c r="AL129" s="855"/>
      <c r="AM129" s="855"/>
      <c r="AN129" s="855"/>
      <c r="AO129" s="855"/>
      <c r="AP129" s="855"/>
      <c r="AQ129" s="855"/>
      <c r="AR129" s="855"/>
      <c r="AS129" s="855"/>
      <c r="AT129" s="855"/>
      <c r="AU129" s="855"/>
      <c r="AV129" s="855"/>
      <c r="AW129" s="855"/>
      <c r="AX129" s="855"/>
      <c r="AY129" s="855"/>
      <c r="AZ129" s="855"/>
      <c r="BA129" s="855"/>
      <c r="BB129" s="855"/>
      <c r="BC129" s="855"/>
      <c r="BD129" s="855"/>
      <c r="BE129" s="855"/>
      <c r="BF129" s="855"/>
      <c r="BG129" s="855"/>
      <c r="BH129" s="855"/>
      <c r="BI129" s="855"/>
      <c r="BJ129" s="862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</row>
    <row r="130" spans="1:118" s="14" customFormat="1" ht="29.25" customHeight="1">
      <c r="A130" s="146"/>
      <c r="B130" s="854"/>
      <c r="C130" s="855"/>
      <c r="D130" s="855"/>
      <c r="E130" s="248"/>
      <c r="F130" s="854"/>
      <c r="G130" s="855"/>
      <c r="H130" s="855"/>
      <c r="I130" s="855"/>
      <c r="J130" s="855"/>
      <c r="K130" s="855"/>
      <c r="L130" s="855"/>
      <c r="M130" s="855"/>
      <c r="N130" s="855"/>
      <c r="O130" s="855"/>
      <c r="P130" s="855"/>
      <c r="Q130" s="855"/>
      <c r="R130" s="855"/>
      <c r="S130" s="855"/>
      <c r="T130" s="855"/>
      <c r="U130" s="855"/>
      <c r="V130" s="855"/>
      <c r="W130" s="855"/>
      <c r="X130" s="855"/>
      <c r="Y130" s="855"/>
      <c r="Z130" s="855"/>
      <c r="AA130" s="855"/>
      <c r="AB130" s="855"/>
      <c r="AC130" s="859"/>
      <c r="AD130" s="854"/>
      <c r="AE130" s="855"/>
      <c r="AF130" s="855"/>
      <c r="AG130" s="855"/>
      <c r="AH130" s="855"/>
      <c r="AI130" s="855"/>
      <c r="AJ130" s="855"/>
      <c r="AK130" s="855"/>
      <c r="AL130" s="855"/>
      <c r="AM130" s="855"/>
      <c r="AN130" s="855"/>
      <c r="AO130" s="855"/>
      <c r="AP130" s="855"/>
      <c r="AQ130" s="855"/>
      <c r="AR130" s="855"/>
      <c r="AS130" s="855"/>
      <c r="AT130" s="855"/>
      <c r="AU130" s="855"/>
      <c r="AV130" s="855"/>
      <c r="AW130" s="855"/>
      <c r="AX130" s="855"/>
      <c r="AY130" s="855"/>
      <c r="AZ130" s="855"/>
      <c r="BA130" s="855"/>
      <c r="BB130" s="855"/>
      <c r="BC130" s="855"/>
      <c r="BD130" s="855"/>
      <c r="BE130" s="855"/>
      <c r="BF130" s="855"/>
      <c r="BG130" s="855"/>
      <c r="BH130" s="855"/>
      <c r="BI130" s="855"/>
      <c r="BJ130" s="862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</row>
    <row r="131" spans="1:118" s="14" customFormat="1" ht="29.25" customHeight="1" thickBot="1">
      <c r="A131" s="146"/>
      <c r="B131" s="856"/>
      <c r="C131" s="857"/>
      <c r="D131" s="857"/>
      <c r="E131" s="249"/>
      <c r="F131" s="856"/>
      <c r="G131" s="857"/>
      <c r="H131" s="857"/>
      <c r="I131" s="857"/>
      <c r="J131" s="857"/>
      <c r="K131" s="857"/>
      <c r="L131" s="857"/>
      <c r="M131" s="857"/>
      <c r="N131" s="857"/>
      <c r="O131" s="857"/>
      <c r="P131" s="857"/>
      <c r="Q131" s="857"/>
      <c r="R131" s="857"/>
      <c r="S131" s="857"/>
      <c r="T131" s="857"/>
      <c r="U131" s="857"/>
      <c r="V131" s="857"/>
      <c r="W131" s="857"/>
      <c r="X131" s="857"/>
      <c r="Y131" s="857"/>
      <c r="Z131" s="857"/>
      <c r="AA131" s="857"/>
      <c r="AB131" s="857"/>
      <c r="AC131" s="860"/>
      <c r="AD131" s="856"/>
      <c r="AE131" s="857"/>
      <c r="AF131" s="857"/>
      <c r="AG131" s="857"/>
      <c r="AH131" s="857"/>
      <c r="AI131" s="857"/>
      <c r="AJ131" s="857"/>
      <c r="AK131" s="857"/>
      <c r="AL131" s="857"/>
      <c r="AM131" s="857"/>
      <c r="AN131" s="857"/>
      <c r="AO131" s="857"/>
      <c r="AP131" s="857"/>
      <c r="AQ131" s="857"/>
      <c r="AR131" s="857"/>
      <c r="AS131" s="857"/>
      <c r="AT131" s="857"/>
      <c r="AU131" s="857"/>
      <c r="AV131" s="857"/>
      <c r="AW131" s="857"/>
      <c r="AX131" s="857"/>
      <c r="AY131" s="857"/>
      <c r="AZ131" s="857"/>
      <c r="BA131" s="857"/>
      <c r="BB131" s="857"/>
      <c r="BC131" s="857"/>
      <c r="BD131" s="857"/>
      <c r="BE131" s="857"/>
      <c r="BF131" s="857"/>
      <c r="BG131" s="857"/>
      <c r="BH131" s="857"/>
      <c r="BI131" s="857"/>
      <c r="BJ131" s="863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</row>
    <row r="132" spans="1:118" s="14" customFormat="1">
      <c r="A132" s="146"/>
      <c r="B132" s="146"/>
      <c r="C132" s="146"/>
      <c r="D132" s="146"/>
      <c r="E132" s="146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</row>
    <row r="133" spans="1:118">
      <c r="AA133" s="30"/>
      <c r="AB133" s="30"/>
      <c r="AC133" s="30"/>
      <c r="DK133"/>
      <c r="DL133"/>
      <c r="DM133"/>
      <c r="DN133"/>
    </row>
    <row r="134" spans="1:118" ht="22.5" customHeight="1">
      <c r="R134" s="101"/>
      <c r="AA134" s="30"/>
      <c r="AB134" s="30"/>
      <c r="AC134" s="30"/>
      <c r="DK134"/>
      <c r="DL134"/>
      <c r="DM134"/>
      <c r="DN134"/>
    </row>
    <row r="135" spans="1:118" ht="22.5" customHeight="1">
      <c r="AA135" s="30"/>
      <c r="AB135" s="30"/>
      <c r="AC135" s="30"/>
      <c r="DK135"/>
      <c r="DL135"/>
      <c r="DM135"/>
      <c r="DN135"/>
    </row>
    <row r="136" spans="1:118">
      <c r="AA136" s="30"/>
      <c r="AB136" s="30"/>
      <c r="AC136" s="30"/>
      <c r="DK136"/>
      <c r="DL136"/>
      <c r="DM136"/>
      <c r="DN136"/>
    </row>
    <row r="137" spans="1:118">
      <c r="AA137" s="30"/>
      <c r="AB137" s="30"/>
      <c r="AC137" s="30"/>
      <c r="DK137"/>
      <c r="DL137"/>
      <c r="DM137"/>
      <c r="DN137"/>
    </row>
    <row r="138" spans="1:118">
      <c r="AA138" s="30"/>
      <c r="AB138" s="30"/>
      <c r="AC138" s="30"/>
      <c r="DK138"/>
      <c r="DL138"/>
      <c r="DM138"/>
      <c r="DN138"/>
    </row>
    <row r="139" spans="1:118">
      <c r="AA139" s="30"/>
      <c r="AB139" s="30"/>
      <c r="AC139" s="30"/>
      <c r="DK139"/>
      <c r="DL139"/>
      <c r="DM139"/>
      <c r="DN139"/>
    </row>
    <row r="140" spans="1:118">
      <c r="AA140" s="30"/>
      <c r="AB140" s="30"/>
      <c r="AC140" s="30"/>
      <c r="DK140"/>
      <c r="DL140"/>
      <c r="DM140"/>
      <c r="DN140"/>
    </row>
    <row r="141" spans="1:118" ht="21">
      <c r="B141" s="864" t="s">
        <v>18</v>
      </c>
      <c r="C141" s="864"/>
      <c r="D141" s="864"/>
      <c r="E141" s="864"/>
      <c r="F141" s="864"/>
      <c r="AA141" s="30"/>
      <c r="AB141" s="30"/>
      <c r="AC141" s="30"/>
      <c r="DK141"/>
      <c r="DL141"/>
      <c r="DM141"/>
      <c r="DN141"/>
    </row>
    <row r="142" spans="1:118" ht="21">
      <c r="B142" s="864" t="s">
        <v>19</v>
      </c>
      <c r="C142" s="864"/>
      <c r="D142" s="864"/>
      <c r="E142" s="864"/>
      <c r="F142" s="864"/>
      <c r="AA142" s="30"/>
      <c r="AB142" s="30"/>
      <c r="AC142" s="30"/>
      <c r="DK142"/>
      <c r="DL142"/>
      <c r="DM142"/>
      <c r="DN142"/>
    </row>
    <row r="143" spans="1:118">
      <c r="AA143" s="30"/>
      <c r="AB143" s="30"/>
      <c r="AC143" s="30"/>
      <c r="DK143"/>
      <c r="DL143"/>
      <c r="DM143"/>
      <c r="DN143"/>
    </row>
    <row r="144" spans="1:118">
      <c r="AA144" s="30"/>
      <c r="AB144" s="30"/>
      <c r="AC144" s="30"/>
      <c r="DK144"/>
      <c r="DL144"/>
      <c r="DM144"/>
      <c r="DN144"/>
    </row>
    <row r="145" spans="1:127">
      <c r="AA145" s="30"/>
      <c r="AB145" s="30"/>
      <c r="AC145" s="30"/>
      <c r="DK145"/>
      <c r="DL145"/>
      <c r="DM145"/>
      <c r="DN145"/>
    </row>
    <row r="146" spans="1:127"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DK146"/>
      <c r="DL146"/>
      <c r="DM146"/>
      <c r="DN146"/>
    </row>
    <row r="147" spans="1:127">
      <c r="AA147" s="30"/>
      <c r="AB147" s="30"/>
      <c r="AC147" s="30"/>
      <c r="DK147"/>
      <c r="DL147"/>
      <c r="DM147"/>
      <c r="DN147"/>
    </row>
    <row r="148" spans="1:127">
      <c r="AA148" s="30"/>
      <c r="AB148" s="30"/>
      <c r="AC148" s="30"/>
      <c r="DK148"/>
      <c r="DL148"/>
      <c r="DM148"/>
      <c r="DN148"/>
    </row>
    <row r="149" spans="1:127">
      <c r="AA149" s="30"/>
      <c r="AB149" s="30"/>
      <c r="AC149" s="30"/>
      <c r="DK149"/>
      <c r="DL149"/>
      <c r="DM149"/>
      <c r="DN149"/>
    </row>
    <row r="150" spans="1:127">
      <c r="AA150" s="30"/>
      <c r="AB150" s="30"/>
      <c r="AC150" s="30"/>
      <c r="DK150"/>
      <c r="DL150"/>
      <c r="DM150"/>
      <c r="DN150"/>
    </row>
    <row r="151" spans="1:127">
      <c r="AA151" s="30"/>
      <c r="AB151" s="30"/>
      <c r="AC151" s="30"/>
      <c r="DK151"/>
      <c r="DL151"/>
      <c r="DM151"/>
      <c r="DN151"/>
    </row>
    <row r="152" spans="1:127">
      <c r="AA152" s="30"/>
      <c r="AB152" s="30"/>
      <c r="AC152" s="30"/>
      <c r="DK152"/>
      <c r="DL152"/>
      <c r="DM152"/>
      <c r="DN152"/>
    </row>
    <row r="153" spans="1:127">
      <c r="AA153" s="30"/>
      <c r="AB153" s="30"/>
      <c r="AC153" s="30"/>
      <c r="DK153"/>
      <c r="DL153"/>
      <c r="DM153"/>
      <c r="DN153"/>
    </row>
    <row r="154" spans="1:127" ht="18" thickBot="1">
      <c r="AA154" s="30"/>
      <c r="AB154" s="30"/>
      <c r="AC154" s="30"/>
      <c r="DK154"/>
      <c r="DL154"/>
      <c r="DM154"/>
      <c r="DN154"/>
    </row>
    <row r="155" spans="1:127" ht="42" customHeight="1" thickBot="1">
      <c r="A155" s="253" t="s">
        <v>866</v>
      </c>
      <c r="B155" s="254" t="s">
        <v>867</v>
      </c>
      <c r="C155" s="208">
        <v>45965</v>
      </c>
      <c r="D155" s="220" t="s">
        <v>434</v>
      </c>
      <c r="E155" s="257"/>
      <c r="F155" s="195" t="s">
        <v>69</v>
      </c>
      <c r="G155" s="195" t="s">
        <v>69</v>
      </c>
      <c r="H155" s="195" t="s">
        <v>69</v>
      </c>
      <c r="I155" s="195" t="s">
        <v>69</v>
      </c>
      <c r="J155" s="195" t="s">
        <v>69</v>
      </c>
      <c r="K155" s="195" t="s">
        <v>69</v>
      </c>
      <c r="L155" s="195" t="s">
        <v>69</v>
      </c>
      <c r="M155" s="195" t="s">
        <v>69</v>
      </c>
      <c r="N155" s="195" t="s">
        <v>69</v>
      </c>
      <c r="O155" s="195" t="s">
        <v>69</v>
      </c>
      <c r="P155" s="195" t="s">
        <v>69</v>
      </c>
      <c r="Q155" s="195" t="s">
        <v>69</v>
      </c>
      <c r="R155" s="195" t="s">
        <v>69</v>
      </c>
      <c r="S155" s="195" t="s">
        <v>69</v>
      </c>
      <c r="T155" s="195" t="s">
        <v>69</v>
      </c>
      <c r="U155" s="195" t="s">
        <v>69</v>
      </c>
      <c r="V155" s="195" t="s">
        <v>69</v>
      </c>
      <c r="W155" s="195" t="s">
        <v>69</v>
      </c>
      <c r="X155" s="195" t="s">
        <v>69</v>
      </c>
      <c r="Y155" s="195" t="s">
        <v>69</v>
      </c>
      <c r="Z155" s="195" t="s">
        <v>69</v>
      </c>
      <c r="AA155" s="195" t="s">
        <v>69</v>
      </c>
      <c r="AB155" s="195" t="s">
        <v>69</v>
      </c>
      <c r="AC155" s="195" t="s">
        <v>69</v>
      </c>
      <c r="AD155" s="195" t="s">
        <v>69</v>
      </c>
      <c r="AE155" s="195" t="s">
        <v>69</v>
      </c>
      <c r="AF155" s="195" t="s">
        <v>69</v>
      </c>
      <c r="AG155" s="195" t="s">
        <v>69</v>
      </c>
      <c r="AH155" s="195" t="s">
        <v>69</v>
      </c>
      <c r="AI155" s="195" t="s">
        <v>69</v>
      </c>
      <c r="AJ155" s="195" t="s">
        <v>69</v>
      </c>
      <c r="AK155" s="195" t="s">
        <v>69</v>
      </c>
      <c r="AL155" s="195" t="s">
        <v>69</v>
      </c>
      <c r="AM155" s="195" t="s">
        <v>69</v>
      </c>
      <c r="AN155" s="195" t="s">
        <v>69</v>
      </c>
      <c r="AO155" s="195" t="s">
        <v>69</v>
      </c>
      <c r="AP155" s="195" t="s">
        <v>69</v>
      </c>
      <c r="AQ155" s="195" t="s">
        <v>69</v>
      </c>
      <c r="AR155" s="195" t="s">
        <v>69</v>
      </c>
      <c r="AS155" s="195" t="s">
        <v>69</v>
      </c>
      <c r="AT155" s="195" t="s">
        <v>69</v>
      </c>
      <c r="AU155" s="195" t="s">
        <v>69</v>
      </c>
      <c r="AV155" s="195" t="s">
        <v>69</v>
      </c>
      <c r="AW155" s="195" t="s">
        <v>69</v>
      </c>
      <c r="AX155" s="195" t="s">
        <v>69</v>
      </c>
      <c r="AY155" s="195" t="s">
        <v>69</v>
      </c>
      <c r="AZ155" s="195" t="s">
        <v>69</v>
      </c>
      <c r="BA155" s="195" t="s">
        <v>69</v>
      </c>
      <c r="BB155" s="195" t="s">
        <v>69</v>
      </c>
      <c r="BC155" s="195" t="s">
        <v>69</v>
      </c>
      <c r="BD155" s="195" t="s">
        <v>69</v>
      </c>
      <c r="BE155" s="195" t="s">
        <v>69</v>
      </c>
      <c r="BF155" s="195" t="s">
        <v>69</v>
      </c>
      <c r="BG155" s="195" t="s">
        <v>69</v>
      </c>
      <c r="BH155" s="195" t="s">
        <v>69</v>
      </c>
      <c r="BI155" s="195" t="s">
        <v>69</v>
      </c>
      <c r="BJ155" s="195" t="s">
        <v>69</v>
      </c>
      <c r="BK155" s="195" t="s">
        <v>69</v>
      </c>
      <c r="BL155" s="195" t="s">
        <v>69</v>
      </c>
      <c r="BM155" s="195" t="s">
        <v>69</v>
      </c>
      <c r="BN155" s="195" t="s">
        <v>69</v>
      </c>
      <c r="BO155" s="195" t="s">
        <v>69</v>
      </c>
      <c r="BP155" s="195" t="s">
        <v>69</v>
      </c>
      <c r="BQ155" s="195" t="s">
        <v>69</v>
      </c>
      <c r="BR155" s="195" t="s">
        <v>69</v>
      </c>
      <c r="BS155" s="195" t="s">
        <v>69</v>
      </c>
      <c r="BT155" s="195" t="s">
        <v>69</v>
      </c>
      <c r="BU155" s="195" t="s">
        <v>69</v>
      </c>
      <c r="BV155" s="195" t="s">
        <v>69</v>
      </c>
      <c r="BW155" s="195" t="s">
        <v>69</v>
      </c>
      <c r="BX155" s="195" t="s">
        <v>69</v>
      </c>
      <c r="BY155" s="195" t="s">
        <v>69</v>
      </c>
      <c r="BZ155" s="195" t="s">
        <v>69</v>
      </c>
      <c r="CA155" s="195" t="s">
        <v>69</v>
      </c>
      <c r="CB155" s="195" t="s">
        <v>69</v>
      </c>
      <c r="CC155" s="195" t="s">
        <v>69</v>
      </c>
      <c r="CD155" s="195" t="s">
        <v>69</v>
      </c>
      <c r="CE155" s="195" t="s">
        <v>69</v>
      </c>
      <c r="CF155" s="195" t="s">
        <v>69</v>
      </c>
      <c r="CG155" s="195" t="s">
        <v>69</v>
      </c>
      <c r="CH155" s="195" t="s">
        <v>69</v>
      </c>
      <c r="CI155" s="195" t="s">
        <v>69</v>
      </c>
      <c r="CJ155" s="195" t="s">
        <v>69</v>
      </c>
      <c r="CK155" s="195" t="s">
        <v>69</v>
      </c>
      <c r="CL155" s="195" t="s">
        <v>69</v>
      </c>
      <c r="CM155" s="195" t="s">
        <v>69</v>
      </c>
      <c r="CN155" s="195" t="s">
        <v>69</v>
      </c>
      <c r="CO155" s="195" t="s">
        <v>69</v>
      </c>
      <c r="CP155" s="195" t="s">
        <v>69</v>
      </c>
      <c r="CQ155" s="195" t="s">
        <v>69</v>
      </c>
      <c r="CR155" s="195" t="s">
        <v>69</v>
      </c>
      <c r="CS155" s="195" t="s">
        <v>69</v>
      </c>
      <c r="CT155" s="195" t="s">
        <v>69</v>
      </c>
      <c r="CU155" s="195" t="s">
        <v>69</v>
      </c>
      <c r="CV155" s="195" t="s">
        <v>69</v>
      </c>
      <c r="CW155" s="195" t="s">
        <v>69</v>
      </c>
      <c r="CX155" s="195" t="s">
        <v>69</v>
      </c>
      <c r="CY155" s="195" t="s">
        <v>69</v>
      </c>
      <c r="CZ155" s="195" t="s">
        <v>69</v>
      </c>
      <c r="DA155" s="195" t="s">
        <v>69</v>
      </c>
      <c r="DB155" s="195" t="s">
        <v>69</v>
      </c>
      <c r="DC155" s="195" t="s">
        <v>69</v>
      </c>
      <c r="DD155" s="195" t="s">
        <v>69</v>
      </c>
      <c r="DE155" s="195" t="s">
        <v>69</v>
      </c>
      <c r="DF155" s="195" t="s">
        <v>69</v>
      </c>
      <c r="DG155" s="195" t="s">
        <v>69</v>
      </c>
      <c r="DH155" s="195" t="s">
        <v>69</v>
      </c>
      <c r="DI155" s="195" t="s">
        <v>69</v>
      </c>
      <c r="DJ155" s="195" t="s">
        <v>69</v>
      </c>
      <c r="DK155" s="195" t="s">
        <v>69</v>
      </c>
      <c r="DL155" s="195" t="s">
        <v>69</v>
      </c>
      <c r="DM155" s="195" t="s">
        <v>69</v>
      </c>
      <c r="DN155" s="195" t="s">
        <v>69</v>
      </c>
      <c r="DO155" s="195" t="s">
        <v>69</v>
      </c>
      <c r="DP155" s="195" t="s">
        <v>69</v>
      </c>
      <c r="DQ155" s="195" t="s">
        <v>69</v>
      </c>
      <c r="DR155" s="195" t="s">
        <v>69</v>
      </c>
      <c r="DS155" s="195" t="s">
        <v>69</v>
      </c>
      <c r="DT155" s="195" t="s">
        <v>69</v>
      </c>
      <c r="DU155" s="195" t="s">
        <v>69</v>
      </c>
      <c r="DV155" s="110"/>
      <c r="DW155" s="104"/>
    </row>
    <row r="156" spans="1:127" ht="42" customHeight="1" thickBot="1">
      <c r="A156" s="253" t="s">
        <v>868</v>
      </c>
      <c r="B156" s="254" t="s">
        <v>869</v>
      </c>
      <c r="C156" s="208">
        <v>45965</v>
      </c>
      <c r="D156" s="220" t="s">
        <v>434</v>
      </c>
      <c r="E156" s="257"/>
      <c r="F156" s="195" t="s">
        <v>69</v>
      </c>
      <c r="G156" s="195" t="s">
        <v>69</v>
      </c>
      <c r="H156" s="195" t="s">
        <v>69</v>
      </c>
      <c r="I156" s="195" t="s">
        <v>69</v>
      </c>
      <c r="J156" s="195" t="s">
        <v>69</v>
      </c>
      <c r="K156" s="195" t="s">
        <v>69</v>
      </c>
      <c r="L156" s="195" t="s">
        <v>69</v>
      </c>
      <c r="M156" s="195" t="s">
        <v>69</v>
      </c>
      <c r="N156" s="195" t="s">
        <v>69</v>
      </c>
      <c r="O156" s="195" t="s">
        <v>69</v>
      </c>
      <c r="P156" s="195" t="s">
        <v>69</v>
      </c>
      <c r="Q156" s="195" t="s">
        <v>69</v>
      </c>
      <c r="R156" s="195" t="s">
        <v>69</v>
      </c>
      <c r="S156" s="195" t="s">
        <v>69</v>
      </c>
      <c r="T156" s="195" t="s">
        <v>69</v>
      </c>
      <c r="U156" s="195" t="s">
        <v>69</v>
      </c>
      <c r="V156" s="195" t="s">
        <v>69</v>
      </c>
      <c r="W156" s="195" t="s">
        <v>69</v>
      </c>
      <c r="X156" s="195" t="s">
        <v>69</v>
      </c>
      <c r="Y156" s="195" t="s">
        <v>69</v>
      </c>
      <c r="Z156" s="195" t="s">
        <v>69</v>
      </c>
      <c r="AA156" s="195" t="s">
        <v>69</v>
      </c>
      <c r="AB156" s="195" t="s">
        <v>69</v>
      </c>
      <c r="AC156" s="195" t="s">
        <v>69</v>
      </c>
      <c r="AD156" s="195" t="s">
        <v>69</v>
      </c>
      <c r="AE156" s="195" t="s">
        <v>69</v>
      </c>
      <c r="AF156" s="195" t="s">
        <v>69</v>
      </c>
      <c r="AG156" s="195" t="s">
        <v>69</v>
      </c>
      <c r="AH156" s="195" t="s">
        <v>69</v>
      </c>
      <c r="AI156" s="195" t="s">
        <v>69</v>
      </c>
      <c r="AJ156" s="195" t="s">
        <v>69</v>
      </c>
      <c r="AK156" s="195" t="s">
        <v>69</v>
      </c>
      <c r="AL156" s="195" t="s">
        <v>69</v>
      </c>
      <c r="AM156" s="195" t="s">
        <v>69</v>
      </c>
      <c r="AN156" s="195" t="s">
        <v>69</v>
      </c>
      <c r="AO156" s="195" t="s">
        <v>69</v>
      </c>
      <c r="AP156" s="195" t="s">
        <v>69</v>
      </c>
      <c r="AQ156" s="195" t="s">
        <v>69</v>
      </c>
      <c r="AR156" s="195" t="s">
        <v>69</v>
      </c>
      <c r="AS156" s="195" t="s">
        <v>69</v>
      </c>
      <c r="AT156" s="195" t="s">
        <v>69</v>
      </c>
      <c r="AU156" s="195" t="s">
        <v>69</v>
      </c>
      <c r="AV156" s="195" t="s">
        <v>69</v>
      </c>
      <c r="AW156" s="195" t="s">
        <v>69</v>
      </c>
      <c r="AX156" s="195" t="s">
        <v>69</v>
      </c>
      <c r="AY156" s="195" t="s">
        <v>69</v>
      </c>
      <c r="AZ156" s="195" t="s">
        <v>69</v>
      </c>
      <c r="BA156" s="195" t="s">
        <v>69</v>
      </c>
      <c r="BB156" s="195" t="s">
        <v>69</v>
      </c>
      <c r="BC156" s="195" t="s">
        <v>69</v>
      </c>
      <c r="BD156" s="195" t="s">
        <v>69</v>
      </c>
      <c r="BE156" s="195" t="s">
        <v>69</v>
      </c>
      <c r="BF156" s="195" t="s">
        <v>69</v>
      </c>
      <c r="BG156" s="195" t="s">
        <v>69</v>
      </c>
      <c r="BH156" s="195" t="s">
        <v>69</v>
      </c>
      <c r="BI156" s="195" t="s">
        <v>69</v>
      </c>
      <c r="BJ156" s="195" t="s">
        <v>69</v>
      </c>
      <c r="BK156" s="195" t="s">
        <v>69</v>
      </c>
      <c r="BL156" s="195" t="s">
        <v>69</v>
      </c>
      <c r="BM156" s="195" t="s">
        <v>69</v>
      </c>
      <c r="BN156" s="195" t="s">
        <v>69</v>
      </c>
      <c r="BO156" s="195" t="s">
        <v>69</v>
      </c>
      <c r="BP156" s="195" t="s">
        <v>69</v>
      </c>
      <c r="BQ156" s="195" t="s">
        <v>69</v>
      </c>
      <c r="BR156" s="195" t="s">
        <v>69</v>
      </c>
      <c r="BS156" s="195" t="s">
        <v>69</v>
      </c>
      <c r="BT156" s="195" t="s">
        <v>69</v>
      </c>
      <c r="BU156" s="195" t="s">
        <v>69</v>
      </c>
      <c r="BV156" s="195" t="s">
        <v>69</v>
      </c>
      <c r="BW156" s="195" t="s">
        <v>69</v>
      </c>
      <c r="BX156" s="195" t="s">
        <v>69</v>
      </c>
      <c r="BY156" s="195" t="s">
        <v>69</v>
      </c>
      <c r="BZ156" s="195" t="s">
        <v>69</v>
      </c>
      <c r="CA156" s="195" t="s">
        <v>69</v>
      </c>
      <c r="CB156" s="195" t="s">
        <v>69</v>
      </c>
      <c r="CC156" s="195" t="s">
        <v>69</v>
      </c>
      <c r="CD156" s="195" t="s">
        <v>69</v>
      </c>
      <c r="CE156" s="195" t="s">
        <v>69</v>
      </c>
      <c r="CF156" s="195" t="s">
        <v>69</v>
      </c>
      <c r="CG156" s="195" t="s">
        <v>69</v>
      </c>
      <c r="CH156" s="195" t="s">
        <v>69</v>
      </c>
      <c r="CI156" s="195" t="s">
        <v>69</v>
      </c>
      <c r="CJ156" s="195" t="s">
        <v>69</v>
      </c>
      <c r="CK156" s="195" t="s">
        <v>69</v>
      </c>
      <c r="CL156" s="195" t="s">
        <v>69</v>
      </c>
      <c r="CM156" s="195" t="s">
        <v>69</v>
      </c>
      <c r="CN156" s="195" t="s">
        <v>69</v>
      </c>
      <c r="CO156" s="195" t="s">
        <v>69</v>
      </c>
      <c r="CP156" s="195" t="s">
        <v>69</v>
      </c>
      <c r="CQ156" s="195" t="s">
        <v>69</v>
      </c>
      <c r="CR156" s="195" t="s">
        <v>69</v>
      </c>
      <c r="CS156" s="195" t="s">
        <v>69</v>
      </c>
      <c r="CT156" s="195" t="s">
        <v>69</v>
      </c>
      <c r="CU156" s="195" t="s">
        <v>69</v>
      </c>
      <c r="CV156" s="195" t="s">
        <v>69</v>
      </c>
      <c r="CW156" s="195" t="s">
        <v>69</v>
      </c>
      <c r="CX156" s="195" t="s">
        <v>69</v>
      </c>
      <c r="CY156" s="195" t="s">
        <v>69</v>
      </c>
      <c r="CZ156" s="195" t="s">
        <v>69</v>
      </c>
      <c r="DA156" s="195" t="s">
        <v>69</v>
      </c>
      <c r="DB156" s="195" t="s">
        <v>69</v>
      </c>
      <c r="DC156" s="195" t="s">
        <v>69</v>
      </c>
      <c r="DD156" s="195" t="s">
        <v>69</v>
      </c>
      <c r="DE156" s="195" t="s">
        <v>69</v>
      </c>
      <c r="DF156" s="195" t="s">
        <v>69</v>
      </c>
      <c r="DG156" s="195" t="s">
        <v>69</v>
      </c>
      <c r="DH156" s="195" t="s">
        <v>69</v>
      </c>
      <c r="DI156" s="195" t="s">
        <v>69</v>
      </c>
      <c r="DJ156" s="195" t="s">
        <v>69</v>
      </c>
      <c r="DK156" s="195" t="s">
        <v>69</v>
      </c>
      <c r="DL156" s="195" t="s">
        <v>69</v>
      </c>
      <c r="DM156" s="195" t="s">
        <v>69</v>
      </c>
      <c r="DN156" s="195" t="s">
        <v>69</v>
      </c>
      <c r="DO156" s="195" t="s">
        <v>69</v>
      </c>
      <c r="DP156" s="195" t="s">
        <v>69</v>
      </c>
      <c r="DQ156" s="195" t="s">
        <v>69</v>
      </c>
      <c r="DR156" s="195" t="s">
        <v>69</v>
      </c>
      <c r="DS156" s="195" t="s">
        <v>69</v>
      </c>
      <c r="DT156" s="195" t="s">
        <v>69</v>
      </c>
      <c r="DU156" s="195" t="s">
        <v>69</v>
      </c>
      <c r="DV156" s="110"/>
      <c r="DW156" s="104"/>
    </row>
    <row r="157" spans="1:127" ht="42" customHeight="1" thickBot="1">
      <c r="A157" s="253" t="s">
        <v>870</v>
      </c>
      <c r="B157" s="254" t="s">
        <v>871</v>
      </c>
      <c r="C157" s="208">
        <v>45965</v>
      </c>
      <c r="D157" s="220" t="s">
        <v>434</v>
      </c>
      <c r="E157" s="257"/>
      <c r="F157" s="195" t="s">
        <v>69</v>
      </c>
      <c r="G157" s="195" t="s">
        <v>69</v>
      </c>
      <c r="H157" s="195" t="s">
        <v>69</v>
      </c>
      <c r="I157" s="195" t="s">
        <v>69</v>
      </c>
      <c r="J157" s="195" t="s">
        <v>69</v>
      </c>
      <c r="K157" s="195" t="s">
        <v>69</v>
      </c>
      <c r="L157" s="195" t="s">
        <v>69</v>
      </c>
      <c r="M157" s="195" t="s">
        <v>69</v>
      </c>
      <c r="N157" s="195" t="s">
        <v>69</v>
      </c>
      <c r="O157" s="195" t="s">
        <v>69</v>
      </c>
      <c r="P157" s="195" t="s">
        <v>69</v>
      </c>
      <c r="Q157" s="195" t="s">
        <v>69</v>
      </c>
      <c r="R157" s="195" t="s">
        <v>69</v>
      </c>
      <c r="S157" s="195" t="s">
        <v>69</v>
      </c>
      <c r="T157" s="195" t="s">
        <v>69</v>
      </c>
      <c r="U157" s="195" t="s">
        <v>69</v>
      </c>
      <c r="V157" s="195" t="s">
        <v>69</v>
      </c>
      <c r="W157" s="195" t="s">
        <v>69</v>
      </c>
      <c r="X157" s="195" t="s">
        <v>69</v>
      </c>
      <c r="Y157" s="195" t="s">
        <v>69</v>
      </c>
      <c r="Z157" s="195" t="s">
        <v>69</v>
      </c>
      <c r="AA157" s="195" t="s">
        <v>69</v>
      </c>
      <c r="AB157" s="195" t="s">
        <v>69</v>
      </c>
      <c r="AC157" s="195" t="s">
        <v>69</v>
      </c>
      <c r="AD157" s="195" t="s">
        <v>69</v>
      </c>
      <c r="AE157" s="195" t="s">
        <v>69</v>
      </c>
      <c r="AF157" s="195" t="s">
        <v>69</v>
      </c>
      <c r="AG157" s="195" t="s">
        <v>69</v>
      </c>
      <c r="AH157" s="195" t="s">
        <v>69</v>
      </c>
      <c r="AI157" s="195" t="s">
        <v>69</v>
      </c>
      <c r="AJ157" s="195" t="s">
        <v>69</v>
      </c>
      <c r="AK157" s="195" t="s">
        <v>69</v>
      </c>
      <c r="AL157" s="195" t="s">
        <v>69</v>
      </c>
      <c r="AM157" s="195" t="s">
        <v>69</v>
      </c>
      <c r="AN157" s="195" t="s">
        <v>69</v>
      </c>
      <c r="AO157" s="195" t="s">
        <v>69</v>
      </c>
      <c r="AP157" s="195" t="s">
        <v>69</v>
      </c>
      <c r="AQ157" s="195" t="s">
        <v>69</v>
      </c>
      <c r="AR157" s="195" t="s">
        <v>69</v>
      </c>
      <c r="AS157" s="195" t="s">
        <v>69</v>
      </c>
      <c r="AT157" s="195" t="s">
        <v>69</v>
      </c>
      <c r="AU157" s="195" t="s">
        <v>69</v>
      </c>
      <c r="AV157" s="195" t="s">
        <v>69</v>
      </c>
      <c r="AW157" s="195" t="s">
        <v>69</v>
      </c>
      <c r="AX157" s="195" t="s">
        <v>69</v>
      </c>
      <c r="AY157" s="195" t="s">
        <v>69</v>
      </c>
      <c r="AZ157" s="195" t="s">
        <v>69</v>
      </c>
      <c r="BA157" s="195" t="s">
        <v>69</v>
      </c>
      <c r="BB157" s="195" t="s">
        <v>69</v>
      </c>
      <c r="BC157" s="195" t="s">
        <v>69</v>
      </c>
      <c r="BD157" s="195" t="s">
        <v>69</v>
      </c>
      <c r="BE157" s="195" t="s">
        <v>69</v>
      </c>
      <c r="BF157" s="195" t="s">
        <v>69</v>
      </c>
      <c r="BG157" s="195" t="s">
        <v>69</v>
      </c>
      <c r="BH157" s="195" t="s">
        <v>69</v>
      </c>
      <c r="BI157" s="195" t="s">
        <v>69</v>
      </c>
      <c r="BJ157" s="195" t="s">
        <v>69</v>
      </c>
      <c r="BK157" s="195" t="s">
        <v>69</v>
      </c>
      <c r="BL157" s="195" t="s">
        <v>69</v>
      </c>
      <c r="BM157" s="195" t="s">
        <v>69</v>
      </c>
      <c r="BN157" s="195" t="s">
        <v>69</v>
      </c>
      <c r="BO157" s="195" t="s">
        <v>69</v>
      </c>
      <c r="BP157" s="195" t="s">
        <v>69</v>
      </c>
      <c r="BQ157" s="195" t="s">
        <v>69</v>
      </c>
      <c r="BR157" s="195" t="s">
        <v>69</v>
      </c>
      <c r="BS157" s="195" t="s">
        <v>69</v>
      </c>
      <c r="BT157" s="195" t="s">
        <v>69</v>
      </c>
      <c r="BU157" s="195" t="s">
        <v>69</v>
      </c>
      <c r="BV157" s="195" t="s">
        <v>69</v>
      </c>
      <c r="BW157" s="195" t="s">
        <v>69</v>
      </c>
      <c r="BX157" s="195" t="s">
        <v>69</v>
      </c>
      <c r="BY157" s="195" t="s">
        <v>69</v>
      </c>
      <c r="BZ157" s="195" t="s">
        <v>69</v>
      </c>
      <c r="CA157" s="195" t="s">
        <v>69</v>
      </c>
      <c r="CB157" s="195" t="s">
        <v>69</v>
      </c>
      <c r="CC157" s="195" t="s">
        <v>69</v>
      </c>
      <c r="CD157" s="195" t="s">
        <v>69</v>
      </c>
      <c r="CE157" s="195" t="s">
        <v>69</v>
      </c>
      <c r="CF157" s="195" t="s">
        <v>69</v>
      </c>
      <c r="CG157" s="195" t="s">
        <v>69</v>
      </c>
      <c r="CH157" s="195" t="s">
        <v>69</v>
      </c>
      <c r="CI157" s="195" t="s">
        <v>69</v>
      </c>
      <c r="CJ157" s="195" t="s">
        <v>69</v>
      </c>
      <c r="CK157" s="195" t="s">
        <v>69</v>
      </c>
      <c r="CL157" s="195" t="s">
        <v>69</v>
      </c>
      <c r="CM157" s="195" t="s">
        <v>69</v>
      </c>
      <c r="CN157" s="195" t="s">
        <v>69</v>
      </c>
      <c r="CO157" s="195" t="s">
        <v>69</v>
      </c>
      <c r="CP157" s="195" t="s">
        <v>69</v>
      </c>
      <c r="CQ157" s="195" t="s">
        <v>69</v>
      </c>
      <c r="CR157" s="195" t="s">
        <v>69</v>
      </c>
      <c r="CS157" s="195" t="s">
        <v>69</v>
      </c>
      <c r="CT157" s="195" t="s">
        <v>69</v>
      </c>
      <c r="CU157" s="195" t="s">
        <v>69</v>
      </c>
      <c r="CV157" s="195" t="s">
        <v>69</v>
      </c>
      <c r="CW157" s="195" t="s">
        <v>69</v>
      </c>
      <c r="CX157" s="195" t="s">
        <v>69</v>
      </c>
      <c r="CY157" s="195" t="s">
        <v>69</v>
      </c>
      <c r="CZ157" s="195" t="s">
        <v>69</v>
      </c>
      <c r="DA157" s="195" t="s">
        <v>69</v>
      </c>
      <c r="DB157" s="195" t="s">
        <v>69</v>
      </c>
      <c r="DC157" s="195" t="s">
        <v>69</v>
      </c>
      <c r="DD157" s="195" t="s">
        <v>69</v>
      </c>
      <c r="DE157" s="195" t="s">
        <v>69</v>
      </c>
      <c r="DF157" s="195" t="s">
        <v>69</v>
      </c>
      <c r="DG157" s="195" t="s">
        <v>69</v>
      </c>
      <c r="DH157" s="195" t="s">
        <v>69</v>
      </c>
      <c r="DI157" s="195" t="s">
        <v>69</v>
      </c>
      <c r="DJ157" s="195" t="s">
        <v>69</v>
      </c>
      <c r="DK157" s="195" t="s">
        <v>69</v>
      </c>
      <c r="DL157" s="195" t="s">
        <v>69</v>
      </c>
      <c r="DM157" s="195" t="s">
        <v>69</v>
      </c>
      <c r="DN157" s="195" t="s">
        <v>69</v>
      </c>
      <c r="DO157" s="195" t="s">
        <v>69</v>
      </c>
      <c r="DP157" s="195" t="s">
        <v>69</v>
      </c>
      <c r="DQ157" s="195" t="s">
        <v>69</v>
      </c>
      <c r="DR157" s="195" t="s">
        <v>69</v>
      </c>
      <c r="DS157" s="195" t="s">
        <v>69</v>
      </c>
      <c r="DT157" s="195" t="s">
        <v>69</v>
      </c>
      <c r="DU157" s="195" t="s">
        <v>69</v>
      </c>
      <c r="DV157" s="110"/>
      <c r="DW157" s="104"/>
    </row>
    <row r="158" spans="1:127" ht="42" customHeight="1" thickBot="1">
      <c r="A158" s="253" t="s">
        <v>872</v>
      </c>
      <c r="B158" s="254" t="s">
        <v>873</v>
      </c>
      <c r="C158" s="208">
        <v>45965</v>
      </c>
      <c r="D158" s="220" t="s">
        <v>434</v>
      </c>
      <c r="E158" s="257"/>
      <c r="F158" s="195" t="s">
        <v>69</v>
      </c>
      <c r="G158" s="195" t="s">
        <v>69</v>
      </c>
      <c r="H158" s="195" t="s">
        <v>69</v>
      </c>
      <c r="I158" s="195" t="s">
        <v>69</v>
      </c>
      <c r="J158" s="195" t="s">
        <v>69</v>
      </c>
      <c r="K158" s="195" t="s">
        <v>69</v>
      </c>
      <c r="L158" s="195" t="s">
        <v>69</v>
      </c>
      <c r="M158" s="195" t="s">
        <v>69</v>
      </c>
      <c r="N158" s="195" t="s">
        <v>69</v>
      </c>
      <c r="O158" s="195" t="s">
        <v>69</v>
      </c>
      <c r="P158" s="195" t="s">
        <v>69</v>
      </c>
      <c r="Q158" s="195" t="s">
        <v>69</v>
      </c>
      <c r="R158" s="195" t="s">
        <v>69</v>
      </c>
      <c r="S158" s="195" t="s">
        <v>69</v>
      </c>
      <c r="T158" s="195" t="s">
        <v>69</v>
      </c>
      <c r="U158" s="195" t="s">
        <v>69</v>
      </c>
      <c r="V158" s="195" t="s">
        <v>69</v>
      </c>
      <c r="W158" s="195" t="s">
        <v>69</v>
      </c>
      <c r="X158" s="195" t="s">
        <v>69</v>
      </c>
      <c r="Y158" s="195" t="s">
        <v>69</v>
      </c>
      <c r="Z158" s="195" t="s">
        <v>69</v>
      </c>
      <c r="AA158" s="195" t="s">
        <v>69</v>
      </c>
      <c r="AB158" s="195" t="s">
        <v>69</v>
      </c>
      <c r="AC158" s="195" t="s">
        <v>69</v>
      </c>
      <c r="AD158" s="195" t="s">
        <v>69</v>
      </c>
      <c r="AE158" s="195" t="s">
        <v>69</v>
      </c>
      <c r="AF158" s="195" t="s">
        <v>69</v>
      </c>
      <c r="AG158" s="195" t="s">
        <v>69</v>
      </c>
      <c r="AH158" s="195" t="s">
        <v>69</v>
      </c>
      <c r="AI158" s="195" t="s">
        <v>69</v>
      </c>
      <c r="AJ158" s="195" t="s">
        <v>69</v>
      </c>
      <c r="AK158" s="195" t="s">
        <v>69</v>
      </c>
      <c r="AL158" s="195" t="s">
        <v>69</v>
      </c>
      <c r="AM158" s="195" t="s">
        <v>69</v>
      </c>
      <c r="AN158" s="195" t="s">
        <v>69</v>
      </c>
      <c r="AO158" s="195" t="s">
        <v>69</v>
      </c>
      <c r="AP158" s="195" t="s">
        <v>69</v>
      </c>
      <c r="AQ158" s="195" t="s">
        <v>69</v>
      </c>
      <c r="AR158" s="195" t="s">
        <v>69</v>
      </c>
      <c r="AS158" s="195" t="s">
        <v>69</v>
      </c>
      <c r="AT158" s="195" t="s">
        <v>69</v>
      </c>
      <c r="AU158" s="195" t="s">
        <v>69</v>
      </c>
      <c r="AV158" s="195" t="s">
        <v>69</v>
      </c>
      <c r="AW158" s="195" t="s">
        <v>69</v>
      </c>
      <c r="AX158" s="195" t="s">
        <v>69</v>
      </c>
      <c r="AY158" s="195" t="s">
        <v>69</v>
      </c>
      <c r="AZ158" s="195" t="s">
        <v>69</v>
      </c>
      <c r="BA158" s="195" t="s">
        <v>69</v>
      </c>
      <c r="BB158" s="195" t="s">
        <v>69</v>
      </c>
      <c r="BC158" s="195" t="s">
        <v>69</v>
      </c>
      <c r="BD158" s="195" t="s">
        <v>69</v>
      </c>
      <c r="BE158" s="195" t="s">
        <v>69</v>
      </c>
      <c r="BF158" s="195" t="s">
        <v>69</v>
      </c>
      <c r="BG158" s="195" t="s">
        <v>69</v>
      </c>
      <c r="BH158" s="195" t="s">
        <v>69</v>
      </c>
      <c r="BI158" s="195" t="s">
        <v>69</v>
      </c>
      <c r="BJ158" s="195" t="s">
        <v>69</v>
      </c>
      <c r="BK158" s="195" t="s">
        <v>69</v>
      </c>
      <c r="BL158" s="195" t="s">
        <v>69</v>
      </c>
      <c r="BM158" s="195" t="s">
        <v>69</v>
      </c>
      <c r="BN158" s="195" t="s">
        <v>69</v>
      </c>
      <c r="BO158" s="195" t="s">
        <v>69</v>
      </c>
      <c r="BP158" s="195" t="s">
        <v>69</v>
      </c>
      <c r="BQ158" s="195" t="s">
        <v>69</v>
      </c>
      <c r="BR158" s="195" t="s">
        <v>69</v>
      </c>
      <c r="BS158" s="195" t="s">
        <v>69</v>
      </c>
      <c r="BT158" s="195" t="s">
        <v>69</v>
      </c>
      <c r="BU158" s="195" t="s">
        <v>69</v>
      </c>
      <c r="BV158" s="195" t="s">
        <v>69</v>
      </c>
      <c r="BW158" s="195" t="s">
        <v>69</v>
      </c>
      <c r="BX158" s="195" t="s">
        <v>69</v>
      </c>
      <c r="BY158" s="195" t="s">
        <v>69</v>
      </c>
      <c r="BZ158" s="195" t="s">
        <v>69</v>
      </c>
      <c r="CA158" s="195" t="s">
        <v>69</v>
      </c>
      <c r="CB158" s="195" t="s">
        <v>69</v>
      </c>
      <c r="CC158" s="195" t="s">
        <v>69</v>
      </c>
      <c r="CD158" s="195" t="s">
        <v>69</v>
      </c>
      <c r="CE158" s="195" t="s">
        <v>69</v>
      </c>
      <c r="CF158" s="195" t="s">
        <v>69</v>
      </c>
      <c r="CG158" s="195" t="s">
        <v>69</v>
      </c>
      <c r="CH158" s="195" t="s">
        <v>69</v>
      </c>
      <c r="CI158" s="195" t="s">
        <v>69</v>
      </c>
      <c r="CJ158" s="195" t="s">
        <v>69</v>
      </c>
      <c r="CK158" s="195" t="s">
        <v>69</v>
      </c>
      <c r="CL158" s="195" t="s">
        <v>69</v>
      </c>
      <c r="CM158" s="195" t="s">
        <v>69</v>
      </c>
      <c r="CN158" s="195" t="s">
        <v>69</v>
      </c>
      <c r="CO158" s="195" t="s">
        <v>69</v>
      </c>
      <c r="CP158" s="195" t="s">
        <v>69</v>
      </c>
      <c r="CQ158" s="195" t="s">
        <v>69</v>
      </c>
      <c r="CR158" s="195" t="s">
        <v>69</v>
      </c>
      <c r="CS158" s="195" t="s">
        <v>69</v>
      </c>
      <c r="CT158" s="195" t="s">
        <v>69</v>
      </c>
      <c r="CU158" s="195" t="s">
        <v>69</v>
      </c>
      <c r="CV158" s="195" t="s">
        <v>69</v>
      </c>
      <c r="CW158" s="195" t="s">
        <v>69</v>
      </c>
      <c r="CX158" s="195" t="s">
        <v>69</v>
      </c>
      <c r="CY158" s="195" t="s">
        <v>69</v>
      </c>
      <c r="CZ158" s="195" t="s">
        <v>69</v>
      </c>
      <c r="DA158" s="195" t="s">
        <v>69</v>
      </c>
      <c r="DB158" s="195" t="s">
        <v>69</v>
      </c>
      <c r="DC158" s="195" t="s">
        <v>69</v>
      </c>
      <c r="DD158" s="195" t="s">
        <v>69</v>
      </c>
      <c r="DE158" s="195" t="s">
        <v>69</v>
      </c>
      <c r="DF158" s="195" t="s">
        <v>69</v>
      </c>
      <c r="DG158" s="195" t="s">
        <v>69</v>
      </c>
      <c r="DH158" s="195" t="s">
        <v>69</v>
      </c>
      <c r="DI158" s="195" t="s">
        <v>69</v>
      </c>
      <c r="DJ158" s="195" t="s">
        <v>69</v>
      </c>
      <c r="DK158" s="195" t="s">
        <v>69</v>
      </c>
      <c r="DL158" s="195" t="s">
        <v>69</v>
      </c>
      <c r="DM158" s="195" t="s">
        <v>69</v>
      </c>
      <c r="DN158" s="195" t="s">
        <v>69</v>
      </c>
      <c r="DO158" s="195" t="s">
        <v>69</v>
      </c>
      <c r="DP158" s="195" t="s">
        <v>69</v>
      </c>
      <c r="DQ158" s="195" t="s">
        <v>69</v>
      </c>
      <c r="DR158" s="195" t="s">
        <v>69</v>
      </c>
      <c r="DS158" s="195" t="s">
        <v>69</v>
      </c>
      <c r="DT158" s="195" t="s">
        <v>69</v>
      </c>
      <c r="DU158" s="195" t="s">
        <v>69</v>
      </c>
      <c r="DV158" s="110"/>
      <c r="DW158" s="104"/>
    </row>
    <row r="159" spans="1:127" ht="42" customHeight="1" thickBot="1">
      <c r="A159" s="253" t="s">
        <v>874</v>
      </c>
      <c r="B159" s="254" t="s">
        <v>875</v>
      </c>
      <c r="C159" s="208">
        <v>45965</v>
      </c>
      <c r="D159" s="220" t="s">
        <v>434</v>
      </c>
      <c r="E159" s="257"/>
      <c r="F159" s="195" t="s">
        <v>69</v>
      </c>
      <c r="G159" s="195" t="s">
        <v>69</v>
      </c>
      <c r="H159" s="195" t="s">
        <v>69</v>
      </c>
      <c r="I159" s="195" t="s">
        <v>69</v>
      </c>
      <c r="J159" s="195" t="s">
        <v>69</v>
      </c>
      <c r="K159" s="195" t="s">
        <v>69</v>
      </c>
      <c r="L159" s="195" t="s">
        <v>69</v>
      </c>
      <c r="M159" s="195" t="s">
        <v>69</v>
      </c>
      <c r="N159" s="195" t="s">
        <v>69</v>
      </c>
      <c r="O159" s="195" t="s">
        <v>69</v>
      </c>
      <c r="P159" s="195" t="s">
        <v>69</v>
      </c>
      <c r="Q159" s="195" t="s">
        <v>69</v>
      </c>
      <c r="R159" s="195" t="s">
        <v>69</v>
      </c>
      <c r="S159" s="195" t="s">
        <v>69</v>
      </c>
      <c r="T159" s="195" t="s">
        <v>69</v>
      </c>
      <c r="U159" s="195" t="s">
        <v>69</v>
      </c>
      <c r="V159" s="195" t="s">
        <v>69</v>
      </c>
      <c r="W159" s="195" t="s">
        <v>69</v>
      </c>
      <c r="X159" s="195" t="s">
        <v>69</v>
      </c>
      <c r="Y159" s="195" t="s">
        <v>69</v>
      </c>
      <c r="Z159" s="195" t="s">
        <v>69</v>
      </c>
      <c r="AA159" s="195" t="s">
        <v>69</v>
      </c>
      <c r="AB159" s="195" t="s">
        <v>69</v>
      </c>
      <c r="AC159" s="195" t="s">
        <v>69</v>
      </c>
      <c r="AD159" s="195" t="s">
        <v>69</v>
      </c>
      <c r="AE159" s="195" t="s">
        <v>69</v>
      </c>
      <c r="AF159" s="195" t="s">
        <v>69</v>
      </c>
      <c r="AG159" s="195" t="s">
        <v>69</v>
      </c>
      <c r="AH159" s="195" t="s">
        <v>69</v>
      </c>
      <c r="AI159" s="195" t="s">
        <v>69</v>
      </c>
      <c r="AJ159" s="195" t="s">
        <v>69</v>
      </c>
      <c r="AK159" s="195" t="s">
        <v>69</v>
      </c>
      <c r="AL159" s="195" t="s">
        <v>69</v>
      </c>
      <c r="AM159" s="195" t="s">
        <v>69</v>
      </c>
      <c r="AN159" s="195" t="s">
        <v>69</v>
      </c>
      <c r="AO159" s="195" t="s">
        <v>69</v>
      </c>
      <c r="AP159" s="195" t="s">
        <v>69</v>
      </c>
      <c r="AQ159" s="195" t="s">
        <v>69</v>
      </c>
      <c r="AR159" s="195" t="s">
        <v>69</v>
      </c>
      <c r="AS159" s="195" t="s">
        <v>69</v>
      </c>
      <c r="AT159" s="195" t="s">
        <v>69</v>
      </c>
      <c r="AU159" s="195" t="s">
        <v>69</v>
      </c>
      <c r="AV159" s="195" t="s">
        <v>69</v>
      </c>
      <c r="AW159" s="195" t="s">
        <v>69</v>
      </c>
      <c r="AX159" s="195" t="s">
        <v>69</v>
      </c>
      <c r="AY159" s="195" t="s">
        <v>69</v>
      </c>
      <c r="AZ159" s="195" t="s">
        <v>69</v>
      </c>
      <c r="BA159" s="195" t="s">
        <v>69</v>
      </c>
      <c r="BB159" s="195" t="s">
        <v>69</v>
      </c>
      <c r="BC159" s="195" t="s">
        <v>69</v>
      </c>
      <c r="BD159" s="195" t="s">
        <v>69</v>
      </c>
      <c r="BE159" s="195" t="s">
        <v>69</v>
      </c>
      <c r="BF159" s="195" t="s">
        <v>69</v>
      </c>
      <c r="BG159" s="195" t="s">
        <v>69</v>
      </c>
      <c r="BH159" s="195" t="s">
        <v>69</v>
      </c>
      <c r="BI159" s="195" t="s">
        <v>69</v>
      </c>
      <c r="BJ159" s="195" t="s">
        <v>69</v>
      </c>
      <c r="BK159" s="195" t="s">
        <v>69</v>
      </c>
      <c r="BL159" s="195" t="s">
        <v>69</v>
      </c>
      <c r="BM159" s="195" t="s">
        <v>69</v>
      </c>
      <c r="BN159" s="195" t="s">
        <v>69</v>
      </c>
      <c r="BO159" s="195" t="s">
        <v>69</v>
      </c>
      <c r="BP159" s="195" t="s">
        <v>69</v>
      </c>
      <c r="BQ159" s="195" t="s">
        <v>69</v>
      </c>
      <c r="BR159" s="195" t="s">
        <v>69</v>
      </c>
      <c r="BS159" s="195" t="s">
        <v>69</v>
      </c>
      <c r="BT159" s="195" t="s">
        <v>69</v>
      </c>
      <c r="BU159" s="195" t="s">
        <v>69</v>
      </c>
      <c r="BV159" s="195" t="s">
        <v>69</v>
      </c>
      <c r="BW159" s="195" t="s">
        <v>69</v>
      </c>
      <c r="BX159" s="195" t="s">
        <v>69</v>
      </c>
      <c r="BY159" s="195" t="s">
        <v>69</v>
      </c>
      <c r="BZ159" s="195" t="s">
        <v>69</v>
      </c>
      <c r="CA159" s="195" t="s">
        <v>69</v>
      </c>
      <c r="CB159" s="195" t="s">
        <v>69</v>
      </c>
      <c r="CC159" s="195" t="s">
        <v>69</v>
      </c>
      <c r="CD159" s="195" t="s">
        <v>69</v>
      </c>
      <c r="CE159" s="195" t="s">
        <v>69</v>
      </c>
      <c r="CF159" s="195" t="s">
        <v>69</v>
      </c>
      <c r="CG159" s="195" t="s">
        <v>69</v>
      </c>
      <c r="CH159" s="195" t="s">
        <v>69</v>
      </c>
      <c r="CI159" s="195" t="s">
        <v>69</v>
      </c>
      <c r="CJ159" s="195" t="s">
        <v>69</v>
      </c>
      <c r="CK159" s="195" t="s">
        <v>69</v>
      </c>
      <c r="CL159" s="195" t="s">
        <v>69</v>
      </c>
      <c r="CM159" s="195" t="s">
        <v>69</v>
      </c>
      <c r="CN159" s="195" t="s">
        <v>69</v>
      </c>
      <c r="CO159" s="195" t="s">
        <v>69</v>
      </c>
      <c r="CP159" s="195" t="s">
        <v>69</v>
      </c>
      <c r="CQ159" s="195" t="s">
        <v>69</v>
      </c>
      <c r="CR159" s="195" t="s">
        <v>69</v>
      </c>
      <c r="CS159" s="195" t="s">
        <v>69</v>
      </c>
      <c r="CT159" s="195" t="s">
        <v>69</v>
      </c>
      <c r="CU159" s="195" t="s">
        <v>69</v>
      </c>
      <c r="CV159" s="195" t="s">
        <v>69</v>
      </c>
      <c r="CW159" s="195" t="s">
        <v>69</v>
      </c>
      <c r="CX159" s="195" t="s">
        <v>69</v>
      </c>
      <c r="CY159" s="195" t="s">
        <v>69</v>
      </c>
      <c r="CZ159" s="195" t="s">
        <v>69</v>
      </c>
      <c r="DA159" s="195" t="s">
        <v>69</v>
      </c>
      <c r="DB159" s="195" t="s">
        <v>69</v>
      </c>
      <c r="DC159" s="195" t="s">
        <v>69</v>
      </c>
      <c r="DD159" s="195" t="s">
        <v>69</v>
      </c>
      <c r="DE159" s="195" t="s">
        <v>69</v>
      </c>
      <c r="DF159" s="195" t="s">
        <v>69</v>
      </c>
      <c r="DG159" s="195" t="s">
        <v>69</v>
      </c>
      <c r="DH159" s="195" t="s">
        <v>69</v>
      </c>
      <c r="DI159" s="195" t="s">
        <v>69</v>
      </c>
      <c r="DJ159" s="195" t="s">
        <v>69</v>
      </c>
      <c r="DK159" s="195" t="s">
        <v>69</v>
      </c>
      <c r="DL159" s="195" t="s">
        <v>69</v>
      </c>
      <c r="DM159" s="195" t="s">
        <v>69</v>
      </c>
      <c r="DN159" s="195" t="s">
        <v>69</v>
      </c>
      <c r="DO159" s="195" t="s">
        <v>69</v>
      </c>
      <c r="DP159" s="195" t="s">
        <v>69</v>
      </c>
      <c r="DQ159" s="195" t="s">
        <v>69</v>
      </c>
      <c r="DR159" s="195" t="s">
        <v>69</v>
      </c>
      <c r="DS159" s="195" t="s">
        <v>69</v>
      </c>
      <c r="DT159" s="195" t="s">
        <v>69</v>
      </c>
      <c r="DU159" s="195" t="s">
        <v>69</v>
      </c>
      <c r="DV159" s="110"/>
      <c r="DW159" s="104"/>
    </row>
    <row r="160" spans="1:127" ht="42" customHeight="1" thickBot="1">
      <c r="A160" s="253" t="s">
        <v>876</v>
      </c>
      <c r="B160" s="254" t="s">
        <v>877</v>
      </c>
      <c r="C160" s="208">
        <v>45965</v>
      </c>
      <c r="D160" s="220" t="s">
        <v>434</v>
      </c>
      <c r="E160" s="257"/>
      <c r="F160" s="195" t="s">
        <v>69</v>
      </c>
      <c r="G160" s="195" t="s">
        <v>69</v>
      </c>
      <c r="H160" s="195" t="s">
        <v>69</v>
      </c>
      <c r="I160" s="195" t="s">
        <v>69</v>
      </c>
      <c r="J160" s="195" t="s">
        <v>69</v>
      </c>
      <c r="K160" s="195" t="s">
        <v>69</v>
      </c>
      <c r="L160" s="195" t="s">
        <v>69</v>
      </c>
      <c r="M160" s="195" t="s">
        <v>69</v>
      </c>
      <c r="N160" s="195" t="s">
        <v>69</v>
      </c>
      <c r="O160" s="195" t="s">
        <v>69</v>
      </c>
      <c r="P160" s="195" t="s">
        <v>69</v>
      </c>
      <c r="Q160" s="195" t="s">
        <v>69</v>
      </c>
      <c r="R160" s="195" t="s">
        <v>69</v>
      </c>
      <c r="S160" s="195" t="s">
        <v>69</v>
      </c>
      <c r="T160" s="195" t="s">
        <v>69</v>
      </c>
      <c r="U160" s="195" t="s">
        <v>69</v>
      </c>
      <c r="V160" s="195" t="s">
        <v>69</v>
      </c>
      <c r="W160" s="195" t="s">
        <v>69</v>
      </c>
      <c r="X160" s="195" t="s">
        <v>69</v>
      </c>
      <c r="Y160" s="195" t="s">
        <v>69</v>
      </c>
      <c r="Z160" s="195" t="s">
        <v>69</v>
      </c>
      <c r="AA160" s="195" t="s">
        <v>69</v>
      </c>
      <c r="AB160" s="195" t="s">
        <v>69</v>
      </c>
      <c r="AC160" s="195" t="s">
        <v>69</v>
      </c>
      <c r="AD160" s="195" t="s">
        <v>69</v>
      </c>
      <c r="AE160" s="195" t="s">
        <v>69</v>
      </c>
      <c r="AF160" s="195" t="s">
        <v>69</v>
      </c>
      <c r="AG160" s="195" t="s">
        <v>69</v>
      </c>
      <c r="AH160" s="195" t="s">
        <v>69</v>
      </c>
      <c r="AI160" s="195" t="s">
        <v>69</v>
      </c>
      <c r="AJ160" s="195" t="s">
        <v>69</v>
      </c>
      <c r="AK160" s="195" t="s">
        <v>69</v>
      </c>
      <c r="AL160" s="195" t="s">
        <v>69</v>
      </c>
      <c r="AM160" s="195" t="s">
        <v>69</v>
      </c>
      <c r="AN160" s="195" t="s">
        <v>69</v>
      </c>
      <c r="AO160" s="195" t="s">
        <v>69</v>
      </c>
      <c r="AP160" s="195" t="s">
        <v>69</v>
      </c>
      <c r="AQ160" s="195" t="s">
        <v>69</v>
      </c>
      <c r="AR160" s="195" t="s">
        <v>69</v>
      </c>
      <c r="AS160" s="195" t="s">
        <v>69</v>
      </c>
      <c r="AT160" s="195" t="s">
        <v>69</v>
      </c>
      <c r="AU160" s="195" t="s">
        <v>69</v>
      </c>
      <c r="AV160" s="195" t="s">
        <v>69</v>
      </c>
      <c r="AW160" s="195" t="s">
        <v>69</v>
      </c>
      <c r="AX160" s="195" t="s">
        <v>69</v>
      </c>
      <c r="AY160" s="195" t="s">
        <v>69</v>
      </c>
      <c r="AZ160" s="195" t="s">
        <v>69</v>
      </c>
      <c r="BA160" s="195" t="s">
        <v>69</v>
      </c>
      <c r="BB160" s="195" t="s">
        <v>69</v>
      </c>
      <c r="BC160" s="195" t="s">
        <v>69</v>
      </c>
      <c r="BD160" s="195" t="s">
        <v>69</v>
      </c>
      <c r="BE160" s="195" t="s">
        <v>69</v>
      </c>
      <c r="BF160" s="195" t="s">
        <v>69</v>
      </c>
      <c r="BG160" s="195" t="s">
        <v>69</v>
      </c>
      <c r="BH160" s="195" t="s">
        <v>69</v>
      </c>
      <c r="BI160" s="195" t="s">
        <v>69</v>
      </c>
      <c r="BJ160" s="195" t="s">
        <v>69</v>
      </c>
      <c r="BK160" s="195" t="s">
        <v>69</v>
      </c>
      <c r="BL160" s="195" t="s">
        <v>69</v>
      </c>
      <c r="BM160" s="195" t="s">
        <v>69</v>
      </c>
      <c r="BN160" s="195" t="s">
        <v>69</v>
      </c>
      <c r="BO160" s="195" t="s">
        <v>69</v>
      </c>
      <c r="BP160" s="195" t="s">
        <v>69</v>
      </c>
      <c r="BQ160" s="195" t="s">
        <v>69</v>
      </c>
      <c r="BR160" s="195" t="s">
        <v>69</v>
      </c>
      <c r="BS160" s="195" t="s">
        <v>69</v>
      </c>
      <c r="BT160" s="195" t="s">
        <v>69</v>
      </c>
      <c r="BU160" s="195" t="s">
        <v>69</v>
      </c>
      <c r="BV160" s="195" t="s">
        <v>69</v>
      </c>
      <c r="BW160" s="195" t="s">
        <v>69</v>
      </c>
      <c r="BX160" s="195" t="s">
        <v>69</v>
      </c>
      <c r="BY160" s="195" t="s">
        <v>69</v>
      </c>
      <c r="BZ160" s="195" t="s">
        <v>69</v>
      </c>
      <c r="CA160" s="195" t="s">
        <v>69</v>
      </c>
      <c r="CB160" s="195" t="s">
        <v>69</v>
      </c>
      <c r="CC160" s="195" t="s">
        <v>69</v>
      </c>
      <c r="CD160" s="195" t="s">
        <v>69</v>
      </c>
      <c r="CE160" s="195" t="s">
        <v>69</v>
      </c>
      <c r="CF160" s="195" t="s">
        <v>69</v>
      </c>
      <c r="CG160" s="195" t="s">
        <v>69</v>
      </c>
      <c r="CH160" s="195" t="s">
        <v>69</v>
      </c>
      <c r="CI160" s="195" t="s">
        <v>69</v>
      </c>
      <c r="CJ160" s="195" t="s">
        <v>69</v>
      </c>
      <c r="CK160" s="195" t="s">
        <v>69</v>
      </c>
      <c r="CL160" s="195" t="s">
        <v>69</v>
      </c>
      <c r="CM160" s="195" t="s">
        <v>69</v>
      </c>
      <c r="CN160" s="195" t="s">
        <v>69</v>
      </c>
      <c r="CO160" s="195" t="s">
        <v>69</v>
      </c>
      <c r="CP160" s="195" t="s">
        <v>69</v>
      </c>
      <c r="CQ160" s="195" t="s">
        <v>69</v>
      </c>
      <c r="CR160" s="195" t="s">
        <v>69</v>
      </c>
      <c r="CS160" s="195" t="s">
        <v>69</v>
      </c>
      <c r="CT160" s="195" t="s">
        <v>69</v>
      </c>
      <c r="CU160" s="195" t="s">
        <v>69</v>
      </c>
      <c r="CV160" s="195" t="s">
        <v>69</v>
      </c>
      <c r="CW160" s="195" t="s">
        <v>69</v>
      </c>
      <c r="CX160" s="195" t="s">
        <v>69</v>
      </c>
      <c r="CY160" s="195" t="s">
        <v>69</v>
      </c>
      <c r="CZ160" s="195" t="s">
        <v>69</v>
      </c>
      <c r="DA160" s="195" t="s">
        <v>69</v>
      </c>
      <c r="DB160" s="195" t="s">
        <v>69</v>
      </c>
      <c r="DC160" s="195" t="s">
        <v>69</v>
      </c>
      <c r="DD160" s="195" t="s">
        <v>69</v>
      </c>
      <c r="DE160" s="195" t="s">
        <v>69</v>
      </c>
      <c r="DF160" s="195" t="s">
        <v>69</v>
      </c>
      <c r="DG160" s="195" t="s">
        <v>69</v>
      </c>
      <c r="DH160" s="195" t="s">
        <v>69</v>
      </c>
      <c r="DI160" s="195" t="s">
        <v>69</v>
      </c>
      <c r="DJ160" s="195" t="s">
        <v>69</v>
      </c>
      <c r="DK160" s="195" t="s">
        <v>69</v>
      </c>
      <c r="DL160" s="195" t="s">
        <v>69</v>
      </c>
      <c r="DM160" s="195" t="s">
        <v>69</v>
      </c>
      <c r="DN160" s="195" t="s">
        <v>69</v>
      </c>
      <c r="DO160" s="195" t="s">
        <v>69</v>
      </c>
      <c r="DP160" s="195" t="s">
        <v>69</v>
      </c>
      <c r="DQ160" s="195" t="s">
        <v>69</v>
      </c>
      <c r="DR160" s="195" t="s">
        <v>69</v>
      </c>
      <c r="DS160" s="195" t="s">
        <v>69</v>
      </c>
      <c r="DT160" s="195" t="s">
        <v>69</v>
      </c>
      <c r="DU160" s="195" t="s">
        <v>69</v>
      </c>
      <c r="DV160" s="110"/>
      <c r="DW160" s="104"/>
    </row>
    <row r="161" spans="1:127" ht="42" customHeight="1" thickBot="1">
      <c r="A161" s="253" t="s">
        <v>878</v>
      </c>
      <c r="B161" s="254" t="s">
        <v>879</v>
      </c>
      <c r="C161" s="208">
        <v>45965</v>
      </c>
      <c r="D161" s="220" t="s">
        <v>434</v>
      </c>
      <c r="E161" s="257"/>
      <c r="F161" s="195" t="s">
        <v>69</v>
      </c>
      <c r="G161" s="195" t="s">
        <v>69</v>
      </c>
      <c r="H161" s="195" t="s">
        <v>69</v>
      </c>
      <c r="I161" s="195" t="s">
        <v>69</v>
      </c>
      <c r="J161" s="195" t="s">
        <v>69</v>
      </c>
      <c r="K161" s="195" t="s">
        <v>69</v>
      </c>
      <c r="L161" s="195" t="s">
        <v>69</v>
      </c>
      <c r="M161" s="195" t="s">
        <v>69</v>
      </c>
      <c r="N161" s="195" t="s">
        <v>69</v>
      </c>
      <c r="O161" s="195" t="s">
        <v>69</v>
      </c>
      <c r="P161" s="195" t="s">
        <v>69</v>
      </c>
      <c r="Q161" s="195" t="s">
        <v>69</v>
      </c>
      <c r="R161" s="195" t="s">
        <v>69</v>
      </c>
      <c r="S161" s="195" t="s">
        <v>69</v>
      </c>
      <c r="T161" s="195" t="s">
        <v>69</v>
      </c>
      <c r="U161" s="195" t="s">
        <v>69</v>
      </c>
      <c r="V161" s="195" t="s">
        <v>69</v>
      </c>
      <c r="W161" s="195" t="s">
        <v>69</v>
      </c>
      <c r="X161" s="195" t="s">
        <v>69</v>
      </c>
      <c r="Y161" s="195" t="s">
        <v>69</v>
      </c>
      <c r="Z161" s="195" t="s">
        <v>69</v>
      </c>
      <c r="AA161" s="195" t="s">
        <v>69</v>
      </c>
      <c r="AB161" s="195" t="s">
        <v>69</v>
      </c>
      <c r="AC161" s="195" t="s">
        <v>69</v>
      </c>
      <c r="AD161" s="195" t="s">
        <v>69</v>
      </c>
      <c r="AE161" s="195" t="s">
        <v>69</v>
      </c>
      <c r="AF161" s="195" t="s">
        <v>69</v>
      </c>
      <c r="AG161" s="195" t="s">
        <v>69</v>
      </c>
      <c r="AH161" s="195" t="s">
        <v>69</v>
      </c>
      <c r="AI161" s="195" t="s">
        <v>69</v>
      </c>
      <c r="AJ161" s="195" t="s">
        <v>69</v>
      </c>
      <c r="AK161" s="195" t="s">
        <v>69</v>
      </c>
      <c r="AL161" s="195" t="s">
        <v>69</v>
      </c>
      <c r="AM161" s="195" t="s">
        <v>69</v>
      </c>
      <c r="AN161" s="195" t="s">
        <v>69</v>
      </c>
      <c r="AO161" s="195" t="s">
        <v>69</v>
      </c>
      <c r="AP161" s="195" t="s">
        <v>69</v>
      </c>
      <c r="AQ161" s="195" t="s">
        <v>69</v>
      </c>
      <c r="AR161" s="195" t="s">
        <v>69</v>
      </c>
      <c r="AS161" s="195" t="s">
        <v>69</v>
      </c>
      <c r="AT161" s="195" t="s">
        <v>69</v>
      </c>
      <c r="AU161" s="195" t="s">
        <v>69</v>
      </c>
      <c r="AV161" s="195" t="s">
        <v>69</v>
      </c>
      <c r="AW161" s="195" t="s">
        <v>69</v>
      </c>
      <c r="AX161" s="195" t="s">
        <v>69</v>
      </c>
      <c r="AY161" s="195" t="s">
        <v>69</v>
      </c>
      <c r="AZ161" s="195" t="s">
        <v>69</v>
      </c>
      <c r="BA161" s="195" t="s">
        <v>69</v>
      </c>
      <c r="BB161" s="195" t="s">
        <v>69</v>
      </c>
      <c r="BC161" s="195" t="s">
        <v>69</v>
      </c>
      <c r="BD161" s="195" t="s">
        <v>69</v>
      </c>
      <c r="BE161" s="195" t="s">
        <v>69</v>
      </c>
      <c r="BF161" s="195" t="s">
        <v>69</v>
      </c>
      <c r="BG161" s="195" t="s">
        <v>69</v>
      </c>
      <c r="BH161" s="195" t="s">
        <v>69</v>
      </c>
      <c r="BI161" s="195" t="s">
        <v>69</v>
      </c>
      <c r="BJ161" s="195" t="s">
        <v>69</v>
      </c>
      <c r="BK161" s="195" t="s">
        <v>69</v>
      </c>
      <c r="BL161" s="195" t="s">
        <v>69</v>
      </c>
      <c r="BM161" s="195" t="s">
        <v>69</v>
      </c>
      <c r="BN161" s="195" t="s">
        <v>69</v>
      </c>
      <c r="BO161" s="195" t="s">
        <v>69</v>
      </c>
      <c r="BP161" s="195" t="s">
        <v>69</v>
      </c>
      <c r="BQ161" s="195" t="s">
        <v>69</v>
      </c>
      <c r="BR161" s="195" t="s">
        <v>69</v>
      </c>
      <c r="BS161" s="195" t="s">
        <v>69</v>
      </c>
      <c r="BT161" s="195" t="s">
        <v>69</v>
      </c>
      <c r="BU161" s="195" t="s">
        <v>69</v>
      </c>
      <c r="BV161" s="195" t="s">
        <v>69</v>
      </c>
      <c r="BW161" s="195" t="s">
        <v>69</v>
      </c>
      <c r="BX161" s="195" t="s">
        <v>69</v>
      </c>
      <c r="BY161" s="195" t="s">
        <v>69</v>
      </c>
      <c r="BZ161" s="195" t="s">
        <v>69</v>
      </c>
      <c r="CA161" s="195" t="s">
        <v>69</v>
      </c>
      <c r="CB161" s="195" t="s">
        <v>69</v>
      </c>
      <c r="CC161" s="195" t="s">
        <v>69</v>
      </c>
      <c r="CD161" s="195" t="s">
        <v>69</v>
      </c>
      <c r="CE161" s="195" t="s">
        <v>69</v>
      </c>
      <c r="CF161" s="195" t="s">
        <v>69</v>
      </c>
      <c r="CG161" s="195" t="s">
        <v>69</v>
      </c>
      <c r="CH161" s="195" t="s">
        <v>69</v>
      </c>
      <c r="CI161" s="195" t="s">
        <v>69</v>
      </c>
      <c r="CJ161" s="195" t="s">
        <v>69</v>
      </c>
      <c r="CK161" s="195" t="s">
        <v>69</v>
      </c>
      <c r="CL161" s="195" t="s">
        <v>69</v>
      </c>
      <c r="CM161" s="195" t="s">
        <v>69</v>
      </c>
      <c r="CN161" s="195" t="s">
        <v>69</v>
      </c>
      <c r="CO161" s="195" t="s">
        <v>69</v>
      </c>
      <c r="CP161" s="195" t="s">
        <v>69</v>
      </c>
      <c r="CQ161" s="195" t="s">
        <v>69</v>
      </c>
      <c r="CR161" s="195" t="s">
        <v>69</v>
      </c>
      <c r="CS161" s="195" t="s">
        <v>69</v>
      </c>
      <c r="CT161" s="195" t="s">
        <v>69</v>
      </c>
      <c r="CU161" s="195" t="s">
        <v>69</v>
      </c>
      <c r="CV161" s="195" t="s">
        <v>69</v>
      </c>
      <c r="CW161" s="195" t="s">
        <v>69</v>
      </c>
      <c r="CX161" s="195" t="s">
        <v>69</v>
      </c>
      <c r="CY161" s="195" t="s">
        <v>69</v>
      </c>
      <c r="CZ161" s="195" t="s">
        <v>69</v>
      </c>
      <c r="DA161" s="195" t="s">
        <v>69</v>
      </c>
      <c r="DB161" s="195" t="s">
        <v>69</v>
      </c>
      <c r="DC161" s="195" t="s">
        <v>69</v>
      </c>
      <c r="DD161" s="195" t="s">
        <v>69</v>
      </c>
      <c r="DE161" s="195" t="s">
        <v>69</v>
      </c>
      <c r="DF161" s="195" t="s">
        <v>69</v>
      </c>
      <c r="DG161" s="195" t="s">
        <v>69</v>
      </c>
      <c r="DH161" s="195" t="s">
        <v>69</v>
      </c>
      <c r="DI161" s="195" t="s">
        <v>69</v>
      </c>
      <c r="DJ161" s="195" t="s">
        <v>69</v>
      </c>
      <c r="DK161" s="195" t="s">
        <v>69</v>
      </c>
      <c r="DL161" s="195" t="s">
        <v>69</v>
      </c>
      <c r="DM161" s="195" t="s">
        <v>69</v>
      </c>
      <c r="DN161" s="195" t="s">
        <v>69</v>
      </c>
      <c r="DO161" s="195" t="s">
        <v>69</v>
      </c>
      <c r="DP161" s="195" t="s">
        <v>69</v>
      </c>
      <c r="DQ161" s="195" t="s">
        <v>69</v>
      </c>
      <c r="DR161" s="195" t="s">
        <v>69</v>
      </c>
      <c r="DS161" s="195" t="s">
        <v>69</v>
      </c>
      <c r="DT161" s="195" t="s">
        <v>69</v>
      </c>
      <c r="DU161" s="195" t="s">
        <v>69</v>
      </c>
      <c r="DV161" s="110"/>
      <c r="DW161" s="104"/>
    </row>
    <row r="162" spans="1:127" ht="42" customHeight="1" thickBot="1">
      <c r="A162" s="253" t="s">
        <v>880</v>
      </c>
      <c r="B162" s="254" t="s">
        <v>881</v>
      </c>
      <c r="C162" s="208">
        <v>45965</v>
      </c>
      <c r="D162" s="220" t="s">
        <v>434</v>
      </c>
      <c r="E162" s="257"/>
      <c r="F162" s="195" t="s">
        <v>69</v>
      </c>
      <c r="G162" s="195" t="s">
        <v>69</v>
      </c>
      <c r="H162" s="195" t="s">
        <v>69</v>
      </c>
      <c r="I162" s="195" t="s">
        <v>69</v>
      </c>
      <c r="J162" s="195" t="s">
        <v>69</v>
      </c>
      <c r="K162" s="195" t="s">
        <v>69</v>
      </c>
      <c r="L162" s="195" t="s">
        <v>69</v>
      </c>
      <c r="M162" s="195" t="s">
        <v>69</v>
      </c>
      <c r="N162" s="195" t="s">
        <v>69</v>
      </c>
      <c r="O162" s="195" t="s">
        <v>69</v>
      </c>
      <c r="P162" s="195" t="s">
        <v>69</v>
      </c>
      <c r="Q162" s="195" t="s">
        <v>69</v>
      </c>
      <c r="R162" s="195" t="s">
        <v>69</v>
      </c>
      <c r="S162" s="195" t="s">
        <v>69</v>
      </c>
      <c r="T162" s="195" t="s">
        <v>69</v>
      </c>
      <c r="U162" s="195" t="s">
        <v>69</v>
      </c>
      <c r="V162" s="195" t="s">
        <v>69</v>
      </c>
      <c r="W162" s="195" t="s">
        <v>69</v>
      </c>
      <c r="X162" s="195" t="s">
        <v>69</v>
      </c>
      <c r="Y162" s="195" t="s">
        <v>69</v>
      </c>
      <c r="Z162" s="195" t="s">
        <v>69</v>
      </c>
      <c r="AA162" s="195" t="s">
        <v>69</v>
      </c>
      <c r="AB162" s="195" t="s">
        <v>69</v>
      </c>
      <c r="AC162" s="195" t="s">
        <v>69</v>
      </c>
      <c r="AD162" s="195" t="s">
        <v>69</v>
      </c>
      <c r="AE162" s="195" t="s">
        <v>69</v>
      </c>
      <c r="AF162" s="195" t="s">
        <v>69</v>
      </c>
      <c r="AG162" s="195" t="s">
        <v>69</v>
      </c>
      <c r="AH162" s="195" t="s">
        <v>69</v>
      </c>
      <c r="AI162" s="195" t="s">
        <v>69</v>
      </c>
      <c r="AJ162" s="195" t="s">
        <v>69</v>
      </c>
      <c r="AK162" s="195" t="s">
        <v>69</v>
      </c>
      <c r="AL162" s="195" t="s">
        <v>69</v>
      </c>
      <c r="AM162" s="195" t="s">
        <v>69</v>
      </c>
      <c r="AN162" s="195" t="s">
        <v>69</v>
      </c>
      <c r="AO162" s="195" t="s">
        <v>69</v>
      </c>
      <c r="AP162" s="195" t="s">
        <v>69</v>
      </c>
      <c r="AQ162" s="195" t="s">
        <v>69</v>
      </c>
      <c r="AR162" s="195" t="s">
        <v>69</v>
      </c>
      <c r="AS162" s="195" t="s">
        <v>69</v>
      </c>
      <c r="AT162" s="195" t="s">
        <v>69</v>
      </c>
      <c r="AU162" s="195" t="s">
        <v>69</v>
      </c>
      <c r="AV162" s="195" t="s">
        <v>69</v>
      </c>
      <c r="AW162" s="195" t="s">
        <v>69</v>
      </c>
      <c r="AX162" s="195" t="s">
        <v>69</v>
      </c>
      <c r="AY162" s="195" t="s">
        <v>69</v>
      </c>
      <c r="AZ162" s="195" t="s">
        <v>69</v>
      </c>
      <c r="BA162" s="195" t="s">
        <v>69</v>
      </c>
      <c r="BB162" s="195" t="s">
        <v>69</v>
      </c>
      <c r="BC162" s="195" t="s">
        <v>69</v>
      </c>
      <c r="BD162" s="195" t="s">
        <v>69</v>
      </c>
      <c r="BE162" s="195" t="s">
        <v>69</v>
      </c>
      <c r="BF162" s="195" t="s">
        <v>69</v>
      </c>
      <c r="BG162" s="195" t="s">
        <v>69</v>
      </c>
      <c r="BH162" s="195" t="s">
        <v>69</v>
      </c>
      <c r="BI162" s="195" t="s">
        <v>69</v>
      </c>
      <c r="BJ162" s="195" t="s">
        <v>69</v>
      </c>
      <c r="BK162" s="195" t="s">
        <v>69</v>
      </c>
      <c r="BL162" s="195" t="s">
        <v>69</v>
      </c>
      <c r="BM162" s="195" t="s">
        <v>69</v>
      </c>
      <c r="BN162" s="195" t="s">
        <v>69</v>
      </c>
      <c r="BO162" s="195" t="s">
        <v>69</v>
      </c>
      <c r="BP162" s="195" t="s">
        <v>69</v>
      </c>
      <c r="BQ162" s="195" t="s">
        <v>69</v>
      </c>
      <c r="BR162" s="195" t="s">
        <v>69</v>
      </c>
      <c r="BS162" s="195" t="s">
        <v>69</v>
      </c>
      <c r="BT162" s="195" t="s">
        <v>69</v>
      </c>
      <c r="BU162" s="195" t="s">
        <v>69</v>
      </c>
      <c r="BV162" s="195" t="s">
        <v>69</v>
      </c>
      <c r="BW162" s="195" t="s">
        <v>69</v>
      </c>
      <c r="BX162" s="195" t="s">
        <v>69</v>
      </c>
      <c r="BY162" s="195" t="s">
        <v>69</v>
      </c>
      <c r="BZ162" s="195" t="s">
        <v>69</v>
      </c>
      <c r="CA162" s="195" t="s">
        <v>69</v>
      </c>
      <c r="CB162" s="195" t="s">
        <v>69</v>
      </c>
      <c r="CC162" s="195" t="s">
        <v>69</v>
      </c>
      <c r="CD162" s="195" t="s">
        <v>69</v>
      </c>
      <c r="CE162" s="195" t="s">
        <v>69</v>
      </c>
      <c r="CF162" s="195" t="s">
        <v>69</v>
      </c>
      <c r="CG162" s="195" t="s">
        <v>69</v>
      </c>
      <c r="CH162" s="195" t="s">
        <v>69</v>
      </c>
      <c r="CI162" s="195" t="s">
        <v>69</v>
      </c>
      <c r="CJ162" s="195" t="s">
        <v>69</v>
      </c>
      <c r="CK162" s="195" t="s">
        <v>69</v>
      </c>
      <c r="CL162" s="195" t="s">
        <v>69</v>
      </c>
      <c r="CM162" s="195" t="s">
        <v>69</v>
      </c>
      <c r="CN162" s="195" t="s">
        <v>69</v>
      </c>
      <c r="CO162" s="195" t="s">
        <v>69</v>
      </c>
      <c r="CP162" s="195" t="s">
        <v>69</v>
      </c>
      <c r="CQ162" s="195" t="s">
        <v>69</v>
      </c>
      <c r="CR162" s="195" t="s">
        <v>69</v>
      </c>
      <c r="CS162" s="195" t="s">
        <v>69</v>
      </c>
      <c r="CT162" s="195" t="s">
        <v>69</v>
      </c>
      <c r="CU162" s="195" t="s">
        <v>69</v>
      </c>
      <c r="CV162" s="195" t="s">
        <v>69</v>
      </c>
      <c r="CW162" s="195" t="s">
        <v>69</v>
      </c>
      <c r="CX162" s="195" t="s">
        <v>69</v>
      </c>
      <c r="CY162" s="195" t="s">
        <v>69</v>
      </c>
      <c r="CZ162" s="195" t="s">
        <v>69</v>
      </c>
      <c r="DA162" s="195" t="s">
        <v>69</v>
      </c>
      <c r="DB162" s="195" t="s">
        <v>69</v>
      </c>
      <c r="DC162" s="195" t="s">
        <v>69</v>
      </c>
      <c r="DD162" s="195" t="s">
        <v>69</v>
      </c>
      <c r="DE162" s="195" t="s">
        <v>69</v>
      </c>
      <c r="DF162" s="195" t="s">
        <v>69</v>
      </c>
      <c r="DG162" s="195" t="s">
        <v>69</v>
      </c>
      <c r="DH162" s="195" t="s">
        <v>69</v>
      </c>
      <c r="DI162" s="195" t="s">
        <v>69</v>
      </c>
      <c r="DJ162" s="195" t="s">
        <v>69</v>
      </c>
      <c r="DK162" s="195" t="s">
        <v>69</v>
      </c>
      <c r="DL162" s="195" t="s">
        <v>69</v>
      </c>
      <c r="DM162" s="195" t="s">
        <v>69</v>
      </c>
      <c r="DN162" s="195" t="s">
        <v>69</v>
      </c>
      <c r="DO162" s="195" t="s">
        <v>69</v>
      </c>
      <c r="DP162" s="195" t="s">
        <v>69</v>
      </c>
      <c r="DQ162" s="195" t="s">
        <v>69</v>
      </c>
      <c r="DR162" s="195" t="s">
        <v>69</v>
      </c>
      <c r="DS162" s="195" t="s">
        <v>69</v>
      </c>
      <c r="DT162" s="195" t="s">
        <v>69</v>
      </c>
      <c r="DU162" s="195" t="s">
        <v>69</v>
      </c>
      <c r="DV162" s="110"/>
      <c r="DW162" s="104"/>
    </row>
    <row r="163" spans="1:127" ht="42" customHeight="1" thickBot="1">
      <c r="A163" s="253" t="s">
        <v>882</v>
      </c>
      <c r="B163" s="254" t="s">
        <v>883</v>
      </c>
      <c r="C163" s="208">
        <v>45965</v>
      </c>
      <c r="D163" s="220" t="s">
        <v>434</v>
      </c>
      <c r="E163" s="257"/>
      <c r="F163" s="195" t="s">
        <v>69</v>
      </c>
      <c r="G163" s="195" t="s">
        <v>69</v>
      </c>
      <c r="H163" s="195" t="s">
        <v>69</v>
      </c>
      <c r="I163" s="195" t="s">
        <v>69</v>
      </c>
      <c r="J163" s="195" t="s">
        <v>69</v>
      </c>
      <c r="K163" s="195" t="s">
        <v>69</v>
      </c>
      <c r="L163" s="195" t="s">
        <v>69</v>
      </c>
      <c r="M163" s="195" t="s">
        <v>69</v>
      </c>
      <c r="N163" s="195" t="s">
        <v>69</v>
      </c>
      <c r="O163" s="195" t="s">
        <v>69</v>
      </c>
      <c r="P163" s="195" t="s">
        <v>69</v>
      </c>
      <c r="Q163" s="195" t="s">
        <v>69</v>
      </c>
      <c r="R163" s="195" t="s">
        <v>69</v>
      </c>
      <c r="S163" s="195" t="s">
        <v>69</v>
      </c>
      <c r="T163" s="195" t="s">
        <v>69</v>
      </c>
      <c r="U163" s="195" t="s">
        <v>69</v>
      </c>
      <c r="V163" s="195" t="s">
        <v>69</v>
      </c>
      <c r="W163" s="195" t="s">
        <v>69</v>
      </c>
      <c r="X163" s="195" t="s">
        <v>69</v>
      </c>
      <c r="Y163" s="195" t="s">
        <v>69</v>
      </c>
      <c r="Z163" s="195" t="s">
        <v>69</v>
      </c>
      <c r="AA163" s="195" t="s">
        <v>69</v>
      </c>
      <c r="AB163" s="195" t="s">
        <v>69</v>
      </c>
      <c r="AC163" s="195" t="s">
        <v>69</v>
      </c>
      <c r="AD163" s="195" t="s">
        <v>69</v>
      </c>
      <c r="AE163" s="195" t="s">
        <v>69</v>
      </c>
      <c r="AF163" s="195" t="s">
        <v>69</v>
      </c>
      <c r="AG163" s="195" t="s">
        <v>69</v>
      </c>
      <c r="AH163" s="195" t="s">
        <v>69</v>
      </c>
      <c r="AI163" s="195" t="s">
        <v>69</v>
      </c>
      <c r="AJ163" s="195" t="s">
        <v>69</v>
      </c>
      <c r="AK163" s="195" t="s">
        <v>69</v>
      </c>
      <c r="AL163" s="195" t="s">
        <v>69</v>
      </c>
      <c r="AM163" s="195" t="s">
        <v>69</v>
      </c>
      <c r="AN163" s="195" t="s">
        <v>69</v>
      </c>
      <c r="AO163" s="195" t="s">
        <v>69</v>
      </c>
      <c r="AP163" s="195" t="s">
        <v>69</v>
      </c>
      <c r="AQ163" s="195" t="s">
        <v>69</v>
      </c>
      <c r="AR163" s="195" t="s">
        <v>69</v>
      </c>
      <c r="AS163" s="195" t="s">
        <v>69</v>
      </c>
      <c r="AT163" s="195" t="s">
        <v>69</v>
      </c>
      <c r="AU163" s="195" t="s">
        <v>69</v>
      </c>
      <c r="AV163" s="195" t="s">
        <v>69</v>
      </c>
      <c r="AW163" s="195" t="s">
        <v>69</v>
      </c>
      <c r="AX163" s="195" t="s">
        <v>69</v>
      </c>
      <c r="AY163" s="195" t="s">
        <v>69</v>
      </c>
      <c r="AZ163" s="195" t="s">
        <v>69</v>
      </c>
      <c r="BA163" s="195" t="s">
        <v>69</v>
      </c>
      <c r="BB163" s="195" t="s">
        <v>69</v>
      </c>
      <c r="BC163" s="195" t="s">
        <v>69</v>
      </c>
      <c r="BD163" s="195" t="s">
        <v>69</v>
      </c>
      <c r="BE163" s="195" t="s">
        <v>69</v>
      </c>
      <c r="BF163" s="195" t="s">
        <v>69</v>
      </c>
      <c r="BG163" s="195" t="s">
        <v>69</v>
      </c>
      <c r="BH163" s="195" t="s">
        <v>69</v>
      </c>
      <c r="BI163" s="195" t="s">
        <v>69</v>
      </c>
      <c r="BJ163" s="195" t="s">
        <v>69</v>
      </c>
      <c r="BK163" s="195" t="s">
        <v>69</v>
      </c>
      <c r="BL163" s="195" t="s">
        <v>69</v>
      </c>
      <c r="BM163" s="195" t="s">
        <v>69</v>
      </c>
      <c r="BN163" s="195" t="s">
        <v>69</v>
      </c>
      <c r="BO163" s="195" t="s">
        <v>69</v>
      </c>
      <c r="BP163" s="195" t="s">
        <v>69</v>
      </c>
      <c r="BQ163" s="195" t="s">
        <v>69</v>
      </c>
      <c r="BR163" s="195" t="s">
        <v>69</v>
      </c>
      <c r="BS163" s="195" t="s">
        <v>69</v>
      </c>
      <c r="BT163" s="195" t="s">
        <v>69</v>
      </c>
      <c r="BU163" s="195" t="s">
        <v>69</v>
      </c>
      <c r="BV163" s="195" t="s">
        <v>69</v>
      </c>
      <c r="BW163" s="195" t="s">
        <v>69</v>
      </c>
      <c r="BX163" s="195" t="s">
        <v>69</v>
      </c>
      <c r="BY163" s="195" t="s">
        <v>69</v>
      </c>
      <c r="BZ163" s="195" t="s">
        <v>69</v>
      </c>
      <c r="CA163" s="195" t="s">
        <v>69</v>
      </c>
      <c r="CB163" s="195" t="s">
        <v>69</v>
      </c>
      <c r="CC163" s="195" t="s">
        <v>69</v>
      </c>
      <c r="CD163" s="195" t="s">
        <v>69</v>
      </c>
      <c r="CE163" s="195" t="s">
        <v>69</v>
      </c>
      <c r="CF163" s="195" t="s">
        <v>69</v>
      </c>
      <c r="CG163" s="195" t="s">
        <v>69</v>
      </c>
      <c r="CH163" s="195" t="s">
        <v>69</v>
      </c>
      <c r="CI163" s="195" t="s">
        <v>69</v>
      </c>
      <c r="CJ163" s="195" t="s">
        <v>69</v>
      </c>
      <c r="CK163" s="195" t="s">
        <v>69</v>
      </c>
      <c r="CL163" s="195" t="s">
        <v>69</v>
      </c>
      <c r="CM163" s="195" t="s">
        <v>69</v>
      </c>
      <c r="CN163" s="195" t="s">
        <v>69</v>
      </c>
      <c r="CO163" s="195" t="s">
        <v>69</v>
      </c>
      <c r="CP163" s="195" t="s">
        <v>69</v>
      </c>
      <c r="CQ163" s="195" t="s">
        <v>69</v>
      </c>
      <c r="CR163" s="195" t="s">
        <v>69</v>
      </c>
      <c r="CS163" s="195" t="s">
        <v>69</v>
      </c>
      <c r="CT163" s="195" t="s">
        <v>69</v>
      </c>
      <c r="CU163" s="195" t="s">
        <v>69</v>
      </c>
      <c r="CV163" s="195" t="s">
        <v>69</v>
      </c>
      <c r="CW163" s="195" t="s">
        <v>69</v>
      </c>
      <c r="CX163" s="195" t="s">
        <v>69</v>
      </c>
      <c r="CY163" s="195" t="s">
        <v>69</v>
      </c>
      <c r="CZ163" s="195" t="s">
        <v>69</v>
      </c>
      <c r="DA163" s="195" t="s">
        <v>69</v>
      </c>
      <c r="DB163" s="195" t="s">
        <v>69</v>
      </c>
      <c r="DC163" s="195" t="s">
        <v>69</v>
      </c>
      <c r="DD163" s="195" t="s">
        <v>69</v>
      </c>
      <c r="DE163" s="195" t="s">
        <v>69</v>
      </c>
      <c r="DF163" s="195" t="s">
        <v>69</v>
      </c>
      <c r="DG163" s="195" t="s">
        <v>69</v>
      </c>
      <c r="DH163" s="195" t="s">
        <v>69</v>
      </c>
      <c r="DI163" s="195" t="s">
        <v>69</v>
      </c>
      <c r="DJ163" s="195" t="s">
        <v>69</v>
      </c>
      <c r="DK163" s="195" t="s">
        <v>69</v>
      </c>
      <c r="DL163" s="195" t="s">
        <v>69</v>
      </c>
      <c r="DM163" s="195" t="s">
        <v>69</v>
      </c>
      <c r="DN163" s="195" t="s">
        <v>69</v>
      </c>
      <c r="DO163" s="195" t="s">
        <v>69</v>
      </c>
      <c r="DP163" s="195" t="s">
        <v>69</v>
      </c>
      <c r="DQ163" s="195" t="s">
        <v>69</v>
      </c>
      <c r="DR163" s="195" t="s">
        <v>69</v>
      </c>
      <c r="DS163" s="195" t="s">
        <v>69</v>
      </c>
      <c r="DT163" s="195" t="s">
        <v>69</v>
      </c>
      <c r="DU163" s="195" t="s">
        <v>69</v>
      </c>
      <c r="DV163" s="110"/>
      <c r="DW163" s="104"/>
    </row>
    <row r="164" spans="1:127" ht="42" customHeight="1" thickBot="1">
      <c r="A164" s="253" t="s">
        <v>884</v>
      </c>
      <c r="B164" s="254" t="s">
        <v>885</v>
      </c>
      <c r="C164" s="208">
        <v>45965</v>
      </c>
      <c r="D164" s="220" t="s">
        <v>434</v>
      </c>
      <c r="E164" s="257"/>
      <c r="F164" s="195" t="s">
        <v>69</v>
      </c>
      <c r="G164" s="195" t="s">
        <v>69</v>
      </c>
      <c r="H164" s="195" t="s">
        <v>69</v>
      </c>
      <c r="I164" s="195" t="s">
        <v>69</v>
      </c>
      <c r="J164" s="195" t="s">
        <v>69</v>
      </c>
      <c r="K164" s="195" t="s">
        <v>69</v>
      </c>
      <c r="L164" s="195" t="s">
        <v>69</v>
      </c>
      <c r="M164" s="195" t="s">
        <v>69</v>
      </c>
      <c r="N164" s="195" t="s">
        <v>69</v>
      </c>
      <c r="O164" s="195" t="s">
        <v>69</v>
      </c>
      <c r="P164" s="195" t="s">
        <v>69</v>
      </c>
      <c r="Q164" s="195" t="s">
        <v>69</v>
      </c>
      <c r="R164" s="195" t="s">
        <v>69</v>
      </c>
      <c r="S164" s="195" t="s">
        <v>69</v>
      </c>
      <c r="T164" s="195" t="s">
        <v>69</v>
      </c>
      <c r="U164" s="195" t="s">
        <v>69</v>
      </c>
      <c r="V164" s="195" t="s">
        <v>69</v>
      </c>
      <c r="W164" s="195" t="s">
        <v>69</v>
      </c>
      <c r="X164" s="195" t="s">
        <v>69</v>
      </c>
      <c r="Y164" s="195" t="s">
        <v>69</v>
      </c>
      <c r="Z164" s="195" t="s">
        <v>69</v>
      </c>
      <c r="AA164" s="195" t="s">
        <v>69</v>
      </c>
      <c r="AB164" s="195" t="s">
        <v>69</v>
      </c>
      <c r="AC164" s="195" t="s">
        <v>69</v>
      </c>
      <c r="AD164" s="195" t="s">
        <v>69</v>
      </c>
      <c r="AE164" s="195" t="s">
        <v>69</v>
      </c>
      <c r="AF164" s="195" t="s">
        <v>69</v>
      </c>
      <c r="AG164" s="195" t="s">
        <v>69</v>
      </c>
      <c r="AH164" s="195" t="s">
        <v>69</v>
      </c>
      <c r="AI164" s="195" t="s">
        <v>69</v>
      </c>
      <c r="AJ164" s="195" t="s">
        <v>69</v>
      </c>
      <c r="AK164" s="195" t="s">
        <v>69</v>
      </c>
      <c r="AL164" s="195" t="s">
        <v>69</v>
      </c>
      <c r="AM164" s="195" t="s">
        <v>69</v>
      </c>
      <c r="AN164" s="195" t="s">
        <v>69</v>
      </c>
      <c r="AO164" s="195" t="s">
        <v>69</v>
      </c>
      <c r="AP164" s="195" t="s">
        <v>69</v>
      </c>
      <c r="AQ164" s="195" t="s">
        <v>69</v>
      </c>
      <c r="AR164" s="195" t="s">
        <v>69</v>
      </c>
      <c r="AS164" s="195" t="s">
        <v>69</v>
      </c>
      <c r="AT164" s="195" t="s">
        <v>69</v>
      </c>
      <c r="AU164" s="195" t="s">
        <v>69</v>
      </c>
      <c r="AV164" s="195" t="s">
        <v>69</v>
      </c>
      <c r="AW164" s="195" t="s">
        <v>69</v>
      </c>
      <c r="AX164" s="195" t="s">
        <v>69</v>
      </c>
      <c r="AY164" s="195" t="s">
        <v>69</v>
      </c>
      <c r="AZ164" s="195" t="s">
        <v>69</v>
      </c>
      <c r="BA164" s="195" t="s">
        <v>69</v>
      </c>
      <c r="BB164" s="195" t="s">
        <v>69</v>
      </c>
      <c r="BC164" s="195" t="s">
        <v>69</v>
      </c>
      <c r="BD164" s="195" t="s">
        <v>69</v>
      </c>
      <c r="BE164" s="195" t="s">
        <v>69</v>
      </c>
      <c r="BF164" s="195" t="s">
        <v>69</v>
      </c>
      <c r="BG164" s="195" t="s">
        <v>69</v>
      </c>
      <c r="BH164" s="195" t="s">
        <v>69</v>
      </c>
      <c r="BI164" s="195" t="s">
        <v>69</v>
      </c>
      <c r="BJ164" s="195" t="s">
        <v>69</v>
      </c>
      <c r="BK164" s="195" t="s">
        <v>69</v>
      </c>
      <c r="BL164" s="195" t="s">
        <v>69</v>
      </c>
      <c r="BM164" s="195" t="s">
        <v>69</v>
      </c>
      <c r="BN164" s="195" t="s">
        <v>69</v>
      </c>
      <c r="BO164" s="195" t="s">
        <v>69</v>
      </c>
      <c r="BP164" s="195" t="s">
        <v>69</v>
      </c>
      <c r="BQ164" s="195" t="s">
        <v>69</v>
      </c>
      <c r="BR164" s="195" t="s">
        <v>69</v>
      </c>
      <c r="BS164" s="195" t="s">
        <v>69</v>
      </c>
      <c r="BT164" s="195" t="s">
        <v>69</v>
      </c>
      <c r="BU164" s="195" t="s">
        <v>69</v>
      </c>
      <c r="BV164" s="195" t="s">
        <v>69</v>
      </c>
      <c r="BW164" s="195" t="s">
        <v>69</v>
      </c>
      <c r="BX164" s="195" t="s">
        <v>69</v>
      </c>
      <c r="BY164" s="195" t="s">
        <v>69</v>
      </c>
      <c r="BZ164" s="195" t="s">
        <v>69</v>
      </c>
      <c r="CA164" s="195" t="s">
        <v>69</v>
      </c>
      <c r="CB164" s="195" t="s">
        <v>69</v>
      </c>
      <c r="CC164" s="195" t="s">
        <v>69</v>
      </c>
      <c r="CD164" s="195" t="s">
        <v>69</v>
      </c>
      <c r="CE164" s="195" t="s">
        <v>69</v>
      </c>
      <c r="CF164" s="195" t="s">
        <v>69</v>
      </c>
      <c r="CG164" s="195" t="s">
        <v>69</v>
      </c>
      <c r="CH164" s="195" t="s">
        <v>69</v>
      </c>
      <c r="CI164" s="195" t="s">
        <v>69</v>
      </c>
      <c r="CJ164" s="195" t="s">
        <v>69</v>
      </c>
      <c r="CK164" s="195" t="s">
        <v>69</v>
      </c>
      <c r="CL164" s="195" t="s">
        <v>69</v>
      </c>
      <c r="CM164" s="195" t="s">
        <v>69</v>
      </c>
      <c r="CN164" s="195" t="s">
        <v>69</v>
      </c>
      <c r="CO164" s="195" t="s">
        <v>69</v>
      </c>
      <c r="CP164" s="195" t="s">
        <v>69</v>
      </c>
      <c r="CQ164" s="195" t="s">
        <v>69</v>
      </c>
      <c r="CR164" s="195" t="s">
        <v>69</v>
      </c>
      <c r="CS164" s="195" t="s">
        <v>69</v>
      </c>
      <c r="CT164" s="195" t="s">
        <v>69</v>
      </c>
      <c r="CU164" s="195" t="s">
        <v>69</v>
      </c>
      <c r="CV164" s="195" t="s">
        <v>69</v>
      </c>
      <c r="CW164" s="195" t="s">
        <v>69</v>
      </c>
      <c r="CX164" s="195" t="s">
        <v>69</v>
      </c>
      <c r="CY164" s="195" t="s">
        <v>69</v>
      </c>
      <c r="CZ164" s="195" t="s">
        <v>69</v>
      </c>
      <c r="DA164" s="195" t="s">
        <v>69</v>
      </c>
      <c r="DB164" s="195" t="s">
        <v>69</v>
      </c>
      <c r="DC164" s="195" t="s">
        <v>69</v>
      </c>
      <c r="DD164" s="195" t="s">
        <v>69</v>
      </c>
      <c r="DE164" s="195" t="s">
        <v>69</v>
      </c>
      <c r="DF164" s="195" t="s">
        <v>69</v>
      </c>
      <c r="DG164" s="195" t="s">
        <v>69</v>
      </c>
      <c r="DH164" s="195" t="s">
        <v>69</v>
      </c>
      <c r="DI164" s="195" t="s">
        <v>69</v>
      </c>
      <c r="DJ164" s="195" t="s">
        <v>69</v>
      </c>
      <c r="DK164" s="195" t="s">
        <v>69</v>
      </c>
      <c r="DL164" s="195" t="s">
        <v>69</v>
      </c>
      <c r="DM164" s="195" t="s">
        <v>69</v>
      </c>
      <c r="DN164" s="195" t="s">
        <v>69</v>
      </c>
      <c r="DO164" s="195" t="s">
        <v>69</v>
      </c>
      <c r="DP164" s="195" t="s">
        <v>69</v>
      </c>
      <c r="DQ164" s="195" t="s">
        <v>69</v>
      </c>
      <c r="DR164" s="195" t="s">
        <v>69</v>
      </c>
      <c r="DS164" s="195" t="s">
        <v>69</v>
      </c>
      <c r="DT164" s="195" t="s">
        <v>69</v>
      </c>
      <c r="DU164" s="195" t="s">
        <v>69</v>
      </c>
      <c r="DV164" s="110"/>
      <c r="DW164" s="104"/>
    </row>
    <row r="165" spans="1:127" ht="42" customHeight="1" thickBot="1">
      <c r="A165" s="253" t="s">
        <v>886</v>
      </c>
      <c r="B165" s="254" t="s">
        <v>887</v>
      </c>
      <c r="C165" s="208">
        <v>45965</v>
      </c>
      <c r="D165" s="220" t="s">
        <v>434</v>
      </c>
      <c r="E165" s="257"/>
      <c r="F165" s="195" t="s">
        <v>69</v>
      </c>
      <c r="G165" s="195" t="s">
        <v>69</v>
      </c>
      <c r="H165" s="195" t="s">
        <v>69</v>
      </c>
      <c r="I165" s="195" t="s">
        <v>69</v>
      </c>
      <c r="J165" s="195" t="s">
        <v>69</v>
      </c>
      <c r="K165" s="195" t="s">
        <v>69</v>
      </c>
      <c r="L165" s="195" t="s">
        <v>69</v>
      </c>
      <c r="M165" s="195" t="s">
        <v>69</v>
      </c>
      <c r="N165" s="195" t="s">
        <v>69</v>
      </c>
      <c r="O165" s="195" t="s">
        <v>69</v>
      </c>
      <c r="P165" s="195" t="s">
        <v>69</v>
      </c>
      <c r="Q165" s="195" t="s">
        <v>69</v>
      </c>
      <c r="R165" s="195" t="s">
        <v>69</v>
      </c>
      <c r="S165" s="195" t="s">
        <v>69</v>
      </c>
      <c r="T165" s="195" t="s">
        <v>69</v>
      </c>
      <c r="U165" s="195" t="s">
        <v>69</v>
      </c>
      <c r="V165" s="195" t="s">
        <v>69</v>
      </c>
      <c r="W165" s="195" t="s">
        <v>69</v>
      </c>
      <c r="X165" s="195" t="s">
        <v>69</v>
      </c>
      <c r="Y165" s="195" t="s">
        <v>69</v>
      </c>
      <c r="Z165" s="195" t="s">
        <v>69</v>
      </c>
      <c r="AA165" s="195" t="s">
        <v>69</v>
      </c>
      <c r="AB165" s="195" t="s">
        <v>69</v>
      </c>
      <c r="AC165" s="195" t="s">
        <v>69</v>
      </c>
      <c r="AD165" s="195" t="s">
        <v>69</v>
      </c>
      <c r="AE165" s="195" t="s">
        <v>69</v>
      </c>
      <c r="AF165" s="195" t="s">
        <v>69</v>
      </c>
      <c r="AG165" s="195" t="s">
        <v>69</v>
      </c>
      <c r="AH165" s="195" t="s">
        <v>69</v>
      </c>
      <c r="AI165" s="195" t="s">
        <v>69</v>
      </c>
      <c r="AJ165" s="195" t="s">
        <v>69</v>
      </c>
      <c r="AK165" s="195" t="s">
        <v>69</v>
      </c>
      <c r="AL165" s="195" t="s">
        <v>69</v>
      </c>
      <c r="AM165" s="195" t="s">
        <v>69</v>
      </c>
      <c r="AN165" s="195" t="s">
        <v>69</v>
      </c>
      <c r="AO165" s="195" t="s">
        <v>69</v>
      </c>
      <c r="AP165" s="195" t="s">
        <v>69</v>
      </c>
      <c r="AQ165" s="195" t="s">
        <v>69</v>
      </c>
      <c r="AR165" s="195" t="s">
        <v>69</v>
      </c>
      <c r="AS165" s="195" t="s">
        <v>69</v>
      </c>
      <c r="AT165" s="195" t="s">
        <v>69</v>
      </c>
      <c r="AU165" s="195" t="s">
        <v>69</v>
      </c>
      <c r="AV165" s="195" t="s">
        <v>69</v>
      </c>
      <c r="AW165" s="195" t="s">
        <v>69</v>
      </c>
      <c r="AX165" s="195" t="s">
        <v>69</v>
      </c>
      <c r="AY165" s="195" t="s">
        <v>69</v>
      </c>
      <c r="AZ165" s="195" t="s">
        <v>69</v>
      </c>
      <c r="BA165" s="195" t="s">
        <v>69</v>
      </c>
      <c r="BB165" s="195" t="s">
        <v>69</v>
      </c>
      <c r="BC165" s="195" t="s">
        <v>69</v>
      </c>
      <c r="BD165" s="195" t="s">
        <v>69</v>
      </c>
      <c r="BE165" s="195" t="s">
        <v>69</v>
      </c>
      <c r="BF165" s="195" t="s">
        <v>69</v>
      </c>
      <c r="BG165" s="195" t="s">
        <v>69</v>
      </c>
      <c r="BH165" s="195" t="s">
        <v>69</v>
      </c>
      <c r="BI165" s="195" t="s">
        <v>69</v>
      </c>
      <c r="BJ165" s="195" t="s">
        <v>69</v>
      </c>
      <c r="BK165" s="195" t="s">
        <v>69</v>
      </c>
      <c r="BL165" s="195" t="s">
        <v>69</v>
      </c>
      <c r="BM165" s="195" t="s">
        <v>69</v>
      </c>
      <c r="BN165" s="195" t="s">
        <v>69</v>
      </c>
      <c r="BO165" s="195" t="s">
        <v>69</v>
      </c>
      <c r="BP165" s="195" t="s">
        <v>69</v>
      </c>
      <c r="BQ165" s="195" t="s">
        <v>69</v>
      </c>
      <c r="BR165" s="195" t="s">
        <v>69</v>
      </c>
      <c r="BS165" s="195" t="s">
        <v>69</v>
      </c>
      <c r="BT165" s="195" t="s">
        <v>69</v>
      </c>
      <c r="BU165" s="195" t="s">
        <v>69</v>
      </c>
      <c r="BV165" s="195" t="s">
        <v>69</v>
      </c>
      <c r="BW165" s="195" t="s">
        <v>69</v>
      </c>
      <c r="BX165" s="195" t="s">
        <v>69</v>
      </c>
      <c r="BY165" s="195" t="s">
        <v>69</v>
      </c>
      <c r="BZ165" s="195" t="s">
        <v>69</v>
      </c>
      <c r="CA165" s="195" t="s">
        <v>69</v>
      </c>
      <c r="CB165" s="195" t="s">
        <v>69</v>
      </c>
      <c r="CC165" s="195" t="s">
        <v>69</v>
      </c>
      <c r="CD165" s="195" t="s">
        <v>69</v>
      </c>
      <c r="CE165" s="195" t="s">
        <v>69</v>
      </c>
      <c r="CF165" s="195" t="s">
        <v>69</v>
      </c>
      <c r="CG165" s="195" t="s">
        <v>69</v>
      </c>
      <c r="CH165" s="195" t="s">
        <v>69</v>
      </c>
      <c r="CI165" s="195" t="s">
        <v>69</v>
      </c>
      <c r="CJ165" s="195" t="s">
        <v>69</v>
      </c>
      <c r="CK165" s="195" t="s">
        <v>69</v>
      </c>
      <c r="CL165" s="195" t="s">
        <v>69</v>
      </c>
      <c r="CM165" s="195" t="s">
        <v>69</v>
      </c>
      <c r="CN165" s="195" t="s">
        <v>69</v>
      </c>
      <c r="CO165" s="195" t="s">
        <v>69</v>
      </c>
      <c r="CP165" s="195" t="s">
        <v>69</v>
      </c>
      <c r="CQ165" s="195" t="s">
        <v>69</v>
      </c>
      <c r="CR165" s="195" t="s">
        <v>69</v>
      </c>
      <c r="CS165" s="195" t="s">
        <v>69</v>
      </c>
      <c r="CT165" s="195" t="s">
        <v>69</v>
      </c>
      <c r="CU165" s="195" t="s">
        <v>69</v>
      </c>
      <c r="CV165" s="195" t="s">
        <v>69</v>
      </c>
      <c r="CW165" s="195" t="s">
        <v>69</v>
      </c>
      <c r="CX165" s="195" t="s">
        <v>69</v>
      </c>
      <c r="CY165" s="195" t="s">
        <v>69</v>
      </c>
      <c r="CZ165" s="195" t="s">
        <v>69</v>
      </c>
      <c r="DA165" s="195" t="s">
        <v>69</v>
      </c>
      <c r="DB165" s="195" t="s">
        <v>69</v>
      </c>
      <c r="DC165" s="195" t="s">
        <v>69</v>
      </c>
      <c r="DD165" s="195" t="s">
        <v>69</v>
      </c>
      <c r="DE165" s="195" t="s">
        <v>69</v>
      </c>
      <c r="DF165" s="195" t="s">
        <v>69</v>
      </c>
      <c r="DG165" s="195" t="s">
        <v>69</v>
      </c>
      <c r="DH165" s="195" t="s">
        <v>69</v>
      </c>
      <c r="DI165" s="195" t="s">
        <v>69</v>
      </c>
      <c r="DJ165" s="195" t="s">
        <v>69</v>
      </c>
      <c r="DK165" s="195" t="s">
        <v>69</v>
      </c>
      <c r="DL165" s="195" t="s">
        <v>69</v>
      </c>
      <c r="DM165" s="195" t="s">
        <v>69</v>
      </c>
      <c r="DN165" s="195" t="s">
        <v>69</v>
      </c>
      <c r="DO165" s="195" t="s">
        <v>69</v>
      </c>
      <c r="DP165" s="195" t="s">
        <v>69</v>
      </c>
      <c r="DQ165" s="195" t="s">
        <v>69</v>
      </c>
      <c r="DR165" s="195" t="s">
        <v>69</v>
      </c>
      <c r="DS165" s="195" t="s">
        <v>69</v>
      </c>
      <c r="DT165" s="195" t="s">
        <v>69</v>
      </c>
      <c r="DU165" s="195" t="s">
        <v>69</v>
      </c>
      <c r="DV165" s="110"/>
      <c r="DW165" s="104"/>
    </row>
    <row r="166" spans="1:127" ht="42" customHeight="1" thickBot="1">
      <c r="A166" s="253" t="s">
        <v>888</v>
      </c>
      <c r="B166" s="254" t="s">
        <v>889</v>
      </c>
      <c r="C166" s="208">
        <v>45965</v>
      </c>
      <c r="D166" s="220" t="s">
        <v>434</v>
      </c>
      <c r="E166" s="257"/>
      <c r="F166" s="195" t="s">
        <v>69</v>
      </c>
      <c r="G166" s="195" t="s">
        <v>69</v>
      </c>
      <c r="H166" s="195" t="s">
        <v>69</v>
      </c>
      <c r="I166" s="195" t="s">
        <v>69</v>
      </c>
      <c r="J166" s="195" t="s">
        <v>69</v>
      </c>
      <c r="K166" s="195" t="s">
        <v>69</v>
      </c>
      <c r="L166" s="195" t="s">
        <v>69</v>
      </c>
      <c r="M166" s="195" t="s">
        <v>69</v>
      </c>
      <c r="N166" s="195" t="s">
        <v>69</v>
      </c>
      <c r="O166" s="195" t="s">
        <v>69</v>
      </c>
      <c r="P166" s="195" t="s">
        <v>69</v>
      </c>
      <c r="Q166" s="195" t="s">
        <v>69</v>
      </c>
      <c r="R166" s="195" t="s">
        <v>69</v>
      </c>
      <c r="S166" s="195" t="s">
        <v>69</v>
      </c>
      <c r="T166" s="195" t="s">
        <v>69</v>
      </c>
      <c r="U166" s="195" t="s">
        <v>69</v>
      </c>
      <c r="V166" s="195" t="s">
        <v>69</v>
      </c>
      <c r="W166" s="195" t="s">
        <v>69</v>
      </c>
      <c r="X166" s="195" t="s">
        <v>69</v>
      </c>
      <c r="Y166" s="195" t="s">
        <v>69</v>
      </c>
      <c r="Z166" s="195" t="s">
        <v>69</v>
      </c>
      <c r="AA166" s="195" t="s">
        <v>69</v>
      </c>
      <c r="AB166" s="195" t="s">
        <v>69</v>
      </c>
      <c r="AC166" s="195" t="s">
        <v>69</v>
      </c>
      <c r="AD166" s="195" t="s">
        <v>69</v>
      </c>
      <c r="AE166" s="195" t="s">
        <v>69</v>
      </c>
      <c r="AF166" s="195" t="s">
        <v>69</v>
      </c>
      <c r="AG166" s="195" t="s">
        <v>69</v>
      </c>
      <c r="AH166" s="195" t="s">
        <v>69</v>
      </c>
      <c r="AI166" s="195" t="s">
        <v>69</v>
      </c>
      <c r="AJ166" s="195" t="s">
        <v>69</v>
      </c>
      <c r="AK166" s="195" t="s">
        <v>69</v>
      </c>
      <c r="AL166" s="195" t="s">
        <v>69</v>
      </c>
      <c r="AM166" s="195" t="s">
        <v>69</v>
      </c>
      <c r="AN166" s="195" t="s">
        <v>69</v>
      </c>
      <c r="AO166" s="195" t="s">
        <v>69</v>
      </c>
      <c r="AP166" s="195" t="s">
        <v>69</v>
      </c>
      <c r="AQ166" s="195" t="s">
        <v>69</v>
      </c>
      <c r="AR166" s="195" t="s">
        <v>69</v>
      </c>
      <c r="AS166" s="195" t="s">
        <v>69</v>
      </c>
      <c r="AT166" s="195" t="s">
        <v>69</v>
      </c>
      <c r="AU166" s="195" t="s">
        <v>69</v>
      </c>
      <c r="AV166" s="195" t="s">
        <v>69</v>
      </c>
      <c r="AW166" s="195" t="s">
        <v>69</v>
      </c>
      <c r="AX166" s="195" t="s">
        <v>69</v>
      </c>
      <c r="AY166" s="195" t="s">
        <v>69</v>
      </c>
      <c r="AZ166" s="195" t="s">
        <v>69</v>
      </c>
      <c r="BA166" s="195" t="s">
        <v>69</v>
      </c>
      <c r="BB166" s="195" t="s">
        <v>69</v>
      </c>
      <c r="BC166" s="195" t="s">
        <v>69</v>
      </c>
      <c r="BD166" s="195" t="s">
        <v>69</v>
      </c>
      <c r="BE166" s="195" t="s">
        <v>69</v>
      </c>
      <c r="BF166" s="195" t="s">
        <v>69</v>
      </c>
      <c r="BG166" s="195" t="s">
        <v>69</v>
      </c>
      <c r="BH166" s="195" t="s">
        <v>69</v>
      </c>
      <c r="BI166" s="195" t="s">
        <v>69</v>
      </c>
      <c r="BJ166" s="195" t="s">
        <v>69</v>
      </c>
      <c r="BK166" s="195" t="s">
        <v>69</v>
      </c>
      <c r="BL166" s="195" t="s">
        <v>69</v>
      </c>
      <c r="BM166" s="195" t="s">
        <v>69</v>
      </c>
      <c r="BN166" s="195" t="s">
        <v>69</v>
      </c>
      <c r="BO166" s="195" t="s">
        <v>69</v>
      </c>
      <c r="BP166" s="195" t="s">
        <v>69</v>
      </c>
      <c r="BQ166" s="195" t="s">
        <v>69</v>
      </c>
      <c r="BR166" s="195" t="s">
        <v>69</v>
      </c>
      <c r="BS166" s="195" t="s">
        <v>69</v>
      </c>
      <c r="BT166" s="195" t="s">
        <v>69</v>
      </c>
      <c r="BU166" s="195" t="s">
        <v>69</v>
      </c>
      <c r="BV166" s="195" t="s">
        <v>69</v>
      </c>
      <c r="BW166" s="195" t="s">
        <v>69</v>
      </c>
      <c r="BX166" s="195" t="s">
        <v>69</v>
      </c>
      <c r="BY166" s="195" t="s">
        <v>69</v>
      </c>
      <c r="BZ166" s="195" t="s">
        <v>69</v>
      </c>
      <c r="CA166" s="195" t="s">
        <v>69</v>
      </c>
      <c r="CB166" s="195" t="s">
        <v>69</v>
      </c>
      <c r="CC166" s="195" t="s">
        <v>69</v>
      </c>
      <c r="CD166" s="195" t="s">
        <v>69</v>
      </c>
      <c r="CE166" s="195" t="s">
        <v>69</v>
      </c>
      <c r="CF166" s="195" t="s">
        <v>69</v>
      </c>
      <c r="CG166" s="195" t="s">
        <v>69</v>
      </c>
      <c r="CH166" s="195" t="s">
        <v>69</v>
      </c>
      <c r="CI166" s="195" t="s">
        <v>69</v>
      </c>
      <c r="CJ166" s="195" t="s">
        <v>69</v>
      </c>
      <c r="CK166" s="195" t="s">
        <v>69</v>
      </c>
      <c r="CL166" s="195" t="s">
        <v>69</v>
      </c>
      <c r="CM166" s="195" t="s">
        <v>69</v>
      </c>
      <c r="CN166" s="195" t="s">
        <v>69</v>
      </c>
      <c r="CO166" s="195" t="s">
        <v>69</v>
      </c>
      <c r="CP166" s="195" t="s">
        <v>69</v>
      </c>
      <c r="CQ166" s="195" t="s">
        <v>69</v>
      </c>
      <c r="CR166" s="195" t="s">
        <v>69</v>
      </c>
      <c r="CS166" s="195" t="s">
        <v>69</v>
      </c>
      <c r="CT166" s="195" t="s">
        <v>69</v>
      </c>
      <c r="CU166" s="195" t="s">
        <v>69</v>
      </c>
      <c r="CV166" s="195" t="s">
        <v>69</v>
      </c>
      <c r="CW166" s="195" t="s">
        <v>69</v>
      </c>
      <c r="CX166" s="195" t="s">
        <v>69</v>
      </c>
      <c r="CY166" s="195" t="s">
        <v>69</v>
      </c>
      <c r="CZ166" s="195" t="s">
        <v>69</v>
      </c>
      <c r="DA166" s="195" t="s">
        <v>69</v>
      </c>
      <c r="DB166" s="195" t="s">
        <v>69</v>
      </c>
      <c r="DC166" s="195" t="s">
        <v>69</v>
      </c>
      <c r="DD166" s="195" t="s">
        <v>69</v>
      </c>
      <c r="DE166" s="195" t="s">
        <v>69</v>
      </c>
      <c r="DF166" s="195" t="s">
        <v>69</v>
      </c>
      <c r="DG166" s="195" t="s">
        <v>69</v>
      </c>
      <c r="DH166" s="195" t="s">
        <v>69</v>
      </c>
      <c r="DI166" s="195" t="s">
        <v>69</v>
      </c>
      <c r="DJ166" s="195" t="s">
        <v>69</v>
      </c>
      <c r="DK166" s="195" t="s">
        <v>69</v>
      </c>
      <c r="DL166" s="195" t="s">
        <v>69</v>
      </c>
      <c r="DM166" s="195" t="s">
        <v>69</v>
      </c>
      <c r="DN166" s="195" t="s">
        <v>69</v>
      </c>
      <c r="DO166" s="195" t="s">
        <v>69</v>
      </c>
      <c r="DP166" s="195" t="s">
        <v>69</v>
      </c>
      <c r="DQ166" s="195" t="s">
        <v>69</v>
      </c>
      <c r="DR166" s="195" t="s">
        <v>69</v>
      </c>
      <c r="DS166" s="195" t="s">
        <v>69</v>
      </c>
      <c r="DT166" s="195" t="s">
        <v>69</v>
      </c>
      <c r="DU166" s="195" t="s">
        <v>69</v>
      </c>
      <c r="DV166" s="110"/>
      <c r="DW166" s="104"/>
    </row>
    <row r="167" spans="1:127" ht="42" customHeight="1" thickBot="1">
      <c r="A167" s="253" t="s">
        <v>890</v>
      </c>
      <c r="B167" s="254" t="s">
        <v>891</v>
      </c>
      <c r="C167" s="208">
        <v>45965</v>
      </c>
      <c r="D167" s="220" t="s">
        <v>434</v>
      </c>
      <c r="E167" s="257"/>
      <c r="F167" s="195" t="s">
        <v>69</v>
      </c>
      <c r="G167" s="195" t="s">
        <v>69</v>
      </c>
      <c r="H167" s="195" t="s">
        <v>69</v>
      </c>
      <c r="I167" s="195" t="s">
        <v>69</v>
      </c>
      <c r="J167" s="195" t="s">
        <v>69</v>
      </c>
      <c r="K167" s="195" t="s">
        <v>69</v>
      </c>
      <c r="L167" s="195" t="s">
        <v>69</v>
      </c>
      <c r="M167" s="195" t="s">
        <v>69</v>
      </c>
      <c r="N167" s="195" t="s">
        <v>69</v>
      </c>
      <c r="O167" s="195" t="s">
        <v>69</v>
      </c>
      <c r="P167" s="195" t="s">
        <v>69</v>
      </c>
      <c r="Q167" s="195" t="s">
        <v>69</v>
      </c>
      <c r="R167" s="195" t="s">
        <v>69</v>
      </c>
      <c r="S167" s="195" t="s">
        <v>69</v>
      </c>
      <c r="T167" s="195" t="s">
        <v>69</v>
      </c>
      <c r="U167" s="195" t="s">
        <v>69</v>
      </c>
      <c r="V167" s="195" t="s">
        <v>69</v>
      </c>
      <c r="W167" s="195" t="s">
        <v>69</v>
      </c>
      <c r="X167" s="195" t="s">
        <v>69</v>
      </c>
      <c r="Y167" s="195" t="s">
        <v>69</v>
      </c>
      <c r="Z167" s="195" t="s">
        <v>69</v>
      </c>
      <c r="AA167" s="195" t="s">
        <v>69</v>
      </c>
      <c r="AB167" s="195" t="s">
        <v>69</v>
      </c>
      <c r="AC167" s="195" t="s">
        <v>69</v>
      </c>
      <c r="AD167" s="195" t="s">
        <v>69</v>
      </c>
      <c r="AE167" s="195" t="s">
        <v>69</v>
      </c>
      <c r="AF167" s="195" t="s">
        <v>69</v>
      </c>
      <c r="AG167" s="195" t="s">
        <v>69</v>
      </c>
      <c r="AH167" s="195" t="s">
        <v>69</v>
      </c>
      <c r="AI167" s="195" t="s">
        <v>69</v>
      </c>
      <c r="AJ167" s="195" t="s">
        <v>69</v>
      </c>
      <c r="AK167" s="195" t="s">
        <v>69</v>
      </c>
      <c r="AL167" s="195" t="s">
        <v>69</v>
      </c>
      <c r="AM167" s="195" t="s">
        <v>69</v>
      </c>
      <c r="AN167" s="195" t="s">
        <v>69</v>
      </c>
      <c r="AO167" s="195" t="s">
        <v>69</v>
      </c>
      <c r="AP167" s="195" t="s">
        <v>69</v>
      </c>
      <c r="AQ167" s="195" t="s">
        <v>69</v>
      </c>
      <c r="AR167" s="195" t="s">
        <v>69</v>
      </c>
      <c r="AS167" s="195" t="s">
        <v>69</v>
      </c>
      <c r="AT167" s="195" t="s">
        <v>69</v>
      </c>
      <c r="AU167" s="195" t="s">
        <v>69</v>
      </c>
      <c r="AV167" s="195" t="s">
        <v>69</v>
      </c>
      <c r="AW167" s="195" t="s">
        <v>69</v>
      </c>
      <c r="AX167" s="195" t="s">
        <v>69</v>
      </c>
      <c r="AY167" s="195" t="s">
        <v>69</v>
      </c>
      <c r="AZ167" s="195" t="s">
        <v>69</v>
      </c>
      <c r="BA167" s="195" t="s">
        <v>69</v>
      </c>
      <c r="BB167" s="195" t="s">
        <v>69</v>
      </c>
      <c r="BC167" s="195" t="s">
        <v>69</v>
      </c>
      <c r="BD167" s="195" t="s">
        <v>69</v>
      </c>
      <c r="BE167" s="195" t="s">
        <v>69</v>
      </c>
      <c r="BF167" s="195" t="s">
        <v>69</v>
      </c>
      <c r="BG167" s="195" t="s">
        <v>69</v>
      </c>
      <c r="BH167" s="195" t="s">
        <v>69</v>
      </c>
      <c r="BI167" s="195" t="s">
        <v>69</v>
      </c>
      <c r="BJ167" s="195" t="s">
        <v>69</v>
      </c>
      <c r="BK167" s="195" t="s">
        <v>69</v>
      </c>
      <c r="BL167" s="195" t="s">
        <v>69</v>
      </c>
      <c r="BM167" s="195" t="s">
        <v>69</v>
      </c>
      <c r="BN167" s="195" t="s">
        <v>69</v>
      </c>
      <c r="BO167" s="195" t="s">
        <v>69</v>
      </c>
      <c r="BP167" s="195" t="s">
        <v>69</v>
      </c>
      <c r="BQ167" s="195" t="s">
        <v>69</v>
      </c>
      <c r="BR167" s="195" t="s">
        <v>69</v>
      </c>
      <c r="BS167" s="195" t="s">
        <v>69</v>
      </c>
      <c r="BT167" s="195" t="s">
        <v>69</v>
      </c>
      <c r="BU167" s="195" t="s">
        <v>69</v>
      </c>
      <c r="BV167" s="195" t="s">
        <v>69</v>
      </c>
      <c r="BW167" s="195" t="s">
        <v>69</v>
      </c>
      <c r="BX167" s="195" t="s">
        <v>69</v>
      </c>
      <c r="BY167" s="195" t="s">
        <v>69</v>
      </c>
      <c r="BZ167" s="195" t="s">
        <v>69</v>
      </c>
      <c r="CA167" s="195" t="s">
        <v>69</v>
      </c>
      <c r="CB167" s="195" t="s">
        <v>69</v>
      </c>
      <c r="CC167" s="195" t="s">
        <v>69</v>
      </c>
      <c r="CD167" s="195" t="s">
        <v>69</v>
      </c>
      <c r="CE167" s="195" t="s">
        <v>69</v>
      </c>
      <c r="CF167" s="195" t="s">
        <v>69</v>
      </c>
      <c r="CG167" s="195" t="s">
        <v>69</v>
      </c>
      <c r="CH167" s="195" t="s">
        <v>69</v>
      </c>
      <c r="CI167" s="195" t="s">
        <v>69</v>
      </c>
      <c r="CJ167" s="195" t="s">
        <v>69</v>
      </c>
      <c r="CK167" s="195" t="s">
        <v>69</v>
      </c>
      <c r="CL167" s="195" t="s">
        <v>69</v>
      </c>
      <c r="CM167" s="195" t="s">
        <v>69</v>
      </c>
      <c r="CN167" s="195" t="s">
        <v>69</v>
      </c>
      <c r="CO167" s="195" t="s">
        <v>69</v>
      </c>
      <c r="CP167" s="195" t="s">
        <v>69</v>
      </c>
      <c r="CQ167" s="195" t="s">
        <v>69</v>
      </c>
      <c r="CR167" s="195" t="s">
        <v>69</v>
      </c>
      <c r="CS167" s="195" t="s">
        <v>69</v>
      </c>
      <c r="CT167" s="195" t="s">
        <v>69</v>
      </c>
      <c r="CU167" s="195" t="s">
        <v>69</v>
      </c>
      <c r="CV167" s="195" t="s">
        <v>69</v>
      </c>
      <c r="CW167" s="195" t="s">
        <v>69</v>
      </c>
      <c r="CX167" s="195" t="s">
        <v>69</v>
      </c>
      <c r="CY167" s="195" t="s">
        <v>69</v>
      </c>
      <c r="CZ167" s="195" t="s">
        <v>69</v>
      </c>
      <c r="DA167" s="195" t="s">
        <v>69</v>
      </c>
      <c r="DB167" s="195" t="s">
        <v>69</v>
      </c>
      <c r="DC167" s="195" t="s">
        <v>69</v>
      </c>
      <c r="DD167" s="195" t="s">
        <v>69</v>
      </c>
      <c r="DE167" s="195" t="s">
        <v>69</v>
      </c>
      <c r="DF167" s="195" t="s">
        <v>69</v>
      </c>
      <c r="DG167" s="195" t="s">
        <v>69</v>
      </c>
      <c r="DH167" s="195" t="s">
        <v>69</v>
      </c>
      <c r="DI167" s="195" t="s">
        <v>69</v>
      </c>
      <c r="DJ167" s="195" t="s">
        <v>69</v>
      </c>
      <c r="DK167" s="195" t="s">
        <v>69</v>
      </c>
      <c r="DL167" s="195" t="s">
        <v>69</v>
      </c>
      <c r="DM167" s="195" t="s">
        <v>69</v>
      </c>
      <c r="DN167" s="195" t="s">
        <v>69</v>
      </c>
      <c r="DO167" s="195" t="s">
        <v>69</v>
      </c>
      <c r="DP167" s="195" t="s">
        <v>69</v>
      </c>
      <c r="DQ167" s="195" t="s">
        <v>69</v>
      </c>
      <c r="DR167" s="195" t="s">
        <v>69</v>
      </c>
      <c r="DS167" s="195" t="s">
        <v>69</v>
      </c>
      <c r="DT167" s="195" t="s">
        <v>69</v>
      </c>
      <c r="DU167" s="195" t="s">
        <v>69</v>
      </c>
      <c r="DV167" s="110"/>
      <c r="DW167" s="104"/>
    </row>
    <row r="168" spans="1:127" ht="42" customHeight="1" thickBot="1">
      <c r="A168" s="253" t="s">
        <v>865</v>
      </c>
      <c r="B168" s="254" t="s">
        <v>892</v>
      </c>
      <c r="C168" s="208">
        <v>45965</v>
      </c>
      <c r="D168" s="220" t="s">
        <v>434</v>
      </c>
      <c r="E168" s="257"/>
      <c r="F168" s="195" t="s">
        <v>69</v>
      </c>
      <c r="G168" s="195" t="s">
        <v>69</v>
      </c>
      <c r="H168" s="195" t="s">
        <v>69</v>
      </c>
      <c r="I168" s="195" t="s">
        <v>69</v>
      </c>
      <c r="J168" s="195" t="s">
        <v>69</v>
      </c>
      <c r="K168" s="195" t="s">
        <v>69</v>
      </c>
      <c r="L168" s="195" t="s">
        <v>69</v>
      </c>
      <c r="M168" s="195" t="s">
        <v>69</v>
      </c>
      <c r="N168" s="195" t="s">
        <v>69</v>
      </c>
      <c r="O168" s="195" t="s">
        <v>69</v>
      </c>
      <c r="P168" s="195" t="s">
        <v>69</v>
      </c>
      <c r="Q168" s="195" t="s">
        <v>69</v>
      </c>
      <c r="R168" s="195" t="s">
        <v>69</v>
      </c>
      <c r="S168" s="195" t="s">
        <v>69</v>
      </c>
      <c r="T168" s="195" t="s">
        <v>69</v>
      </c>
      <c r="U168" s="195" t="s">
        <v>69</v>
      </c>
      <c r="V168" s="195" t="s">
        <v>69</v>
      </c>
      <c r="W168" s="195" t="s">
        <v>69</v>
      </c>
      <c r="X168" s="195" t="s">
        <v>69</v>
      </c>
      <c r="Y168" s="195" t="s">
        <v>69</v>
      </c>
      <c r="Z168" s="195" t="s">
        <v>69</v>
      </c>
      <c r="AA168" s="195" t="s">
        <v>69</v>
      </c>
      <c r="AB168" s="195" t="s">
        <v>69</v>
      </c>
      <c r="AC168" s="195" t="s">
        <v>69</v>
      </c>
      <c r="AD168" s="195" t="s">
        <v>69</v>
      </c>
      <c r="AE168" s="195" t="s">
        <v>69</v>
      </c>
      <c r="AF168" s="195" t="s">
        <v>69</v>
      </c>
      <c r="AG168" s="195" t="s">
        <v>69</v>
      </c>
      <c r="AH168" s="195" t="s">
        <v>69</v>
      </c>
      <c r="AI168" s="195" t="s">
        <v>69</v>
      </c>
      <c r="AJ168" s="195" t="s">
        <v>69</v>
      </c>
      <c r="AK168" s="195" t="s">
        <v>69</v>
      </c>
      <c r="AL168" s="195" t="s">
        <v>69</v>
      </c>
      <c r="AM168" s="195" t="s">
        <v>69</v>
      </c>
      <c r="AN168" s="195" t="s">
        <v>69</v>
      </c>
      <c r="AO168" s="195" t="s">
        <v>69</v>
      </c>
      <c r="AP168" s="195" t="s">
        <v>69</v>
      </c>
      <c r="AQ168" s="195" t="s">
        <v>69</v>
      </c>
      <c r="AR168" s="195" t="s">
        <v>69</v>
      </c>
      <c r="AS168" s="195" t="s">
        <v>69</v>
      </c>
      <c r="AT168" s="195" t="s">
        <v>69</v>
      </c>
      <c r="AU168" s="195" t="s">
        <v>69</v>
      </c>
      <c r="AV168" s="195" t="s">
        <v>69</v>
      </c>
      <c r="AW168" s="195" t="s">
        <v>69</v>
      </c>
      <c r="AX168" s="195" t="s">
        <v>69</v>
      </c>
      <c r="AY168" s="195" t="s">
        <v>69</v>
      </c>
      <c r="AZ168" s="195" t="s">
        <v>69</v>
      </c>
      <c r="BA168" s="195" t="s">
        <v>69</v>
      </c>
      <c r="BB168" s="195" t="s">
        <v>69</v>
      </c>
      <c r="BC168" s="195" t="s">
        <v>69</v>
      </c>
      <c r="BD168" s="195" t="s">
        <v>69</v>
      </c>
      <c r="BE168" s="195" t="s">
        <v>69</v>
      </c>
      <c r="BF168" s="195" t="s">
        <v>69</v>
      </c>
      <c r="BG168" s="195" t="s">
        <v>69</v>
      </c>
      <c r="BH168" s="195" t="s">
        <v>69</v>
      </c>
      <c r="BI168" s="195" t="s">
        <v>69</v>
      </c>
      <c r="BJ168" s="195" t="s">
        <v>69</v>
      </c>
      <c r="BK168" s="195" t="s">
        <v>69</v>
      </c>
      <c r="BL168" s="195" t="s">
        <v>69</v>
      </c>
      <c r="BM168" s="195" t="s">
        <v>69</v>
      </c>
      <c r="BN168" s="195" t="s">
        <v>69</v>
      </c>
      <c r="BO168" s="195" t="s">
        <v>69</v>
      </c>
      <c r="BP168" s="195" t="s">
        <v>69</v>
      </c>
      <c r="BQ168" s="195" t="s">
        <v>69</v>
      </c>
      <c r="BR168" s="195" t="s">
        <v>69</v>
      </c>
      <c r="BS168" s="195" t="s">
        <v>69</v>
      </c>
      <c r="BT168" s="195" t="s">
        <v>69</v>
      </c>
      <c r="BU168" s="195" t="s">
        <v>69</v>
      </c>
      <c r="BV168" s="195" t="s">
        <v>69</v>
      </c>
      <c r="BW168" s="195" t="s">
        <v>69</v>
      </c>
      <c r="BX168" s="195" t="s">
        <v>69</v>
      </c>
      <c r="BY168" s="195" t="s">
        <v>69</v>
      </c>
      <c r="BZ168" s="195" t="s">
        <v>69</v>
      </c>
      <c r="CA168" s="195" t="s">
        <v>69</v>
      </c>
      <c r="CB168" s="195" t="s">
        <v>69</v>
      </c>
      <c r="CC168" s="195" t="s">
        <v>69</v>
      </c>
      <c r="CD168" s="195" t="s">
        <v>69</v>
      </c>
      <c r="CE168" s="195" t="s">
        <v>69</v>
      </c>
      <c r="CF168" s="195" t="s">
        <v>69</v>
      </c>
      <c r="CG168" s="195" t="s">
        <v>69</v>
      </c>
      <c r="CH168" s="195" t="s">
        <v>69</v>
      </c>
      <c r="CI168" s="195" t="s">
        <v>69</v>
      </c>
      <c r="CJ168" s="195" t="s">
        <v>69</v>
      </c>
      <c r="CK168" s="195" t="s">
        <v>69</v>
      </c>
      <c r="CL168" s="195" t="s">
        <v>69</v>
      </c>
      <c r="CM168" s="195" t="s">
        <v>69</v>
      </c>
      <c r="CN168" s="195" t="s">
        <v>69</v>
      </c>
      <c r="CO168" s="195" t="s">
        <v>69</v>
      </c>
      <c r="CP168" s="195" t="s">
        <v>69</v>
      </c>
      <c r="CQ168" s="195" t="s">
        <v>69</v>
      </c>
      <c r="CR168" s="195" t="s">
        <v>69</v>
      </c>
      <c r="CS168" s="195" t="s">
        <v>69</v>
      </c>
      <c r="CT168" s="195" t="s">
        <v>69</v>
      </c>
      <c r="CU168" s="195" t="s">
        <v>69</v>
      </c>
      <c r="CV168" s="195" t="s">
        <v>69</v>
      </c>
      <c r="CW168" s="195" t="s">
        <v>69</v>
      </c>
      <c r="CX168" s="195" t="s">
        <v>69</v>
      </c>
      <c r="CY168" s="195" t="s">
        <v>69</v>
      </c>
      <c r="CZ168" s="195" t="s">
        <v>69</v>
      </c>
      <c r="DA168" s="195" t="s">
        <v>69</v>
      </c>
      <c r="DB168" s="195" t="s">
        <v>69</v>
      </c>
      <c r="DC168" s="195" t="s">
        <v>69</v>
      </c>
      <c r="DD168" s="195" t="s">
        <v>69</v>
      </c>
      <c r="DE168" s="195" t="s">
        <v>69</v>
      </c>
      <c r="DF168" s="195" t="s">
        <v>69</v>
      </c>
      <c r="DG168" s="195" t="s">
        <v>69</v>
      </c>
      <c r="DH168" s="195" t="s">
        <v>69</v>
      </c>
      <c r="DI168" s="195" t="s">
        <v>69</v>
      </c>
      <c r="DJ168" s="195" t="s">
        <v>69</v>
      </c>
      <c r="DK168" s="195" t="s">
        <v>69</v>
      </c>
      <c r="DL168" s="195" t="s">
        <v>69</v>
      </c>
      <c r="DM168" s="195" t="s">
        <v>69</v>
      </c>
      <c r="DN168" s="195" t="s">
        <v>69</v>
      </c>
      <c r="DO168" s="195" t="s">
        <v>69</v>
      </c>
      <c r="DP168" s="195" t="s">
        <v>69</v>
      </c>
      <c r="DQ168" s="195" t="s">
        <v>69</v>
      </c>
      <c r="DR168" s="195" t="s">
        <v>69</v>
      </c>
      <c r="DS168" s="195" t="s">
        <v>69</v>
      </c>
      <c r="DT168" s="195" t="s">
        <v>69</v>
      </c>
      <c r="DU168" s="195" t="s">
        <v>69</v>
      </c>
      <c r="DV168" s="110"/>
      <c r="DW168" s="104"/>
    </row>
    <row r="169" spans="1:127" ht="42" customHeight="1" thickBot="1">
      <c r="A169" s="253" t="s">
        <v>893</v>
      </c>
      <c r="B169" s="254" t="s">
        <v>894</v>
      </c>
      <c r="C169" s="208">
        <v>45965</v>
      </c>
      <c r="D169" s="220" t="s">
        <v>434</v>
      </c>
      <c r="E169" s="257"/>
      <c r="F169" s="195" t="s">
        <v>69</v>
      </c>
      <c r="G169" s="195" t="s">
        <v>69</v>
      </c>
      <c r="H169" s="195" t="s">
        <v>69</v>
      </c>
      <c r="I169" s="195" t="s">
        <v>69</v>
      </c>
      <c r="J169" s="195" t="s">
        <v>69</v>
      </c>
      <c r="K169" s="195" t="s">
        <v>69</v>
      </c>
      <c r="L169" s="195" t="s">
        <v>69</v>
      </c>
      <c r="M169" s="195" t="s">
        <v>69</v>
      </c>
      <c r="N169" s="195" t="s">
        <v>69</v>
      </c>
      <c r="O169" s="195" t="s">
        <v>69</v>
      </c>
      <c r="P169" s="195" t="s">
        <v>69</v>
      </c>
      <c r="Q169" s="195" t="s">
        <v>69</v>
      </c>
      <c r="R169" s="195" t="s">
        <v>69</v>
      </c>
      <c r="S169" s="195" t="s">
        <v>69</v>
      </c>
      <c r="T169" s="195" t="s">
        <v>69</v>
      </c>
      <c r="U169" s="195" t="s">
        <v>69</v>
      </c>
      <c r="V169" s="195" t="s">
        <v>69</v>
      </c>
      <c r="W169" s="195" t="s">
        <v>69</v>
      </c>
      <c r="X169" s="195" t="s">
        <v>69</v>
      </c>
      <c r="Y169" s="195" t="s">
        <v>69</v>
      </c>
      <c r="Z169" s="195" t="s">
        <v>69</v>
      </c>
      <c r="AA169" s="195" t="s">
        <v>69</v>
      </c>
      <c r="AB169" s="195" t="s">
        <v>69</v>
      </c>
      <c r="AC169" s="195" t="s">
        <v>69</v>
      </c>
      <c r="AD169" s="195" t="s">
        <v>69</v>
      </c>
      <c r="AE169" s="195" t="s">
        <v>69</v>
      </c>
      <c r="AF169" s="195" t="s">
        <v>69</v>
      </c>
      <c r="AG169" s="195" t="s">
        <v>69</v>
      </c>
      <c r="AH169" s="195" t="s">
        <v>69</v>
      </c>
      <c r="AI169" s="195" t="s">
        <v>69</v>
      </c>
      <c r="AJ169" s="195" t="s">
        <v>69</v>
      </c>
      <c r="AK169" s="195" t="s">
        <v>69</v>
      </c>
      <c r="AL169" s="195" t="s">
        <v>69</v>
      </c>
      <c r="AM169" s="195" t="s">
        <v>69</v>
      </c>
      <c r="AN169" s="195" t="s">
        <v>69</v>
      </c>
      <c r="AO169" s="195" t="s">
        <v>69</v>
      </c>
      <c r="AP169" s="195" t="s">
        <v>69</v>
      </c>
      <c r="AQ169" s="195" t="s">
        <v>69</v>
      </c>
      <c r="AR169" s="195" t="s">
        <v>69</v>
      </c>
      <c r="AS169" s="195" t="s">
        <v>69</v>
      </c>
      <c r="AT169" s="195" t="s">
        <v>69</v>
      </c>
      <c r="AU169" s="195" t="s">
        <v>69</v>
      </c>
      <c r="AV169" s="195" t="s">
        <v>69</v>
      </c>
      <c r="AW169" s="195" t="s">
        <v>69</v>
      </c>
      <c r="AX169" s="195" t="s">
        <v>69</v>
      </c>
      <c r="AY169" s="195" t="s">
        <v>69</v>
      </c>
      <c r="AZ169" s="195" t="s">
        <v>69</v>
      </c>
      <c r="BA169" s="195" t="s">
        <v>69</v>
      </c>
      <c r="BB169" s="195" t="s">
        <v>69</v>
      </c>
      <c r="BC169" s="195" t="s">
        <v>69</v>
      </c>
      <c r="BD169" s="195" t="s">
        <v>69</v>
      </c>
      <c r="BE169" s="195" t="s">
        <v>69</v>
      </c>
      <c r="BF169" s="195" t="s">
        <v>69</v>
      </c>
      <c r="BG169" s="195" t="s">
        <v>69</v>
      </c>
      <c r="BH169" s="195" t="s">
        <v>69</v>
      </c>
      <c r="BI169" s="195" t="s">
        <v>69</v>
      </c>
      <c r="BJ169" s="195" t="s">
        <v>69</v>
      </c>
      <c r="BK169" s="195" t="s">
        <v>69</v>
      </c>
      <c r="BL169" s="195" t="s">
        <v>69</v>
      </c>
      <c r="BM169" s="195" t="s">
        <v>69</v>
      </c>
      <c r="BN169" s="195" t="s">
        <v>69</v>
      </c>
      <c r="BO169" s="195" t="s">
        <v>69</v>
      </c>
      <c r="BP169" s="195" t="s">
        <v>69</v>
      </c>
      <c r="BQ169" s="195" t="s">
        <v>69</v>
      </c>
      <c r="BR169" s="195" t="s">
        <v>69</v>
      </c>
      <c r="BS169" s="195" t="s">
        <v>69</v>
      </c>
      <c r="BT169" s="195" t="s">
        <v>69</v>
      </c>
      <c r="BU169" s="195" t="s">
        <v>69</v>
      </c>
      <c r="BV169" s="195" t="s">
        <v>69</v>
      </c>
      <c r="BW169" s="195" t="s">
        <v>69</v>
      </c>
      <c r="BX169" s="195" t="s">
        <v>69</v>
      </c>
      <c r="BY169" s="195" t="s">
        <v>69</v>
      </c>
      <c r="BZ169" s="195" t="s">
        <v>69</v>
      </c>
      <c r="CA169" s="195" t="s">
        <v>69</v>
      </c>
      <c r="CB169" s="195" t="s">
        <v>69</v>
      </c>
      <c r="CC169" s="195" t="s">
        <v>69</v>
      </c>
      <c r="CD169" s="195" t="s">
        <v>69</v>
      </c>
      <c r="CE169" s="195" t="s">
        <v>69</v>
      </c>
      <c r="CF169" s="195" t="s">
        <v>69</v>
      </c>
      <c r="CG169" s="195" t="s">
        <v>69</v>
      </c>
      <c r="CH169" s="195" t="s">
        <v>69</v>
      </c>
      <c r="CI169" s="195" t="s">
        <v>69</v>
      </c>
      <c r="CJ169" s="195" t="s">
        <v>69</v>
      </c>
      <c r="CK169" s="195" t="s">
        <v>69</v>
      </c>
      <c r="CL169" s="195" t="s">
        <v>69</v>
      </c>
      <c r="CM169" s="195" t="s">
        <v>69</v>
      </c>
      <c r="CN169" s="195" t="s">
        <v>69</v>
      </c>
      <c r="CO169" s="195" t="s">
        <v>69</v>
      </c>
      <c r="CP169" s="195" t="s">
        <v>69</v>
      </c>
      <c r="CQ169" s="195" t="s">
        <v>69</v>
      </c>
      <c r="CR169" s="195" t="s">
        <v>69</v>
      </c>
      <c r="CS169" s="195" t="s">
        <v>69</v>
      </c>
      <c r="CT169" s="195" t="s">
        <v>69</v>
      </c>
      <c r="CU169" s="195" t="s">
        <v>69</v>
      </c>
      <c r="CV169" s="195" t="s">
        <v>69</v>
      </c>
      <c r="CW169" s="195" t="s">
        <v>69</v>
      </c>
      <c r="CX169" s="195" t="s">
        <v>69</v>
      </c>
      <c r="CY169" s="195" t="s">
        <v>69</v>
      </c>
      <c r="CZ169" s="195" t="s">
        <v>69</v>
      </c>
      <c r="DA169" s="195" t="s">
        <v>69</v>
      </c>
      <c r="DB169" s="195" t="s">
        <v>69</v>
      </c>
      <c r="DC169" s="195" t="s">
        <v>69</v>
      </c>
      <c r="DD169" s="195" t="s">
        <v>69</v>
      </c>
      <c r="DE169" s="195" t="s">
        <v>69</v>
      </c>
      <c r="DF169" s="195" t="s">
        <v>69</v>
      </c>
      <c r="DG169" s="195" t="s">
        <v>69</v>
      </c>
      <c r="DH169" s="195" t="s">
        <v>69</v>
      </c>
      <c r="DI169" s="195" t="s">
        <v>69</v>
      </c>
      <c r="DJ169" s="195" t="s">
        <v>69</v>
      </c>
      <c r="DK169" s="195" t="s">
        <v>69</v>
      </c>
      <c r="DL169" s="195" t="s">
        <v>69</v>
      </c>
      <c r="DM169" s="195" t="s">
        <v>69</v>
      </c>
      <c r="DN169" s="195" t="s">
        <v>69</v>
      </c>
      <c r="DO169" s="195" t="s">
        <v>69</v>
      </c>
      <c r="DP169" s="195" t="s">
        <v>69</v>
      </c>
      <c r="DQ169" s="195" t="s">
        <v>69</v>
      </c>
      <c r="DR169" s="195" t="s">
        <v>69</v>
      </c>
      <c r="DS169" s="195" t="s">
        <v>69</v>
      </c>
      <c r="DT169" s="195" t="s">
        <v>69</v>
      </c>
      <c r="DU169" s="195" t="s">
        <v>69</v>
      </c>
      <c r="DV169" s="110"/>
      <c r="DW169" s="104"/>
    </row>
    <row r="170" spans="1:127">
      <c r="AA170" s="30"/>
      <c r="AB170" s="30"/>
      <c r="AC170" s="30"/>
      <c r="DK170"/>
      <c r="DL170"/>
      <c r="DM170"/>
      <c r="DN170"/>
    </row>
    <row r="171" spans="1:127">
      <c r="AA171" s="30"/>
      <c r="AB171" s="30"/>
      <c r="AC171" s="30"/>
      <c r="DK171"/>
      <c r="DL171"/>
      <c r="DM171"/>
      <c r="DN171"/>
    </row>
    <row r="172" spans="1:127">
      <c r="AA172" s="30"/>
      <c r="AB172" s="30"/>
      <c r="AC172" s="30"/>
      <c r="DK172"/>
      <c r="DL172"/>
      <c r="DM172"/>
      <c r="DN172"/>
    </row>
    <row r="173" spans="1:127">
      <c r="AA173" s="30"/>
      <c r="AB173" s="30"/>
      <c r="AC173" s="30"/>
      <c r="DK173"/>
      <c r="DL173"/>
      <c r="DM173"/>
      <c r="DN173"/>
    </row>
    <row r="174" spans="1:127">
      <c r="AA174" s="30"/>
      <c r="AB174" s="30"/>
      <c r="AC174" s="30"/>
      <c r="DK174"/>
      <c r="DL174"/>
      <c r="DM174"/>
      <c r="DN174"/>
    </row>
    <row r="175" spans="1:127">
      <c r="AA175" s="30"/>
      <c r="AB175" s="30"/>
      <c r="AC175" s="30"/>
      <c r="DK175"/>
      <c r="DL175"/>
      <c r="DM175"/>
      <c r="DN175"/>
    </row>
    <row r="176" spans="1:127">
      <c r="AA176" s="30"/>
      <c r="AB176" s="30"/>
      <c r="AC176" s="30"/>
      <c r="DK176"/>
      <c r="DL176"/>
      <c r="DM176"/>
      <c r="DN176"/>
    </row>
    <row r="177" spans="27:118">
      <c r="AA177" s="30"/>
      <c r="AB177" s="30"/>
      <c r="AC177" s="30"/>
      <c r="DK177"/>
      <c r="DL177"/>
      <c r="DM177"/>
      <c r="DN177"/>
    </row>
    <row r="178" spans="27:118">
      <c r="AA178" s="30"/>
      <c r="AB178" s="30"/>
      <c r="AC178" s="30"/>
      <c r="DK178"/>
      <c r="DL178"/>
      <c r="DM178"/>
      <c r="DN178"/>
    </row>
    <row r="179" spans="27:118">
      <c r="AA179" s="30"/>
      <c r="AB179" s="30"/>
      <c r="AC179" s="30"/>
      <c r="DK179"/>
      <c r="DL179"/>
      <c r="DM179"/>
      <c r="DN179"/>
    </row>
    <row r="180" spans="27:118">
      <c r="AA180" s="30"/>
      <c r="AB180" s="30"/>
      <c r="AC180" s="30"/>
      <c r="DK180"/>
      <c r="DL180"/>
      <c r="DM180"/>
      <c r="DN180"/>
    </row>
    <row r="181" spans="27:118">
      <c r="AA181" s="30"/>
      <c r="AB181" s="30"/>
      <c r="AC181" s="30"/>
      <c r="DK181"/>
      <c r="DL181"/>
      <c r="DM181"/>
      <c r="DN181"/>
    </row>
    <row r="182" spans="27:118">
      <c r="AA182" s="30"/>
      <c r="AB182" s="30"/>
      <c r="AC182" s="30"/>
      <c r="DK182"/>
      <c r="DL182"/>
      <c r="DM182"/>
      <c r="DN182"/>
    </row>
    <row r="183" spans="27:118">
      <c r="AA183" s="30"/>
      <c r="AB183" s="30"/>
      <c r="AC183" s="30"/>
      <c r="DK183"/>
      <c r="DL183"/>
      <c r="DM183"/>
      <c r="DN183"/>
    </row>
    <row r="184" spans="27:118">
      <c r="AA184" s="30"/>
      <c r="AB184" s="30"/>
      <c r="AC184" s="30"/>
      <c r="DK184"/>
      <c r="DL184"/>
      <c r="DM184"/>
      <c r="DN184"/>
    </row>
    <row r="185" spans="27:118">
      <c r="AA185" s="30"/>
      <c r="AB185" s="30"/>
      <c r="AC185" s="30"/>
      <c r="DK185"/>
      <c r="DL185"/>
      <c r="DM185"/>
      <c r="DN185"/>
    </row>
    <row r="186" spans="27:118">
      <c r="AA186" s="30"/>
      <c r="AB186" s="30"/>
      <c r="AC186" s="30"/>
      <c r="DK186"/>
      <c r="DL186"/>
      <c r="DM186"/>
      <c r="DN186"/>
    </row>
    <row r="187" spans="27:118">
      <c r="AA187" s="30"/>
      <c r="AB187" s="30"/>
      <c r="AC187" s="30"/>
      <c r="DK187"/>
      <c r="DL187"/>
      <c r="DM187"/>
      <c r="DN187"/>
    </row>
    <row r="188" spans="27:118">
      <c r="AA188" s="30"/>
      <c r="AB188" s="30"/>
      <c r="AC188" s="30"/>
      <c r="DK188"/>
      <c r="DL188"/>
      <c r="DM188"/>
      <c r="DN188"/>
    </row>
    <row r="189" spans="27:118">
      <c r="AA189" s="30"/>
      <c r="AB189" s="30"/>
      <c r="AC189" s="30"/>
      <c r="DK189"/>
      <c r="DL189"/>
      <c r="DM189"/>
      <c r="DN189"/>
    </row>
    <row r="190" spans="27:118">
      <c r="AA190" s="30"/>
      <c r="AB190" s="30"/>
      <c r="AC190" s="30"/>
      <c r="DK190"/>
      <c r="DL190"/>
      <c r="DM190"/>
      <c r="DN190"/>
    </row>
    <row r="191" spans="27:118">
      <c r="AA191" s="30"/>
      <c r="AB191" s="30"/>
      <c r="AC191" s="30"/>
      <c r="DK191"/>
      <c r="DL191"/>
      <c r="DM191"/>
      <c r="DN191"/>
    </row>
    <row r="192" spans="27:118">
      <c r="AA192" s="30"/>
      <c r="AB192" s="30"/>
      <c r="AC192" s="30"/>
      <c r="DK192"/>
      <c r="DL192"/>
      <c r="DM192"/>
      <c r="DN192"/>
    </row>
    <row r="193" spans="27:118">
      <c r="AA193" s="30"/>
      <c r="AB193" s="30"/>
      <c r="AC193" s="30"/>
      <c r="DK193"/>
      <c r="DL193"/>
      <c r="DM193"/>
      <c r="DN193"/>
    </row>
    <row r="194" spans="27:118">
      <c r="AA194" s="30"/>
      <c r="AB194" s="30"/>
      <c r="AC194" s="30"/>
      <c r="DK194"/>
      <c r="DL194"/>
      <c r="DM194"/>
      <c r="DN194"/>
    </row>
    <row r="195" spans="27:118">
      <c r="AA195" s="30"/>
      <c r="AB195" s="30"/>
      <c r="AC195" s="30"/>
      <c r="DK195"/>
      <c r="DL195"/>
      <c r="DM195"/>
      <c r="DN195"/>
    </row>
    <row r="196" spans="27:118">
      <c r="AA196" s="30"/>
      <c r="AB196" s="30"/>
      <c r="AC196" s="30"/>
      <c r="DK196"/>
      <c r="DL196"/>
      <c r="DM196"/>
      <c r="DN196"/>
    </row>
    <row r="197" spans="27:118">
      <c r="AA197" s="30"/>
      <c r="AB197" s="30"/>
      <c r="AC197" s="30"/>
      <c r="DK197"/>
      <c r="DL197"/>
      <c r="DM197"/>
      <c r="DN197"/>
    </row>
    <row r="198" spans="27:118">
      <c r="AA198" s="30"/>
      <c r="AB198" s="30"/>
      <c r="AC198" s="30"/>
      <c r="DK198"/>
      <c r="DL198"/>
      <c r="DM198"/>
      <c r="DN198"/>
    </row>
    <row r="199" spans="27:118">
      <c r="AA199" s="30"/>
      <c r="AB199" s="30"/>
      <c r="AC199" s="30"/>
      <c r="DK199"/>
      <c r="DL199"/>
      <c r="DM199"/>
      <c r="DN199"/>
    </row>
    <row r="200" spans="27:118">
      <c r="AA200" s="30"/>
      <c r="AB200" s="30"/>
      <c r="AC200" s="30"/>
      <c r="DK200"/>
      <c r="DL200"/>
      <c r="DM200"/>
      <c r="DN200"/>
    </row>
    <row r="201" spans="27:118">
      <c r="AA201" s="30"/>
      <c r="AB201" s="30"/>
      <c r="AC201" s="30"/>
      <c r="DK201"/>
      <c r="DL201"/>
      <c r="DM201"/>
      <c r="DN201"/>
    </row>
    <row r="202" spans="27:118">
      <c r="AA202" s="30"/>
      <c r="AB202" s="30"/>
      <c r="AC202" s="30"/>
      <c r="DK202"/>
      <c r="DL202"/>
      <c r="DM202"/>
      <c r="DN202"/>
    </row>
    <row r="203" spans="27:118">
      <c r="AA203" s="30"/>
      <c r="AB203" s="30"/>
      <c r="AC203" s="30"/>
      <c r="DK203"/>
      <c r="DL203"/>
      <c r="DM203"/>
      <c r="DN203"/>
    </row>
    <row r="204" spans="27:118">
      <c r="AA204" s="30"/>
      <c r="AB204" s="30"/>
      <c r="AC204" s="30"/>
      <c r="DK204"/>
      <c r="DL204"/>
      <c r="DM204"/>
      <c r="DN204"/>
    </row>
    <row r="205" spans="27:118">
      <c r="AA205" s="30"/>
      <c r="AB205" s="30"/>
      <c r="AC205" s="30"/>
      <c r="DK205"/>
      <c r="DL205"/>
      <c r="DM205"/>
      <c r="DN205"/>
    </row>
    <row r="206" spans="27:118">
      <c r="AA206" s="30"/>
      <c r="AB206" s="30"/>
      <c r="AC206" s="30"/>
      <c r="DK206"/>
      <c r="DL206"/>
      <c r="DM206"/>
      <c r="DN206"/>
    </row>
    <row r="207" spans="27:118">
      <c r="AA207" s="30"/>
      <c r="AB207" s="30"/>
      <c r="AC207" s="30"/>
      <c r="DK207"/>
      <c r="DL207"/>
      <c r="DM207"/>
      <c r="DN207"/>
    </row>
    <row r="208" spans="27:118">
      <c r="AA208" s="30"/>
      <c r="AB208" s="30"/>
      <c r="AC208" s="30"/>
      <c r="DK208"/>
      <c r="DL208"/>
      <c r="DM208"/>
      <c r="DN208"/>
    </row>
    <row r="209" spans="27:118">
      <c r="AA209" s="30"/>
      <c r="AB209" s="30"/>
      <c r="AC209" s="30"/>
      <c r="DK209"/>
      <c r="DL209"/>
      <c r="DM209"/>
      <c r="DN209"/>
    </row>
    <row r="210" spans="27:118">
      <c r="AA210" s="30"/>
      <c r="AB210" s="30"/>
      <c r="AC210" s="30"/>
      <c r="DK210"/>
      <c r="DL210"/>
      <c r="DM210"/>
      <c r="DN210"/>
    </row>
    <row r="211" spans="27:118">
      <c r="AA211" s="30"/>
      <c r="AB211" s="30"/>
      <c r="AC211" s="30"/>
      <c r="DK211"/>
      <c r="DL211"/>
      <c r="DM211"/>
      <c r="DN211"/>
    </row>
    <row r="212" spans="27:118">
      <c r="AA212" s="30"/>
      <c r="AB212" s="30"/>
      <c r="AC212" s="30"/>
      <c r="DK212"/>
      <c r="DL212"/>
      <c r="DM212"/>
      <c r="DN212"/>
    </row>
    <row r="213" spans="27:118">
      <c r="AA213" s="30"/>
      <c r="AB213" s="30"/>
      <c r="AC213" s="30"/>
      <c r="DK213"/>
      <c r="DL213"/>
      <c r="DM213"/>
      <c r="DN213"/>
    </row>
    <row r="214" spans="27:118">
      <c r="AA214" s="30"/>
      <c r="AB214" s="30"/>
      <c r="AC214" s="30"/>
      <c r="DK214"/>
      <c r="DL214"/>
      <c r="DM214"/>
      <c r="DN214"/>
    </row>
    <row r="215" spans="27:118">
      <c r="AA215" s="30"/>
      <c r="AB215" s="30"/>
      <c r="AC215" s="30"/>
      <c r="DK215"/>
      <c r="DL215"/>
      <c r="DM215"/>
      <c r="DN215"/>
    </row>
    <row r="216" spans="27:118">
      <c r="AA216" s="30"/>
      <c r="AB216" s="30"/>
      <c r="AC216" s="30"/>
      <c r="DK216"/>
      <c r="DL216"/>
      <c r="DM216"/>
      <c r="DN216"/>
    </row>
    <row r="217" spans="27:118">
      <c r="AA217" s="30"/>
      <c r="AB217" s="30"/>
      <c r="AC217" s="30"/>
      <c r="DK217"/>
      <c r="DL217"/>
      <c r="DM217"/>
      <c r="DN217"/>
    </row>
    <row r="218" spans="27:118">
      <c r="AA218" s="30"/>
      <c r="AB218" s="30"/>
      <c r="AC218" s="30"/>
      <c r="DK218"/>
      <c r="DL218"/>
      <c r="DM218"/>
      <c r="DN218"/>
    </row>
    <row r="219" spans="27:118">
      <c r="AA219" s="30"/>
      <c r="AB219" s="30"/>
      <c r="AC219" s="30"/>
      <c r="DK219"/>
      <c r="DL219"/>
      <c r="DM219"/>
      <c r="DN219"/>
    </row>
    <row r="220" spans="27:118">
      <c r="AA220" s="30"/>
      <c r="AB220" s="30"/>
      <c r="AC220" s="30"/>
      <c r="DK220"/>
      <c r="DL220"/>
      <c r="DM220"/>
      <c r="DN220"/>
    </row>
    <row r="221" spans="27:118">
      <c r="AA221" s="30"/>
      <c r="AB221" s="30"/>
      <c r="AC221" s="30"/>
      <c r="DK221"/>
      <c r="DL221"/>
      <c r="DM221"/>
      <c r="DN221"/>
    </row>
    <row r="222" spans="27:118">
      <c r="AA222" s="30"/>
      <c r="AB222" s="30"/>
      <c r="AC222" s="30"/>
      <c r="DK222"/>
      <c r="DL222"/>
      <c r="DM222"/>
      <c r="DN222"/>
    </row>
    <row r="223" spans="27:118">
      <c r="AA223" s="30"/>
      <c r="AB223" s="30"/>
      <c r="AC223" s="30"/>
      <c r="DK223"/>
      <c r="DL223"/>
      <c r="DM223"/>
      <c r="DN223"/>
    </row>
    <row r="224" spans="27:118">
      <c r="AA224" s="30"/>
      <c r="AB224" s="30"/>
      <c r="AC224" s="30"/>
      <c r="DK224"/>
      <c r="DL224"/>
      <c r="DM224"/>
      <c r="DN224"/>
    </row>
    <row r="225" spans="27:118">
      <c r="AA225" s="30"/>
      <c r="AB225" s="30"/>
      <c r="AC225" s="30"/>
      <c r="DK225"/>
      <c r="DL225"/>
      <c r="DM225"/>
      <c r="DN225"/>
    </row>
    <row r="226" spans="27:118">
      <c r="AA226" s="30"/>
      <c r="AB226" s="30"/>
      <c r="AC226" s="30"/>
      <c r="DK226"/>
      <c r="DL226"/>
      <c r="DM226"/>
      <c r="DN226"/>
    </row>
    <row r="227" spans="27:118">
      <c r="AA227" s="30"/>
      <c r="AB227" s="30"/>
      <c r="AC227" s="30"/>
      <c r="DK227"/>
      <c r="DL227"/>
      <c r="DM227"/>
      <c r="DN227"/>
    </row>
    <row r="228" spans="27:118">
      <c r="AA228" s="30"/>
      <c r="AB228" s="30"/>
      <c r="AC228" s="30"/>
      <c r="DK228"/>
      <c r="DL228"/>
      <c r="DM228"/>
      <c r="DN228"/>
    </row>
    <row r="229" spans="27:118">
      <c r="AA229" s="30"/>
      <c r="AB229" s="30"/>
      <c r="AC229" s="30"/>
      <c r="DK229"/>
      <c r="DL229"/>
      <c r="DM229"/>
      <c r="DN229"/>
    </row>
    <row r="230" spans="27:118">
      <c r="AA230" s="30"/>
      <c r="AB230" s="30"/>
      <c r="AC230" s="30"/>
      <c r="DK230"/>
      <c r="DL230"/>
      <c r="DM230"/>
      <c r="DN230"/>
    </row>
    <row r="231" spans="27:118">
      <c r="AA231" s="30"/>
      <c r="AB231" s="30"/>
      <c r="AC231" s="30"/>
      <c r="DK231"/>
      <c r="DL231"/>
      <c r="DM231"/>
      <c r="DN231"/>
    </row>
    <row r="232" spans="27:118">
      <c r="AA232" s="30"/>
      <c r="AB232" s="30"/>
      <c r="AC232" s="30"/>
      <c r="DK232"/>
      <c r="DL232"/>
      <c r="DM232"/>
      <c r="DN232"/>
    </row>
    <row r="233" spans="27:118">
      <c r="AA233" s="30"/>
      <c r="AB233" s="30"/>
      <c r="AC233" s="30"/>
      <c r="DK233"/>
      <c r="DL233"/>
      <c r="DM233"/>
      <c r="DN233"/>
    </row>
    <row r="234" spans="27:118">
      <c r="AA234" s="30"/>
      <c r="AB234" s="30"/>
      <c r="AC234" s="30"/>
      <c r="DK234"/>
      <c r="DL234"/>
      <c r="DM234"/>
      <c r="DN234"/>
    </row>
    <row r="235" spans="27:118">
      <c r="AA235" s="30"/>
      <c r="AB235" s="30"/>
      <c r="AC235" s="30"/>
      <c r="DK235"/>
      <c r="DL235"/>
      <c r="DM235"/>
      <c r="DN235"/>
    </row>
    <row r="236" spans="27:118">
      <c r="AA236" s="30"/>
      <c r="AB236" s="30"/>
      <c r="AC236" s="30"/>
      <c r="DK236"/>
      <c r="DL236"/>
      <c r="DM236"/>
      <c r="DN236"/>
    </row>
    <row r="237" spans="27:118">
      <c r="AA237" s="30"/>
      <c r="AB237" s="30"/>
      <c r="AC237" s="30"/>
      <c r="DK237"/>
      <c r="DL237"/>
      <c r="DM237"/>
      <c r="DN237"/>
    </row>
    <row r="238" spans="27:118">
      <c r="AA238" s="30"/>
      <c r="AB238" s="30"/>
      <c r="AC238" s="30"/>
      <c r="DK238"/>
      <c r="DL238"/>
      <c r="DM238"/>
      <c r="DN238"/>
    </row>
    <row r="239" spans="27:118">
      <c r="AA239" s="30"/>
      <c r="AB239" s="30"/>
      <c r="AC239" s="30"/>
      <c r="DK239"/>
      <c r="DL239"/>
      <c r="DM239"/>
      <c r="DN239"/>
    </row>
    <row r="240" spans="27:118">
      <c r="AA240" s="30"/>
      <c r="AB240" s="30"/>
      <c r="AC240" s="30"/>
      <c r="DK240"/>
      <c r="DL240"/>
      <c r="DM240"/>
      <c r="DN240"/>
    </row>
    <row r="241" spans="27:118">
      <c r="AA241" s="30"/>
      <c r="AB241" s="30"/>
      <c r="AC241" s="30"/>
      <c r="DK241"/>
      <c r="DL241"/>
      <c r="DM241"/>
      <c r="DN241"/>
    </row>
    <row r="242" spans="27:118">
      <c r="AA242" s="30"/>
      <c r="AB242" s="30"/>
      <c r="AC242" s="30"/>
      <c r="DK242"/>
      <c r="DL242"/>
      <c r="DM242"/>
      <c r="DN242"/>
    </row>
    <row r="243" spans="27:118">
      <c r="AA243" s="30"/>
      <c r="AB243" s="30"/>
      <c r="AC243" s="30"/>
      <c r="DK243"/>
      <c r="DL243"/>
      <c r="DM243"/>
      <c r="DN243"/>
    </row>
    <row r="244" spans="27:118">
      <c r="AA244" s="30"/>
      <c r="AB244" s="30"/>
      <c r="AC244" s="30"/>
      <c r="DK244"/>
      <c r="DL244"/>
      <c r="DM244"/>
      <c r="DN244"/>
    </row>
    <row r="245" spans="27:118">
      <c r="AA245" s="30"/>
      <c r="AB245" s="30"/>
      <c r="AC245" s="30"/>
      <c r="DK245"/>
      <c r="DL245"/>
      <c r="DM245"/>
      <c r="DN245"/>
    </row>
    <row r="246" spans="27:118">
      <c r="AA246" s="30"/>
      <c r="AB246" s="30"/>
      <c r="AC246" s="30"/>
      <c r="DK246"/>
      <c r="DL246"/>
      <c r="DM246"/>
      <c r="DN246"/>
    </row>
    <row r="247" spans="27:118">
      <c r="AA247" s="30"/>
      <c r="AB247" s="30"/>
      <c r="AC247" s="30"/>
      <c r="DK247"/>
      <c r="DL247"/>
      <c r="DM247"/>
      <c r="DN247"/>
    </row>
    <row r="248" spans="27:118">
      <c r="AA248" s="30"/>
      <c r="AB248" s="30"/>
      <c r="AC248" s="30"/>
      <c r="DK248"/>
      <c r="DL248"/>
      <c r="DM248"/>
      <c r="DN248"/>
    </row>
    <row r="249" spans="27:118">
      <c r="AA249" s="30"/>
      <c r="AB249" s="30"/>
      <c r="AC249" s="30"/>
      <c r="DK249"/>
      <c r="DL249"/>
      <c r="DM249"/>
      <c r="DN249"/>
    </row>
    <row r="250" spans="27:118">
      <c r="AA250" s="30"/>
      <c r="AB250" s="30"/>
      <c r="AC250" s="30"/>
      <c r="DK250"/>
      <c r="DL250"/>
      <c r="DM250"/>
      <c r="DN250"/>
    </row>
    <row r="251" spans="27:118">
      <c r="AA251" s="30"/>
      <c r="AB251" s="30"/>
      <c r="AC251" s="30"/>
      <c r="DK251"/>
      <c r="DL251"/>
      <c r="DM251"/>
      <c r="DN251"/>
    </row>
    <row r="252" spans="27:118">
      <c r="AA252" s="30"/>
      <c r="AB252" s="30"/>
      <c r="AC252" s="30"/>
      <c r="DK252"/>
      <c r="DL252"/>
      <c r="DM252"/>
      <c r="DN252"/>
    </row>
    <row r="253" spans="27:118">
      <c r="AA253" s="30"/>
      <c r="AB253" s="30"/>
      <c r="AC253" s="30"/>
      <c r="DK253"/>
      <c r="DL253"/>
      <c r="DM253"/>
      <c r="DN253"/>
    </row>
    <row r="254" spans="27:118">
      <c r="AA254" s="30"/>
      <c r="AB254" s="30"/>
      <c r="AC254" s="30"/>
      <c r="DK254"/>
      <c r="DL254"/>
      <c r="DM254"/>
      <c r="DN254"/>
    </row>
    <row r="255" spans="27:118">
      <c r="AA255" s="30"/>
      <c r="AB255" s="30"/>
      <c r="AC255" s="30"/>
      <c r="DK255"/>
      <c r="DL255"/>
      <c r="DM255"/>
      <c r="DN255"/>
    </row>
    <row r="256" spans="27:118">
      <c r="AA256" s="30"/>
      <c r="AB256" s="30"/>
      <c r="AC256" s="30"/>
      <c r="DK256"/>
      <c r="DL256"/>
      <c r="DM256"/>
      <c r="DN256"/>
    </row>
    <row r="257" spans="27:118">
      <c r="AA257" s="30"/>
      <c r="AB257" s="30"/>
      <c r="AC257" s="30"/>
      <c r="DK257"/>
      <c r="DL257"/>
      <c r="DM257"/>
      <c r="DN257"/>
    </row>
    <row r="258" spans="27:118">
      <c r="AA258" s="30"/>
      <c r="AB258" s="30"/>
      <c r="AC258" s="30"/>
      <c r="DK258"/>
      <c r="DL258"/>
      <c r="DM258"/>
      <c r="DN258"/>
    </row>
    <row r="259" spans="27:118">
      <c r="AA259" s="30"/>
      <c r="AB259" s="30"/>
      <c r="AC259" s="30"/>
      <c r="DK259"/>
      <c r="DL259"/>
      <c r="DM259"/>
      <c r="DN259"/>
    </row>
    <row r="260" spans="27:118">
      <c r="AA260" s="30"/>
      <c r="AB260" s="30"/>
      <c r="AC260" s="30"/>
      <c r="DK260"/>
      <c r="DL260"/>
      <c r="DM260"/>
      <c r="DN260"/>
    </row>
    <row r="261" spans="27:118">
      <c r="AA261" s="30"/>
      <c r="AB261" s="30"/>
      <c r="AC261" s="30"/>
      <c r="DK261"/>
      <c r="DL261"/>
      <c r="DM261"/>
      <c r="DN261"/>
    </row>
    <row r="262" spans="27:118">
      <c r="AA262" s="30"/>
      <c r="AB262" s="30"/>
      <c r="AC262" s="30"/>
      <c r="DK262"/>
      <c r="DL262"/>
      <c r="DM262"/>
      <c r="DN262"/>
    </row>
    <row r="263" spans="27:118">
      <c r="AA263" s="30"/>
      <c r="AB263" s="30"/>
      <c r="AC263" s="30"/>
      <c r="DK263"/>
      <c r="DL263"/>
      <c r="DM263"/>
      <c r="DN263"/>
    </row>
    <row r="264" spans="27:118">
      <c r="AA264" s="30"/>
      <c r="AB264" s="30"/>
      <c r="AC264" s="30"/>
      <c r="DK264"/>
      <c r="DL264"/>
      <c r="DM264"/>
      <c r="DN264"/>
    </row>
    <row r="265" spans="27:118">
      <c r="AA265" s="30"/>
      <c r="AB265" s="30"/>
      <c r="AC265" s="30"/>
      <c r="DK265"/>
      <c r="DL265"/>
      <c r="DM265"/>
      <c r="DN265"/>
    </row>
    <row r="266" spans="27:118">
      <c r="AA266" s="30"/>
      <c r="AB266" s="30"/>
      <c r="AC266" s="30"/>
      <c r="DK266"/>
      <c r="DL266"/>
      <c r="DM266"/>
      <c r="DN266"/>
    </row>
    <row r="267" spans="27:118">
      <c r="AA267" s="30"/>
      <c r="AB267" s="30"/>
      <c r="AC267" s="30"/>
      <c r="DK267"/>
      <c r="DL267"/>
      <c r="DM267"/>
      <c r="DN267"/>
    </row>
    <row r="268" spans="27:118">
      <c r="AA268" s="30"/>
      <c r="AB268" s="30"/>
      <c r="AC268" s="30"/>
      <c r="DK268"/>
      <c r="DL268"/>
      <c r="DM268"/>
      <c r="DN268"/>
    </row>
    <row r="269" spans="27:118">
      <c r="AA269" s="30"/>
      <c r="AB269" s="30"/>
      <c r="AC269" s="30"/>
      <c r="DK269"/>
      <c r="DL269"/>
      <c r="DM269"/>
      <c r="DN269"/>
    </row>
    <row r="270" spans="27:118">
      <c r="AA270" s="30"/>
      <c r="AB270" s="30"/>
      <c r="AC270" s="30"/>
      <c r="DK270"/>
      <c r="DL270"/>
      <c r="DM270"/>
      <c r="DN270"/>
    </row>
    <row r="271" spans="27:118">
      <c r="AA271" s="30"/>
      <c r="AB271" s="30"/>
      <c r="AC271" s="30"/>
      <c r="DK271"/>
      <c r="DL271"/>
      <c r="DM271"/>
      <c r="DN271"/>
    </row>
    <row r="272" spans="27:118">
      <c r="AA272" s="30"/>
      <c r="AB272" s="30"/>
      <c r="AC272" s="30"/>
      <c r="DK272"/>
      <c r="DL272"/>
      <c r="DM272"/>
      <c r="DN272"/>
    </row>
    <row r="273" spans="27:118">
      <c r="AA273" s="30"/>
      <c r="AB273" s="30"/>
      <c r="AC273" s="30"/>
      <c r="DK273"/>
      <c r="DL273"/>
      <c r="DM273"/>
      <c r="DN273"/>
    </row>
    <row r="274" spans="27:118">
      <c r="AA274" s="30"/>
      <c r="AB274" s="30"/>
      <c r="AC274" s="30"/>
      <c r="DK274"/>
      <c r="DL274"/>
      <c r="DM274"/>
      <c r="DN274"/>
    </row>
    <row r="275" spans="27:118">
      <c r="AA275" s="30"/>
      <c r="AB275" s="30"/>
      <c r="AC275" s="30"/>
      <c r="DK275"/>
      <c r="DL275"/>
      <c r="DM275"/>
      <c r="DN275"/>
    </row>
    <row r="276" spans="27:118">
      <c r="AA276" s="30"/>
      <c r="AB276" s="30"/>
      <c r="AC276" s="30"/>
      <c r="DK276"/>
      <c r="DL276"/>
      <c r="DM276"/>
      <c r="DN276"/>
    </row>
    <row r="277" spans="27:118">
      <c r="AA277" s="30"/>
      <c r="AB277" s="30"/>
      <c r="AC277" s="30"/>
      <c r="DK277"/>
      <c r="DL277"/>
      <c r="DM277"/>
      <c r="DN277"/>
    </row>
    <row r="278" spans="27:118">
      <c r="AA278" s="30"/>
      <c r="AB278" s="30"/>
      <c r="AC278" s="30"/>
      <c r="DK278"/>
      <c r="DL278"/>
      <c r="DM278"/>
      <c r="DN278"/>
    </row>
    <row r="279" spans="27:118">
      <c r="AA279" s="30"/>
      <c r="AB279" s="30"/>
      <c r="AC279" s="30"/>
      <c r="DK279"/>
      <c r="DL279"/>
      <c r="DM279"/>
      <c r="DN279"/>
    </row>
    <row r="280" spans="27:118">
      <c r="AA280" s="30"/>
      <c r="AB280" s="30"/>
      <c r="AC280" s="30"/>
      <c r="DK280"/>
      <c r="DL280"/>
      <c r="DM280"/>
      <c r="DN280"/>
    </row>
    <row r="281" spans="27:118">
      <c r="AA281" s="30"/>
      <c r="AB281" s="30"/>
      <c r="AC281" s="30"/>
      <c r="DK281"/>
      <c r="DL281"/>
      <c r="DM281"/>
      <c r="DN281"/>
    </row>
    <row r="282" spans="27:118">
      <c r="AA282" s="30"/>
      <c r="AB282" s="30"/>
      <c r="AC282" s="30"/>
      <c r="DK282"/>
      <c r="DL282"/>
      <c r="DM282"/>
      <c r="DN282"/>
    </row>
    <row r="283" spans="27:118">
      <c r="AA283" s="30"/>
      <c r="AB283" s="30"/>
      <c r="AC283" s="30"/>
      <c r="DK283"/>
      <c r="DL283"/>
      <c r="DM283"/>
      <c r="DN283"/>
    </row>
    <row r="284" spans="27:118">
      <c r="AA284" s="30"/>
      <c r="AB284" s="30"/>
      <c r="AC284" s="30"/>
      <c r="DK284"/>
      <c r="DL284"/>
      <c r="DM284"/>
      <c r="DN284"/>
    </row>
    <row r="285" spans="27:118">
      <c r="AA285" s="30"/>
      <c r="AB285" s="30"/>
      <c r="AC285" s="30"/>
      <c r="DK285"/>
      <c r="DL285"/>
      <c r="DM285"/>
      <c r="DN285"/>
    </row>
    <row r="286" spans="27:118">
      <c r="AA286" s="30"/>
      <c r="AB286" s="30"/>
      <c r="AC286" s="30"/>
      <c r="DK286"/>
      <c r="DL286"/>
      <c r="DM286"/>
      <c r="DN286"/>
    </row>
    <row r="287" spans="27:118">
      <c r="AA287" s="30"/>
      <c r="AB287" s="30"/>
      <c r="AC287" s="30"/>
      <c r="DK287"/>
      <c r="DL287"/>
      <c r="DM287"/>
      <c r="DN287"/>
    </row>
    <row r="288" spans="27:118">
      <c r="AA288" s="30"/>
      <c r="AB288" s="30"/>
      <c r="AC288" s="30"/>
      <c r="DK288"/>
      <c r="DL288"/>
      <c r="DM288"/>
      <c r="DN288"/>
    </row>
    <row r="289" spans="27:118">
      <c r="AA289" s="30"/>
      <c r="AB289" s="30"/>
      <c r="AC289" s="30"/>
      <c r="DK289"/>
      <c r="DL289"/>
      <c r="DM289"/>
      <c r="DN289"/>
    </row>
    <row r="290" spans="27:118">
      <c r="AA290" s="30"/>
      <c r="AB290" s="30"/>
      <c r="AC290" s="30"/>
      <c r="DK290"/>
      <c r="DL290"/>
      <c r="DM290"/>
      <c r="DN290"/>
    </row>
    <row r="291" spans="27:118">
      <c r="AA291" s="30"/>
      <c r="AB291" s="30"/>
      <c r="AC291" s="30"/>
      <c r="DK291"/>
      <c r="DL291"/>
      <c r="DM291"/>
      <c r="DN291"/>
    </row>
    <row r="292" spans="27:118">
      <c r="AA292" s="30"/>
      <c r="AB292" s="30"/>
      <c r="AC292" s="30"/>
      <c r="DK292"/>
      <c r="DL292"/>
      <c r="DM292"/>
      <c r="DN292"/>
    </row>
    <row r="293" spans="27:118">
      <c r="AA293" s="30"/>
      <c r="AB293" s="30"/>
      <c r="AC293" s="30"/>
      <c r="DK293"/>
      <c r="DL293"/>
      <c r="DM293"/>
      <c r="DN293"/>
    </row>
    <row r="294" spans="27:118">
      <c r="AA294" s="30"/>
      <c r="AB294" s="30"/>
      <c r="AC294" s="30"/>
      <c r="DK294"/>
      <c r="DL294"/>
      <c r="DM294"/>
      <c r="DN294"/>
    </row>
    <row r="295" spans="27:118">
      <c r="AA295" s="30"/>
      <c r="AB295" s="30"/>
      <c r="AC295" s="30"/>
      <c r="DK295"/>
      <c r="DL295"/>
      <c r="DM295"/>
      <c r="DN295"/>
    </row>
    <row r="296" spans="27:118">
      <c r="AA296" s="30"/>
      <c r="AB296" s="30"/>
      <c r="AC296" s="30"/>
      <c r="DK296"/>
      <c r="DL296"/>
      <c r="DM296"/>
      <c r="DN296"/>
    </row>
    <row r="297" spans="27:118">
      <c r="AA297" s="30"/>
      <c r="AB297" s="30"/>
      <c r="AC297" s="30"/>
      <c r="DK297"/>
      <c r="DL297"/>
      <c r="DM297"/>
      <c r="DN297"/>
    </row>
    <row r="298" spans="27:118">
      <c r="AA298" s="30"/>
      <c r="AB298" s="30"/>
      <c r="AC298" s="30"/>
      <c r="DK298"/>
      <c r="DL298"/>
      <c r="DM298"/>
      <c r="DN298"/>
    </row>
    <row r="299" spans="27:118">
      <c r="AA299" s="30"/>
      <c r="AB299" s="30"/>
      <c r="AC299" s="30"/>
      <c r="DK299"/>
      <c r="DL299"/>
      <c r="DM299"/>
      <c r="DN299"/>
    </row>
    <row r="300" spans="27:118">
      <c r="AA300" s="30"/>
      <c r="AB300" s="30"/>
      <c r="AC300" s="30"/>
      <c r="DK300"/>
      <c r="DL300"/>
      <c r="DM300"/>
      <c r="DN300"/>
    </row>
    <row r="301" spans="27:118">
      <c r="AA301" s="30"/>
      <c r="AB301" s="30"/>
      <c r="AC301" s="30"/>
      <c r="DK301"/>
      <c r="DL301"/>
      <c r="DM301"/>
      <c r="DN301"/>
    </row>
    <row r="302" spans="27:118">
      <c r="AA302" s="30"/>
      <c r="AB302" s="30"/>
      <c r="AC302" s="30"/>
      <c r="DK302"/>
      <c r="DL302"/>
      <c r="DM302"/>
      <c r="DN302"/>
    </row>
    <row r="303" spans="27:118">
      <c r="AA303" s="30"/>
      <c r="AB303" s="30"/>
      <c r="AC303" s="30"/>
      <c r="DK303"/>
      <c r="DL303"/>
      <c r="DM303"/>
      <c r="DN303"/>
    </row>
    <row r="304" spans="27:118">
      <c r="AA304" s="30"/>
      <c r="AB304" s="30"/>
      <c r="AC304" s="30"/>
      <c r="DK304"/>
      <c r="DL304"/>
      <c r="DM304"/>
      <c r="DN304"/>
    </row>
    <row r="305" spans="27:118">
      <c r="AA305" s="30"/>
      <c r="AB305" s="30"/>
      <c r="AC305" s="30"/>
      <c r="DK305"/>
      <c r="DL305"/>
      <c r="DM305"/>
      <c r="DN305"/>
    </row>
    <row r="306" spans="27:118">
      <c r="AA306" s="30"/>
      <c r="AB306" s="30"/>
      <c r="AC306" s="30"/>
      <c r="DK306"/>
      <c r="DL306"/>
      <c r="DM306"/>
      <c r="DN306"/>
    </row>
    <row r="307" spans="27:118">
      <c r="AA307" s="30"/>
      <c r="AB307" s="30"/>
      <c r="AC307" s="30"/>
      <c r="DK307"/>
      <c r="DL307"/>
      <c r="DM307"/>
      <c r="DN307"/>
    </row>
    <row r="308" spans="27:118">
      <c r="AA308" s="30"/>
      <c r="AB308" s="30"/>
      <c r="AC308" s="30"/>
      <c r="DK308"/>
      <c r="DL308"/>
      <c r="DM308"/>
      <c r="DN308"/>
    </row>
    <row r="309" spans="27:118">
      <c r="AA309" s="30"/>
      <c r="AB309" s="30"/>
      <c r="AC309" s="30"/>
      <c r="DK309"/>
      <c r="DL309"/>
      <c r="DM309"/>
      <c r="DN309"/>
    </row>
    <row r="310" spans="27:118">
      <c r="AA310" s="30"/>
      <c r="AB310" s="30"/>
      <c r="AC310" s="30"/>
      <c r="DK310"/>
      <c r="DL310"/>
      <c r="DM310"/>
      <c r="DN310"/>
    </row>
    <row r="311" spans="27:118">
      <c r="AA311" s="30"/>
      <c r="AB311" s="30"/>
      <c r="AC311" s="30"/>
      <c r="DK311"/>
      <c r="DL311"/>
      <c r="DM311"/>
      <c r="DN311"/>
    </row>
    <row r="312" spans="27:118">
      <c r="AA312" s="30"/>
      <c r="AB312" s="30"/>
      <c r="AC312" s="30"/>
      <c r="DK312"/>
      <c r="DL312"/>
      <c r="DM312"/>
      <c r="DN312"/>
    </row>
    <row r="313" spans="27:118">
      <c r="AA313" s="30"/>
      <c r="AB313" s="30"/>
      <c r="AC313" s="30"/>
      <c r="DK313"/>
      <c r="DL313"/>
      <c r="DM313"/>
      <c r="DN313"/>
    </row>
    <row r="314" spans="27:118">
      <c r="AA314" s="30"/>
      <c r="AB314" s="30"/>
      <c r="AC314" s="30"/>
      <c r="DK314"/>
      <c r="DL314"/>
      <c r="DM314"/>
      <c r="DN314"/>
    </row>
    <row r="315" spans="27:118">
      <c r="AA315" s="30"/>
      <c r="AB315" s="30"/>
      <c r="AC315" s="30"/>
      <c r="DK315"/>
      <c r="DL315"/>
      <c r="DM315"/>
      <c r="DN315"/>
    </row>
    <row r="316" spans="27:118">
      <c r="AA316" s="30"/>
      <c r="AB316" s="30"/>
      <c r="AC316" s="30"/>
      <c r="DK316"/>
      <c r="DL316"/>
      <c r="DM316"/>
      <c r="DN316"/>
    </row>
    <row r="317" spans="27:118">
      <c r="AA317" s="30"/>
      <c r="AB317" s="30"/>
      <c r="AC317" s="30"/>
      <c r="DK317"/>
      <c r="DL317"/>
      <c r="DM317"/>
      <c r="DN317"/>
    </row>
    <row r="318" spans="27:118">
      <c r="AA318" s="30"/>
      <c r="AB318" s="30"/>
      <c r="AC318" s="30"/>
      <c r="DK318"/>
      <c r="DL318"/>
      <c r="DM318"/>
      <c r="DN318"/>
    </row>
    <row r="319" spans="27:118">
      <c r="AA319" s="30"/>
      <c r="AB319" s="30"/>
      <c r="AC319" s="30"/>
      <c r="DK319"/>
      <c r="DL319"/>
      <c r="DM319"/>
      <c r="DN319"/>
    </row>
    <row r="320" spans="27:118">
      <c r="AA320" s="30"/>
      <c r="AB320" s="30"/>
      <c r="AC320" s="30"/>
      <c r="DK320"/>
      <c r="DL320"/>
      <c r="DM320"/>
      <c r="DN320"/>
    </row>
    <row r="321" spans="27:118">
      <c r="AA321" s="30"/>
      <c r="AB321" s="30"/>
      <c r="AC321" s="30"/>
      <c r="DK321"/>
      <c r="DL321"/>
      <c r="DM321"/>
      <c r="DN321"/>
    </row>
    <row r="322" spans="27:118">
      <c r="AA322" s="30"/>
      <c r="AB322" s="30"/>
      <c r="AC322" s="30"/>
      <c r="DK322"/>
      <c r="DL322"/>
      <c r="DM322"/>
      <c r="DN322"/>
    </row>
    <row r="323" spans="27:118">
      <c r="AA323" s="30"/>
      <c r="AB323" s="30"/>
      <c r="AC323" s="30"/>
      <c r="DK323"/>
      <c r="DL323"/>
      <c r="DM323"/>
      <c r="DN323"/>
    </row>
    <row r="324" spans="27:118">
      <c r="AA324" s="30"/>
      <c r="AB324" s="30"/>
      <c r="AC324" s="30"/>
      <c r="DK324"/>
      <c r="DL324"/>
      <c r="DM324"/>
      <c r="DN324"/>
    </row>
    <row r="325" spans="27:118">
      <c r="AA325" s="30"/>
      <c r="AB325" s="30"/>
      <c r="AC325" s="30"/>
      <c r="DK325"/>
      <c r="DL325"/>
      <c r="DM325"/>
      <c r="DN325"/>
    </row>
    <row r="326" spans="27:118">
      <c r="AA326" s="30"/>
      <c r="AB326" s="30"/>
      <c r="AC326" s="30"/>
      <c r="DK326"/>
      <c r="DL326"/>
      <c r="DM326"/>
      <c r="DN326"/>
    </row>
    <row r="327" spans="27:118">
      <c r="AA327" s="30"/>
      <c r="AB327" s="30"/>
      <c r="AC327" s="30"/>
      <c r="DK327"/>
      <c r="DL327"/>
      <c r="DM327"/>
      <c r="DN327"/>
    </row>
    <row r="328" spans="27:118">
      <c r="AA328" s="30"/>
      <c r="AB328" s="30"/>
      <c r="AC328" s="30"/>
      <c r="DK328"/>
      <c r="DL328"/>
      <c r="DM328"/>
      <c r="DN328"/>
    </row>
    <row r="329" spans="27:118">
      <c r="AA329" s="30"/>
      <c r="AB329" s="30"/>
      <c r="AC329" s="30"/>
      <c r="DK329"/>
      <c r="DL329"/>
      <c r="DM329"/>
      <c r="DN329"/>
    </row>
    <row r="330" spans="27:118">
      <c r="AA330" s="30"/>
      <c r="AB330" s="30"/>
      <c r="AC330" s="30"/>
      <c r="DK330"/>
      <c r="DL330"/>
      <c r="DM330"/>
      <c r="DN330"/>
    </row>
    <row r="331" spans="27:118">
      <c r="AA331" s="30"/>
      <c r="AB331" s="30"/>
      <c r="AC331" s="30"/>
      <c r="DK331"/>
      <c r="DL331"/>
      <c r="DM331"/>
      <c r="DN331"/>
    </row>
    <row r="332" spans="27:118">
      <c r="AA332" s="30"/>
      <c r="AB332" s="30"/>
      <c r="AC332" s="30"/>
      <c r="DK332"/>
      <c r="DL332"/>
      <c r="DM332"/>
      <c r="DN332"/>
    </row>
    <row r="333" spans="27:118">
      <c r="AA333" s="30"/>
      <c r="AB333" s="30"/>
      <c r="AC333" s="30"/>
      <c r="DK333"/>
      <c r="DL333"/>
      <c r="DM333"/>
      <c r="DN333"/>
    </row>
    <row r="334" spans="27:118">
      <c r="AA334" s="30"/>
      <c r="AB334" s="30"/>
      <c r="AC334" s="30"/>
      <c r="DK334"/>
      <c r="DL334"/>
      <c r="DM334"/>
      <c r="DN334"/>
    </row>
    <row r="335" spans="27:118">
      <c r="AA335" s="30"/>
      <c r="AB335" s="30"/>
      <c r="AC335" s="30"/>
      <c r="DK335"/>
      <c r="DL335"/>
      <c r="DM335"/>
      <c r="DN335"/>
    </row>
    <row r="336" spans="27:118">
      <c r="AA336" s="30"/>
      <c r="AB336" s="30"/>
      <c r="AC336" s="30"/>
      <c r="DK336"/>
      <c r="DL336"/>
      <c r="DM336"/>
      <c r="DN336"/>
    </row>
    <row r="337" spans="27:118">
      <c r="AA337" s="30"/>
      <c r="AB337" s="30"/>
      <c r="AC337" s="30"/>
      <c r="DK337"/>
      <c r="DL337"/>
      <c r="DM337"/>
      <c r="DN337"/>
    </row>
    <row r="338" spans="27:118">
      <c r="AA338" s="30"/>
      <c r="AB338" s="30"/>
      <c r="AC338" s="30"/>
      <c r="DK338"/>
      <c r="DL338"/>
      <c r="DM338"/>
      <c r="DN338"/>
    </row>
    <row r="339" spans="27:118">
      <c r="AA339" s="30"/>
      <c r="AB339" s="30"/>
      <c r="AC339" s="30"/>
      <c r="DK339"/>
      <c r="DL339"/>
      <c r="DM339"/>
      <c r="DN339"/>
    </row>
    <row r="340" spans="27:118">
      <c r="AA340" s="30"/>
      <c r="AB340" s="30"/>
      <c r="AC340" s="30"/>
      <c r="DK340"/>
      <c r="DL340"/>
      <c r="DM340"/>
      <c r="DN340"/>
    </row>
    <row r="341" spans="27:118">
      <c r="AA341" s="30"/>
      <c r="AB341" s="30"/>
      <c r="AC341" s="30"/>
      <c r="DK341"/>
      <c r="DL341"/>
      <c r="DM341"/>
      <c r="DN341"/>
    </row>
    <row r="342" spans="27:118">
      <c r="AA342" s="30"/>
      <c r="AB342" s="30"/>
      <c r="AC342" s="30"/>
      <c r="DK342"/>
      <c r="DL342"/>
      <c r="DM342"/>
      <c r="DN342"/>
    </row>
    <row r="343" spans="27:118">
      <c r="AA343" s="30"/>
      <c r="AB343" s="30"/>
      <c r="AC343" s="30"/>
      <c r="DK343"/>
      <c r="DL343"/>
      <c r="DM343"/>
      <c r="DN343"/>
    </row>
    <row r="344" spans="27:118">
      <c r="AA344" s="30"/>
      <c r="AB344" s="30"/>
      <c r="AC344" s="30"/>
      <c r="DK344"/>
      <c r="DL344"/>
      <c r="DM344"/>
      <c r="DN344"/>
    </row>
    <row r="345" spans="27:118">
      <c r="AA345" s="30"/>
      <c r="AB345" s="30"/>
      <c r="AC345" s="30"/>
      <c r="DK345"/>
      <c r="DL345"/>
      <c r="DM345"/>
      <c r="DN345"/>
    </row>
    <row r="346" spans="27:118">
      <c r="AA346" s="30"/>
      <c r="AB346" s="30"/>
      <c r="AC346" s="30"/>
      <c r="DK346"/>
      <c r="DL346"/>
      <c r="DM346"/>
      <c r="DN346"/>
    </row>
    <row r="347" spans="27:118">
      <c r="AA347" s="30"/>
      <c r="AB347" s="30"/>
      <c r="AC347" s="30"/>
      <c r="DK347"/>
      <c r="DL347"/>
      <c r="DM347"/>
      <c r="DN347"/>
    </row>
    <row r="348" spans="27:118">
      <c r="AA348" s="30"/>
      <c r="AB348" s="30"/>
      <c r="AC348" s="30"/>
      <c r="DK348"/>
      <c r="DL348"/>
      <c r="DM348"/>
      <c r="DN348"/>
    </row>
    <row r="349" spans="27:118">
      <c r="AA349" s="30"/>
      <c r="AB349" s="30"/>
      <c r="AC349" s="30"/>
      <c r="DK349"/>
      <c r="DL349"/>
      <c r="DM349"/>
      <c r="DN349"/>
    </row>
    <row r="350" spans="27:118">
      <c r="AA350" s="30"/>
      <c r="AB350" s="30"/>
      <c r="AC350" s="30"/>
      <c r="DK350"/>
      <c r="DL350"/>
      <c r="DM350"/>
      <c r="DN350"/>
    </row>
    <row r="351" spans="27:118">
      <c r="AA351" s="30"/>
      <c r="AB351" s="30"/>
      <c r="AC351" s="30"/>
      <c r="DK351"/>
      <c r="DL351"/>
      <c r="DM351"/>
      <c r="DN351"/>
    </row>
    <row r="352" spans="27:118">
      <c r="AA352" s="30"/>
      <c r="AB352" s="30"/>
      <c r="AC352" s="30"/>
      <c r="DK352"/>
      <c r="DL352"/>
      <c r="DM352"/>
      <c r="DN352"/>
    </row>
    <row r="353" spans="27:118">
      <c r="AA353" s="30"/>
      <c r="AB353" s="30"/>
      <c r="AC353" s="30"/>
      <c r="DK353"/>
      <c r="DL353"/>
      <c r="DM353"/>
      <c r="DN353"/>
    </row>
    <row r="354" spans="27:118">
      <c r="AA354" s="30"/>
      <c r="AB354" s="30"/>
      <c r="AC354" s="30"/>
      <c r="DK354"/>
      <c r="DL354"/>
      <c r="DM354"/>
      <c r="DN354"/>
    </row>
    <row r="355" spans="27:118">
      <c r="AA355" s="30"/>
      <c r="AB355" s="30"/>
      <c r="AC355" s="30"/>
      <c r="DK355"/>
      <c r="DL355"/>
      <c r="DM355"/>
      <c r="DN355"/>
    </row>
    <row r="356" spans="27:118">
      <c r="AA356" s="30"/>
      <c r="AB356" s="30"/>
      <c r="AC356" s="30"/>
      <c r="DK356"/>
      <c r="DL356"/>
      <c r="DM356"/>
      <c r="DN356"/>
    </row>
    <row r="357" spans="27:118">
      <c r="AA357" s="30"/>
      <c r="AB357" s="30"/>
      <c r="AC357" s="30"/>
      <c r="DK357"/>
      <c r="DL357"/>
      <c r="DM357"/>
      <c r="DN357"/>
    </row>
    <row r="358" spans="27:118">
      <c r="AA358" s="30"/>
      <c r="AB358" s="30"/>
      <c r="AC358" s="30"/>
      <c r="DK358"/>
      <c r="DL358"/>
      <c r="DM358"/>
      <c r="DN358"/>
    </row>
    <row r="359" spans="27:118">
      <c r="AA359" s="30"/>
      <c r="AB359" s="30"/>
      <c r="AC359" s="30"/>
      <c r="DK359"/>
      <c r="DL359"/>
      <c r="DM359"/>
      <c r="DN359"/>
    </row>
    <row r="360" spans="27:118">
      <c r="AA360" s="30"/>
      <c r="AB360" s="30"/>
      <c r="AC360" s="30"/>
      <c r="DK360"/>
      <c r="DL360"/>
      <c r="DM360"/>
      <c r="DN360"/>
    </row>
    <row r="361" spans="27:118">
      <c r="AA361" s="30"/>
      <c r="AB361" s="30"/>
      <c r="AC361" s="30"/>
      <c r="DK361"/>
      <c r="DL361"/>
      <c r="DM361"/>
      <c r="DN361"/>
    </row>
    <row r="362" spans="27:118">
      <c r="AA362" s="30"/>
      <c r="AB362" s="30"/>
      <c r="AC362" s="30"/>
      <c r="DK362"/>
      <c r="DL362"/>
      <c r="DM362"/>
      <c r="DN362"/>
    </row>
    <row r="363" spans="27:118">
      <c r="AA363" s="30"/>
      <c r="AB363" s="30"/>
      <c r="AC363" s="30"/>
      <c r="DK363"/>
      <c r="DL363"/>
      <c r="DM363"/>
      <c r="DN363"/>
    </row>
    <row r="364" spans="27:118">
      <c r="AA364" s="30"/>
      <c r="AB364" s="30"/>
      <c r="AC364" s="30"/>
      <c r="DK364"/>
      <c r="DL364"/>
      <c r="DM364"/>
      <c r="DN364"/>
    </row>
    <row r="365" spans="27:118">
      <c r="AA365" s="30"/>
      <c r="AB365" s="30"/>
      <c r="AC365" s="30"/>
      <c r="DK365"/>
      <c r="DL365"/>
      <c r="DM365"/>
      <c r="DN365"/>
    </row>
    <row r="366" spans="27:118">
      <c r="AA366" s="30"/>
      <c r="AB366" s="30"/>
      <c r="AC366" s="30"/>
      <c r="DK366"/>
      <c r="DL366"/>
      <c r="DM366"/>
      <c r="DN366"/>
    </row>
    <row r="367" spans="27:118">
      <c r="AA367" s="30"/>
      <c r="AB367" s="30"/>
      <c r="AC367" s="30"/>
      <c r="DK367"/>
      <c r="DL367"/>
      <c r="DM367"/>
      <c r="DN367"/>
    </row>
    <row r="368" spans="27:118">
      <c r="AA368" s="30"/>
      <c r="AB368" s="30"/>
      <c r="AC368" s="30"/>
      <c r="DK368"/>
      <c r="DL368"/>
      <c r="DM368"/>
      <c r="DN368"/>
    </row>
    <row r="369" spans="27:118">
      <c r="AA369" s="30"/>
      <c r="AB369" s="30"/>
      <c r="AC369" s="30"/>
      <c r="DK369"/>
      <c r="DL369"/>
      <c r="DM369"/>
      <c r="DN369"/>
    </row>
    <row r="370" spans="27:118">
      <c r="AA370" s="30"/>
      <c r="AB370" s="30"/>
      <c r="AC370" s="30"/>
      <c r="DK370"/>
      <c r="DL370"/>
      <c r="DM370"/>
      <c r="DN370"/>
    </row>
    <row r="371" spans="27:118">
      <c r="AA371" s="30"/>
      <c r="AB371" s="30"/>
      <c r="AC371" s="30"/>
      <c r="DK371"/>
      <c r="DL371"/>
      <c r="DM371"/>
      <c r="DN371"/>
    </row>
    <row r="372" spans="27:118">
      <c r="AA372" s="30"/>
      <c r="AB372" s="30"/>
      <c r="AC372" s="30"/>
      <c r="DK372"/>
      <c r="DL372"/>
      <c r="DM372"/>
      <c r="DN372"/>
    </row>
    <row r="373" spans="27:118">
      <c r="AA373" s="30"/>
      <c r="AB373" s="30"/>
      <c r="AC373" s="30"/>
      <c r="DK373"/>
      <c r="DL373"/>
      <c r="DM373"/>
      <c r="DN373"/>
    </row>
    <row r="374" spans="27:118">
      <c r="AA374" s="30"/>
      <c r="AB374" s="30"/>
      <c r="AC374" s="30"/>
      <c r="DK374"/>
      <c r="DL374"/>
      <c r="DM374"/>
      <c r="DN374"/>
    </row>
    <row r="375" spans="27:118">
      <c r="AA375" s="30"/>
      <c r="AB375" s="30"/>
      <c r="AC375" s="30"/>
      <c r="DK375"/>
      <c r="DL375"/>
      <c r="DM375"/>
      <c r="DN375"/>
    </row>
    <row r="376" spans="27:118">
      <c r="AA376" s="30"/>
      <c r="AB376" s="30"/>
      <c r="AC376" s="30"/>
      <c r="DK376"/>
      <c r="DL376"/>
      <c r="DM376"/>
      <c r="DN376"/>
    </row>
    <row r="377" spans="27:118">
      <c r="AA377" s="30"/>
      <c r="AB377" s="30"/>
      <c r="AC377" s="30"/>
      <c r="DK377"/>
      <c r="DL377"/>
      <c r="DM377"/>
      <c r="DN377"/>
    </row>
    <row r="378" spans="27:118">
      <c r="AA378" s="30"/>
      <c r="AB378" s="30"/>
      <c r="AC378" s="30"/>
      <c r="DK378"/>
      <c r="DL378"/>
      <c r="DM378"/>
      <c r="DN378"/>
    </row>
    <row r="379" spans="27:118">
      <c r="AA379" s="30"/>
      <c r="AB379" s="30"/>
      <c r="AC379" s="30"/>
      <c r="DK379"/>
      <c r="DL379"/>
      <c r="DM379"/>
      <c r="DN379"/>
    </row>
    <row r="380" spans="27:118">
      <c r="AA380" s="30"/>
      <c r="AB380" s="30"/>
      <c r="AC380" s="30"/>
      <c r="DK380"/>
      <c r="DL380"/>
      <c r="DM380"/>
      <c r="DN380"/>
    </row>
    <row r="381" spans="27:118">
      <c r="AA381" s="30"/>
      <c r="AB381" s="30"/>
      <c r="AC381" s="30"/>
      <c r="DK381"/>
      <c r="DL381"/>
      <c r="DM381"/>
      <c r="DN381"/>
    </row>
    <row r="382" spans="27:118">
      <c r="AA382" s="30"/>
      <c r="AB382" s="30"/>
      <c r="AC382" s="30"/>
      <c r="DK382"/>
      <c r="DL382"/>
      <c r="DM382"/>
      <c r="DN382"/>
    </row>
    <row r="383" spans="27:118">
      <c r="AA383" s="30"/>
      <c r="AB383" s="30"/>
      <c r="AC383" s="30"/>
      <c r="DK383"/>
      <c r="DL383"/>
      <c r="DM383"/>
      <c r="DN383"/>
    </row>
    <row r="384" spans="27:118">
      <c r="AA384" s="30"/>
      <c r="AB384" s="30"/>
      <c r="AC384" s="30"/>
      <c r="DK384"/>
      <c r="DL384"/>
      <c r="DM384"/>
      <c r="DN384"/>
    </row>
    <row r="385" spans="27:118">
      <c r="AA385" s="30"/>
      <c r="AB385" s="30"/>
      <c r="AC385" s="30"/>
      <c r="DK385"/>
      <c r="DL385"/>
      <c r="DM385"/>
      <c r="DN385"/>
    </row>
    <row r="386" spans="27:118">
      <c r="AA386" s="30"/>
      <c r="AB386" s="30"/>
      <c r="AC386" s="30"/>
      <c r="DK386"/>
      <c r="DL386"/>
      <c r="DM386"/>
      <c r="DN386"/>
    </row>
    <row r="387" spans="27:118">
      <c r="AA387" s="30"/>
      <c r="AB387" s="30"/>
      <c r="AC387" s="30"/>
      <c r="DK387"/>
      <c r="DL387"/>
      <c r="DM387"/>
      <c r="DN387"/>
    </row>
    <row r="388" spans="27:118">
      <c r="AA388" s="30"/>
      <c r="AB388" s="30"/>
      <c r="AC388" s="30"/>
      <c r="DK388"/>
      <c r="DL388"/>
      <c r="DM388"/>
      <c r="DN388"/>
    </row>
    <row r="389" spans="27:118">
      <c r="AA389" s="30"/>
      <c r="AB389" s="30"/>
      <c r="AC389" s="30"/>
      <c r="DK389"/>
      <c r="DL389"/>
      <c r="DM389"/>
      <c r="DN389"/>
    </row>
    <row r="390" spans="27:118">
      <c r="AA390" s="30"/>
      <c r="AB390" s="30"/>
      <c r="AC390" s="30"/>
      <c r="DK390"/>
      <c r="DL390"/>
      <c r="DM390"/>
      <c r="DN390"/>
    </row>
    <row r="391" spans="27:118">
      <c r="AA391" s="30"/>
      <c r="AB391" s="30"/>
      <c r="AC391" s="30"/>
      <c r="DK391"/>
      <c r="DL391"/>
      <c r="DM391"/>
      <c r="DN391"/>
    </row>
    <row r="392" spans="27:118">
      <c r="AA392" s="30"/>
      <c r="AB392" s="30"/>
      <c r="AC392" s="30"/>
      <c r="DK392"/>
      <c r="DL392"/>
      <c r="DM392"/>
      <c r="DN392"/>
    </row>
    <row r="393" spans="27:118">
      <c r="AA393" s="30"/>
      <c r="AB393" s="30"/>
      <c r="AC393" s="30"/>
      <c r="DK393"/>
      <c r="DL393"/>
      <c r="DM393"/>
      <c r="DN393"/>
    </row>
    <row r="394" spans="27:118">
      <c r="AA394" s="30"/>
      <c r="AB394" s="30"/>
      <c r="AC394" s="30"/>
      <c r="DK394"/>
      <c r="DL394"/>
      <c r="DM394"/>
      <c r="DN394"/>
    </row>
    <row r="395" spans="27:118">
      <c r="AA395" s="30"/>
      <c r="AB395" s="30"/>
      <c r="AC395" s="30"/>
      <c r="DK395"/>
      <c r="DL395"/>
      <c r="DM395"/>
      <c r="DN395"/>
    </row>
    <row r="396" spans="27:118">
      <c r="AA396" s="30"/>
      <c r="AB396" s="30"/>
      <c r="AC396" s="30"/>
      <c r="DK396"/>
      <c r="DL396"/>
      <c r="DM396"/>
      <c r="DN396"/>
    </row>
    <row r="397" spans="27:118">
      <c r="AA397" s="30"/>
      <c r="AB397" s="30"/>
      <c r="AC397" s="30"/>
      <c r="DK397"/>
      <c r="DL397"/>
      <c r="DM397"/>
      <c r="DN397"/>
    </row>
    <row r="398" spans="27:118">
      <c r="AA398" s="30"/>
      <c r="AB398" s="30"/>
      <c r="AC398" s="30"/>
      <c r="DK398"/>
      <c r="DL398"/>
      <c r="DM398"/>
      <c r="DN398"/>
    </row>
    <row r="399" spans="27:118">
      <c r="AA399" s="30"/>
      <c r="AB399" s="30"/>
      <c r="AC399" s="30"/>
      <c r="DK399"/>
      <c r="DL399"/>
      <c r="DM399"/>
      <c r="DN399"/>
    </row>
    <row r="400" spans="27:118">
      <c r="AA400" s="30"/>
      <c r="AB400" s="30"/>
      <c r="AC400" s="30"/>
      <c r="DK400"/>
      <c r="DL400"/>
      <c r="DM400"/>
      <c r="DN400"/>
    </row>
    <row r="401" spans="27:118">
      <c r="AA401" s="30"/>
      <c r="AB401" s="30"/>
      <c r="AC401" s="30"/>
      <c r="DK401"/>
      <c r="DL401"/>
      <c r="DM401"/>
      <c r="DN401"/>
    </row>
    <row r="402" spans="27:118">
      <c r="AA402" s="30"/>
      <c r="AB402" s="30"/>
      <c r="AC402" s="30"/>
      <c r="DK402"/>
      <c r="DL402"/>
      <c r="DM402"/>
      <c r="DN402"/>
    </row>
    <row r="403" spans="27:118">
      <c r="AA403" s="30"/>
      <c r="AB403" s="30"/>
      <c r="AC403" s="30"/>
      <c r="DK403"/>
      <c r="DL403"/>
      <c r="DM403"/>
      <c r="DN403"/>
    </row>
    <row r="404" spans="27:118">
      <c r="AA404" s="30"/>
      <c r="AB404" s="30"/>
      <c r="AC404" s="30"/>
      <c r="DK404"/>
      <c r="DL404"/>
      <c r="DM404"/>
      <c r="DN404"/>
    </row>
    <row r="405" spans="27:118">
      <c r="AA405" s="30"/>
      <c r="AB405" s="30"/>
      <c r="AC405" s="30"/>
      <c r="DK405"/>
      <c r="DL405"/>
      <c r="DM405"/>
      <c r="DN405"/>
    </row>
    <row r="406" spans="27:118">
      <c r="AA406" s="30"/>
      <c r="AB406" s="30"/>
      <c r="AC406" s="30"/>
      <c r="DK406"/>
      <c r="DL406"/>
      <c r="DM406"/>
      <c r="DN406"/>
    </row>
    <row r="407" spans="27:118">
      <c r="AA407" s="30"/>
      <c r="AB407" s="30"/>
      <c r="AC407" s="30"/>
      <c r="DK407"/>
      <c r="DL407"/>
      <c r="DM407"/>
      <c r="DN407"/>
    </row>
    <row r="408" spans="27:118">
      <c r="AA408" s="30"/>
      <c r="AB408" s="30"/>
      <c r="AC408" s="30"/>
      <c r="DK408"/>
      <c r="DL408"/>
      <c r="DM408"/>
      <c r="DN408"/>
    </row>
    <row r="409" spans="27:118">
      <c r="AA409" s="30"/>
      <c r="AB409" s="30"/>
      <c r="AC409" s="30"/>
      <c r="DK409"/>
      <c r="DL409"/>
      <c r="DM409"/>
      <c r="DN409"/>
    </row>
    <row r="410" spans="27:118">
      <c r="AA410" s="30"/>
      <c r="AB410" s="30"/>
      <c r="AC410" s="30"/>
      <c r="DK410"/>
      <c r="DL410"/>
      <c r="DM410"/>
      <c r="DN410"/>
    </row>
    <row r="411" spans="27:118">
      <c r="AA411" s="30"/>
      <c r="AB411" s="30"/>
      <c r="AC411" s="30"/>
      <c r="DK411"/>
      <c r="DL411"/>
      <c r="DM411"/>
      <c r="DN411"/>
    </row>
    <row r="412" spans="27:118">
      <c r="AA412" s="30"/>
      <c r="AB412" s="30"/>
      <c r="AC412" s="30"/>
      <c r="DK412"/>
      <c r="DL412"/>
      <c r="DM412"/>
      <c r="DN412"/>
    </row>
    <row r="413" spans="27:118">
      <c r="AA413" s="30"/>
      <c r="AB413" s="30"/>
      <c r="AC413" s="30"/>
      <c r="DK413"/>
      <c r="DL413"/>
      <c r="DM413"/>
      <c r="DN413"/>
    </row>
    <row r="414" spans="27:118">
      <c r="AA414" s="30"/>
      <c r="AB414" s="30"/>
      <c r="AC414" s="30"/>
      <c r="DK414"/>
      <c r="DL414"/>
      <c r="DM414"/>
      <c r="DN414"/>
    </row>
    <row r="415" spans="27:118">
      <c r="AA415" s="30"/>
      <c r="AB415" s="30"/>
      <c r="AC415" s="30"/>
      <c r="DK415"/>
      <c r="DL415"/>
      <c r="DM415"/>
      <c r="DN415"/>
    </row>
    <row r="416" spans="27:118">
      <c r="AA416" s="30"/>
      <c r="AB416" s="30"/>
      <c r="AC416" s="30"/>
      <c r="DK416"/>
      <c r="DL416"/>
      <c r="DM416"/>
      <c r="DN416"/>
    </row>
    <row r="417" spans="27:118">
      <c r="AA417" s="30"/>
      <c r="AB417" s="30"/>
      <c r="AC417" s="30"/>
      <c r="DK417"/>
      <c r="DL417"/>
      <c r="DM417"/>
      <c r="DN417"/>
    </row>
    <row r="418" spans="27:118">
      <c r="AA418" s="30"/>
      <c r="AB418" s="30"/>
      <c r="AC418" s="30"/>
      <c r="DK418"/>
      <c r="DL418"/>
      <c r="DM418"/>
      <c r="DN418"/>
    </row>
    <row r="419" spans="27:118">
      <c r="AA419" s="30"/>
      <c r="AB419" s="30"/>
      <c r="AC419" s="30"/>
      <c r="DK419"/>
      <c r="DL419"/>
      <c r="DM419"/>
      <c r="DN419"/>
    </row>
    <row r="420" spans="27:118">
      <c r="AA420" s="30"/>
      <c r="AB420" s="30"/>
      <c r="AC420" s="30"/>
      <c r="DK420"/>
      <c r="DL420"/>
      <c r="DM420"/>
      <c r="DN420"/>
    </row>
    <row r="421" spans="27:118">
      <c r="AA421" s="30"/>
      <c r="AB421" s="30"/>
      <c r="AC421" s="30"/>
      <c r="DK421"/>
      <c r="DL421"/>
      <c r="DM421"/>
      <c r="DN421"/>
    </row>
    <row r="422" spans="27:118">
      <c r="AA422" s="30"/>
      <c r="AB422" s="30"/>
      <c r="AC422" s="30"/>
      <c r="DK422"/>
      <c r="DL422"/>
      <c r="DM422"/>
      <c r="DN422"/>
    </row>
    <row r="423" spans="27:118">
      <c r="AA423" s="30"/>
      <c r="AB423" s="30"/>
      <c r="AC423" s="30"/>
      <c r="DK423"/>
      <c r="DL423"/>
      <c r="DM423"/>
      <c r="DN423"/>
    </row>
    <row r="424" spans="27:118">
      <c r="AA424" s="30"/>
      <c r="AB424" s="30"/>
      <c r="AC424" s="30"/>
      <c r="DK424"/>
      <c r="DL424"/>
      <c r="DM424"/>
      <c r="DN424"/>
    </row>
    <row r="425" spans="27:118">
      <c r="AA425" s="30"/>
      <c r="AB425" s="30"/>
      <c r="AC425" s="30"/>
      <c r="DK425"/>
      <c r="DL425"/>
      <c r="DM425"/>
      <c r="DN425"/>
    </row>
    <row r="426" spans="27:118">
      <c r="AA426" s="30"/>
      <c r="AB426" s="30"/>
      <c r="AC426" s="30"/>
      <c r="DK426"/>
      <c r="DL426"/>
      <c r="DM426"/>
      <c r="DN426"/>
    </row>
    <row r="427" spans="27:118">
      <c r="AA427" s="30"/>
      <c r="AB427" s="30"/>
      <c r="AC427" s="30"/>
      <c r="DK427"/>
      <c r="DL427"/>
      <c r="DM427"/>
      <c r="DN427"/>
    </row>
    <row r="428" spans="27:118">
      <c r="AA428" s="30"/>
      <c r="AB428" s="30"/>
      <c r="AC428" s="30"/>
      <c r="DK428"/>
      <c r="DL428"/>
      <c r="DM428"/>
      <c r="DN428"/>
    </row>
    <row r="429" spans="27:118">
      <c r="AA429" s="30"/>
      <c r="AB429" s="30"/>
      <c r="AC429" s="30"/>
      <c r="DK429"/>
      <c r="DL429"/>
      <c r="DM429"/>
      <c r="DN429"/>
    </row>
    <row r="430" spans="27:118">
      <c r="AA430" s="30"/>
      <c r="AB430" s="30"/>
      <c r="AC430" s="30"/>
      <c r="DK430"/>
      <c r="DL430"/>
      <c r="DM430"/>
      <c r="DN430"/>
    </row>
    <row r="431" spans="27:118">
      <c r="AA431" s="30"/>
      <c r="AB431" s="30"/>
      <c r="AC431" s="30"/>
      <c r="DK431"/>
      <c r="DL431"/>
      <c r="DM431"/>
      <c r="DN431"/>
    </row>
    <row r="432" spans="27:118">
      <c r="AA432" s="30"/>
      <c r="AB432" s="30"/>
      <c r="AC432" s="30"/>
      <c r="DK432"/>
      <c r="DL432"/>
      <c r="DM432"/>
      <c r="DN432"/>
    </row>
    <row r="433" spans="27:118">
      <c r="AA433" s="30"/>
      <c r="AB433" s="30"/>
      <c r="AC433" s="30"/>
      <c r="DK433"/>
      <c r="DL433"/>
      <c r="DM433"/>
      <c r="DN433"/>
    </row>
    <row r="434" spans="27:118">
      <c r="AA434" s="30"/>
      <c r="AB434" s="30"/>
      <c r="AC434" s="30"/>
      <c r="DK434"/>
      <c r="DL434"/>
      <c r="DM434"/>
      <c r="DN434"/>
    </row>
    <row r="435" spans="27:118">
      <c r="AA435" s="30"/>
      <c r="AB435" s="30"/>
      <c r="AC435" s="30"/>
      <c r="DK435"/>
      <c r="DL435"/>
      <c r="DM435"/>
      <c r="DN435"/>
    </row>
    <row r="436" spans="27:118">
      <c r="AA436" s="30"/>
      <c r="AB436" s="30"/>
      <c r="AC436" s="30"/>
      <c r="DK436"/>
      <c r="DL436"/>
      <c r="DM436"/>
      <c r="DN436"/>
    </row>
    <row r="437" spans="27:118">
      <c r="AA437" s="30"/>
      <c r="AB437" s="30"/>
      <c r="AC437" s="30"/>
      <c r="DK437"/>
      <c r="DL437"/>
      <c r="DM437"/>
      <c r="DN437"/>
    </row>
    <row r="438" spans="27:118">
      <c r="AA438" s="30"/>
      <c r="AB438" s="30"/>
      <c r="AC438" s="30"/>
      <c r="DK438"/>
      <c r="DL438"/>
      <c r="DM438"/>
      <c r="DN438"/>
    </row>
    <row r="439" spans="27:118">
      <c r="AA439" s="30"/>
      <c r="AB439" s="30"/>
      <c r="AC439" s="30"/>
      <c r="DK439"/>
      <c r="DL439"/>
      <c r="DM439"/>
      <c r="DN439"/>
    </row>
    <row r="440" spans="27:118">
      <c r="AA440" s="30"/>
      <c r="AB440" s="30"/>
      <c r="AC440" s="30"/>
      <c r="DK440"/>
      <c r="DL440"/>
      <c r="DM440"/>
      <c r="DN440"/>
    </row>
    <row r="441" spans="27:118">
      <c r="AA441" s="30"/>
      <c r="AB441" s="30"/>
      <c r="AC441" s="30"/>
      <c r="DK441"/>
      <c r="DL441"/>
      <c r="DM441"/>
      <c r="DN441"/>
    </row>
    <row r="442" spans="27:118">
      <c r="AA442" s="30"/>
      <c r="AB442" s="30"/>
      <c r="AC442" s="30"/>
      <c r="DK442"/>
      <c r="DL442"/>
      <c r="DM442"/>
      <c r="DN442"/>
    </row>
    <row r="443" spans="27:118">
      <c r="AA443" s="30"/>
      <c r="AB443" s="30"/>
      <c r="AC443" s="30"/>
      <c r="DK443"/>
      <c r="DL443"/>
      <c r="DM443"/>
      <c r="DN443"/>
    </row>
    <row r="444" spans="27:118">
      <c r="AA444" s="30"/>
      <c r="AB444" s="30"/>
      <c r="AC444" s="30"/>
      <c r="DK444"/>
      <c r="DL444"/>
      <c r="DM444"/>
      <c r="DN444"/>
    </row>
    <row r="445" spans="27:118">
      <c r="AA445" s="30"/>
      <c r="AB445" s="30"/>
      <c r="AC445" s="30"/>
      <c r="DK445"/>
      <c r="DL445"/>
      <c r="DM445"/>
      <c r="DN445"/>
    </row>
    <row r="446" spans="27:118">
      <c r="AA446" s="30"/>
      <c r="AB446" s="30"/>
      <c r="AC446" s="30"/>
      <c r="DK446"/>
      <c r="DL446"/>
      <c r="DM446"/>
      <c r="DN446"/>
    </row>
    <row r="447" spans="27:118">
      <c r="AA447" s="30"/>
      <c r="AB447" s="30"/>
      <c r="AC447" s="30"/>
      <c r="DK447"/>
      <c r="DL447"/>
      <c r="DM447"/>
      <c r="DN447"/>
    </row>
    <row r="448" spans="27:118">
      <c r="AA448" s="30"/>
      <c r="AB448" s="30"/>
      <c r="AC448" s="30"/>
      <c r="DK448"/>
      <c r="DL448"/>
      <c r="DM448"/>
      <c r="DN448"/>
    </row>
    <row r="449" spans="27:118">
      <c r="AA449" s="30"/>
      <c r="AB449" s="30"/>
      <c r="AC449" s="30"/>
      <c r="DK449"/>
      <c r="DL449"/>
      <c r="DM449"/>
      <c r="DN449"/>
    </row>
    <row r="450" spans="27:118">
      <c r="AA450" s="30"/>
      <c r="AB450" s="30"/>
      <c r="AC450" s="30"/>
      <c r="DK450"/>
      <c r="DL450"/>
      <c r="DM450"/>
      <c r="DN450"/>
    </row>
    <row r="451" spans="27:118">
      <c r="AA451" s="30"/>
      <c r="AB451" s="30"/>
      <c r="AC451" s="30"/>
      <c r="DK451"/>
      <c r="DL451"/>
      <c r="DM451"/>
      <c r="DN451"/>
    </row>
    <row r="452" spans="27:118">
      <c r="AA452" s="30"/>
      <c r="AB452" s="30"/>
      <c r="AC452" s="30"/>
      <c r="DK452"/>
      <c r="DL452"/>
      <c r="DM452"/>
      <c r="DN452"/>
    </row>
    <row r="453" spans="27:118">
      <c r="AA453" s="30"/>
      <c r="AB453" s="30"/>
      <c r="AC453" s="30"/>
      <c r="DK453"/>
      <c r="DL453"/>
      <c r="DM453"/>
      <c r="DN453"/>
    </row>
    <row r="454" spans="27:118">
      <c r="AA454" s="30"/>
      <c r="AB454" s="30"/>
      <c r="AC454" s="30"/>
      <c r="DK454"/>
      <c r="DL454"/>
      <c r="DM454"/>
      <c r="DN454"/>
    </row>
    <row r="455" spans="27:118">
      <c r="AA455" s="30"/>
      <c r="AB455" s="30"/>
      <c r="AC455" s="30"/>
      <c r="DK455"/>
      <c r="DL455"/>
      <c r="DM455"/>
      <c r="DN455"/>
    </row>
    <row r="456" spans="27:118">
      <c r="AA456" s="30"/>
      <c r="AB456" s="30"/>
      <c r="AC456" s="30"/>
      <c r="DK456"/>
      <c r="DL456"/>
      <c r="DM456"/>
      <c r="DN456"/>
    </row>
    <row r="457" spans="27:118">
      <c r="AA457" s="30"/>
      <c r="AB457" s="30"/>
      <c r="AC457" s="30"/>
      <c r="DK457"/>
      <c r="DL457"/>
      <c r="DM457"/>
      <c r="DN457"/>
    </row>
    <row r="458" spans="27:118">
      <c r="AA458" s="30"/>
      <c r="AB458" s="30"/>
      <c r="AC458" s="30"/>
      <c r="DK458"/>
      <c r="DL458"/>
      <c r="DM458"/>
      <c r="DN458"/>
    </row>
    <row r="459" spans="27:118">
      <c r="AA459" s="30"/>
      <c r="AB459" s="30"/>
      <c r="AC459" s="30"/>
      <c r="DK459"/>
      <c r="DL459"/>
      <c r="DM459"/>
      <c r="DN459"/>
    </row>
    <row r="460" spans="27:118">
      <c r="AA460" s="30"/>
      <c r="AB460" s="30"/>
      <c r="AC460" s="30"/>
      <c r="DK460"/>
      <c r="DL460"/>
      <c r="DM460"/>
      <c r="DN460"/>
    </row>
    <row r="461" spans="27:118">
      <c r="AA461" s="30"/>
      <c r="AB461" s="30"/>
      <c r="AC461" s="30"/>
      <c r="DK461"/>
      <c r="DL461"/>
      <c r="DM461"/>
      <c r="DN461"/>
    </row>
    <row r="462" spans="27:118">
      <c r="AA462" s="30"/>
      <c r="AB462" s="30"/>
      <c r="AC462" s="30"/>
      <c r="DK462"/>
      <c r="DL462"/>
      <c r="DM462"/>
      <c r="DN462"/>
    </row>
    <row r="463" spans="27:118">
      <c r="AA463" s="30"/>
      <c r="AB463" s="30"/>
      <c r="AC463" s="30"/>
      <c r="DK463"/>
      <c r="DL463"/>
      <c r="DM463"/>
      <c r="DN463"/>
    </row>
    <row r="464" spans="27:118">
      <c r="AA464" s="30"/>
      <c r="AB464" s="30"/>
      <c r="AC464" s="30"/>
      <c r="DK464"/>
      <c r="DL464"/>
      <c r="DM464"/>
      <c r="DN464"/>
    </row>
    <row r="465" spans="27:118">
      <c r="AA465" s="30"/>
      <c r="AB465" s="30"/>
      <c r="AC465" s="30"/>
      <c r="DK465"/>
      <c r="DL465"/>
      <c r="DM465"/>
      <c r="DN465"/>
    </row>
    <row r="466" spans="27:118">
      <c r="AA466" s="30"/>
      <c r="AB466" s="30"/>
      <c r="AC466" s="30"/>
      <c r="DK466"/>
      <c r="DL466"/>
      <c r="DM466"/>
      <c r="DN466"/>
    </row>
    <row r="467" spans="27:118">
      <c r="AA467" s="30"/>
      <c r="AB467" s="30"/>
      <c r="AC467" s="30"/>
      <c r="DK467"/>
      <c r="DL467"/>
      <c r="DM467"/>
      <c r="DN467"/>
    </row>
    <row r="468" spans="27:118">
      <c r="AA468" s="30"/>
      <c r="AB468" s="30"/>
      <c r="AC468" s="30"/>
      <c r="DK468"/>
      <c r="DL468"/>
      <c r="DM468"/>
      <c r="DN468"/>
    </row>
    <row r="469" spans="27:118">
      <c r="AA469" s="30"/>
      <c r="AB469" s="30"/>
      <c r="AC469" s="30"/>
      <c r="DK469"/>
      <c r="DL469"/>
      <c r="DM469"/>
      <c r="DN469"/>
    </row>
    <row r="470" spans="27:118">
      <c r="AA470" s="30"/>
      <c r="AB470" s="30"/>
      <c r="AC470" s="30"/>
      <c r="DK470"/>
      <c r="DL470"/>
      <c r="DM470"/>
      <c r="DN470"/>
    </row>
    <row r="471" spans="27:118">
      <c r="AA471" s="30"/>
      <c r="AB471" s="30"/>
      <c r="AC471" s="30"/>
      <c r="DK471"/>
      <c r="DL471"/>
      <c r="DM471"/>
      <c r="DN471"/>
    </row>
    <row r="472" spans="27:118">
      <c r="AA472" s="30"/>
      <c r="AB472" s="30"/>
      <c r="AC472" s="30"/>
      <c r="DK472"/>
      <c r="DL472"/>
      <c r="DM472"/>
      <c r="DN472"/>
    </row>
    <row r="473" spans="27:118">
      <c r="AA473" s="30"/>
      <c r="AB473" s="30"/>
      <c r="AC473" s="30"/>
      <c r="DK473"/>
      <c r="DL473"/>
      <c r="DM473"/>
      <c r="DN473"/>
    </row>
    <row r="474" spans="27:118">
      <c r="AA474" s="30"/>
      <c r="AB474" s="30"/>
      <c r="AC474" s="30"/>
      <c r="DK474"/>
      <c r="DL474"/>
      <c r="DM474"/>
      <c r="DN474"/>
    </row>
    <row r="475" spans="27:118">
      <c r="AA475" s="30"/>
      <c r="AB475" s="30"/>
      <c r="AC475" s="30"/>
      <c r="DK475"/>
      <c r="DL475"/>
      <c r="DM475"/>
      <c r="DN475"/>
    </row>
    <row r="476" spans="27:118">
      <c r="AA476" s="30"/>
      <c r="AB476" s="30"/>
      <c r="AC476" s="30"/>
      <c r="DK476"/>
      <c r="DL476"/>
      <c r="DM476"/>
      <c r="DN476"/>
    </row>
    <row r="477" spans="27:118">
      <c r="AA477" s="30"/>
      <c r="AB477" s="30"/>
      <c r="AC477" s="30"/>
      <c r="DK477"/>
      <c r="DL477"/>
      <c r="DM477"/>
      <c r="DN477"/>
    </row>
    <row r="478" spans="27:118">
      <c r="AA478" s="30"/>
      <c r="AB478" s="30"/>
      <c r="AC478" s="30"/>
      <c r="DK478"/>
      <c r="DL478"/>
      <c r="DM478"/>
      <c r="DN478"/>
    </row>
    <row r="479" spans="27:118">
      <c r="AA479" s="30"/>
      <c r="AB479" s="30"/>
      <c r="AC479" s="30"/>
      <c r="DK479"/>
      <c r="DL479"/>
      <c r="DM479"/>
      <c r="DN479"/>
    </row>
    <row r="480" spans="27:118">
      <c r="AA480" s="30"/>
      <c r="AB480" s="30"/>
      <c r="AC480" s="30"/>
      <c r="DK480"/>
      <c r="DL480"/>
      <c r="DM480"/>
      <c r="DN480"/>
    </row>
    <row r="481" spans="27:118">
      <c r="AA481" s="30"/>
      <c r="AB481" s="30"/>
      <c r="AC481" s="30"/>
      <c r="DK481"/>
      <c r="DL481"/>
      <c r="DM481"/>
      <c r="DN481"/>
    </row>
    <row r="482" spans="27:118">
      <c r="AA482" s="30"/>
      <c r="AB482" s="30"/>
      <c r="AC482" s="30"/>
      <c r="DK482"/>
      <c r="DL482"/>
      <c r="DM482"/>
      <c r="DN482"/>
    </row>
    <row r="483" spans="27:118">
      <c r="AA483" s="30"/>
      <c r="AB483" s="30"/>
      <c r="AC483" s="30"/>
      <c r="DK483"/>
      <c r="DL483"/>
      <c r="DM483"/>
      <c r="DN483"/>
    </row>
    <row r="484" spans="27:118">
      <c r="AA484" s="30"/>
      <c r="AB484" s="30"/>
      <c r="AC484" s="30"/>
      <c r="DK484"/>
      <c r="DL484"/>
      <c r="DM484"/>
      <c r="DN484"/>
    </row>
    <row r="485" spans="27:118">
      <c r="AA485" s="30"/>
      <c r="AB485" s="30"/>
      <c r="AC485" s="30"/>
      <c r="DK485"/>
      <c r="DL485"/>
      <c r="DM485"/>
      <c r="DN485"/>
    </row>
    <row r="486" spans="27:118">
      <c r="AA486" s="30"/>
      <c r="AB486" s="30"/>
      <c r="AC486" s="30"/>
      <c r="DK486"/>
      <c r="DL486"/>
      <c r="DM486"/>
      <c r="DN486"/>
    </row>
    <row r="487" spans="27:118">
      <c r="AA487" s="30"/>
      <c r="AB487" s="30"/>
      <c r="AC487" s="30"/>
      <c r="DK487"/>
      <c r="DL487"/>
      <c r="DM487"/>
      <c r="DN487"/>
    </row>
    <row r="488" spans="27:118">
      <c r="AA488" s="30"/>
      <c r="AB488" s="30"/>
      <c r="AC488" s="30"/>
      <c r="DK488"/>
      <c r="DL488"/>
      <c r="DM488"/>
      <c r="DN488"/>
    </row>
    <row r="489" spans="27:118">
      <c r="AA489" s="30"/>
      <c r="AB489" s="30"/>
      <c r="AC489" s="30"/>
      <c r="DK489"/>
      <c r="DL489"/>
      <c r="DM489"/>
      <c r="DN489"/>
    </row>
    <row r="490" spans="27:118">
      <c r="AA490" s="30"/>
      <c r="AB490" s="30"/>
      <c r="AC490" s="30"/>
      <c r="DK490"/>
      <c r="DL490"/>
      <c r="DM490"/>
      <c r="DN490"/>
    </row>
    <row r="491" spans="27:118">
      <c r="AA491" s="30"/>
      <c r="AB491" s="30"/>
      <c r="AC491" s="30"/>
      <c r="DK491"/>
      <c r="DL491"/>
      <c r="DM491"/>
      <c r="DN491"/>
    </row>
    <row r="492" spans="27:118">
      <c r="AA492" s="30"/>
      <c r="AB492" s="30"/>
      <c r="AC492" s="30"/>
      <c r="DK492"/>
      <c r="DL492"/>
      <c r="DM492"/>
      <c r="DN492"/>
    </row>
    <row r="493" spans="27:118">
      <c r="AA493" s="30"/>
      <c r="AB493" s="30"/>
      <c r="AC493" s="30"/>
      <c r="DK493"/>
      <c r="DL493"/>
      <c r="DM493"/>
      <c r="DN493"/>
    </row>
    <row r="494" spans="27:118">
      <c r="AA494" s="30"/>
      <c r="AB494" s="30"/>
      <c r="AC494" s="30"/>
      <c r="DK494"/>
      <c r="DL494"/>
      <c r="DM494"/>
      <c r="DN494"/>
    </row>
    <row r="495" spans="27:118">
      <c r="AA495" s="30"/>
      <c r="AB495" s="30"/>
      <c r="AC495" s="30"/>
      <c r="DK495"/>
      <c r="DL495"/>
      <c r="DM495"/>
      <c r="DN495"/>
    </row>
    <row r="496" spans="27:118">
      <c r="AA496" s="30"/>
      <c r="AB496" s="30"/>
      <c r="AC496" s="30"/>
      <c r="DK496"/>
      <c r="DL496"/>
      <c r="DM496"/>
      <c r="DN496"/>
    </row>
    <row r="497" spans="27:118">
      <c r="AA497" s="30"/>
      <c r="AB497" s="30"/>
      <c r="AC497" s="30"/>
      <c r="DK497"/>
      <c r="DL497"/>
      <c r="DM497"/>
      <c r="DN497"/>
    </row>
    <row r="498" spans="27:118">
      <c r="AA498" s="30"/>
      <c r="AB498" s="30"/>
      <c r="AC498" s="30"/>
      <c r="DK498"/>
      <c r="DL498"/>
      <c r="DM498"/>
      <c r="DN498"/>
    </row>
    <row r="499" spans="27:118">
      <c r="AA499" s="30"/>
      <c r="AB499" s="30"/>
      <c r="AC499" s="30"/>
      <c r="DK499"/>
      <c r="DL499"/>
      <c r="DM499"/>
      <c r="DN499"/>
    </row>
    <row r="500" spans="27:118">
      <c r="AA500" s="30"/>
      <c r="AB500" s="30"/>
      <c r="AC500" s="30"/>
      <c r="DK500"/>
      <c r="DL500"/>
      <c r="DM500"/>
      <c r="DN500"/>
    </row>
    <row r="501" spans="27:118">
      <c r="AA501" s="30"/>
      <c r="AB501" s="30"/>
      <c r="AC501" s="30"/>
      <c r="DK501"/>
      <c r="DL501"/>
      <c r="DM501"/>
      <c r="DN501"/>
    </row>
    <row r="502" spans="27:118">
      <c r="AA502" s="30"/>
      <c r="AB502" s="30"/>
      <c r="AC502" s="30"/>
      <c r="DK502"/>
      <c r="DL502"/>
      <c r="DM502"/>
      <c r="DN502"/>
    </row>
    <row r="503" spans="27:118">
      <c r="AA503" s="30"/>
      <c r="AB503" s="30"/>
      <c r="AC503" s="30"/>
      <c r="DK503"/>
      <c r="DL503"/>
      <c r="DM503"/>
      <c r="DN503"/>
    </row>
    <row r="504" spans="27:118">
      <c r="AA504" s="30"/>
      <c r="AB504" s="30"/>
      <c r="AC504" s="30"/>
      <c r="DK504"/>
      <c r="DL504"/>
      <c r="DM504"/>
      <c r="DN504"/>
    </row>
    <row r="505" spans="27:118">
      <c r="AA505" s="30"/>
      <c r="AB505" s="30"/>
      <c r="AC505" s="30"/>
      <c r="DK505"/>
      <c r="DL505"/>
      <c r="DM505"/>
      <c r="DN505"/>
    </row>
    <row r="506" spans="27:118">
      <c r="AA506" s="30"/>
      <c r="AB506" s="30"/>
      <c r="AC506" s="30"/>
      <c r="DK506"/>
      <c r="DL506"/>
      <c r="DM506"/>
      <c r="DN506"/>
    </row>
    <row r="507" spans="27:118">
      <c r="AA507" s="30"/>
      <c r="AB507" s="30"/>
      <c r="AC507" s="30"/>
      <c r="DK507"/>
      <c r="DL507"/>
      <c r="DM507"/>
      <c r="DN507"/>
    </row>
    <row r="508" spans="27:118">
      <c r="AA508" s="30"/>
      <c r="AB508" s="30"/>
      <c r="AC508" s="30"/>
      <c r="DK508"/>
      <c r="DL508"/>
      <c r="DM508"/>
      <c r="DN508"/>
    </row>
    <row r="509" spans="27:118">
      <c r="AA509" s="30"/>
      <c r="AB509" s="30"/>
      <c r="AC509" s="30"/>
      <c r="DK509"/>
      <c r="DL509"/>
      <c r="DM509"/>
      <c r="DN509"/>
    </row>
    <row r="510" spans="27:118">
      <c r="AA510" s="30"/>
      <c r="AB510" s="30"/>
      <c r="AC510" s="30"/>
      <c r="DK510"/>
      <c r="DL510"/>
      <c r="DM510"/>
      <c r="DN510"/>
    </row>
    <row r="511" spans="27:118">
      <c r="AA511" s="30"/>
      <c r="AB511" s="30"/>
      <c r="AC511" s="30"/>
      <c r="DK511"/>
      <c r="DL511"/>
      <c r="DM511"/>
      <c r="DN511"/>
    </row>
    <row r="512" spans="27:118">
      <c r="AA512" s="30"/>
      <c r="AB512" s="30"/>
      <c r="AC512" s="30"/>
      <c r="DK512"/>
      <c r="DL512"/>
      <c r="DM512"/>
      <c r="DN512"/>
    </row>
    <row r="513" spans="27:118">
      <c r="AA513" s="30"/>
      <c r="AB513" s="30"/>
      <c r="AC513" s="30"/>
      <c r="DK513"/>
      <c r="DL513"/>
      <c r="DM513"/>
      <c r="DN513"/>
    </row>
    <row r="514" spans="27:118">
      <c r="AA514" s="30"/>
      <c r="AB514" s="30"/>
      <c r="AC514" s="30"/>
      <c r="DK514"/>
      <c r="DL514"/>
      <c r="DM514"/>
      <c r="DN514"/>
    </row>
    <row r="515" spans="27:118">
      <c r="AA515" s="30"/>
      <c r="AB515" s="30"/>
      <c r="AC515" s="30"/>
      <c r="DK515"/>
      <c r="DL515"/>
      <c r="DM515"/>
      <c r="DN515"/>
    </row>
    <row r="516" spans="27:118">
      <c r="AA516" s="30"/>
      <c r="AB516" s="30"/>
      <c r="AC516" s="30"/>
      <c r="DK516"/>
      <c r="DL516"/>
      <c r="DM516"/>
      <c r="DN516"/>
    </row>
    <row r="517" spans="27:118">
      <c r="AA517" s="30"/>
      <c r="AB517" s="30"/>
      <c r="AC517" s="30"/>
      <c r="DK517"/>
      <c r="DL517"/>
      <c r="DM517"/>
      <c r="DN517"/>
    </row>
    <row r="518" spans="27:118">
      <c r="AA518" s="30"/>
      <c r="AB518" s="30"/>
      <c r="AC518" s="30"/>
      <c r="DK518"/>
      <c r="DL518"/>
      <c r="DM518"/>
      <c r="DN518"/>
    </row>
    <row r="519" spans="27:118">
      <c r="AA519" s="30"/>
      <c r="AB519" s="30"/>
      <c r="AC519" s="30"/>
      <c r="DK519"/>
      <c r="DL519"/>
      <c r="DM519"/>
      <c r="DN519"/>
    </row>
    <row r="520" spans="27:118">
      <c r="AA520" s="30"/>
      <c r="AB520" s="30"/>
      <c r="AC520" s="30"/>
      <c r="DK520"/>
      <c r="DL520"/>
      <c r="DM520"/>
      <c r="DN520"/>
    </row>
    <row r="521" spans="27:118">
      <c r="AA521" s="30"/>
      <c r="AB521" s="30"/>
      <c r="AC521" s="30"/>
      <c r="DK521"/>
      <c r="DL521"/>
      <c r="DM521"/>
      <c r="DN521"/>
    </row>
    <row r="522" spans="27:118">
      <c r="AA522" s="30"/>
      <c r="AB522" s="30"/>
      <c r="AC522" s="30"/>
      <c r="DK522"/>
      <c r="DL522"/>
      <c r="DM522"/>
      <c r="DN522"/>
    </row>
    <row r="523" spans="27:118">
      <c r="AA523" s="30"/>
      <c r="AB523" s="30"/>
      <c r="AC523" s="30"/>
      <c r="DK523"/>
      <c r="DL523"/>
      <c r="DM523"/>
      <c r="DN523"/>
    </row>
    <row r="524" spans="27:118">
      <c r="AA524" s="30"/>
      <c r="AB524" s="30"/>
      <c r="AC524" s="30"/>
      <c r="DK524"/>
      <c r="DL524"/>
      <c r="DM524"/>
      <c r="DN524"/>
    </row>
    <row r="525" spans="27:118">
      <c r="AA525" s="30"/>
      <c r="AB525" s="30"/>
      <c r="AC525" s="30"/>
      <c r="DK525"/>
      <c r="DL525"/>
      <c r="DM525"/>
      <c r="DN525"/>
    </row>
    <row r="526" spans="27:118">
      <c r="AA526" s="30"/>
      <c r="AB526" s="30"/>
      <c r="AC526" s="30"/>
      <c r="DK526"/>
      <c r="DL526"/>
      <c r="DM526"/>
      <c r="DN526"/>
    </row>
    <row r="527" spans="27:118">
      <c r="AA527" s="30"/>
      <c r="AB527" s="30"/>
      <c r="AC527" s="30"/>
      <c r="DK527"/>
      <c r="DL527"/>
      <c r="DM527"/>
      <c r="DN527"/>
    </row>
    <row r="528" spans="27:118">
      <c r="AA528" s="30"/>
      <c r="AB528" s="30"/>
      <c r="AC528" s="30"/>
      <c r="DK528"/>
      <c r="DL528"/>
      <c r="DM528"/>
      <c r="DN528"/>
    </row>
    <row r="529" spans="27:118">
      <c r="AA529" s="30"/>
      <c r="AB529" s="30"/>
      <c r="AC529" s="30"/>
      <c r="DK529"/>
      <c r="DL529"/>
      <c r="DM529"/>
      <c r="DN529"/>
    </row>
    <row r="530" spans="27:118">
      <c r="AA530" s="30"/>
      <c r="AB530" s="30"/>
      <c r="AC530" s="30"/>
      <c r="DK530"/>
      <c r="DL530"/>
      <c r="DM530"/>
      <c r="DN530"/>
    </row>
    <row r="531" spans="27:118">
      <c r="AA531" s="30"/>
      <c r="AB531" s="30"/>
      <c r="AC531" s="30"/>
      <c r="DK531"/>
      <c r="DL531"/>
      <c r="DM531"/>
      <c r="DN531"/>
    </row>
    <row r="532" spans="27:118">
      <c r="AA532" s="30"/>
      <c r="AB532" s="30"/>
      <c r="AC532" s="30"/>
      <c r="DK532"/>
      <c r="DL532"/>
      <c r="DM532"/>
      <c r="DN532"/>
    </row>
    <row r="533" spans="27:118">
      <c r="AA533" s="30"/>
      <c r="AB533" s="30"/>
      <c r="AC533" s="30"/>
      <c r="DK533"/>
      <c r="DL533"/>
      <c r="DM533"/>
      <c r="DN533"/>
    </row>
    <row r="534" spans="27:118">
      <c r="AA534" s="30"/>
      <c r="AB534" s="30"/>
      <c r="AC534" s="30"/>
      <c r="DK534"/>
      <c r="DL534"/>
      <c r="DM534"/>
      <c r="DN534"/>
    </row>
    <row r="535" spans="27:118">
      <c r="AA535" s="30"/>
      <c r="AB535" s="30"/>
      <c r="AC535" s="30"/>
      <c r="DK535"/>
      <c r="DL535"/>
      <c r="DM535"/>
      <c r="DN535"/>
    </row>
    <row r="536" spans="27:118">
      <c r="AA536" s="30"/>
      <c r="AB536" s="30"/>
      <c r="AC536" s="30"/>
      <c r="DK536"/>
      <c r="DL536"/>
      <c r="DM536"/>
      <c r="DN536"/>
    </row>
    <row r="537" spans="27:118">
      <c r="AA537" s="30"/>
      <c r="AB537" s="30"/>
      <c r="AC537" s="30"/>
      <c r="DK537"/>
      <c r="DL537"/>
      <c r="DM537"/>
      <c r="DN537"/>
    </row>
    <row r="538" spans="27:118">
      <c r="AA538" s="30"/>
      <c r="AB538" s="30"/>
      <c r="AC538" s="30"/>
      <c r="DK538"/>
      <c r="DL538"/>
      <c r="DM538"/>
      <c r="DN538"/>
    </row>
    <row r="539" spans="27:118">
      <c r="AA539" s="30"/>
      <c r="AB539" s="30"/>
      <c r="AC539" s="30"/>
      <c r="DK539"/>
      <c r="DL539"/>
      <c r="DM539"/>
      <c r="DN539"/>
    </row>
    <row r="540" spans="27:118">
      <c r="AA540" s="30"/>
      <c r="AB540" s="30"/>
      <c r="AC540" s="30"/>
      <c r="DK540"/>
      <c r="DL540"/>
      <c r="DM540"/>
      <c r="DN540"/>
    </row>
    <row r="541" spans="27:118">
      <c r="AA541" s="30"/>
      <c r="AB541" s="30"/>
      <c r="AC541" s="30"/>
      <c r="DK541"/>
      <c r="DL541"/>
      <c r="DM541"/>
      <c r="DN541"/>
    </row>
    <row r="542" spans="27:118">
      <c r="AA542" s="30"/>
      <c r="AB542" s="30"/>
      <c r="AC542" s="30"/>
      <c r="DK542"/>
      <c r="DL542"/>
      <c r="DM542"/>
      <c r="DN542"/>
    </row>
    <row r="543" spans="27:118">
      <c r="AA543" s="30"/>
      <c r="AB543" s="30"/>
      <c r="AC543" s="30"/>
      <c r="DK543"/>
      <c r="DL543"/>
      <c r="DM543"/>
      <c r="DN543"/>
    </row>
    <row r="544" spans="27:118">
      <c r="AA544" s="30"/>
      <c r="AB544" s="30"/>
      <c r="AC544" s="30"/>
      <c r="DK544"/>
      <c r="DL544"/>
      <c r="DM544"/>
      <c r="DN544"/>
    </row>
    <row r="545" spans="27:118">
      <c r="AA545" s="30"/>
      <c r="AB545" s="30"/>
      <c r="AC545" s="30"/>
      <c r="DK545"/>
      <c r="DL545"/>
      <c r="DM545"/>
      <c r="DN545"/>
    </row>
    <row r="546" spans="27:118">
      <c r="AA546" s="30"/>
      <c r="AB546" s="30"/>
      <c r="AC546" s="30"/>
      <c r="DK546"/>
      <c r="DL546"/>
      <c r="DM546"/>
      <c r="DN546"/>
    </row>
    <row r="547" spans="27:118">
      <c r="AA547" s="30"/>
      <c r="AB547" s="30"/>
      <c r="AC547" s="30"/>
      <c r="DK547"/>
      <c r="DL547"/>
      <c r="DM547"/>
      <c r="DN547"/>
    </row>
    <row r="548" spans="27:118">
      <c r="AA548" s="30"/>
      <c r="AB548" s="30"/>
      <c r="AC548" s="30"/>
      <c r="DK548"/>
      <c r="DL548"/>
      <c r="DM548"/>
      <c r="DN548"/>
    </row>
    <row r="549" spans="27:118">
      <c r="AA549" s="30"/>
      <c r="AB549" s="30"/>
      <c r="AC549" s="30"/>
      <c r="DK549"/>
      <c r="DL549"/>
      <c r="DM549"/>
      <c r="DN549"/>
    </row>
    <row r="550" spans="27:118">
      <c r="AA550" s="30"/>
      <c r="AB550" s="30"/>
      <c r="AC550" s="30"/>
      <c r="DK550"/>
      <c r="DL550"/>
      <c r="DM550"/>
      <c r="DN550"/>
    </row>
    <row r="551" spans="27:118">
      <c r="AA551" s="30"/>
      <c r="AB551" s="30"/>
      <c r="AC551" s="30"/>
      <c r="DK551"/>
      <c r="DL551"/>
      <c r="DM551"/>
      <c r="DN551"/>
    </row>
    <row r="552" spans="27:118">
      <c r="AA552" s="30"/>
      <c r="AB552" s="30"/>
      <c r="AC552" s="30"/>
      <c r="DK552"/>
      <c r="DL552"/>
      <c r="DM552"/>
      <c r="DN552"/>
    </row>
    <row r="553" spans="27:118">
      <c r="AA553" s="30"/>
      <c r="AB553" s="30"/>
      <c r="AC553" s="30"/>
      <c r="DK553"/>
      <c r="DL553"/>
      <c r="DM553"/>
      <c r="DN553"/>
    </row>
    <row r="554" spans="27:118">
      <c r="AA554" s="30"/>
      <c r="AB554" s="30"/>
      <c r="AC554" s="30"/>
      <c r="DK554"/>
      <c r="DL554"/>
      <c r="DM554"/>
      <c r="DN554"/>
    </row>
    <row r="555" spans="27:118">
      <c r="AA555" s="30"/>
      <c r="AB555" s="30"/>
      <c r="AC555" s="30"/>
      <c r="DK555"/>
      <c r="DL555"/>
      <c r="DM555"/>
      <c r="DN555"/>
    </row>
    <row r="556" spans="27:118">
      <c r="AA556" s="30"/>
      <c r="AB556" s="30"/>
      <c r="AC556" s="30"/>
      <c r="DK556"/>
      <c r="DL556"/>
      <c r="DM556"/>
      <c r="DN556"/>
    </row>
    <row r="557" spans="27:118">
      <c r="AA557" s="30"/>
      <c r="AB557" s="30"/>
      <c r="AC557" s="30"/>
      <c r="DK557"/>
      <c r="DL557"/>
      <c r="DM557"/>
      <c r="DN557"/>
    </row>
    <row r="558" spans="27:118">
      <c r="AA558" s="30"/>
      <c r="AB558" s="30"/>
      <c r="AC558" s="30"/>
      <c r="DK558"/>
      <c r="DL558"/>
      <c r="DM558"/>
      <c r="DN558"/>
    </row>
    <row r="559" spans="27:118">
      <c r="AA559" s="30"/>
      <c r="AB559" s="30"/>
      <c r="AC559" s="30"/>
      <c r="DK559"/>
      <c r="DL559"/>
      <c r="DM559"/>
      <c r="DN559"/>
    </row>
    <row r="560" spans="27:118">
      <c r="AA560" s="30"/>
      <c r="AB560" s="30"/>
      <c r="AC560" s="30"/>
      <c r="DK560"/>
      <c r="DL560"/>
      <c r="DM560"/>
      <c r="DN560"/>
    </row>
    <row r="561" spans="27:118">
      <c r="AA561" s="30"/>
      <c r="AB561" s="30"/>
      <c r="AC561" s="30"/>
      <c r="DK561"/>
      <c r="DL561"/>
      <c r="DM561"/>
      <c r="DN561"/>
    </row>
    <row r="562" spans="27:118">
      <c r="AA562" s="30"/>
      <c r="AB562" s="30"/>
      <c r="AC562" s="30"/>
      <c r="DK562"/>
      <c r="DL562"/>
      <c r="DM562"/>
      <c r="DN562"/>
    </row>
    <row r="563" spans="27:118">
      <c r="AA563" s="30"/>
      <c r="AB563" s="30"/>
      <c r="AC563" s="30"/>
      <c r="DK563"/>
      <c r="DL563"/>
      <c r="DM563"/>
      <c r="DN563"/>
    </row>
    <row r="564" spans="27:118">
      <c r="AA564" s="30"/>
      <c r="AB564" s="30"/>
      <c r="AC564" s="30"/>
      <c r="DK564"/>
      <c r="DL564"/>
      <c r="DM564"/>
      <c r="DN564"/>
    </row>
    <row r="565" spans="27:118">
      <c r="AA565" s="30"/>
      <c r="AB565" s="30"/>
      <c r="AC565" s="30"/>
      <c r="DK565"/>
      <c r="DL565"/>
      <c r="DM565"/>
      <c r="DN565"/>
    </row>
    <row r="566" spans="27:118">
      <c r="AA566" s="30"/>
      <c r="AB566" s="30"/>
      <c r="AC566" s="30"/>
      <c r="DK566"/>
      <c r="DL566"/>
      <c r="DM566"/>
      <c r="DN566"/>
    </row>
    <row r="567" spans="27:118">
      <c r="AA567" s="30"/>
      <c r="AB567" s="30"/>
      <c r="AC567" s="30"/>
      <c r="DK567"/>
      <c r="DL567"/>
      <c r="DM567"/>
      <c r="DN567"/>
    </row>
    <row r="568" spans="27:118">
      <c r="AA568" s="30"/>
      <c r="AB568" s="30"/>
      <c r="AC568" s="30"/>
      <c r="DK568"/>
      <c r="DL568"/>
      <c r="DM568"/>
      <c r="DN568"/>
    </row>
    <row r="569" spans="27:118">
      <c r="AA569" s="30"/>
      <c r="AB569" s="30"/>
      <c r="AC569" s="30"/>
      <c r="DK569"/>
      <c r="DL569"/>
      <c r="DM569"/>
      <c r="DN569"/>
    </row>
    <row r="570" spans="27:118">
      <c r="AA570" s="30"/>
      <c r="AB570" s="30"/>
      <c r="AC570" s="30"/>
      <c r="DK570"/>
      <c r="DL570"/>
      <c r="DM570"/>
      <c r="DN570"/>
    </row>
    <row r="571" spans="27:118">
      <c r="AA571" s="30"/>
      <c r="AB571" s="30"/>
      <c r="AC571" s="30"/>
      <c r="DK571"/>
      <c r="DL571"/>
      <c r="DM571"/>
      <c r="DN571"/>
    </row>
    <row r="572" spans="27:118">
      <c r="AA572" s="30"/>
      <c r="AB572" s="30"/>
      <c r="AC572" s="30"/>
      <c r="DK572"/>
      <c r="DL572"/>
      <c r="DM572"/>
      <c r="DN572"/>
    </row>
    <row r="573" spans="27:118">
      <c r="AA573" s="30"/>
      <c r="AB573" s="30"/>
      <c r="AC573" s="30"/>
      <c r="DK573"/>
      <c r="DL573"/>
      <c r="DM573"/>
      <c r="DN573"/>
    </row>
    <row r="574" spans="27:118">
      <c r="AA574" s="30"/>
      <c r="AB574" s="30"/>
      <c r="AC574" s="30"/>
      <c r="DK574"/>
      <c r="DL574"/>
      <c r="DM574"/>
      <c r="DN574"/>
    </row>
    <row r="575" spans="27:118">
      <c r="AA575" s="30"/>
      <c r="AB575" s="30"/>
      <c r="AC575" s="30"/>
      <c r="DK575"/>
      <c r="DL575"/>
      <c r="DM575"/>
      <c r="DN575"/>
    </row>
    <row r="576" spans="27:118">
      <c r="AA576" s="30"/>
      <c r="AB576" s="30"/>
      <c r="AC576" s="30"/>
      <c r="DK576"/>
      <c r="DL576"/>
      <c r="DM576"/>
      <c r="DN576"/>
    </row>
    <row r="577" spans="27:118">
      <c r="AA577" s="30"/>
      <c r="AB577" s="30"/>
      <c r="AC577" s="30"/>
      <c r="DK577"/>
      <c r="DL577"/>
      <c r="DM577"/>
      <c r="DN577"/>
    </row>
    <row r="578" spans="27:118">
      <c r="AA578" s="30"/>
      <c r="AB578" s="30"/>
      <c r="AC578" s="30"/>
      <c r="DK578"/>
      <c r="DL578"/>
      <c r="DM578"/>
      <c r="DN578"/>
    </row>
    <row r="579" spans="27:118">
      <c r="AA579" s="30"/>
      <c r="AB579" s="30"/>
      <c r="AC579" s="30"/>
      <c r="DK579"/>
      <c r="DL579"/>
      <c r="DM579"/>
      <c r="DN579"/>
    </row>
    <row r="580" spans="27:118">
      <c r="AA580" s="30"/>
      <c r="AB580" s="30"/>
      <c r="AC580" s="30"/>
      <c r="DK580"/>
      <c r="DL580"/>
      <c r="DM580"/>
      <c r="DN580"/>
    </row>
    <row r="581" spans="27:118">
      <c r="AA581" s="30"/>
      <c r="AB581" s="30"/>
      <c r="AC581" s="30"/>
      <c r="DK581"/>
      <c r="DL581"/>
      <c r="DM581"/>
      <c r="DN581"/>
    </row>
    <row r="582" spans="27:118">
      <c r="AA582" s="30"/>
      <c r="AB582" s="30"/>
      <c r="AC582" s="30"/>
      <c r="DK582"/>
      <c r="DL582"/>
      <c r="DM582"/>
      <c r="DN582"/>
    </row>
    <row r="583" spans="27:118">
      <c r="AA583" s="30"/>
      <c r="AB583" s="30"/>
      <c r="AC583" s="30"/>
      <c r="DK583"/>
      <c r="DL583"/>
      <c r="DM583"/>
      <c r="DN583"/>
    </row>
    <row r="584" spans="27:118">
      <c r="AA584" s="30"/>
      <c r="AB584" s="30"/>
      <c r="AC584" s="30"/>
      <c r="DK584"/>
      <c r="DL584"/>
      <c r="DM584"/>
      <c r="DN584"/>
    </row>
    <row r="585" spans="27:118">
      <c r="AA585" s="30"/>
      <c r="AB585" s="30"/>
      <c r="AC585" s="30"/>
      <c r="DK585"/>
      <c r="DL585"/>
      <c r="DM585"/>
      <c r="DN585"/>
    </row>
    <row r="586" spans="27:118">
      <c r="AA586" s="30"/>
      <c r="AB586" s="30"/>
      <c r="AC586" s="30"/>
      <c r="DK586"/>
      <c r="DL586"/>
      <c r="DM586"/>
      <c r="DN586"/>
    </row>
    <row r="587" spans="27:118">
      <c r="AA587" s="30"/>
      <c r="AB587" s="30"/>
      <c r="AC587" s="30"/>
      <c r="DK587"/>
      <c r="DL587"/>
      <c r="DM587"/>
      <c r="DN587"/>
    </row>
    <row r="588" spans="27:118">
      <c r="AA588" s="30"/>
      <c r="AB588" s="30"/>
      <c r="AC588" s="30"/>
      <c r="DK588"/>
      <c r="DL588"/>
      <c r="DM588"/>
      <c r="DN588"/>
    </row>
    <row r="589" spans="27:118">
      <c r="AA589" s="30"/>
      <c r="AB589" s="30"/>
      <c r="AC589" s="30"/>
      <c r="DK589"/>
      <c r="DL589"/>
      <c r="DM589"/>
      <c r="DN589"/>
    </row>
    <row r="590" spans="27:118">
      <c r="AA590" s="30"/>
      <c r="AB590" s="30"/>
      <c r="AC590" s="30"/>
      <c r="DK590"/>
      <c r="DL590"/>
      <c r="DM590"/>
      <c r="DN590"/>
    </row>
    <row r="591" spans="27:118">
      <c r="AA591" s="30"/>
      <c r="AB591" s="30"/>
      <c r="AC591" s="30"/>
      <c r="DK591"/>
      <c r="DL591"/>
      <c r="DM591"/>
      <c r="DN591"/>
    </row>
    <row r="592" spans="27:118">
      <c r="AA592" s="30"/>
      <c r="AB592" s="30"/>
      <c r="AC592" s="30"/>
      <c r="DK592"/>
      <c r="DL592"/>
      <c r="DM592"/>
      <c r="DN592"/>
    </row>
    <row r="593" spans="27:118">
      <c r="AA593" s="30"/>
      <c r="AB593" s="30"/>
      <c r="AC593" s="30"/>
      <c r="DK593"/>
      <c r="DL593"/>
      <c r="DM593"/>
      <c r="DN593"/>
    </row>
    <row r="594" spans="27:118">
      <c r="AA594" s="30"/>
      <c r="AB594" s="30"/>
      <c r="AC594" s="30"/>
      <c r="DK594"/>
      <c r="DL594"/>
      <c r="DM594"/>
      <c r="DN594"/>
    </row>
    <row r="595" spans="27:118">
      <c r="AA595" s="30"/>
      <c r="AB595" s="30"/>
      <c r="AC595" s="30"/>
      <c r="DK595"/>
      <c r="DL595"/>
      <c r="DM595"/>
      <c r="DN595"/>
    </row>
    <row r="596" spans="27:118">
      <c r="AA596" s="30"/>
      <c r="AB596" s="30"/>
      <c r="AC596" s="30"/>
      <c r="DK596"/>
      <c r="DL596"/>
      <c r="DM596"/>
      <c r="DN596"/>
    </row>
    <row r="597" spans="27:118">
      <c r="AA597" s="30"/>
      <c r="AB597" s="30"/>
      <c r="AC597" s="30"/>
      <c r="DK597"/>
      <c r="DL597"/>
      <c r="DM597"/>
      <c r="DN597"/>
    </row>
    <row r="598" spans="27:118">
      <c r="AA598" s="30"/>
      <c r="AB598" s="30"/>
      <c r="AC598" s="30"/>
      <c r="DK598"/>
      <c r="DL598"/>
      <c r="DM598"/>
      <c r="DN598"/>
    </row>
    <row r="599" spans="27:118">
      <c r="AA599" s="30"/>
      <c r="AB599" s="30"/>
      <c r="AC599" s="30"/>
      <c r="DK599"/>
      <c r="DL599"/>
      <c r="DM599"/>
      <c r="DN599"/>
    </row>
    <row r="600" spans="27:118">
      <c r="AA600" s="30"/>
      <c r="AB600" s="30"/>
      <c r="AC600" s="30"/>
      <c r="DK600"/>
      <c r="DL600"/>
      <c r="DM600"/>
      <c r="DN600"/>
    </row>
    <row r="601" spans="27:118">
      <c r="AA601" s="30"/>
      <c r="AB601" s="30"/>
      <c r="AC601" s="30"/>
      <c r="DK601"/>
      <c r="DL601"/>
      <c r="DM601"/>
      <c r="DN601"/>
    </row>
    <row r="602" spans="27:118">
      <c r="AA602" s="30"/>
      <c r="AB602" s="30"/>
      <c r="AC602" s="30"/>
      <c r="DK602"/>
      <c r="DL602"/>
      <c r="DM602"/>
      <c r="DN602"/>
    </row>
    <row r="603" spans="27:118">
      <c r="AA603" s="30"/>
      <c r="AB603" s="30"/>
      <c r="AC603" s="30"/>
      <c r="DK603"/>
      <c r="DL603"/>
      <c r="DM603"/>
      <c r="DN603"/>
    </row>
    <row r="604" spans="27:118">
      <c r="AA604" s="30"/>
      <c r="AB604" s="30"/>
      <c r="AC604" s="30"/>
      <c r="DK604"/>
      <c r="DL604"/>
      <c r="DM604"/>
      <c r="DN604"/>
    </row>
    <row r="605" spans="27:118">
      <c r="AA605" s="30"/>
      <c r="AB605" s="30"/>
      <c r="AC605" s="30"/>
      <c r="DK605"/>
      <c r="DL605"/>
      <c r="DM605"/>
      <c r="DN605"/>
    </row>
    <row r="606" spans="27:118">
      <c r="AA606" s="30"/>
      <c r="AB606" s="30"/>
      <c r="AC606" s="30"/>
      <c r="DK606"/>
      <c r="DL606"/>
      <c r="DM606"/>
      <c r="DN606"/>
    </row>
    <row r="607" spans="27:118">
      <c r="AA607" s="30"/>
      <c r="AB607" s="30"/>
      <c r="AC607" s="30"/>
      <c r="DK607"/>
      <c r="DL607"/>
      <c r="DM607"/>
      <c r="DN607"/>
    </row>
    <row r="608" spans="27:118">
      <c r="AA608" s="30"/>
      <c r="AB608" s="30"/>
      <c r="AC608" s="30"/>
      <c r="DK608"/>
      <c r="DL608"/>
      <c r="DM608"/>
      <c r="DN608"/>
    </row>
    <row r="609" spans="27:118">
      <c r="AA609" s="30"/>
      <c r="AB609" s="30"/>
      <c r="AC609" s="30"/>
      <c r="DK609"/>
      <c r="DL609"/>
      <c r="DM609"/>
      <c r="DN609"/>
    </row>
    <row r="610" spans="27:118">
      <c r="AA610" s="30"/>
      <c r="AB610" s="30"/>
      <c r="AC610" s="30"/>
      <c r="DK610"/>
      <c r="DL610"/>
      <c r="DM610"/>
      <c r="DN610"/>
    </row>
    <row r="611" spans="27:118">
      <c r="AA611" s="30"/>
      <c r="AB611" s="30"/>
      <c r="AC611" s="30"/>
      <c r="DK611"/>
      <c r="DL611"/>
      <c r="DM611"/>
      <c r="DN611"/>
    </row>
    <row r="612" spans="27:118">
      <c r="AA612" s="30"/>
      <c r="AB612" s="30"/>
      <c r="AC612" s="30"/>
      <c r="DK612"/>
      <c r="DL612"/>
      <c r="DM612"/>
      <c r="DN612"/>
    </row>
    <row r="613" spans="27:118">
      <c r="AA613" s="30"/>
      <c r="AB613" s="30"/>
      <c r="AC613" s="30"/>
      <c r="DK613"/>
      <c r="DL613"/>
      <c r="DM613"/>
      <c r="DN613"/>
    </row>
    <row r="614" spans="27:118">
      <c r="AA614" s="30"/>
      <c r="AB614" s="30"/>
      <c r="AC614" s="30"/>
      <c r="DK614"/>
      <c r="DL614"/>
      <c r="DM614"/>
      <c r="DN614"/>
    </row>
    <row r="615" spans="27:118">
      <c r="AA615" s="30"/>
      <c r="AB615" s="30"/>
      <c r="AC615" s="30"/>
      <c r="DK615"/>
      <c r="DL615"/>
      <c r="DM615"/>
      <c r="DN615"/>
    </row>
    <row r="616" spans="27:118">
      <c r="AA616" s="30"/>
      <c r="AB616" s="30"/>
      <c r="AC616" s="30"/>
      <c r="DK616"/>
      <c r="DL616"/>
      <c r="DM616"/>
      <c r="DN616"/>
    </row>
    <row r="617" spans="27:118">
      <c r="AA617" s="30"/>
      <c r="AB617" s="30"/>
      <c r="AC617" s="30"/>
      <c r="DK617"/>
      <c r="DL617"/>
      <c r="DM617"/>
      <c r="DN617"/>
    </row>
    <row r="618" spans="27:118">
      <c r="AA618" s="30"/>
      <c r="AB618" s="30"/>
      <c r="AC618" s="30"/>
      <c r="DK618"/>
      <c r="DL618"/>
      <c r="DM618"/>
      <c r="DN618"/>
    </row>
    <row r="619" spans="27:118">
      <c r="AA619" s="30"/>
      <c r="AB619" s="30"/>
      <c r="AC619" s="30"/>
      <c r="DK619"/>
      <c r="DL619"/>
      <c r="DM619"/>
      <c r="DN619"/>
    </row>
    <row r="620" spans="27:118">
      <c r="AA620" s="30"/>
      <c r="AB620" s="30"/>
      <c r="AC620" s="30"/>
      <c r="DK620"/>
      <c r="DL620"/>
      <c r="DM620"/>
      <c r="DN620"/>
    </row>
    <row r="621" spans="27:118">
      <c r="AA621" s="30"/>
      <c r="AB621" s="30"/>
      <c r="AC621" s="30"/>
      <c r="DK621"/>
      <c r="DL621"/>
      <c r="DM621"/>
      <c r="DN621"/>
    </row>
    <row r="622" spans="27:118">
      <c r="AA622" s="30"/>
      <c r="AB622" s="30"/>
      <c r="AC622" s="30"/>
      <c r="DK622"/>
      <c r="DL622"/>
      <c r="DM622"/>
      <c r="DN622"/>
    </row>
    <row r="623" spans="27:118">
      <c r="AA623" s="30"/>
      <c r="AB623" s="30"/>
      <c r="AC623" s="30"/>
      <c r="DK623"/>
      <c r="DL623"/>
      <c r="DM623"/>
      <c r="DN623"/>
    </row>
    <row r="624" spans="27:118">
      <c r="AA624" s="30"/>
      <c r="AB624" s="30"/>
      <c r="AC624" s="30"/>
      <c r="DK624"/>
      <c r="DL624"/>
      <c r="DM624"/>
      <c r="DN624"/>
    </row>
    <row r="625" spans="27:118">
      <c r="AA625" s="30"/>
      <c r="AB625" s="30"/>
      <c r="AC625" s="30"/>
      <c r="DK625"/>
      <c r="DL625"/>
      <c r="DM625"/>
      <c r="DN625"/>
    </row>
    <row r="626" spans="27:118">
      <c r="AA626" s="30"/>
      <c r="AB626" s="30"/>
      <c r="AC626" s="30"/>
      <c r="DK626"/>
      <c r="DL626"/>
      <c r="DM626"/>
      <c r="DN626"/>
    </row>
    <row r="627" spans="27:118">
      <c r="AA627" s="30"/>
      <c r="AB627" s="30"/>
      <c r="AC627" s="30"/>
      <c r="DK627"/>
      <c r="DL627"/>
      <c r="DM627"/>
      <c r="DN627"/>
    </row>
    <row r="628" spans="27:118">
      <c r="AA628" s="30"/>
      <c r="AB628" s="30"/>
      <c r="AC628" s="30"/>
      <c r="DK628"/>
      <c r="DL628"/>
      <c r="DM628"/>
      <c r="DN628"/>
    </row>
    <row r="629" spans="27:118">
      <c r="AA629" s="30"/>
      <c r="AB629" s="30"/>
      <c r="AC629" s="30"/>
      <c r="DK629"/>
      <c r="DL629"/>
      <c r="DM629"/>
      <c r="DN629"/>
    </row>
    <row r="630" spans="27:118">
      <c r="AA630" s="30"/>
      <c r="AB630" s="30"/>
      <c r="AC630" s="30"/>
      <c r="DK630"/>
      <c r="DL630"/>
      <c r="DM630"/>
      <c r="DN630"/>
    </row>
    <row r="631" spans="27:118">
      <c r="AA631" s="30"/>
      <c r="AB631" s="30"/>
      <c r="AC631" s="30"/>
      <c r="DK631"/>
      <c r="DL631"/>
      <c r="DM631"/>
      <c r="DN631"/>
    </row>
    <row r="632" spans="27:118">
      <c r="AA632" s="30"/>
      <c r="AB632" s="30"/>
      <c r="AC632" s="30"/>
      <c r="DK632"/>
      <c r="DL632"/>
      <c r="DM632"/>
      <c r="DN632"/>
    </row>
    <row r="633" spans="27:118">
      <c r="AA633" s="30"/>
      <c r="AB633" s="30"/>
      <c r="AC633" s="30"/>
      <c r="DK633"/>
      <c r="DL633"/>
      <c r="DM633"/>
      <c r="DN633"/>
    </row>
    <row r="634" spans="27:118">
      <c r="AA634" s="30"/>
      <c r="AB634" s="30"/>
      <c r="AC634" s="30"/>
      <c r="DK634"/>
      <c r="DL634"/>
      <c r="DM634"/>
      <c r="DN634"/>
    </row>
    <row r="635" spans="27:118">
      <c r="AA635" s="30"/>
      <c r="AB635" s="30"/>
      <c r="AC635" s="30"/>
      <c r="DK635"/>
      <c r="DL635"/>
      <c r="DM635"/>
      <c r="DN635"/>
    </row>
    <row r="636" spans="27:118">
      <c r="AA636" s="30"/>
      <c r="AB636" s="30"/>
      <c r="AC636" s="30"/>
      <c r="DK636"/>
      <c r="DL636"/>
      <c r="DM636"/>
      <c r="DN636"/>
    </row>
    <row r="637" spans="27:118">
      <c r="AA637" s="30"/>
      <c r="AB637" s="30"/>
      <c r="AC637" s="30"/>
      <c r="DK637"/>
      <c r="DL637"/>
      <c r="DM637"/>
      <c r="DN637"/>
    </row>
    <row r="638" spans="27:118">
      <c r="AA638" s="30"/>
      <c r="AB638" s="30"/>
      <c r="AC638" s="30"/>
      <c r="DK638"/>
      <c r="DL638"/>
      <c r="DM638"/>
      <c r="DN638"/>
    </row>
    <row r="639" spans="27:118">
      <c r="AA639" s="30"/>
      <c r="AB639" s="30"/>
      <c r="AC639" s="30"/>
      <c r="DK639"/>
      <c r="DL639"/>
      <c r="DM639"/>
      <c r="DN639"/>
    </row>
    <row r="640" spans="27:118">
      <c r="AA640" s="30"/>
      <c r="AB640" s="30"/>
      <c r="AC640" s="30"/>
      <c r="DK640"/>
      <c r="DL640"/>
      <c r="DM640"/>
      <c r="DN640"/>
    </row>
    <row r="641" spans="27:118">
      <c r="AA641" s="30"/>
      <c r="AB641" s="30"/>
      <c r="AC641" s="30"/>
      <c r="DK641"/>
      <c r="DL641"/>
      <c r="DM641"/>
      <c r="DN641"/>
    </row>
    <row r="642" spans="27:118">
      <c r="AA642" s="30"/>
      <c r="AB642" s="30"/>
      <c r="AC642" s="30"/>
      <c r="DK642"/>
      <c r="DL642"/>
      <c r="DM642"/>
      <c r="DN642"/>
    </row>
    <row r="643" spans="27:118">
      <c r="AA643" s="30"/>
      <c r="AB643" s="30"/>
      <c r="AC643" s="30"/>
      <c r="DK643"/>
      <c r="DL643"/>
      <c r="DM643"/>
      <c r="DN643"/>
    </row>
    <row r="644" spans="27:118">
      <c r="AA644" s="30"/>
      <c r="AB644" s="30"/>
      <c r="AC644" s="30"/>
      <c r="DK644"/>
      <c r="DL644"/>
      <c r="DM644"/>
      <c r="DN644"/>
    </row>
    <row r="645" spans="27:118">
      <c r="AA645" s="30"/>
      <c r="AB645" s="30"/>
      <c r="AC645" s="30"/>
      <c r="DK645"/>
      <c r="DL645"/>
      <c r="DM645"/>
      <c r="DN645"/>
    </row>
    <row r="646" spans="27:118">
      <c r="AA646" s="30"/>
      <c r="AB646" s="30"/>
      <c r="AC646" s="30"/>
      <c r="DK646"/>
      <c r="DL646"/>
      <c r="DM646"/>
      <c r="DN646"/>
    </row>
    <row r="647" spans="27:118">
      <c r="AA647" s="30"/>
      <c r="AB647" s="30"/>
      <c r="AC647" s="30"/>
      <c r="DK647"/>
      <c r="DL647"/>
      <c r="DM647"/>
      <c r="DN647"/>
    </row>
    <row r="648" spans="27:118">
      <c r="AA648" s="30"/>
      <c r="AB648" s="30"/>
      <c r="AC648" s="30"/>
      <c r="DK648"/>
      <c r="DL648"/>
      <c r="DM648"/>
      <c r="DN648"/>
    </row>
    <row r="649" spans="27:118">
      <c r="AA649" s="30"/>
      <c r="AB649" s="30"/>
      <c r="AC649" s="30"/>
      <c r="DK649"/>
      <c r="DL649"/>
      <c r="DM649"/>
      <c r="DN649"/>
    </row>
    <row r="650" spans="27:118">
      <c r="AA650" s="30"/>
      <c r="AB650" s="30"/>
      <c r="AC650" s="30"/>
      <c r="DK650"/>
      <c r="DL650"/>
      <c r="DM650"/>
      <c r="DN650"/>
    </row>
    <row r="651" spans="27:118">
      <c r="AA651" s="30"/>
      <c r="AB651" s="30"/>
      <c r="AC651" s="30"/>
      <c r="DK651"/>
      <c r="DL651"/>
      <c r="DM651"/>
      <c r="DN651"/>
    </row>
    <row r="652" spans="27:118">
      <c r="AA652" s="30"/>
      <c r="AB652" s="30"/>
      <c r="AC652" s="30"/>
      <c r="DK652"/>
      <c r="DL652"/>
      <c r="DM652"/>
      <c r="DN652"/>
    </row>
    <row r="653" spans="27:118">
      <c r="AA653" s="30"/>
      <c r="AB653" s="30"/>
      <c r="AC653" s="30"/>
      <c r="DK653"/>
      <c r="DL653"/>
      <c r="DM653"/>
      <c r="DN653"/>
    </row>
    <row r="654" spans="27:118">
      <c r="AA654" s="30"/>
      <c r="AB654" s="30"/>
      <c r="AC654" s="30"/>
      <c r="DK654"/>
      <c r="DL654"/>
      <c r="DM654"/>
      <c r="DN654"/>
    </row>
    <row r="655" spans="27:118">
      <c r="AA655" s="30"/>
      <c r="AB655" s="30"/>
      <c r="AC655" s="30"/>
      <c r="DK655"/>
      <c r="DL655"/>
      <c r="DM655"/>
      <c r="DN655"/>
    </row>
    <row r="656" spans="27:118">
      <c r="AA656" s="30"/>
      <c r="AB656" s="30"/>
      <c r="AC656" s="30"/>
      <c r="DK656"/>
      <c r="DL656"/>
      <c r="DM656"/>
      <c r="DN656"/>
    </row>
    <row r="657" spans="27:118">
      <c r="AA657" s="30"/>
      <c r="AB657" s="30"/>
      <c r="AC657" s="30"/>
      <c r="DK657"/>
      <c r="DL657"/>
      <c r="DM657"/>
      <c r="DN657"/>
    </row>
    <row r="658" spans="27:118">
      <c r="AA658" s="30"/>
      <c r="AB658" s="30"/>
      <c r="AC658" s="30"/>
      <c r="DK658"/>
      <c r="DL658"/>
      <c r="DM658"/>
      <c r="DN658"/>
    </row>
    <row r="659" spans="27:118">
      <c r="AA659" s="30"/>
      <c r="AB659" s="30"/>
      <c r="AC659" s="30"/>
      <c r="DK659"/>
      <c r="DL659"/>
      <c r="DM659"/>
      <c r="DN659"/>
    </row>
    <row r="660" spans="27:118">
      <c r="AA660" s="30"/>
      <c r="AB660" s="30"/>
      <c r="AC660" s="30"/>
      <c r="DK660"/>
      <c r="DL660"/>
      <c r="DM660"/>
      <c r="DN660"/>
    </row>
    <row r="661" spans="27:118">
      <c r="AA661" s="30"/>
      <c r="AB661" s="30"/>
      <c r="AC661" s="30"/>
      <c r="DK661"/>
      <c r="DL661"/>
      <c r="DM661"/>
      <c r="DN661"/>
    </row>
    <row r="662" spans="27:118">
      <c r="AA662" s="30"/>
      <c r="AB662" s="30"/>
      <c r="AC662" s="30"/>
      <c r="DK662"/>
      <c r="DL662"/>
      <c r="DM662"/>
      <c r="DN662"/>
    </row>
    <row r="663" spans="27:118">
      <c r="AA663" s="30"/>
      <c r="AB663" s="30"/>
      <c r="AC663" s="30"/>
      <c r="DK663"/>
      <c r="DL663"/>
      <c r="DM663"/>
      <c r="DN663"/>
    </row>
    <row r="664" spans="27:118">
      <c r="AA664" s="30"/>
      <c r="AB664" s="30"/>
      <c r="AC664" s="30"/>
      <c r="DK664"/>
      <c r="DL664"/>
      <c r="DM664"/>
      <c r="DN664"/>
    </row>
    <row r="665" spans="27:118">
      <c r="AA665" s="30"/>
      <c r="AB665" s="30"/>
      <c r="AC665" s="30"/>
      <c r="DK665"/>
      <c r="DL665"/>
      <c r="DM665"/>
      <c r="DN665"/>
    </row>
    <row r="666" spans="27:118">
      <c r="AA666" s="30"/>
      <c r="AB666" s="30"/>
      <c r="AC666" s="30"/>
      <c r="DK666"/>
      <c r="DL666"/>
      <c r="DM666"/>
      <c r="DN666"/>
    </row>
    <row r="667" spans="27:118">
      <c r="AA667" s="30"/>
      <c r="AB667" s="30"/>
      <c r="AC667" s="30"/>
      <c r="DK667"/>
      <c r="DL667"/>
      <c r="DM667"/>
      <c r="DN667"/>
    </row>
    <row r="668" spans="27:118">
      <c r="AA668" s="30"/>
      <c r="AB668" s="30"/>
      <c r="AC668" s="30"/>
      <c r="DK668"/>
      <c r="DL668"/>
      <c r="DM668"/>
      <c r="DN668"/>
    </row>
    <row r="669" spans="27:118">
      <c r="AA669" s="30"/>
      <c r="AB669" s="30"/>
      <c r="AC669" s="30"/>
      <c r="DK669"/>
      <c r="DL669"/>
      <c r="DM669"/>
      <c r="DN669"/>
    </row>
    <row r="670" spans="27:118">
      <c r="AA670" s="30"/>
      <c r="AB670" s="30"/>
      <c r="AC670" s="30"/>
      <c r="DK670"/>
      <c r="DL670"/>
      <c r="DM670"/>
      <c r="DN670"/>
    </row>
    <row r="671" spans="27:118">
      <c r="AA671" s="30"/>
      <c r="AB671" s="30"/>
      <c r="AC671" s="30"/>
      <c r="DK671"/>
      <c r="DL671"/>
      <c r="DM671"/>
      <c r="DN671"/>
    </row>
    <row r="672" spans="27:118">
      <c r="AA672" s="30"/>
      <c r="AB672" s="30"/>
      <c r="AC672" s="30"/>
      <c r="DK672"/>
      <c r="DL672"/>
      <c r="DM672"/>
      <c r="DN672"/>
    </row>
    <row r="673" spans="27:118">
      <c r="AA673" s="30"/>
      <c r="AB673" s="30"/>
      <c r="AC673" s="30"/>
      <c r="DK673"/>
      <c r="DL673"/>
      <c r="DM673"/>
      <c r="DN673"/>
    </row>
    <row r="674" spans="27:118">
      <c r="AA674" s="30"/>
      <c r="AB674" s="30"/>
      <c r="AC674" s="30"/>
      <c r="DK674"/>
      <c r="DL674"/>
      <c r="DM674"/>
      <c r="DN674"/>
    </row>
    <row r="675" spans="27:118">
      <c r="AA675" s="30"/>
      <c r="AB675" s="30"/>
      <c r="AC675" s="30"/>
      <c r="DK675"/>
      <c r="DL675"/>
      <c r="DM675"/>
      <c r="DN675"/>
    </row>
    <row r="676" spans="27:118">
      <c r="AA676" s="30"/>
      <c r="AB676" s="30"/>
      <c r="AC676" s="30"/>
      <c r="DK676"/>
      <c r="DL676"/>
      <c r="DM676"/>
      <c r="DN676"/>
    </row>
    <row r="677" spans="27:118">
      <c r="AA677" s="30"/>
      <c r="AB677" s="30"/>
      <c r="AC677" s="30"/>
      <c r="DK677"/>
      <c r="DL677"/>
      <c r="DM677"/>
      <c r="DN677"/>
    </row>
    <row r="678" spans="27:118">
      <c r="AA678" s="30"/>
      <c r="AB678" s="30"/>
      <c r="AC678" s="30"/>
      <c r="DK678"/>
      <c r="DL678"/>
      <c r="DM678"/>
      <c r="DN678"/>
    </row>
    <row r="679" spans="27:118">
      <c r="AA679" s="30"/>
      <c r="AB679" s="30"/>
      <c r="AC679" s="30"/>
      <c r="DK679"/>
      <c r="DL679"/>
      <c r="DM679"/>
      <c r="DN679"/>
    </row>
    <row r="680" spans="27:118">
      <c r="AA680" s="30"/>
      <c r="AB680" s="30"/>
      <c r="AC680" s="30"/>
      <c r="DK680"/>
      <c r="DL680"/>
      <c r="DM680"/>
      <c r="DN680"/>
    </row>
    <row r="681" spans="27:118">
      <c r="AA681" s="30"/>
      <c r="AB681" s="30"/>
      <c r="AC681" s="30"/>
      <c r="DK681"/>
      <c r="DL681"/>
      <c r="DM681"/>
      <c r="DN681"/>
    </row>
    <row r="682" spans="27:118">
      <c r="AA682" s="30"/>
      <c r="AB682" s="30"/>
      <c r="AC682" s="30"/>
      <c r="DK682"/>
      <c r="DL682"/>
      <c r="DM682"/>
      <c r="DN682"/>
    </row>
    <row r="683" spans="27:118">
      <c r="AA683" s="30"/>
      <c r="AB683" s="30"/>
      <c r="AC683" s="30"/>
      <c r="DK683"/>
      <c r="DL683"/>
      <c r="DM683"/>
      <c r="DN683"/>
    </row>
    <row r="684" spans="27:118">
      <c r="AA684" s="30"/>
      <c r="AB684" s="30"/>
      <c r="AC684" s="30"/>
      <c r="DK684"/>
      <c r="DL684"/>
      <c r="DM684"/>
      <c r="DN684"/>
    </row>
    <row r="685" spans="27:118">
      <c r="AA685" s="30"/>
      <c r="AB685" s="30"/>
      <c r="AC685" s="30"/>
      <c r="DK685"/>
      <c r="DL685"/>
      <c r="DM685"/>
      <c r="DN685"/>
    </row>
    <row r="686" spans="27:118">
      <c r="AA686" s="30"/>
      <c r="AB686" s="30"/>
      <c r="AC686" s="30"/>
      <c r="DK686"/>
      <c r="DL686"/>
      <c r="DM686"/>
      <c r="DN686"/>
    </row>
    <row r="687" spans="27:118">
      <c r="AA687" s="30"/>
      <c r="AB687" s="30"/>
      <c r="AC687" s="30"/>
      <c r="DK687"/>
      <c r="DL687"/>
      <c r="DM687"/>
      <c r="DN687"/>
    </row>
    <row r="688" spans="27:118">
      <c r="AA688" s="30"/>
      <c r="AB688" s="30"/>
      <c r="AC688" s="30"/>
      <c r="DK688"/>
      <c r="DL688"/>
      <c r="DM688"/>
      <c r="DN688"/>
    </row>
    <row r="689" spans="27:118">
      <c r="AA689" s="30"/>
      <c r="AB689" s="30"/>
      <c r="AC689" s="30"/>
      <c r="DK689"/>
      <c r="DL689"/>
      <c r="DM689"/>
      <c r="DN689"/>
    </row>
    <row r="690" spans="27:118">
      <c r="AA690" s="30"/>
      <c r="AB690" s="30"/>
      <c r="AC690" s="30"/>
      <c r="DK690"/>
      <c r="DL690"/>
      <c r="DM690"/>
      <c r="DN690"/>
    </row>
    <row r="691" spans="27:118">
      <c r="AA691" s="30"/>
      <c r="AB691" s="30"/>
      <c r="AC691" s="30"/>
      <c r="DK691"/>
      <c r="DL691"/>
      <c r="DM691"/>
      <c r="DN691"/>
    </row>
    <row r="692" spans="27:118">
      <c r="AA692" s="30"/>
      <c r="AB692" s="30"/>
      <c r="AC692" s="30"/>
      <c r="DK692"/>
      <c r="DL692"/>
      <c r="DM692"/>
      <c r="DN692"/>
    </row>
    <row r="693" spans="27:118">
      <c r="AA693" s="30"/>
      <c r="AB693" s="30"/>
      <c r="AC693" s="30"/>
      <c r="DK693"/>
      <c r="DL693"/>
      <c r="DM693"/>
      <c r="DN693"/>
    </row>
    <row r="694" spans="27:118">
      <c r="AA694" s="30"/>
      <c r="AB694" s="30"/>
      <c r="AC694" s="30"/>
      <c r="DK694"/>
      <c r="DL694"/>
      <c r="DM694"/>
      <c r="DN694"/>
    </row>
    <row r="695" spans="27:118">
      <c r="AA695" s="30"/>
      <c r="AB695" s="30"/>
      <c r="AC695" s="30"/>
      <c r="DK695"/>
      <c r="DL695"/>
      <c r="DM695"/>
      <c r="DN695"/>
    </row>
    <row r="696" spans="27:118">
      <c r="AA696" s="30"/>
      <c r="AB696" s="30"/>
      <c r="AC696" s="30"/>
      <c r="DK696"/>
      <c r="DL696"/>
      <c r="DM696"/>
      <c r="DN696"/>
    </row>
    <row r="697" spans="27:118">
      <c r="AA697" s="30"/>
      <c r="AB697" s="30"/>
      <c r="AC697" s="30"/>
      <c r="DK697"/>
      <c r="DL697"/>
      <c r="DM697"/>
      <c r="DN697"/>
    </row>
    <row r="698" spans="27:118">
      <c r="AA698" s="30"/>
      <c r="AB698" s="30"/>
      <c r="AC698" s="30"/>
      <c r="DK698"/>
      <c r="DL698"/>
      <c r="DM698"/>
      <c r="DN698"/>
    </row>
    <row r="699" spans="27:118">
      <c r="AA699" s="30"/>
      <c r="AB699" s="30"/>
      <c r="AC699" s="30"/>
      <c r="DK699"/>
      <c r="DL699"/>
      <c r="DM699"/>
      <c r="DN699"/>
    </row>
    <row r="700" spans="27:118">
      <c r="AA700" s="30"/>
      <c r="AB700" s="30"/>
      <c r="AC700" s="30"/>
      <c r="DK700"/>
      <c r="DL700"/>
      <c r="DM700"/>
      <c r="DN700"/>
    </row>
    <row r="701" spans="27:118">
      <c r="AA701" s="30"/>
      <c r="AB701" s="30"/>
      <c r="AC701" s="30"/>
      <c r="DK701"/>
      <c r="DL701"/>
      <c r="DM701"/>
      <c r="DN701"/>
    </row>
    <row r="702" spans="27:118">
      <c r="AA702" s="30"/>
      <c r="AB702" s="30"/>
      <c r="AC702" s="30"/>
      <c r="DK702"/>
      <c r="DL702"/>
      <c r="DM702"/>
      <c r="DN702"/>
    </row>
    <row r="703" spans="27:118">
      <c r="AA703" s="30"/>
      <c r="AB703" s="30"/>
      <c r="AC703" s="30"/>
      <c r="DK703"/>
      <c r="DL703"/>
      <c r="DM703"/>
      <c r="DN703"/>
    </row>
    <row r="704" spans="27:118">
      <c r="AA704" s="30"/>
      <c r="AB704" s="30"/>
      <c r="AC704" s="30"/>
      <c r="DK704"/>
      <c r="DL704"/>
      <c r="DM704"/>
      <c r="DN704"/>
    </row>
    <row r="705" spans="27:118">
      <c r="AA705" s="30"/>
      <c r="AB705" s="30"/>
      <c r="AC705" s="30"/>
      <c r="DK705"/>
      <c r="DL705"/>
      <c r="DM705"/>
      <c r="DN705"/>
    </row>
    <row r="706" spans="27:118">
      <c r="AA706" s="30"/>
      <c r="AB706" s="30"/>
      <c r="AC706" s="30"/>
      <c r="DK706"/>
      <c r="DL706"/>
      <c r="DM706"/>
      <c r="DN706"/>
    </row>
    <row r="707" spans="27:118">
      <c r="AA707" s="30"/>
      <c r="AB707" s="30"/>
      <c r="AC707" s="30"/>
      <c r="DK707"/>
      <c r="DL707"/>
      <c r="DM707"/>
      <c r="DN707"/>
    </row>
    <row r="708" spans="27:118">
      <c r="AA708" s="30"/>
      <c r="AB708" s="30"/>
      <c r="AC708" s="30"/>
      <c r="DK708"/>
      <c r="DL708"/>
      <c r="DM708"/>
      <c r="DN708"/>
    </row>
    <row r="709" spans="27:118">
      <c r="AA709" s="30"/>
      <c r="AB709" s="30"/>
      <c r="AC709" s="30"/>
      <c r="DK709"/>
      <c r="DL709"/>
      <c r="DM709"/>
      <c r="DN709"/>
    </row>
    <row r="710" spans="27:118">
      <c r="AA710" s="30"/>
      <c r="AB710" s="30"/>
      <c r="AC710" s="30"/>
      <c r="DK710"/>
      <c r="DL710"/>
      <c r="DM710"/>
      <c r="DN710"/>
    </row>
    <row r="711" spans="27:118">
      <c r="AA711" s="30"/>
      <c r="AB711" s="30"/>
      <c r="AC711" s="30"/>
      <c r="DK711"/>
      <c r="DL711"/>
      <c r="DM711"/>
      <c r="DN711"/>
    </row>
    <row r="712" spans="27:118">
      <c r="AA712" s="30"/>
      <c r="AB712" s="30"/>
      <c r="AC712" s="30"/>
      <c r="DK712"/>
      <c r="DL712"/>
      <c r="DM712"/>
      <c r="DN712"/>
    </row>
    <row r="713" spans="27:118">
      <c r="AA713" s="30"/>
      <c r="AB713" s="30"/>
      <c r="AC713" s="30"/>
      <c r="DK713"/>
      <c r="DL713"/>
      <c r="DM713"/>
      <c r="DN713"/>
    </row>
    <row r="714" spans="27:118">
      <c r="AA714" s="30"/>
      <c r="AB714" s="30"/>
      <c r="AC714" s="30"/>
      <c r="DK714"/>
      <c r="DL714"/>
      <c r="DM714"/>
      <c r="DN714"/>
    </row>
    <row r="715" spans="27:118">
      <c r="AA715" s="30"/>
      <c r="AB715" s="30"/>
      <c r="AC715" s="30"/>
      <c r="DK715"/>
      <c r="DL715"/>
      <c r="DM715"/>
      <c r="DN715"/>
    </row>
    <row r="716" spans="27:118">
      <c r="AA716" s="30"/>
      <c r="AB716" s="30"/>
      <c r="AC716" s="30"/>
      <c r="DK716"/>
      <c r="DL716"/>
      <c r="DM716"/>
      <c r="DN716"/>
    </row>
    <row r="717" spans="27:118">
      <c r="AA717" s="30"/>
      <c r="AB717" s="30"/>
      <c r="AC717" s="30"/>
      <c r="DK717"/>
      <c r="DL717"/>
      <c r="DM717"/>
      <c r="DN717"/>
    </row>
    <row r="718" spans="27:118">
      <c r="AA718" s="30"/>
      <c r="AB718" s="30"/>
      <c r="AC718" s="30"/>
      <c r="DK718"/>
      <c r="DL718"/>
      <c r="DM718"/>
      <c r="DN718"/>
    </row>
    <row r="719" spans="27:118">
      <c r="AA719" s="30"/>
      <c r="AB719" s="30"/>
      <c r="AC719" s="30"/>
      <c r="DK719"/>
      <c r="DL719"/>
      <c r="DM719"/>
      <c r="DN719"/>
    </row>
    <row r="720" spans="27:118">
      <c r="AA720" s="30"/>
      <c r="AB720" s="30"/>
      <c r="AC720" s="30"/>
      <c r="DK720"/>
      <c r="DL720"/>
      <c r="DM720"/>
      <c r="DN720"/>
    </row>
    <row r="721" spans="27:118">
      <c r="AA721" s="30"/>
      <c r="AB721" s="30"/>
      <c r="AC721" s="30"/>
      <c r="DK721"/>
      <c r="DL721"/>
      <c r="DM721"/>
      <c r="DN721"/>
    </row>
    <row r="722" spans="27:118">
      <c r="AA722" s="30"/>
      <c r="AB722" s="30"/>
      <c r="AC722" s="30"/>
      <c r="DK722"/>
      <c r="DL722"/>
      <c r="DM722"/>
      <c r="DN722"/>
    </row>
    <row r="723" spans="27:118">
      <c r="AA723" s="30"/>
      <c r="AB723" s="30"/>
      <c r="AC723" s="30"/>
      <c r="DK723"/>
      <c r="DL723"/>
      <c r="DM723"/>
      <c r="DN723"/>
    </row>
    <row r="724" spans="27:118">
      <c r="AA724" s="30"/>
      <c r="AB724" s="30"/>
      <c r="AC724" s="30"/>
      <c r="DK724"/>
      <c r="DL724"/>
      <c r="DM724"/>
      <c r="DN724"/>
    </row>
    <row r="725" spans="27:118">
      <c r="AA725" s="30"/>
      <c r="AB725" s="30"/>
      <c r="AC725" s="30"/>
      <c r="DK725"/>
      <c r="DL725"/>
      <c r="DM725"/>
      <c r="DN725"/>
    </row>
    <row r="726" spans="27:118">
      <c r="AA726" s="30"/>
      <c r="AB726" s="30"/>
      <c r="AC726" s="30"/>
      <c r="DK726"/>
      <c r="DL726"/>
      <c r="DM726"/>
      <c r="DN726"/>
    </row>
    <row r="727" spans="27:118">
      <c r="AA727" s="30"/>
      <c r="AB727" s="30"/>
      <c r="AC727" s="30"/>
      <c r="DK727"/>
      <c r="DL727"/>
      <c r="DM727"/>
      <c r="DN727"/>
    </row>
    <row r="728" spans="27:118">
      <c r="AA728" s="30"/>
      <c r="AB728" s="30"/>
      <c r="AC728" s="30"/>
      <c r="DK728"/>
      <c r="DL728"/>
      <c r="DM728"/>
      <c r="DN728"/>
    </row>
    <row r="729" spans="27:118">
      <c r="AA729" s="30"/>
      <c r="AB729" s="30"/>
      <c r="AC729" s="30"/>
      <c r="DK729"/>
      <c r="DL729"/>
      <c r="DM729"/>
      <c r="DN729"/>
    </row>
    <row r="730" spans="27:118">
      <c r="AA730" s="30"/>
      <c r="AB730" s="30"/>
      <c r="AC730" s="30"/>
      <c r="DK730"/>
      <c r="DL730"/>
      <c r="DM730"/>
      <c r="DN730"/>
    </row>
    <row r="731" spans="27:118">
      <c r="AA731" s="30"/>
      <c r="AB731" s="30"/>
      <c r="AC731" s="30"/>
      <c r="DK731"/>
      <c r="DL731"/>
      <c r="DM731"/>
      <c r="DN731"/>
    </row>
    <row r="732" spans="27:118">
      <c r="AA732" s="30"/>
      <c r="AB732" s="30"/>
      <c r="AC732" s="30"/>
      <c r="DK732"/>
      <c r="DL732"/>
      <c r="DM732"/>
      <c r="DN732"/>
    </row>
    <row r="733" spans="27:118">
      <c r="AA733" s="30"/>
      <c r="AB733" s="30"/>
      <c r="AC733" s="30"/>
      <c r="DK733"/>
      <c r="DL733"/>
      <c r="DM733"/>
      <c r="DN733"/>
    </row>
    <row r="734" spans="27:118">
      <c r="AA734" s="30"/>
      <c r="AB734" s="30"/>
      <c r="AC734" s="30"/>
      <c r="DK734"/>
      <c r="DL734"/>
      <c r="DM734"/>
      <c r="DN734"/>
    </row>
    <row r="735" spans="27:118">
      <c r="AA735" s="30"/>
      <c r="AB735" s="30"/>
      <c r="AC735" s="30"/>
      <c r="DK735"/>
      <c r="DL735"/>
      <c r="DM735"/>
      <c r="DN735"/>
    </row>
    <row r="736" spans="27:118">
      <c r="AA736" s="30"/>
      <c r="AB736" s="30"/>
      <c r="AC736" s="30"/>
      <c r="DK736"/>
      <c r="DL736"/>
      <c r="DM736"/>
      <c r="DN736"/>
    </row>
    <row r="737" spans="27:118">
      <c r="AA737" s="30"/>
      <c r="AB737" s="30"/>
      <c r="AC737" s="30"/>
      <c r="DK737"/>
      <c r="DL737"/>
      <c r="DM737"/>
      <c r="DN737"/>
    </row>
    <row r="738" spans="27:118">
      <c r="AA738" s="30"/>
      <c r="AB738" s="30"/>
      <c r="AC738" s="30"/>
      <c r="DK738"/>
      <c r="DL738"/>
      <c r="DM738"/>
      <c r="DN738"/>
    </row>
    <row r="739" spans="27:118">
      <c r="AA739" s="30"/>
      <c r="AB739" s="30"/>
      <c r="AC739" s="30"/>
      <c r="DK739"/>
      <c r="DL739"/>
      <c r="DM739"/>
      <c r="DN739"/>
    </row>
    <row r="740" spans="27:118">
      <c r="AA740" s="30"/>
      <c r="AB740" s="30"/>
      <c r="AC740" s="30"/>
      <c r="DK740"/>
      <c r="DL740"/>
      <c r="DM740"/>
      <c r="DN740"/>
    </row>
    <row r="741" spans="27:118">
      <c r="AA741" s="30"/>
      <c r="AB741" s="30"/>
      <c r="AC741" s="30"/>
      <c r="DK741"/>
      <c r="DL741"/>
      <c r="DM741"/>
      <c r="DN741"/>
    </row>
    <row r="742" spans="27:118">
      <c r="AA742" s="30"/>
      <c r="AB742" s="30"/>
      <c r="AC742" s="30"/>
      <c r="DK742"/>
      <c r="DL742"/>
      <c r="DM742"/>
      <c r="DN742"/>
    </row>
    <row r="743" spans="27:118">
      <c r="AA743" s="30"/>
      <c r="AB743" s="30"/>
      <c r="AC743" s="30"/>
      <c r="DK743"/>
      <c r="DL743"/>
      <c r="DM743"/>
      <c r="DN743"/>
    </row>
    <row r="744" spans="27:118">
      <c r="AA744" s="30"/>
      <c r="AB744" s="30"/>
      <c r="AC744" s="30"/>
      <c r="DK744"/>
      <c r="DL744"/>
      <c r="DM744"/>
      <c r="DN744"/>
    </row>
    <row r="745" spans="27:118">
      <c r="AA745" s="30"/>
      <c r="AB745" s="30"/>
      <c r="AC745" s="30"/>
      <c r="DK745"/>
      <c r="DL745"/>
      <c r="DM745"/>
      <c r="DN745"/>
    </row>
    <row r="746" spans="27:118">
      <c r="AA746" s="30"/>
      <c r="AB746" s="30"/>
      <c r="AC746" s="30"/>
      <c r="DK746"/>
      <c r="DL746"/>
      <c r="DM746"/>
      <c r="DN746"/>
    </row>
    <row r="747" spans="27:118">
      <c r="AA747" s="30"/>
      <c r="AB747" s="30"/>
      <c r="AC747" s="30"/>
      <c r="DK747"/>
      <c r="DL747"/>
      <c r="DM747"/>
      <c r="DN747"/>
    </row>
    <row r="748" spans="27:118">
      <c r="AA748" s="30"/>
      <c r="AB748" s="30"/>
      <c r="AC748" s="30"/>
      <c r="DK748"/>
      <c r="DL748"/>
      <c r="DM748"/>
      <c r="DN748"/>
    </row>
    <row r="749" spans="27:118">
      <c r="AA749" s="30"/>
      <c r="AB749" s="30"/>
      <c r="AC749" s="30"/>
      <c r="DK749"/>
      <c r="DL749"/>
      <c r="DM749"/>
      <c r="DN749"/>
    </row>
    <row r="750" spans="27:118">
      <c r="AA750" s="30"/>
      <c r="AB750" s="30"/>
      <c r="AC750" s="30"/>
      <c r="DK750"/>
      <c r="DL750"/>
      <c r="DM750"/>
      <c r="DN750"/>
    </row>
    <row r="751" spans="27:118">
      <c r="AA751" s="30"/>
      <c r="AB751" s="30"/>
      <c r="AC751" s="30"/>
      <c r="DK751"/>
      <c r="DL751"/>
      <c r="DM751"/>
      <c r="DN751"/>
    </row>
    <row r="752" spans="27:118">
      <c r="AA752" s="30"/>
      <c r="AB752" s="30"/>
      <c r="AC752" s="30"/>
      <c r="DK752"/>
      <c r="DL752"/>
      <c r="DM752"/>
      <c r="DN752"/>
    </row>
    <row r="753" spans="27:118">
      <c r="AA753" s="30"/>
      <c r="AB753" s="30"/>
      <c r="AC753" s="30"/>
      <c r="DK753"/>
      <c r="DL753"/>
      <c r="DM753"/>
      <c r="DN753"/>
    </row>
  </sheetData>
  <autoFilter ref="A15:DW114" xr:uid="{2DA75240-15AF-4E5C-BEB9-992C7AD75F4D}">
    <filterColumn colId="1">
      <filters>
        <filter val="AJAHA ZOHAIR"/>
      </filters>
    </filterColumn>
  </autoFilter>
  <mergeCells count="113">
    <mergeCell ref="B122:D131"/>
    <mergeCell ref="F122:AC131"/>
    <mergeCell ref="AD122:BJ131"/>
    <mergeCell ref="B141:F141"/>
    <mergeCell ref="B142:F142"/>
    <mergeCell ref="DP13:DQ14"/>
    <mergeCell ref="DR13:DR14"/>
    <mergeCell ref="A113:A114"/>
    <mergeCell ref="DV113:DW114"/>
    <mergeCell ref="B114:D114"/>
    <mergeCell ref="B120:D121"/>
    <mergeCell ref="F120:AC121"/>
    <mergeCell ref="AD120:BJ121"/>
    <mergeCell ref="CZ13:CZ14"/>
    <mergeCell ref="DA13:DB14"/>
    <mergeCell ref="DC13:DD14"/>
    <mergeCell ref="DE13:DE14"/>
    <mergeCell ref="DF13:DF14"/>
    <mergeCell ref="DG13:DH14"/>
    <mergeCell ref="CI13:CJ14"/>
    <mergeCell ref="CK13:CL14"/>
    <mergeCell ref="CM13:CQ14"/>
    <mergeCell ref="CR13:CU14"/>
    <mergeCell ref="CV13:CW14"/>
    <mergeCell ref="CX13:CY14"/>
    <mergeCell ref="BY13:BY14"/>
    <mergeCell ref="BZ13:BZ14"/>
    <mergeCell ref="CA13:CC14"/>
    <mergeCell ref="CD13:CD14"/>
    <mergeCell ref="CE13:CF14"/>
    <mergeCell ref="CG13:CH14"/>
    <mergeCell ref="BO13:BO14"/>
    <mergeCell ref="BP13:BP14"/>
    <mergeCell ref="BQ13:BQ14"/>
    <mergeCell ref="BR13:BS14"/>
    <mergeCell ref="BT13:BV14"/>
    <mergeCell ref="BW13:BX14"/>
    <mergeCell ref="S13:U14"/>
    <mergeCell ref="V13:W14"/>
    <mergeCell ref="X13:Z14"/>
    <mergeCell ref="AA13:AC14"/>
    <mergeCell ref="AD13:AE14"/>
    <mergeCell ref="AF13:AG14"/>
    <mergeCell ref="BI13:BI14"/>
    <mergeCell ref="BJ13:BJ14"/>
    <mergeCell ref="BK13:BK14"/>
    <mergeCell ref="AU13:AW14"/>
    <mergeCell ref="AX13:AZ14"/>
    <mergeCell ref="BA13:BC14"/>
    <mergeCell ref="BD13:BF14"/>
    <mergeCell ref="BG13:BG14"/>
    <mergeCell ref="BH13:BH14"/>
    <mergeCell ref="AL12:AQ12"/>
    <mergeCell ref="AR12:BF12"/>
    <mergeCell ref="BG12:BI12"/>
    <mergeCell ref="BL12:BN12"/>
    <mergeCell ref="AH13:AI14"/>
    <mergeCell ref="AJ13:AK14"/>
    <mergeCell ref="AL13:AM14"/>
    <mergeCell ref="AN13:AO14"/>
    <mergeCell ref="AP13:AQ14"/>
    <mergeCell ref="AR13:AT14"/>
    <mergeCell ref="BL13:BL14"/>
    <mergeCell ref="BM13:BM14"/>
    <mergeCell ref="BN13:BN14"/>
    <mergeCell ref="DN13:DO14"/>
    <mergeCell ref="CK12:CL12"/>
    <mergeCell ref="CM12:CQ12"/>
    <mergeCell ref="CR12:CU12"/>
    <mergeCell ref="CV12:CW12"/>
    <mergeCell ref="CX12:CY12"/>
    <mergeCell ref="DA12:DF12"/>
    <mergeCell ref="F13:G14"/>
    <mergeCell ref="H13:J14"/>
    <mergeCell ref="K13:L14"/>
    <mergeCell ref="M13:N14"/>
    <mergeCell ref="O13:P14"/>
    <mergeCell ref="Q13:R14"/>
    <mergeCell ref="DG12:DH12"/>
    <mergeCell ref="DK12:DM12"/>
    <mergeCell ref="DN12:DQ12"/>
    <mergeCell ref="BO12:BQ12"/>
    <mergeCell ref="BR12:BS12"/>
    <mergeCell ref="BT12:BX12"/>
    <mergeCell ref="CA12:CC12"/>
    <mergeCell ref="CE12:CH12"/>
    <mergeCell ref="CI12:CJ12"/>
    <mergeCell ref="S12:AC12"/>
    <mergeCell ref="AD12:AK12"/>
    <mergeCell ref="A1:C2"/>
    <mergeCell ref="D1:DT1"/>
    <mergeCell ref="DV1:DW1"/>
    <mergeCell ref="D2:DT2"/>
    <mergeCell ref="DV2:DW2"/>
    <mergeCell ref="DS3:DU10"/>
    <mergeCell ref="DV3:DV10"/>
    <mergeCell ref="DW3:DW10"/>
    <mergeCell ref="U11:AC11"/>
    <mergeCell ref="DB11:DF11"/>
    <mergeCell ref="DS11:DU11"/>
    <mergeCell ref="DV11:DV15"/>
    <mergeCell ref="DW11:DW15"/>
    <mergeCell ref="A12:A15"/>
    <mergeCell ref="B12:B15"/>
    <mergeCell ref="C12:C15"/>
    <mergeCell ref="D12:D15"/>
    <mergeCell ref="F12:R12"/>
    <mergeCell ref="DS12:DS15"/>
    <mergeCell ref="DT12:DT15"/>
    <mergeCell ref="DU12:DU15"/>
    <mergeCell ref="DI13:DI14"/>
    <mergeCell ref="DJ13:DJ14"/>
    <mergeCell ref="DK13:DM14"/>
  </mergeCells>
  <conditionalFormatting sqref="A16:A98">
    <cfRule type="duplicateValues" dxfId="2113" priority="276458"/>
    <cfRule type="duplicateValues" dxfId="2112" priority="276457"/>
    <cfRule type="duplicateValues" dxfId="2111" priority="276459"/>
    <cfRule type="duplicateValues" dxfId="2110" priority="276460"/>
    <cfRule type="duplicateValues" dxfId="2109" priority="276461"/>
    <cfRule type="duplicateValues" dxfId="2108" priority="276462"/>
    <cfRule type="duplicateValues" dxfId="2107" priority="276463"/>
    <cfRule type="duplicateValues" dxfId="2106" priority="276464"/>
  </conditionalFormatting>
  <conditionalFormatting sqref="A16:B52">
    <cfRule type="duplicateValues" dxfId="2105" priority="293"/>
  </conditionalFormatting>
  <conditionalFormatting sqref="A53:B98">
    <cfRule type="duplicateValues" dxfId="2104" priority="276473"/>
  </conditionalFormatting>
  <conditionalFormatting sqref="B16:B98">
    <cfRule type="duplicateValues" dxfId="2103" priority="276477"/>
    <cfRule type="duplicateValues" dxfId="2102" priority="276475"/>
    <cfRule type="duplicateValues" dxfId="2101" priority="276476"/>
  </conditionalFormatting>
  <conditionalFormatting sqref="B99:B112">
    <cfRule type="duplicateValues" dxfId="2100" priority="276400"/>
    <cfRule type="duplicateValues" dxfId="2099" priority="276401"/>
    <cfRule type="duplicateValues" dxfId="2098" priority="276402"/>
  </conditionalFormatting>
  <conditionalFormatting sqref="B119 B132">
    <cfRule type="duplicateValues" dxfId="2097" priority="285" stopIfTrue="1"/>
  </conditionalFormatting>
  <conditionalFormatting sqref="B155:B169">
    <cfRule type="duplicateValues" dxfId="2096" priority="282"/>
    <cfRule type="duplicateValues" dxfId="2095" priority="283"/>
    <cfRule type="duplicateValues" dxfId="2094" priority="284"/>
  </conditionalFormatting>
  <conditionalFormatting sqref="B170:B187">
    <cfRule type="duplicateValues" dxfId="2093" priority="279"/>
    <cfRule type="duplicateValues" dxfId="2092" priority="280"/>
    <cfRule type="duplicateValues" dxfId="2091" priority="281"/>
  </conditionalFormatting>
  <conditionalFormatting sqref="C146:AD146 B132:B154 B170:B1048576 B1:B3 B11:B12 B116:B119 B113:B114 B16:B98">
    <cfRule type="duplicateValues" dxfId="2090" priority="278"/>
  </conditionalFormatting>
  <conditionalFormatting sqref="C146:AD146">
    <cfRule type="duplicateValues" dxfId="2089" priority="277"/>
  </conditionalFormatting>
  <conditionalFormatting sqref="F102">
    <cfRule type="top10" dxfId="2088" priority="276" rank="10"/>
  </conditionalFormatting>
  <conditionalFormatting sqref="F115:AB118 AF115:DR118">
    <cfRule type="cellIs" dxfId="2087" priority="253" operator="equal">
      <formula>3</formula>
    </cfRule>
    <cfRule type="cellIs" dxfId="2086" priority="252" operator="equal">
      <formula>4</formula>
    </cfRule>
  </conditionalFormatting>
  <conditionalFormatting sqref="F16:AD98 CP16:CP98 DC16:DC112 F99:DB112 DD99:DU112 F155:DU169">
    <cfRule type="cellIs" dxfId="2085" priority="267" operator="lessThan">
      <formula>1</formula>
    </cfRule>
    <cfRule type="cellIs" dxfId="2084" priority="268" operator="lessThan">
      <formula>1</formula>
    </cfRule>
    <cfRule type="cellIs" dxfId="2083" priority="269" operator="lessThan">
      <formula>2</formula>
    </cfRule>
    <cfRule type="containsText" dxfId="2082" priority="270" operator="containsText" text="3">
      <formula>NOT(ISERROR(SEARCH("3",F16)))</formula>
    </cfRule>
    <cfRule type="containsText" dxfId="2081" priority="271" operator="containsText" text="4">
      <formula>NOT(ISERROR(SEARCH("4",F16)))</formula>
    </cfRule>
    <cfRule type="cellIs" dxfId="2080" priority="272" operator="equal">
      <formula>2</formula>
    </cfRule>
    <cfRule type="cellIs" dxfId="2079" priority="273" operator="equal">
      <formula>3</formula>
    </cfRule>
    <cfRule type="cellIs" dxfId="2078" priority="274" operator="equal">
      <formula>4</formula>
    </cfRule>
    <cfRule type="cellIs" dxfId="2077" priority="275" operator="equal">
      <formula>1</formula>
    </cfRule>
    <cfRule type="containsText" dxfId="2076" priority="264" operator="containsText" text="3">
      <formula>NOT(ISERROR(SEARCH("3",F16)))</formula>
    </cfRule>
    <cfRule type="containsText" dxfId="2075" priority="265" operator="containsText" text="1">
      <formula>NOT(ISERROR(SEARCH("1",F16)))</formula>
    </cfRule>
    <cfRule type="containsText" dxfId="2074" priority="266" operator="containsText" text="2">
      <formula>NOT(ISERROR(SEARCH("2",F16)))</formula>
    </cfRule>
  </conditionalFormatting>
  <conditionalFormatting sqref="F16:AD98 CP16:CP98 DC16:DC112 F99:DB112 DD99:DU112">
    <cfRule type="containsText" dxfId="2073" priority="263" operator="containsText" text="1">
      <formula>NOT(ISERROR(SEARCH("1",F16)))</formula>
    </cfRule>
  </conditionalFormatting>
  <conditionalFormatting sqref="F16:DU52">
    <cfRule type="top10" dxfId="2072" priority="262" rank="10"/>
  </conditionalFormatting>
  <conditionalFormatting sqref="F16:DU112 F155:DU169">
    <cfRule type="containsText" dxfId="2071" priority="256" operator="containsText" text="1">
      <formula>NOT(ISERROR(SEARCH("1",F16)))</formula>
    </cfRule>
    <cfRule type="containsText" dxfId="2070" priority="257" operator="containsText" text="1">
      <formula>NOT(ISERROR(SEARCH("1",F16)))</formula>
    </cfRule>
    <cfRule type="containsText" dxfId="2069" priority="258" operator="containsText" text="3">
      <formula>NOT(ISERROR(SEARCH("3",F16)))</formula>
    </cfRule>
    <cfRule type="containsText" dxfId="2068" priority="259" operator="containsText" text="2">
      <formula>NOT(ISERROR(SEARCH("2",F16)))</formula>
    </cfRule>
    <cfRule type="containsText" dxfId="2067" priority="260" operator="containsText" text="4">
      <formula>NOT(ISERROR(SEARCH("4",F16)))</formula>
    </cfRule>
    <cfRule type="containsText" dxfId="2066" priority="261" operator="containsText" text="1">
      <formula>NOT(ISERROR(SEARCH("1",F16)))</formula>
    </cfRule>
  </conditionalFormatting>
  <conditionalFormatting sqref="F16:DU112">
    <cfRule type="top10" dxfId="2065" priority="276699" rank="10"/>
  </conditionalFormatting>
  <conditionalFormatting sqref="F16:DU114 F155:DU169 F115:AB118 AF115:DR118">
    <cfRule type="cellIs" dxfId="2064" priority="254" operator="equal">
      <formula>1</formula>
    </cfRule>
  </conditionalFormatting>
  <conditionalFormatting sqref="F16:DU114">
    <cfRule type="cellIs" dxfId="2063" priority="251" operator="equal">
      <formula>2</formula>
    </cfRule>
    <cfRule type="cellIs" dxfId="2062" priority="247" operator="equal">
      <formula>4</formula>
    </cfRule>
    <cfRule type="cellIs" dxfId="2061" priority="246" operator="equal">
      <formula>3</formula>
    </cfRule>
  </conditionalFormatting>
  <conditionalFormatting sqref="F113:DU113">
    <cfRule type="top10" dxfId="2060" priority="245" rank="10"/>
    <cfRule type="cellIs" dxfId="2059" priority="244" operator="equal">
      <formula>1</formula>
    </cfRule>
    <cfRule type="top10" dxfId="2058" priority="243" rank="10"/>
    <cfRule type="top10" dxfId="2057" priority="242" rank="10"/>
    <cfRule type="containsText" dxfId="2056" priority="241" operator="containsText" text="1">
      <formula>NOT(ISERROR(SEARCH("1",F113)))</formula>
    </cfRule>
    <cfRule type="containsText" dxfId="2055" priority="238" operator="containsText" text="2">
      <formula>NOT(ISERROR(SEARCH("2",F113)))</formula>
    </cfRule>
    <cfRule type="containsText" dxfId="2054" priority="240" operator="containsText" text="4">
      <formula>NOT(ISERROR(SEARCH("4",F113)))</formula>
    </cfRule>
  </conditionalFormatting>
  <conditionalFormatting sqref="F155:DU169 F115:AB118 AF115:DR118">
    <cfRule type="cellIs" dxfId="2053" priority="236" operator="equal">
      <formula>2</formula>
    </cfRule>
  </conditionalFormatting>
  <conditionalFormatting sqref="F155:DU169 F16:AD98 CP16:CP98 DC16:DC112 F99:DB112 DD99:DU112">
    <cfRule type="top10" dxfId="2052" priority="234" rank="10"/>
  </conditionalFormatting>
  <conditionalFormatting sqref="F155:DU169 F99:DB112 DC16:DC112 DD99:DU112 F16:AD98 CP16:CP98">
    <cfRule type="containsText" dxfId="2051" priority="233" operator="containsText" text="1">
      <formula>NOT(ISERROR(SEARCH("1",F16)))</formula>
    </cfRule>
  </conditionalFormatting>
  <conditionalFormatting sqref="F155:DU169 F53:DU112">
    <cfRule type="top10" dxfId="2050" priority="235" rank="10"/>
  </conditionalFormatting>
  <conditionalFormatting sqref="F155:DU169">
    <cfRule type="cellIs" dxfId="2049" priority="231" operator="equal">
      <formula>3</formula>
    </cfRule>
    <cfRule type="cellIs" dxfId="2048" priority="232" operator="equal">
      <formula>4</formula>
    </cfRule>
  </conditionalFormatting>
  <conditionalFormatting sqref="G113:DU113 F113:DU114 G114:BD114">
    <cfRule type="containsText" dxfId="2047" priority="230" operator="containsText" text="3">
      <formula>NOT(ISERROR(SEARCH("3",F113)))</formula>
    </cfRule>
  </conditionalFormatting>
  <conditionalFormatting sqref="Y119:AB119 F115:AB118 AF115:CQ118 AC115:AE119 F113:CQ114 CV115:DR118 CR113:CU118 CV113:DU114">
    <cfRule type="top10" dxfId="2046" priority="229" rank="10"/>
  </conditionalFormatting>
  <conditionalFormatting sqref="AC115:AE119 Y119:AB119">
    <cfRule type="cellIs" dxfId="2045" priority="225" operator="equal">
      <formula>2</formula>
    </cfRule>
    <cfRule type="cellIs" dxfId="2044" priority="226" operator="equal">
      <formula>4</formula>
    </cfRule>
    <cfRule type="cellIs" dxfId="2043" priority="227" operator="equal">
      <formula>3</formula>
    </cfRule>
    <cfRule type="cellIs" dxfId="2042" priority="228" operator="equal">
      <formula>1</formula>
    </cfRule>
  </conditionalFormatting>
  <conditionalFormatting sqref="AE155:AE169 AE16:AE112">
    <cfRule type="top10" dxfId="2041" priority="224" rank="10"/>
  </conditionalFormatting>
  <conditionalFormatting sqref="AF99:AF112">
    <cfRule type="top10" dxfId="2040" priority="276408" rank="10"/>
  </conditionalFormatting>
  <conditionalFormatting sqref="AF155:AF169">
    <cfRule type="top10" dxfId="2039" priority="222" rank="10"/>
  </conditionalFormatting>
  <conditionalFormatting sqref="AF16:BC52">
    <cfRule type="top10" dxfId="2038" priority="210" rank="10"/>
    <cfRule type="top10" dxfId="2037" priority="211" rank="10"/>
    <cfRule type="containsText" dxfId="2036" priority="212" operator="containsText" text="1">
      <formula>NOT(ISERROR(SEARCH("1",AF16)))</formula>
    </cfRule>
    <cfRule type="containsText" dxfId="2035" priority="213" operator="containsText" text="1">
      <formula>NOT(ISERROR(SEARCH("1",AF16)))</formula>
    </cfRule>
    <cfRule type="containsText" dxfId="2034" priority="214" operator="containsText" text="3">
      <formula>NOT(ISERROR(SEARCH("3",AF16)))</formula>
    </cfRule>
    <cfRule type="containsText" dxfId="2033" priority="215" operator="containsText" text="2">
      <formula>NOT(ISERROR(SEARCH("2",AF16)))</formula>
    </cfRule>
    <cfRule type="containsText" dxfId="2032" priority="216" operator="containsText" text="4">
      <formula>NOT(ISERROR(SEARCH("4",AF16)))</formula>
    </cfRule>
    <cfRule type="cellIs" dxfId="2031" priority="218" operator="equal">
      <formula>2</formula>
    </cfRule>
    <cfRule type="cellIs" dxfId="2030" priority="219" operator="equal">
      <formula>4</formula>
    </cfRule>
    <cfRule type="cellIs" dxfId="2029" priority="220" operator="equal">
      <formula>3</formula>
    </cfRule>
    <cfRule type="cellIs" dxfId="2028" priority="221" operator="equal">
      <formula>1</formula>
    </cfRule>
    <cfRule type="containsText" dxfId="2027" priority="217" operator="containsText" text="1">
      <formula>NOT(ISERROR(SEARCH("1",AF16)))</formula>
    </cfRule>
  </conditionalFormatting>
  <conditionalFormatting sqref="AF53:BC97">
    <cfRule type="containsText" dxfId="2026" priority="276616" operator="containsText" text="1">
      <formula>NOT(ISERROR(SEARCH("1",AF53)))</formula>
    </cfRule>
    <cfRule type="top10" dxfId="2025" priority="276613" rank="10"/>
    <cfRule type="top10" dxfId="2024" priority="276614" rank="10"/>
    <cfRule type="containsText" dxfId="2023" priority="276615" operator="containsText" text="1">
      <formula>NOT(ISERROR(SEARCH("1",AF53)))</formula>
    </cfRule>
    <cfRule type="cellIs" dxfId="2022" priority="276622" operator="equal">
      <formula>4</formula>
    </cfRule>
    <cfRule type="cellIs" dxfId="2021" priority="276621" operator="equal">
      <formula>2</formula>
    </cfRule>
    <cfRule type="containsText" dxfId="2020" priority="276620" operator="containsText" text="1">
      <formula>NOT(ISERROR(SEARCH("1",AF53)))</formula>
    </cfRule>
    <cfRule type="containsText" dxfId="2019" priority="276619" operator="containsText" text="4">
      <formula>NOT(ISERROR(SEARCH("4",AF53)))</formula>
    </cfRule>
    <cfRule type="containsText" dxfId="2018" priority="276618" operator="containsText" text="2">
      <formula>NOT(ISERROR(SEARCH("2",AF53)))</formula>
    </cfRule>
    <cfRule type="containsText" dxfId="2017" priority="276617" operator="containsText" text="3">
      <formula>NOT(ISERROR(SEARCH("3",AF53)))</formula>
    </cfRule>
    <cfRule type="cellIs" dxfId="2016" priority="276623" operator="equal">
      <formula>3</formula>
    </cfRule>
    <cfRule type="cellIs" dxfId="2015" priority="276624" operator="equal">
      <formula>1</formula>
    </cfRule>
  </conditionalFormatting>
  <conditionalFormatting sqref="AF98:BD98">
    <cfRule type="cellIs" dxfId="2014" priority="196" operator="equal">
      <formula>3</formula>
    </cfRule>
    <cfRule type="cellIs" dxfId="2013" priority="197" operator="equal">
      <formula>1</formula>
    </cfRule>
    <cfRule type="top10" dxfId="2012" priority="186" rank="10"/>
    <cfRule type="top10" dxfId="2011" priority="187" rank="10"/>
    <cfRule type="containsText" dxfId="2010" priority="188" operator="containsText" text="1">
      <formula>NOT(ISERROR(SEARCH("1",AF98)))</formula>
    </cfRule>
    <cfRule type="containsText" dxfId="2009" priority="189" operator="containsText" text="1">
      <formula>NOT(ISERROR(SEARCH("1",AF98)))</formula>
    </cfRule>
    <cfRule type="containsText" dxfId="2008" priority="190" operator="containsText" text="3">
      <formula>NOT(ISERROR(SEARCH("3",AF98)))</formula>
    </cfRule>
    <cfRule type="containsText" dxfId="2007" priority="191" operator="containsText" text="2">
      <formula>NOT(ISERROR(SEARCH("2",AF98)))</formula>
    </cfRule>
    <cfRule type="containsText" dxfId="2006" priority="192" operator="containsText" text="4">
      <formula>NOT(ISERROR(SEARCH("4",AF98)))</formula>
    </cfRule>
    <cfRule type="containsText" dxfId="2005" priority="193" operator="containsText" text="1">
      <formula>NOT(ISERROR(SEARCH("1",AF98)))</formula>
    </cfRule>
    <cfRule type="cellIs" dxfId="2004" priority="194" operator="equal">
      <formula>2</formula>
    </cfRule>
    <cfRule type="cellIs" dxfId="2003" priority="195" operator="equal">
      <formula>4</formula>
    </cfRule>
  </conditionalFormatting>
  <conditionalFormatting sqref="AG99:AM111">
    <cfRule type="top10" dxfId="2002" priority="276411" rank="10"/>
    <cfRule type="top10" dxfId="2001" priority="276410" rank="10"/>
  </conditionalFormatting>
  <conditionalFormatting sqref="AG112:AM112">
    <cfRule type="top10" dxfId="2000" priority="183" rank="10"/>
    <cfRule type="top10" dxfId="1999" priority="182" rank="10"/>
  </conditionalFormatting>
  <conditionalFormatting sqref="AG155:AM169">
    <cfRule type="top10" dxfId="1998" priority="181" rank="10"/>
    <cfRule type="top10" dxfId="1997" priority="180" rank="10"/>
  </conditionalFormatting>
  <conditionalFormatting sqref="AN99:AN112">
    <cfRule type="top10" dxfId="1996" priority="276414" rank="10"/>
  </conditionalFormatting>
  <conditionalFormatting sqref="AN155:AN169">
    <cfRule type="top10" dxfId="1995" priority="178" rank="10"/>
  </conditionalFormatting>
  <conditionalFormatting sqref="AO99:AT111">
    <cfRule type="top10" dxfId="1994" priority="276416" rank="10"/>
    <cfRule type="top10" dxfId="1993" priority="276417" rank="10"/>
  </conditionalFormatting>
  <conditionalFormatting sqref="AO112:AT112">
    <cfRule type="top10" dxfId="1992" priority="175" rank="10"/>
    <cfRule type="top10" dxfId="1991" priority="174" rank="10"/>
  </conditionalFormatting>
  <conditionalFormatting sqref="AO155:AT169">
    <cfRule type="top10" dxfId="1990" priority="173" rank="10"/>
    <cfRule type="top10" dxfId="1989" priority="172" rank="10"/>
  </conditionalFormatting>
  <conditionalFormatting sqref="AU99:AU112">
    <cfRule type="top10" dxfId="1988" priority="276421" rank="10"/>
    <cfRule type="top10" dxfId="1987" priority="276420" rank="10"/>
  </conditionalFormatting>
  <conditionalFormatting sqref="AU155:AU169">
    <cfRule type="top10" dxfId="1986" priority="168" rank="10"/>
    <cfRule type="top10" dxfId="1985" priority="169" rank="10"/>
  </conditionalFormatting>
  <conditionalFormatting sqref="AV99:BJ111">
    <cfRule type="top10" dxfId="1984" priority="276424" rank="10"/>
    <cfRule type="top10" dxfId="1983" priority="276425" rank="10"/>
  </conditionalFormatting>
  <conditionalFormatting sqref="AV112:BJ112">
    <cfRule type="top10" dxfId="1982" priority="164" rank="10"/>
    <cfRule type="top10" dxfId="1981" priority="165" rank="10"/>
  </conditionalFormatting>
  <conditionalFormatting sqref="AV155:BJ169">
    <cfRule type="top10" dxfId="1980" priority="162" rank="10"/>
    <cfRule type="top10" dxfId="1979" priority="163" rank="10"/>
  </conditionalFormatting>
  <conditionalFormatting sqref="BD16:CO52">
    <cfRule type="containsText" dxfId="1978" priority="154" operator="containsText" text="3">
      <formula>NOT(ISERROR(SEARCH("3",BD16)))</formula>
    </cfRule>
    <cfRule type="containsText" dxfId="1977" priority="155" operator="containsText" text="2">
      <formula>NOT(ISERROR(SEARCH("2",BD16)))</formula>
    </cfRule>
    <cfRule type="containsText" dxfId="1976" priority="156" operator="containsText" text="4">
      <formula>NOT(ISERROR(SEARCH("4",BD16)))</formula>
    </cfRule>
    <cfRule type="containsText" dxfId="1975" priority="157" operator="containsText" text="1">
      <formula>NOT(ISERROR(SEARCH("1",BD16)))</formula>
    </cfRule>
    <cfRule type="cellIs" dxfId="1974" priority="158" operator="equal">
      <formula>2</formula>
    </cfRule>
    <cfRule type="cellIs" dxfId="1973" priority="159" operator="equal">
      <formula>4</formula>
    </cfRule>
    <cfRule type="cellIs" dxfId="1972" priority="160" operator="equal">
      <formula>3</formula>
    </cfRule>
    <cfRule type="cellIs" dxfId="1971" priority="161" operator="equal">
      <formula>1</formula>
    </cfRule>
    <cfRule type="containsText" dxfId="1970" priority="153" operator="containsText" text="1">
      <formula>NOT(ISERROR(SEARCH("1",BD16)))</formula>
    </cfRule>
    <cfRule type="containsText" dxfId="1969" priority="152" operator="containsText" text="1">
      <formula>NOT(ISERROR(SEARCH("1",BD16)))</formula>
    </cfRule>
    <cfRule type="top10" dxfId="1968" priority="150" rank="10"/>
    <cfRule type="top10" dxfId="1967" priority="151" rank="10"/>
  </conditionalFormatting>
  <conditionalFormatting sqref="BD53:CO97">
    <cfRule type="containsText" dxfId="1966" priority="276642" operator="containsText" text="2">
      <formula>NOT(ISERROR(SEARCH("2",BD53)))</formula>
    </cfRule>
    <cfRule type="containsText" dxfId="1965" priority="276641" operator="containsText" text="3">
      <formula>NOT(ISERROR(SEARCH("3",BD53)))</formula>
    </cfRule>
    <cfRule type="containsText" dxfId="1964" priority="276640" operator="containsText" text="1">
      <formula>NOT(ISERROR(SEARCH("1",BD53)))</formula>
    </cfRule>
    <cfRule type="containsText" dxfId="1963" priority="276639" operator="containsText" text="1">
      <formula>NOT(ISERROR(SEARCH("1",BD53)))</formula>
    </cfRule>
    <cfRule type="top10" dxfId="1962" priority="276637" rank="10"/>
    <cfRule type="top10" dxfId="1961" priority="276638" rank="10"/>
    <cfRule type="cellIs" dxfId="1960" priority="276646" operator="equal">
      <formula>4</formula>
    </cfRule>
    <cfRule type="cellIs" dxfId="1959" priority="276648" operator="equal">
      <formula>1</formula>
    </cfRule>
    <cfRule type="cellIs" dxfId="1958" priority="276647" operator="equal">
      <formula>3</formula>
    </cfRule>
    <cfRule type="cellIs" dxfId="1957" priority="276645" operator="equal">
      <formula>2</formula>
    </cfRule>
    <cfRule type="containsText" dxfId="1956" priority="276644" operator="containsText" text="1">
      <formula>NOT(ISERROR(SEARCH("1",BD53)))</formula>
    </cfRule>
    <cfRule type="containsText" dxfId="1955" priority="276643" operator="containsText" text="4">
      <formula>NOT(ISERROR(SEARCH("4",BD53)))</formula>
    </cfRule>
  </conditionalFormatting>
  <conditionalFormatting sqref="BD98:CO98">
    <cfRule type="cellIs" dxfId="1954" priority="135" operator="equal">
      <formula>4</formula>
    </cfRule>
    <cfRule type="containsText" dxfId="1953" priority="132" operator="containsText" text="4">
      <formula>NOT(ISERROR(SEARCH("4",BD98)))</formula>
    </cfRule>
    <cfRule type="top10" dxfId="1952" priority="126" rank="10"/>
    <cfRule type="top10" dxfId="1951" priority="127" rank="10"/>
    <cfRule type="cellIs" dxfId="1950" priority="137" operator="equal">
      <formula>1</formula>
    </cfRule>
    <cfRule type="containsText" dxfId="1949" priority="128" operator="containsText" text="1">
      <formula>NOT(ISERROR(SEARCH("1",BD98)))</formula>
    </cfRule>
    <cfRule type="containsText" dxfId="1948" priority="129" operator="containsText" text="1">
      <formula>NOT(ISERROR(SEARCH("1",BD98)))</formula>
    </cfRule>
    <cfRule type="containsText" dxfId="1947" priority="130" operator="containsText" text="3">
      <formula>NOT(ISERROR(SEARCH("3",BD98)))</formula>
    </cfRule>
    <cfRule type="containsText" dxfId="1946" priority="131" operator="containsText" text="2">
      <formula>NOT(ISERROR(SEARCH("2",BD98)))</formula>
    </cfRule>
    <cfRule type="containsText" dxfId="1945" priority="133" operator="containsText" text="1">
      <formula>NOT(ISERROR(SEARCH("1",BD98)))</formula>
    </cfRule>
    <cfRule type="cellIs" dxfId="1944" priority="134" operator="equal">
      <formula>2</formula>
    </cfRule>
    <cfRule type="cellIs" dxfId="1943" priority="136" operator="equal">
      <formula>3</formula>
    </cfRule>
  </conditionalFormatting>
  <conditionalFormatting sqref="BK99:BX111">
    <cfRule type="top10" dxfId="1942" priority="276428" rank="10"/>
    <cfRule type="top10" dxfId="1941" priority="276429" rank="10"/>
  </conditionalFormatting>
  <conditionalFormatting sqref="BK112:BX112">
    <cfRule type="top10" dxfId="1940" priority="122" rank="10"/>
    <cfRule type="top10" dxfId="1939" priority="123" rank="10"/>
  </conditionalFormatting>
  <conditionalFormatting sqref="BK155:BX169">
    <cfRule type="top10" dxfId="1938" priority="121" rank="10"/>
    <cfRule type="top10" dxfId="1937" priority="120" rank="10"/>
  </conditionalFormatting>
  <conditionalFormatting sqref="BY99:BY112">
    <cfRule type="top10" dxfId="1936" priority="276433" rank="10"/>
    <cfRule type="top10" dxfId="1935" priority="276432" rank="10"/>
  </conditionalFormatting>
  <conditionalFormatting sqref="BY155:BY169">
    <cfRule type="top10" dxfId="1934" priority="117" rank="10"/>
    <cfRule type="top10" dxfId="1933" priority="116" rank="10"/>
  </conditionalFormatting>
  <conditionalFormatting sqref="BZ99:CI111">
    <cfRule type="top10" dxfId="1932" priority="276436" rank="10"/>
  </conditionalFormatting>
  <conditionalFormatting sqref="BZ112:CI112">
    <cfRule type="top10" dxfId="1931" priority="114" rank="10"/>
  </conditionalFormatting>
  <conditionalFormatting sqref="BZ155:CI169">
    <cfRule type="top10" dxfId="1930" priority="113" rank="10"/>
  </conditionalFormatting>
  <conditionalFormatting sqref="CJ99:CK111">
    <cfRule type="top10" dxfId="1929" priority="276439" rank="10"/>
    <cfRule type="top10" dxfId="1928" priority="276438" rank="10"/>
  </conditionalFormatting>
  <conditionalFormatting sqref="CJ112:CK112">
    <cfRule type="top10" dxfId="1927" priority="110" rank="10"/>
    <cfRule type="top10" dxfId="1926" priority="109" rank="10"/>
  </conditionalFormatting>
  <conditionalFormatting sqref="CJ155:CK169">
    <cfRule type="top10" dxfId="1925" priority="107" rank="10"/>
    <cfRule type="top10" dxfId="1924" priority="108" rank="10"/>
  </conditionalFormatting>
  <conditionalFormatting sqref="CL99:CR111">
    <cfRule type="top10" dxfId="1923" priority="276443" rank="10"/>
    <cfRule type="top10" dxfId="1922" priority="276442" rank="10"/>
  </conditionalFormatting>
  <conditionalFormatting sqref="CL112:CR112">
    <cfRule type="top10" dxfId="1921" priority="104" rank="10"/>
    <cfRule type="top10" dxfId="1920" priority="103" rank="10"/>
  </conditionalFormatting>
  <conditionalFormatting sqref="CL155:CR169">
    <cfRule type="top10" dxfId="1919" priority="102" rank="10"/>
    <cfRule type="top10" dxfId="1918" priority="101" rank="10"/>
  </conditionalFormatting>
  <conditionalFormatting sqref="CQ16:DC52">
    <cfRule type="containsText" dxfId="1917" priority="96" operator="containsText" text="1">
      <formula>NOT(ISERROR(SEARCH("1",CQ16)))</formula>
    </cfRule>
    <cfRule type="containsText" dxfId="1916" priority="95" operator="containsText" text="4">
      <formula>NOT(ISERROR(SEARCH("4",CQ16)))</formula>
    </cfRule>
    <cfRule type="containsText" dxfId="1915" priority="94" operator="containsText" text="2">
      <formula>NOT(ISERROR(SEARCH("2",CQ16)))</formula>
    </cfRule>
    <cfRule type="containsText" dxfId="1914" priority="92" operator="containsText" text="1">
      <formula>NOT(ISERROR(SEARCH("1",CQ16)))</formula>
    </cfRule>
    <cfRule type="containsText" dxfId="1913" priority="91" operator="containsText" text="1">
      <formula>NOT(ISERROR(SEARCH("1",CQ16)))</formula>
    </cfRule>
    <cfRule type="top10" dxfId="1912" priority="90" rank="10"/>
    <cfRule type="top10" dxfId="1911" priority="89" rank="10"/>
    <cfRule type="containsText" dxfId="1910" priority="93" operator="containsText" text="3">
      <formula>NOT(ISERROR(SEARCH("3",CQ16)))</formula>
    </cfRule>
    <cfRule type="cellIs" dxfId="1909" priority="100" operator="equal">
      <formula>1</formula>
    </cfRule>
    <cfRule type="cellIs" dxfId="1908" priority="99" operator="equal">
      <formula>3</formula>
    </cfRule>
    <cfRule type="cellIs" dxfId="1907" priority="98" operator="equal">
      <formula>4</formula>
    </cfRule>
    <cfRule type="cellIs" dxfId="1906" priority="97" operator="equal">
      <formula>2</formula>
    </cfRule>
  </conditionalFormatting>
  <conditionalFormatting sqref="CQ53:DC97">
    <cfRule type="containsText" dxfId="1905" priority="276667" operator="containsText" text="4">
      <formula>NOT(ISERROR(SEARCH("4",CQ53)))</formula>
    </cfRule>
    <cfRule type="containsText" dxfId="1904" priority="276664" operator="containsText" text="1">
      <formula>NOT(ISERROR(SEARCH("1",CQ53)))</formula>
    </cfRule>
    <cfRule type="containsText" dxfId="1903" priority="276668" operator="containsText" text="1">
      <formula>NOT(ISERROR(SEARCH("1",CQ53)))</formula>
    </cfRule>
    <cfRule type="cellIs" dxfId="1902" priority="276669" operator="equal">
      <formula>2</formula>
    </cfRule>
    <cfRule type="containsText" dxfId="1901" priority="276665" operator="containsText" text="3">
      <formula>NOT(ISERROR(SEARCH("3",CQ53)))</formula>
    </cfRule>
    <cfRule type="containsText" dxfId="1900" priority="276666" operator="containsText" text="2">
      <formula>NOT(ISERROR(SEARCH("2",CQ53)))</formula>
    </cfRule>
    <cfRule type="cellIs" dxfId="1899" priority="276672" operator="equal">
      <formula>1</formula>
    </cfRule>
    <cfRule type="cellIs" dxfId="1898" priority="276671" operator="equal">
      <formula>3</formula>
    </cfRule>
    <cfRule type="cellIs" dxfId="1897" priority="276670" operator="equal">
      <formula>4</formula>
    </cfRule>
    <cfRule type="containsText" dxfId="1896" priority="276663" operator="containsText" text="1">
      <formula>NOT(ISERROR(SEARCH("1",CQ53)))</formula>
    </cfRule>
    <cfRule type="top10" dxfId="1895" priority="276661" rank="10"/>
    <cfRule type="top10" dxfId="1894" priority="276662" rank="10"/>
  </conditionalFormatting>
  <conditionalFormatting sqref="CQ98:DC98">
    <cfRule type="cellIs" dxfId="1893" priority="76" operator="equal">
      <formula>1</formula>
    </cfRule>
    <cfRule type="cellIs" dxfId="1892" priority="75" operator="equal">
      <formula>3</formula>
    </cfRule>
    <cfRule type="cellIs" dxfId="1891" priority="74" operator="equal">
      <formula>4</formula>
    </cfRule>
    <cfRule type="containsText" dxfId="1890" priority="72" operator="containsText" text="1">
      <formula>NOT(ISERROR(SEARCH("1",CQ98)))</formula>
    </cfRule>
    <cfRule type="containsText" dxfId="1889" priority="71" operator="containsText" text="4">
      <formula>NOT(ISERROR(SEARCH("4",CQ98)))</formula>
    </cfRule>
    <cfRule type="containsText" dxfId="1888" priority="70" operator="containsText" text="2">
      <formula>NOT(ISERROR(SEARCH("2",CQ98)))</formula>
    </cfRule>
    <cfRule type="top10" dxfId="1887" priority="65" rank="10"/>
    <cfRule type="cellIs" dxfId="1886" priority="73" operator="equal">
      <formula>2</formula>
    </cfRule>
    <cfRule type="containsText" dxfId="1885" priority="69" operator="containsText" text="3">
      <formula>NOT(ISERROR(SEARCH("3",CQ98)))</formula>
    </cfRule>
    <cfRule type="containsText" dxfId="1884" priority="68" operator="containsText" text="1">
      <formula>NOT(ISERROR(SEARCH("1",CQ98)))</formula>
    </cfRule>
    <cfRule type="top10" dxfId="1883" priority="66" rank="10"/>
    <cfRule type="containsText" dxfId="1882" priority="67" operator="containsText" text="1">
      <formula>NOT(ISERROR(SEARCH("1",CQ98)))</formula>
    </cfRule>
  </conditionalFormatting>
  <conditionalFormatting sqref="CS99:CS112">
    <cfRule type="top10" dxfId="1881" priority="276446" rank="10"/>
    <cfRule type="top10" dxfId="1880" priority="276447" rank="10"/>
  </conditionalFormatting>
  <conditionalFormatting sqref="CS155:CS169">
    <cfRule type="top10" dxfId="1879" priority="61" rank="10"/>
    <cfRule type="top10" dxfId="1878" priority="62" rank="10"/>
  </conditionalFormatting>
  <conditionalFormatting sqref="CT99:CZ111">
    <cfRule type="top10" dxfId="1877" priority="276450" rank="10"/>
    <cfRule type="top10" dxfId="1876" priority="276451" rank="10"/>
  </conditionalFormatting>
  <conditionalFormatting sqref="CT112:CZ112">
    <cfRule type="top10" dxfId="1875" priority="57" rank="10"/>
    <cfRule type="top10" dxfId="1874" priority="58" rank="10"/>
  </conditionalFormatting>
  <conditionalFormatting sqref="CT155:CZ169">
    <cfRule type="top10" dxfId="1873" priority="55" rank="10"/>
    <cfRule type="top10" dxfId="1872" priority="56" rank="10"/>
  </conditionalFormatting>
  <conditionalFormatting sqref="DA99:DA112">
    <cfRule type="top10" dxfId="1871" priority="276454" rank="10"/>
  </conditionalFormatting>
  <conditionalFormatting sqref="DA155:DA169">
    <cfRule type="top10" dxfId="1870" priority="53" rank="10"/>
  </conditionalFormatting>
  <conditionalFormatting sqref="DB99:DB112">
    <cfRule type="top10" dxfId="1869" priority="276456" rank="10"/>
  </conditionalFormatting>
  <conditionalFormatting sqref="DB155:DB169">
    <cfRule type="top10" dxfId="1868" priority="51" rank="10"/>
  </conditionalFormatting>
  <conditionalFormatting sqref="DC111:DJ111">
    <cfRule type="containsText" dxfId="1867" priority="45" operator="containsText" text="1">
      <formula>NOT(ISERROR(SEARCH("1",DC111)))</formula>
    </cfRule>
    <cfRule type="containsText" dxfId="1866" priority="44" operator="containsText" text="4">
      <formula>NOT(ISERROR(SEARCH("4",DC111)))</formula>
    </cfRule>
    <cfRule type="containsText" dxfId="1865" priority="43" operator="containsText" text="2">
      <formula>NOT(ISERROR(SEARCH("2",DC111)))</formula>
    </cfRule>
    <cfRule type="containsText" dxfId="1864" priority="42" operator="containsText" text="3">
      <formula>NOT(ISERROR(SEARCH("3",DC111)))</formula>
    </cfRule>
    <cfRule type="containsText" dxfId="1863" priority="41" operator="containsText" text="1">
      <formula>NOT(ISERROR(SEARCH("1",DC111)))</formula>
    </cfRule>
    <cfRule type="top10" dxfId="1862" priority="39" rank="10"/>
    <cfRule type="containsText" dxfId="1861" priority="40" operator="containsText" text="1">
      <formula>NOT(ISERROR(SEARCH("1",DC111)))</formula>
    </cfRule>
    <cfRule type="top10" dxfId="1860" priority="38" rank="10"/>
    <cfRule type="top10" dxfId="1859" priority="50" rank="10"/>
    <cfRule type="cellIs" dxfId="1858" priority="49" operator="equal">
      <formula>1</formula>
    </cfRule>
    <cfRule type="cellIs" dxfId="1857" priority="48" operator="equal">
      <formula>3</formula>
    </cfRule>
    <cfRule type="cellIs" dxfId="1856" priority="47" operator="equal">
      <formula>4</formula>
    </cfRule>
    <cfRule type="cellIs" dxfId="1855" priority="46" operator="equal">
      <formula>2</formula>
    </cfRule>
  </conditionalFormatting>
  <conditionalFormatting sqref="DD16:DK52">
    <cfRule type="top10" dxfId="1854" priority="37" rank="10"/>
  </conditionalFormatting>
  <conditionalFormatting sqref="DD155:DK169 DD53:DK112">
    <cfRule type="top10" dxfId="1853" priority="36" rank="10"/>
  </conditionalFormatting>
  <conditionalFormatting sqref="DF103">
    <cfRule type="top10" dxfId="1852" priority="14" rank="10"/>
    <cfRule type="containsText" dxfId="1851" priority="17" operator="containsText" text="1">
      <formula>NOT(ISERROR(SEARCH("1",DF103)))</formula>
    </cfRule>
    <cfRule type="containsText" dxfId="1850" priority="16" operator="containsText" text="1">
      <formula>NOT(ISERROR(SEARCH("1",DF103)))</formula>
    </cfRule>
    <cfRule type="top10" dxfId="1849" priority="15" rank="10"/>
    <cfRule type="containsText" dxfId="1848" priority="18" operator="containsText" text="3">
      <formula>NOT(ISERROR(SEARCH("3",DF103)))</formula>
    </cfRule>
    <cfRule type="cellIs" dxfId="1847" priority="25" operator="equal">
      <formula>1</formula>
    </cfRule>
    <cfRule type="containsText" dxfId="1846" priority="20" operator="containsText" text="4">
      <formula>NOT(ISERROR(SEARCH("4",DF103)))</formula>
    </cfRule>
    <cfRule type="top10" dxfId="1845" priority="26" rank="10"/>
    <cfRule type="cellIs" dxfId="1844" priority="24" operator="equal">
      <formula>3</formula>
    </cfRule>
    <cfRule type="containsText" dxfId="1843" priority="21" operator="containsText" text="1">
      <formula>NOT(ISERROR(SEARCH("1",DF103)))</formula>
    </cfRule>
    <cfRule type="cellIs" dxfId="1842" priority="22" operator="equal">
      <formula>2</formula>
    </cfRule>
    <cfRule type="cellIs" dxfId="1841" priority="23" operator="equal">
      <formula>4</formula>
    </cfRule>
    <cfRule type="containsText" dxfId="1840" priority="19" operator="containsText" text="2">
      <formula>NOT(ISERROR(SEARCH("2",DF103)))</formula>
    </cfRule>
  </conditionalFormatting>
  <conditionalFormatting sqref="DF105">
    <cfRule type="containsText" dxfId="1839" priority="4" operator="containsText" text="1">
      <formula>NOT(ISERROR(SEARCH("1",DF105)))</formula>
    </cfRule>
    <cfRule type="containsText" dxfId="1838" priority="5" operator="containsText" text="3">
      <formula>NOT(ISERROR(SEARCH("3",DF105)))</formula>
    </cfRule>
    <cfRule type="containsText" dxfId="1837" priority="6" operator="containsText" text="2">
      <formula>NOT(ISERROR(SEARCH("2",DF105)))</formula>
    </cfRule>
    <cfRule type="containsText" dxfId="1836" priority="7" operator="containsText" text="4">
      <formula>NOT(ISERROR(SEARCH("4",DF105)))</formula>
    </cfRule>
    <cfRule type="cellIs" dxfId="1835" priority="12" operator="equal">
      <formula>1</formula>
    </cfRule>
    <cfRule type="cellIs" dxfId="1834" priority="11" operator="equal">
      <formula>3</formula>
    </cfRule>
    <cfRule type="cellIs" dxfId="1833" priority="10" operator="equal">
      <formula>4</formula>
    </cfRule>
    <cfRule type="cellIs" dxfId="1832" priority="9" operator="equal">
      <formula>2</formula>
    </cfRule>
    <cfRule type="top10" dxfId="1831" priority="2" rank="10"/>
    <cfRule type="top10" dxfId="1830" priority="13" rank="10"/>
    <cfRule type="top10" dxfId="1829" priority="1" rank="10"/>
    <cfRule type="containsText" dxfId="1828" priority="8" operator="containsText" text="1">
      <formula>NOT(ISERROR(SEARCH("1",DF105)))</formula>
    </cfRule>
    <cfRule type="containsText" dxfId="1827" priority="3" operator="containsText" text="1">
      <formula>NOT(ISERROR(SEARCH("1",DF105)))</formula>
    </cfRule>
  </conditionalFormatting>
  <conditionalFormatting sqref="DL155:DL169 DL16:DL112">
    <cfRule type="top10" dxfId="1826" priority="35" rank="10"/>
  </conditionalFormatting>
  <conditionalFormatting sqref="DM16:DU52">
    <cfRule type="top10" dxfId="1825" priority="34" rank="10"/>
  </conditionalFormatting>
  <conditionalFormatting sqref="DM155:DU169 DM53:DU112">
    <cfRule type="top10" dxfId="1824" priority="33" rank="10"/>
  </conditionalFormatting>
  <conditionalFormatting sqref="DP113:DR113">
    <cfRule type="containsText" dxfId="1823" priority="32" operator="containsText" text="1">
      <formula>NOT(ISERROR(SEARCH("1",DP113)))</formula>
    </cfRule>
  </conditionalFormatting>
  <conditionalFormatting sqref="DP113:DS113">
    <cfRule type="containsText" dxfId="1822" priority="31" operator="containsText" text="1">
      <formula>NOT(ISERROR(SEARCH("1",DP113)))</formula>
    </cfRule>
  </conditionalFormatting>
  <conditionalFormatting sqref="DV16:DV112 DV155:DV169">
    <cfRule type="cellIs" dxfId="1821" priority="27" operator="equal">
      <formula>4</formula>
    </cfRule>
    <cfRule type="cellIs" dxfId="1820" priority="30" operator="equal">
      <formula>1</formula>
    </cfRule>
    <cfRule type="cellIs" dxfId="1819" priority="29" operator="equal">
      <formula>3</formula>
    </cfRule>
    <cfRule type="cellIs" dxfId="1818" priority="28" operator="equal">
      <formula>2</formula>
    </cfRule>
  </conditionalFormatting>
  <printOptions horizontalCentered="1" verticalCentered="1"/>
  <pageMargins left="0" right="0" top="0" bottom="0" header="0" footer="0"/>
  <pageSetup paperSize="8" scale="10" fitToHeight="0" orientation="landscape" horizontalDpi="1200" verticalDpi="1200" r:id="rId1"/>
  <headerFooter>
    <oddFooter>&amp;CICTMF020-HR&amp;RRev A 
date 11/03/2024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CA25-83F8-402A-AD2D-A31414E13CA9}">
  <sheetPr filterMode="1"/>
  <dimension ref="A1:OV181"/>
  <sheetViews>
    <sheetView view="pageBreakPreview" topLeftCell="A12" zoomScale="30" zoomScaleNormal="40" zoomScaleSheetLayoutView="30" workbookViewId="0">
      <pane ySplit="3" topLeftCell="A15" activePane="bottomLeft" state="frozen"/>
      <selection activeCell="A12" sqref="A12"/>
      <selection pane="bottomLeft" activeCell="AZ15" sqref="AZ15:AZ16"/>
    </sheetView>
  </sheetViews>
  <sheetFormatPr defaultRowHeight="36.6"/>
  <cols>
    <col min="1" max="1" width="26.88671875" customWidth="1"/>
    <col min="2" max="2" width="45.88671875" style="308" bestFit="1" customWidth="1"/>
    <col min="3" max="3" width="55.44140625" customWidth="1"/>
    <col min="4" max="4" width="108.109375" style="367" bestFit="1" customWidth="1"/>
    <col min="5" max="5" width="73.33203125" style="308" bestFit="1" customWidth="1"/>
    <col min="6" max="6" width="73.33203125" style="30" bestFit="1" customWidth="1"/>
    <col min="7" max="19" width="15.33203125" customWidth="1"/>
    <col min="20" max="20" width="16" customWidth="1"/>
    <col min="21" max="21" width="15.33203125" customWidth="1"/>
    <col min="22" max="22" width="23.44140625" customWidth="1"/>
    <col min="23" max="72" width="15.33203125" customWidth="1"/>
    <col min="73" max="73" width="32.44140625" customWidth="1"/>
    <col min="74" max="77" width="15.33203125" customWidth="1"/>
    <col min="78" max="78" width="20.6640625" customWidth="1"/>
    <col min="79" max="125" width="15.33203125" customWidth="1"/>
    <col min="126" max="126" width="20.44140625" customWidth="1"/>
    <col min="127" max="127" width="21.88671875" customWidth="1"/>
    <col min="128" max="128" width="15.6640625" bestFit="1" customWidth="1"/>
  </cols>
  <sheetData>
    <row r="1" spans="2:128" ht="138.75" customHeight="1" thickBot="1">
      <c r="B1" s="281"/>
      <c r="C1" s="512"/>
      <c r="D1" s="513"/>
      <c r="E1" s="933" t="s">
        <v>29</v>
      </c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934"/>
      <c r="Z1" s="934"/>
      <c r="AA1" s="934"/>
      <c r="AB1" s="934"/>
      <c r="AC1" s="934"/>
      <c r="AD1" s="934"/>
      <c r="AE1" s="934"/>
      <c r="AF1" s="934"/>
      <c r="AG1" s="934"/>
      <c r="AH1" s="934"/>
      <c r="AI1" s="934"/>
      <c r="AJ1" s="934"/>
      <c r="AK1" s="934"/>
      <c r="AL1" s="934"/>
      <c r="AM1" s="934"/>
      <c r="AN1" s="934"/>
      <c r="AO1" s="934"/>
      <c r="AP1" s="934"/>
      <c r="AQ1" s="934"/>
      <c r="AR1" s="934"/>
      <c r="AS1" s="934"/>
      <c r="AT1" s="934"/>
      <c r="AU1" s="934"/>
      <c r="AV1" s="934"/>
      <c r="AW1" s="934"/>
      <c r="AX1" s="934"/>
      <c r="AY1" s="934"/>
      <c r="AZ1" s="934"/>
      <c r="BA1" s="934"/>
      <c r="BB1" s="934"/>
      <c r="BC1" s="934"/>
      <c r="BD1" s="934"/>
      <c r="BE1" s="934"/>
      <c r="BF1" s="934"/>
      <c r="BG1" s="934"/>
      <c r="BH1" s="934"/>
      <c r="BI1" s="934"/>
      <c r="BJ1" s="934"/>
      <c r="BK1" s="934"/>
      <c r="BL1" s="934"/>
      <c r="BM1" s="934"/>
      <c r="BN1" s="934"/>
      <c r="BO1" s="934"/>
      <c r="BP1" s="934"/>
      <c r="BQ1" s="934"/>
      <c r="BR1" s="934"/>
      <c r="BS1" s="934"/>
      <c r="BT1" s="934"/>
      <c r="BU1" s="934"/>
      <c r="BV1" s="934"/>
      <c r="BW1" s="934"/>
      <c r="BX1" s="934"/>
      <c r="BY1" s="934"/>
      <c r="BZ1" s="934"/>
      <c r="CA1" s="934"/>
      <c r="CB1" s="934"/>
      <c r="CC1" s="934"/>
      <c r="CD1" s="934"/>
      <c r="CE1" s="934"/>
      <c r="CF1" s="934"/>
      <c r="CG1" s="934"/>
      <c r="CH1" s="934"/>
      <c r="CI1" s="934"/>
      <c r="CJ1" s="934"/>
      <c r="CK1" s="934"/>
      <c r="CL1" s="934"/>
      <c r="CM1" s="934"/>
      <c r="CN1" s="934"/>
      <c r="CO1" s="934"/>
      <c r="CP1" s="934"/>
      <c r="CQ1" s="934"/>
      <c r="CR1" s="934"/>
      <c r="CS1" s="934"/>
      <c r="CT1" s="934"/>
      <c r="CU1" s="934"/>
      <c r="CV1" s="934"/>
      <c r="CW1" s="934"/>
      <c r="CX1" s="934"/>
      <c r="CY1" s="934"/>
      <c r="CZ1" s="934"/>
      <c r="DA1" s="934"/>
      <c r="DB1" s="934"/>
      <c r="DC1" s="934"/>
      <c r="DD1" s="934"/>
      <c r="DE1" s="934"/>
      <c r="DF1" s="934"/>
      <c r="DG1" s="934"/>
      <c r="DH1" s="934"/>
      <c r="DI1" s="934"/>
      <c r="DJ1" s="934"/>
      <c r="DK1" s="934"/>
      <c r="DL1" s="934"/>
      <c r="DM1" s="934"/>
      <c r="DN1" s="934"/>
      <c r="DO1" s="935"/>
      <c r="DP1" s="762" t="s">
        <v>0</v>
      </c>
      <c r="DQ1" s="763"/>
      <c r="DR1" s="763"/>
      <c r="DS1" s="763"/>
      <c r="DT1" s="530"/>
      <c r="DU1" s="762" t="s">
        <v>20</v>
      </c>
      <c r="DV1" s="763"/>
      <c r="DW1" s="530"/>
    </row>
    <row r="2" spans="2:128" ht="138.75" customHeight="1" thickBot="1">
      <c r="B2" s="283"/>
      <c r="C2" s="514"/>
      <c r="D2" s="515"/>
      <c r="E2" s="936" t="s">
        <v>30</v>
      </c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7"/>
      <c r="U2" s="937"/>
      <c r="V2" s="937"/>
      <c r="W2" s="937"/>
      <c r="X2" s="937"/>
      <c r="Y2" s="937"/>
      <c r="Z2" s="937"/>
      <c r="AA2" s="937"/>
      <c r="AB2" s="937"/>
      <c r="AC2" s="937"/>
      <c r="AD2" s="937"/>
      <c r="AE2" s="937"/>
      <c r="AF2" s="937"/>
      <c r="AG2" s="937"/>
      <c r="AH2" s="937"/>
      <c r="AI2" s="937"/>
      <c r="AJ2" s="937"/>
      <c r="AK2" s="937"/>
      <c r="AL2" s="937"/>
      <c r="AM2" s="937"/>
      <c r="AN2" s="937"/>
      <c r="AO2" s="937"/>
      <c r="AP2" s="937"/>
      <c r="AQ2" s="937"/>
      <c r="AR2" s="937"/>
      <c r="AS2" s="937"/>
      <c r="AT2" s="937"/>
      <c r="AU2" s="937"/>
      <c r="AV2" s="937"/>
      <c r="AW2" s="937"/>
      <c r="AX2" s="937"/>
      <c r="AY2" s="937"/>
      <c r="AZ2" s="937"/>
      <c r="BA2" s="937"/>
      <c r="BB2" s="937"/>
      <c r="BC2" s="937"/>
      <c r="BD2" s="937"/>
      <c r="BE2" s="937"/>
      <c r="BF2" s="937"/>
      <c r="BG2" s="937"/>
      <c r="BH2" s="937"/>
      <c r="BI2" s="937"/>
      <c r="BJ2" s="937"/>
      <c r="BK2" s="937"/>
      <c r="BL2" s="937"/>
      <c r="BM2" s="937"/>
      <c r="BN2" s="937"/>
      <c r="BO2" s="937"/>
      <c r="BP2" s="937"/>
      <c r="BQ2" s="937"/>
      <c r="BR2" s="937"/>
      <c r="BS2" s="937"/>
      <c r="BT2" s="937"/>
      <c r="BU2" s="937"/>
      <c r="BV2" s="937"/>
      <c r="BW2" s="937"/>
      <c r="BX2" s="937"/>
      <c r="BY2" s="937"/>
      <c r="BZ2" s="937"/>
      <c r="CA2" s="937"/>
      <c r="CB2" s="937"/>
      <c r="CC2" s="937"/>
      <c r="CD2" s="937"/>
      <c r="CE2" s="937"/>
      <c r="CF2" s="937"/>
      <c r="CG2" s="937"/>
      <c r="CH2" s="937"/>
      <c r="CI2" s="937"/>
      <c r="CJ2" s="937"/>
      <c r="CK2" s="937"/>
      <c r="CL2" s="937"/>
      <c r="CM2" s="937"/>
      <c r="CN2" s="937"/>
      <c r="CO2" s="937"/>
      <c r="CP2" s="937"/>
      <c r="CQ2" s="937"/>
      <c r="CR2" s="937"/>
      <c r="CS2" s="937"/>
      <c r="CT2" s="937"/>
      <c r="CU2" s="937"/>
      <c r="CV2" s="937"/>
      <c r="CW2" s="937"/>
      <c r="CX2" s="937"/>
      <c r="CY2" s="937"/>
      <c r="CZ2" s="937"/>
      <c r="DA2" s="937"/>
      <c r="DB2" s="937"/>
      <c r="DC2" s="937"/>
      <c r="DD2" s="937"/>
      <c r="DE2" s="937"/>
      <c r="DF2" s="937"/>
      <c r="DG2" s="937"/>
      <c r="DH2" s="937"/>
      <c r="DI2" s="937"/>
      <c r="DJ2" s="937"/>
      <c r="DK2" s="937"/>
      <c r="DL2" s="937"/>
      <c r="DM2" s="937"/>
      <c r="DN2" s="937"/>
      <c r="DO2" s="938"/>
      <c r="DP2" s="939" t="s">
        <v>1</v>
      </c>
      <c r="DQ2" s="940"/>
      <c r="DR2" s="940"/>
      <c r="DS2" s="940"/>
      <c r="DT2" s="941"/>
      <c r="DU2" s="942">
        <v>45358</v>
      </c>
      <c r="DV2" s="943"/>
      <c r="DW2" s="944"/>
    </row>
    <row r="3" spans="2:128" ht="49.5" customHeight="1">
      <c r="B3" s="310"/>
      <c r="C3" s="373" t="s">
        <v>4</v>
      </c>
      <c r="D3" s="364"/>
      <c r="E3" s="304"/>
      <c r="F3" s="15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159"/>
      <c r="DC3" s="159"/>
      <c r="DD3" s="159"/>
      <c r="DE3" s="159"/>
      <c r="DF3" s="159"/>
      <c r="DG3" s="159"/>
      <c r="DH3" s="159"/>
      <c r="DI3" s="159"/>
      <c r="DJ3" s="159"/>
      <c r="DK3" s="159"/>
      <c r="DL3" s="159"/>
      <c r="DM3" s="159"/>
      <c r="DN3" s="160"/>
      <c r="DO3" s="160"/>
      <c r="DP3" s="160"/>
      <c r="DQ3" s="160"/>
      <c r="DR3" s="160"/>
      <c r="DS3" s="947" t="s">
        <v>518</v>
      </c>
      <c r="DT3" s="948"/>
      <c r="DU3" s="949"/>
      <c r="DV3" s="956">
        <f>+AVERAGE(DV17:DV92)</f>
        <v>0.29991645781119436</v>
      </c>
      <c r="DW3" s="959">
        <f>AVERAGE(DW17:DW92)</f>
        <v>0.76345796967907154</v>
      </c>
    </row>
    <row r="4" spans="2:128" ht="15" customHeight="1">
      <c r="B4" s="310"/>
      <c r="C4" s="6"/>
      <c r="D4" s="365"/>
      <c r="E4" s="305"/>
      <c r="F4" s="2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8"/>
      <c r="AB4" s="8"/>
      <c r="AC4" s="8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25"/>
      <c r="DO4" s="25"/>
      <c r="DP4" s="25"/>
      <c r="DQ4" s="25"/>
      <c r="DR4" s="25"/>
      <c r="DS4" s="950"/>
      <c r="DT4" s="951"/>
      <c r="DU4" s="952"/>
      <c r="DV4" s="957"/>
      <c r="DW4" s="960"/>
    </row>
    <row r="5" spans="2:128" ht="48" customHeight="1">
      <c r="B5" s="310"/>
      <c r="C5" s="372" t="s">
        <v>5</v>
      </c>
      <c r="D5" s="365"/>
      <c r="E5" s="306"/>
      <c r="F5" s="25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7"/>
      <c r="DF5" s="7"/>
      <c r="DG5" s="7"/>
      <c r="DH5" s="7"/>
      <c r="DI5" s="7"/>
      <c r="DJ5" s="7"/>
      <c r="DK5" s="7"/>
      <c r="DL5" s="7"/>
      <c r="DM5" s="7"/>
      <c r="DN5" s="27"/>
      <c r="DO5" s="27"/>
      <c r="DP5" s="27"/>
      <c r="DQ5" s="27"/>
      <c r="DR5" s="27"/>
      <c r="DS5" s="950"/>
      <c r="DT5" s="951"/>
      <c r="DU5" s="952"/>
      <c r="DV5" s="957"/>
      <c r="DW5" s="960"/>
    </row>
    <row r="6" spans="2:128" ht="48" customHeight="1">
      <c r="B6" s="310"/>
      <c r="C6" s="372" t="s">
        <v>6</v>
      </c>
      <c r="D6" s="365"/>
      <c r="E6" s="306"/>
      <c r="F6" s="2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27"/>
      <c r="DO6" s="27"/>
      <c r="DP6" s="27"/>
      <c r="DQ6" s="27"/>
      <c r="DR6" s="27"/>
      <c r="DS6" s="950"/>
      <c r="DT6" s="951"/>
      <c r="DU6" s="952"/>
      <c r="DV6" s="957"/>
      <c r="DW6" s="960"/>
    </row>
    <row r="7" spans="2:128" ht="48" customHeight="1">
      <c r="B7" s="310"/>
      <c r="C7" s="372" t="s">
        <v>7</v>
      </c>
      <c r="D7" s="365"/>
      <c r="E7" s="306"/>
      <c r="F7" s="25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0"/>
      <c r="R7" s="630"/>
      <c r="S7" s="630"/>
      <c r="T7" s="630"/>
      <c r="U7" s="630"/>
      <c r="V7" s="630"/>
      <c r="W7" s="630"/>
      <c r="X7" s="630"/>
      <c r="Y7" s="630"/>
      <c r="Z7" s="630"/>
      <c r="AA7" s="630"/>
      <c r="AB7" s="630"/>
      <c r="AC7" s="630"/>
      <c r="AD7" s="630"/>
      <c r="AE7" s="630"/>
      <c r="AF7" s="630"/>
      <c r="AG7" s="630"/>
      <c r="AH7" s="630"/>
      <c r="AI7" s="630"/>
      <c r="AJ7" s="630"/>
      <c r="AK7" s="630"/>
      <c r="AL7" s="630"/>
      <c r="AM7" s="630"/>
      <c r="AN7" s="630"/>
      <c r="AO7" s="630"/>
      <c r="AP7" s="630"/>
      <c r="AQ7" s="630"/>
      <c r="AR7" s="630"/>
      <c r="AS7" s="630"/>
      <c r="AT7" s="630"/>
      <c r="AU7" s="630"/>
      <c r="AV7" s="630"/>
      <c r="AW7" s="630"/>
      <c r="AX7" s="630"/>
      <c r="AY7" s="630"/>
      <c r="AZ7" s="630"/>
      <c r="BA7" s="630"/>
      <c r="BB7" s="630"/>
      <c r="BC7" s="630"/>
      <c r="BD7" s="630"/>
      <c r="BE7" s="630"/>
      <c r="BF7" s="630"/>
      <c r="BG7" s="630"/>
      <c r="BH7" s="630"/>
      <c r="BI7" s="630"/>
      <c r="BJ7" s="630"/>
      <c r="BK7" s="630"/>
      <c r="BL7" s="630"/>
      <c r="BM7" s="630"/>
      <c r="BN7" s="630"/>
      <c r="BO7" s="630"/>
      <c r="BP7" s="630"/>
      <c r="BQ7" s="630"/>
      <c r="BR7" s="630"/>
      <c r="BS7" s="630"/>
      <c r="BT7" s="630"/>
      <c r="BU7" s="630"/>
      <c r="BV7" s="630"/>
      <c r="BW7" s="630"/>
      <c r="BX7" s="630"/>
      <c r="BY7" s="630"/>
      <c r="BZ7" s="630"/>
      <c r="CA7" s="630"/>
      <c r="CB7" s="630"/>
      <c r="CC7" s="630"/>
      <c r="CD7" s="630"/>
      <c r="CE7" s="630"/>
      <c r="CF7" s="630"/>
      <c r="CG7" s="630"/>
      <c r="CH7" s="630"/>
      <c r="CI7" s="630"/>
      <c r="CJ7" s="630"/>
      <c r="CK7" s="630"/>
      <c r="CL7" s="630"/>
      <c r="CM7" s="630"/>
      <c r="CN7" s="630"/>
      <c r="CO7" s="630"/>
      <c r="CP7" s="630"/>
      <c r="CQ7" s="630"/>
      <c r="CR7" s="630"/>
      <c r="CS7" s="630"/>
      <c r="CT7" s="630"/>
      <c r="CU7" s="630"/>
      <c r="CV7" s="630"/>
      <c r="CW7" s="630"/>
      <c r="CX7" s="630"/>
      <c r="CY7" s="630"/>
      <c r="CZ7" s="630"/>
      <c r="DA7" s="630"/>
      <c r="DB7" s="630"/>
      <c r="DC7" s="9"/>
      <c r="DD7" s="9"/>
      <c r="DE7" s="6"/>
      <c r="DF7" s="6"/>
      <c r="DG7" s="6"/>
      <c r="DH7" s="6"/>
      <c r="DI7" s="6"/>
      <c r="DJ7" s="6"/>
      <c r="DK7" s="6"/>
      <c r="DL7" s="6"/>
      <c r="DM7" s="6"/>
      <c r="DN7" s="25"/>
      <c r="DO7" s="25"/>
      <c r="DP7" s="25"/>
      <c r="DQ7" s="25"/>
      <c r="DR7" s="25"/>
      <c r="DS7" s="950"/>
      <c r="DT7" s="951"/>
      <c r="DU7" s="952"/>
      <c r="DV7" s="957"/>
      <c r="DW7" s="960"/>
    </row>
    <row r="8" spans="2:128" ht="48" customHeight="1">
      <c r="B8" s="310"/>
      <c r="C8" s="372" t="s">
        <v>10</v>
      </c>
      <c r="D8" s="366"/>
      <c r="E8" s="307"/>
      <c r="F8" s="16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24"/>
      <c r="DO8" s="24"/>
      <c r="DP8" s="24"/>
      <c r="DQ8" s="24"/>
      <c r="DR8" s="24"/>
      <c r="DS8" s="950"/>
      <c r="DT8" s="951"/>
      <c r="DU8" s="952"/>
      <c r="DV8" s="957"/>
      <c r="DW8" s="960"/>
    </row>
    <row r="9" spans="2:128" ht="48" customHeight="1" thickBot="1">
      <c r="B9" s="310"/>
      <c r="C9" s="7"/>
      <c r="D9" s="366"/>
      <c r="E9" s="307"/>
      <c r="F9" s="16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24"/>
      <c r="DO9" s="24"/>
      <c r="DP9" s="24"/>
      <c r="DQ9" s="24"/>
      <c r="DR9" s="24"/>
      <c r="DS9" s="953"/>
      <c r="DT9" s="954"/>
      <c r="DU9" s="955"/>
      <c r="DV9" s="958"/>
      <c r="DW9" s="961"/>
    </row>
    <row r="10" spans="2:128" ht="30.75" customHeight="1" thickTop="1" thickBot="1">
      <c r="B10" s="311"/>
      <c r="C10" s="2"/>
      <c r="D10" s="365"/>
      <c r="E10" s="305"/>
      <c r="F10" s="2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374"/>
      <c r="AL10" s="374"/>
      <c r="AM10" s="374"/>
      <c r="AN10" s="374"/>
      <c r="AO10" s="374"/>
      <c r="AP10" s="374"/>
      <c r="AQ10" s="374"/>
      <c r="AR10" s="374"/>
      <c r="AS10" s="374"/>
      <c r="AT10" s="374"/>
      <c r="AU10" s="374"/>
      <c r="AV10" s="374"/>
      <c r="AW10" s="374"/>
      <c r="AX10" s="374"/>
      <c r="AY10" s="374"/>
      <c r="AZ10" s="374"/>
      <c r="BA10" s="374"/>
      <c r="BB10" s="374"/>
      <c r="BC10" s="374"/>
      <c r="BD10" s="374"/>
      <c r="BE10" s="374"/>
      <c r="BF10" s="374"/>
      <c r="BG10" s="374"/>
      <c r="BH10" s="374"/>
      <c r="BI10" s="374"/>
      <c r="BJ10" s="374"/>
      <c r="BK10" s="374"/>
      <c r="BL10" s="374"/>
      <c r="BM10" s="374"/>
      <c r="BN10" s="374"/>
      <c r="BO10" s="374"/>
      <c r="BP10" s="374"/>
      <c r="BQ10" s="374"/>
      <c r="BR10" s="374"/>
      <c r="BS10" s="374"/>
      <c r="BT10" s="374"/>
      <c r="BU10" s="374"/>
      <c r="BV10" s="374"/>
      <c r="BW10" s="374"/>
      <c r="BX10" s="374"/>
      <c r="BY10" s="374"/>
      <c r="BZ10" s="374"/>
      <c r="CA10" s="374"/>
      <c r="CB10" s="374"/>
      <c r="CC10" s="374"/>
      <c r="CD10" s="374"/>
      <c r="CE10" s="374"/>
      <c r="CF10" s="374"/>
      <c r="CG10" s="374"/>
      <c r="CH10" s="374"/>
      <c r="CI10" s="374"/>
      <c r="CJ10" s="374"/>
      <c r="CK10" s="374"/>
      <c r="CL10" s="374"/>
      <c r="CM10" s="374"/>
      <c r="CN10" s="374"/>
      <c r="CO10" s="374"/>
      <c r="CP10" s="374"/>
      <c r="CQ10" s="374"/>
      <c r="CR10" s="374"/>
      <c r="CS10" s="374"/>
      <c r="CT10" s="374"/>
      <c r="CU10" s="374"/>
      <c r="CV10" s="374"/>
      <c r="CW10" s="374"/>
      <c r="CX10" s="374"/>
      <c r="CY10" s="374"/>
      <c r="CZ10" s="374"/>
      <c r="DA10" s="374"/>
      <c r="DB10" s="374"/>
      <c r="DC10" s="374"/>
      <c r="DD10" s="374"/>
      <c r="DE10" s="374"/>
      <c r="DF10" s="374"/>
      <c r="DG10" s="374"/>
      <c r="DH10" s="374"/>
      <c r="DI10" s="374"/>
      <c r="DJ10" s="374"/>
      <c r="DK10" s="374"/>
      <c r="DL10" s="374"/>
      <c r="DM10" s="374"/>
      <c r="DN10" s="374"/>
      <c r="DO10" s="374"/>
      <c r="DP10" s="374"/>
      <c r="DQ10" s="374"/>
      <c r="DR10" s="374"/>
      <c r="DS10" s="410"/>
      <c r="DT10" s="410"/>
      <c r="DU10" s="962"/>
      <c r="DV10" s="962"/>
      <c r="DW10" s="963"/>
    </row>
    <row r="11" spans="2:128" ht="203.25" customHeight="1">
      <c r="B11" s="927" t="s">
        <v>2</v>
      </c>
      <c r="C11" s="927" t="s">
        <v>664</v>
      </c>
      <c r="D11" s="927" t="s">
        <v>663</v>
      </c>
      <c r="E11" s="930" t="s">
        <v>8</v>
      </c>
      <c r="F11" s="930" t="s">
        <v>914</v>
      </c>
      <c r="G11" s="945" t="s">
        <v>487</v>
      </c>
      <c r="H11" s="945"/>
      <c r="I11" s="945"/>
      <c r="J11" s="945"/>
      <c r="K11" s="945"/>
      <c r="L11" s="945"/>
      <c r="M11" s="945"/>
      <c r="N11" s="945"/>
      <c r="O11" s="945"/>
      <c r="P11" s="945"/>
      <c r="Q11" s="945"/>
      <c r="R11" s="945"/>
      <c r="S11" s="945"/>
      <c r="T11" s="945" t="s">
        <v>486</v>
      </c>
      <c r="U11" s="945"/>
      <c r="V11" s="945"/>
      <c r="W11" s="945"/>
      <c r="X11" s="945"/>
      <c r="Y11" s="945"/>
      <c r="Z11" s="945"/>
      <c r="AA11" s="945"/>
      <c r="AB11" s="945"/>
      <c r="AC11" s="945"/>
      <c r="AD11" s="945"/>
      <c r="AE11" s="945" t="s">
        <v>479</v>
      </c>
      <c r="AF11" s="945"/>
      <c r="AG11" s="945"/>
      <c r="AH11" s="945"/>
      <c r="AI11" s="945"/>
      <c r="AJ11" s="945"/>
      <c r="AK11" s="945"/>
      <c r="AL11" s="945"/>
      <c r="AM11" s="945" t="s">
        <v>480</v>
      </c>
      <c r="AN11" s="945"/>
      <c r="AO11" s="945"/>
      <c r="AP11" s="945"/>
      <c r="AQ11" s="945"/>
      <c r="AR11" s="945"/>
      <c r="AS11" s="921" t="s">
        <v>442</v>
      </c>
      <c r="AT11" s="921"/>
      <c r="AU11" s="921"/>
      <c r="AV11" s="921"/>
      <c r="AW11" s="921"/>
      <c r="AX11" s="921"/>
      <c r="AY11" s="921"/>
      <c r="AZ11" s="921"/>
      <c r="BA11" s="921"/>
      <c r="BB11" s="921"/>
      <c r="BC11" s="921"/>
      <c r="BD11" s="921"/>
      <c r="BE11" s="921"/>
      <c r="BF11" s="921"/>
      <c r="BG11" s="921"/>
      <c r="BH11" s="913" t="s">
        <v>442</v>
      </c>
      <c r="BI11" s="913"/>
      <c r="BJ11" s="913"/>
      <c r="BK11" s="923" t="s">
        <v>1130</v>
      </c>
      <c r="BL11" s="923" t="s">
        <v>1131</v>
      </c>
      <c r="BM11" s="919" t="s">
        <v>443</v>
      </c>
      <c r="BN11" s="919"/>
      <c r="BO11" s="919"/>
      <c r="BP11" s="921" t="s">
        <v>442</v>
      </c>
      <c r="BQ11" s="921"/>
      <c r="BR11" s="921"/>
      <c r="BS11" s="921"/>
      <c r="BT11" s="921"/>
      <c r="BU11" s="925" t="s">
        <v>444</v>
      </c>
      <c r="BV11" s="925"/>
      <c r="BW11" s="925"/>
      <c r="BX11" s="908" t="s">
        <v>445</v>
      </c>
      <c r="BY11" s="908"/>
      <c r="BZ11" s="908"/>
      <c r="CA11" s="908" t="s">
        <v>479</v>
      </c>
      <c r="CB11" s="908"/>
      <c r="CC11" s="908"/>
      <c r="CD11" s="917" t="s">
        <v>1132</v>
      </c>
      <c r="CE11" s="913" t="s">
        <v>490</v>
      </c>
      <c r="CF11" s="913"/>
      <c r="CG11" s="913" t="s">
        <v>490</v>
      </c>
      <c r="CH11" s="913"/>
      <c r="CI11" s="919" t="s">
        <v>442</v>
      </c>
      <c r="CJ11" s="919"/>
      <c r="CK11" s="919"/>
      <c r="CL11" s="919"/>
      <c r="CM11" s="921" t="s">
        <v>447</v>
      </c>
      <c r="CN11" s="921"/>
      <c r="CO11" s="921"/>
      <c r="CP11" s="921"/>
      <c r="CQ11" s="921"/>
      <c r="CR11" s="913" t="s">
        <v>447</v>
      </c>
      <c r="CS11" s="913"/>
      <c r="CT11" s="913"/>
      <c r="CU11" s="913"/>
      <c r="CV11" s="915" t="s">
        <v>447</v>
      </c>
      <c r="CW11" s="915"/>
      <c r="CX11" s="917" t="s">
        <v>1133</v>
      </c>
      <c r="CY11" s="917"/>
      <c r="CZ11" s="917" t="s">
        <v>755</v>
      </c>
      <c r="DA11" s="908" t="s">
        <v>754</v>
      </c>
      <c r="DB11" s="908"/>
      <c r="DC11" s="908"/>
      <c r="DD11" s="908"/>
      <c r="DE11" s="908"/>
      <c r="DF11" s="908"/>
      <c r="DG11" s="908"/>
      <c r="DH11" s="908" t="s">
        <v>446</v>
      </c>
      <c r="DI11" s="908"/>
      <c r="DJ11" s="908" t="s">
        <v>443</v>
      </c>
      <c r="DK11" s="908"/>
      <c r="DL11" s="908" t="s">
        <v>475</v>
      </c>
      <c r="DM11" s="908"/>
      <c r="DN11" s="908"/>
      <c r="DO11" s="908" t="s">
        <v>442</v>
      </c>
      <c r="DP11" s="908"/>
      <c r="DQ11" s="908"/>
      <c r="DR11" s="908"/>
      <c r="DS11" s="910" t="s">
        <v>66</v>
      </c>
      <c r="DT11" s="910" t="s">
        <v>67</v>
      </c>
      <c r="DU11" s="910" t="s">
        <v>68</v>
      </c>
      <c r="DV11" s="906" t="s">
        <v>11</v>
      </c>
      <c r="DW11" s="907" t="s">
        <v>517</v>
      </c>
    </row>
    <row r="12" spans="2:128" s="163" customFormat="1" ht="409.5" customHeight="1" thickBot="1">
      <c r="B12" s="928"/>
      <c r="C12" s="928"/>
      <c r="D12" s="928"/>
      <c r="E12" s="931"/>
      <c r="F12" s="931"/>
      <c r="G12" s="946"/>
      <c r="H12" s="946"/>
      <c r="I12" s="946"/>
      <c r="J12" s="946"/>
      <c r="K12" s="946"/>
      <c r="L12" s="946"/>
      <c r="M12" s="946"/>
      <c r="N12" s="946"/>
      <c r="O12" s="946"/>
      <c r="P12" s="946"/>
      <c r="Q12" s="946"/>
      <c r="R12" s="946"/>
      <c r="S12" s="946"/>
      <c r="T12" s="946"/>
      <c r="U12" s="946"/>
      <c r="V12" s="946"/>
      <c r="W12" s="946"/>
      <c r="X12" s="946"/>
      <c r="Y12" s="946"/>
      <c r="Z12" s="946"/>
      <c r="AA12" s="946"/>
      <c r="AB12" s="946"/>
      <c r="AC12" s="946"/>
      <c r="AD12" s="946"/>
      <c r="AE12" s="946"/>
      <c r="AF12" s="946"/>
      <c r="AG12" s="946"/>
      <c r="AH12" s="946"/>
      <c r="AI12" s="946"/>
      <c r="AJ12" s="946"/>
      <c r="AK12" s="946"/>
      <c r="AL12" s="946"/>
      <c r="AM12" s="946"/>
      <c r="AN12" s="946"/>
      <c r="AO12" s="946"/>
      <c r="AP12" s="946"/>
      <c r="AQ12" s="946"/>
      <c r="AR12" s="946"/>
      <c r="AS12" s="922"/>
      <c r="AT12" s="922"/>
      <c r="AU12" s="922"/>
      <c r="AV12" s="922"/>
      <c r="AW12" s="922"/>
      <c r="AX12" s="922"/>
      <c r="AY12" s="922"/>
      <c r="AZ12" s="922"/>
      <c r="BA12" s="922"/>
      <c r="BB12" s="922"/>
      <c r="BC12" s="922"/>
      <c r="BD12" s="922"/>
      <c r="BE12" s="922"/>
      <c r="BF12" s="922"/>
      <c r="BG12" s="922"/>
      <c r="BH12" s="914"/>
      <c r="BI12" s="914"/>
      <c r="BJ12" s="914"/>
      <c r="BK12" s="924"/>
      <c r="BL12" s="924"/>
      <c r="BM12" s="920"/>
      <c r="BN12" s="920"/>
      <c r="BO12" s="920"/>
      <c r="BP12" s="922"/>
      <c r="BQ12" s="922"/>
      <c r="BR12" s="922"/>
      <c r="BS12" s="922"/>
      <c r="BT12" s="922"/>
      <c r="BU12" s="926"/>
      <c r="BV12" s="926"/>
      <c r="BW12" s="926"/>
      <c r="BX12" s="909"/>
      <c r="BY12" s="909"/>
      <c r="BZ12" s="909"/>
      <c r="CA12" s="909"/>
      <c r="CB12" s="909"/>
      <c r="CC12" s="909"/>
      <c r="CD12" s="918"/>
      <c r="CE12" s="914"/>
      <c r="CF12" s="914"/>
      <c r="CG12" s="914"/>
      <c r="CH12" s="914"/>
      <c r="CI12" s="920"/>
      <c r="CJ12" s="920"/>
      <c r="CK12" s="920"/>
      <c r="CL12" s="920"/>
      <c r="CM12" s="922"/>
      <c r="CN12" s="922"/>
      <c r="CO12" s="922"/>
      <c r="CP12" s="922"/>
      <c r="CQ12" s="922"/>
      <c r="CR12" s="914"/>
      <c r="CS12" s="914"/>
      <c r="CT12" s="914"/>
      <c r="CU12" s="914"/>
      <c r="CV12" s="916"/>
      <c r="CW12" s="916"/>
      <c r="CX12" s="918"/>
      <c r="CY12" s="918"/>
      <c r="CZ12" s="918"/>
      <c r="DA12" s="909"/>
      <c r="DB12" s="909"/>
      <c r="DC12" s="909"/>
      <c r="DD12" s="909"/>
      <c r="DE12" s="909"/>
      <c r="DF12" s="909"/>
      <c r="DG12" s="909"/>
      <c r="DH12" s="909"/>
      <c r="DI12" s="909"/>
      <c r="DJ12" s="909"/>
      <c r="DK12" s="909"/>
      <c r="DL12" s="909"/>
      <c r="DM12" s="909"/>
      <c r="DN12" s="909"/>
      <c r="DO12" s="909"/>
      <c r="DP12" s="909"/>
      <c r="DQ12" s="909"/>
      <c r="DR12" s="909"/>
      <c r="DS12" s="911"/>
      <c r="DT12" s="911"/>
      <c r="DU12" s="911"/>
      <c r="DV12" s="906"/>
      <c r="DW12" s="907"/>
    </row>
    <row r="13" spans="2:128" ht="263.25" customHeight="1" thickBot="1">
      <c r="B13" s="928"/>
      <c r="C13" s="928"/>
      <c r="D13" s="928"/>
      <c r="E13" s="931"/>
      <c r="F13" s="931"/>
      <c r="G13" s="545" t="s">
        <v>619</v>
      </c>
      <c r="H13" s="545"/>
      <c r="I13" s="545" t="s">
        <v>618</v>
      </c>
      <c r="J13" s="545"/>
      <c r="K13" s="545"/>
      <c r="L13" s="545" t="s">
        <v>523</v>
      </c>
      <c r="M13" s="545"/>
      <c r="N13" s="545" t="s">
        <v>524</v>
      </c>
      <c r="O13" s="545"/>
      <c r="P13" s="545" t="s">
        <v>526</v>
      </c>
      <c r="Q13" s="545"/>
      <c r="R13" s="545" t="s">
        <v>525</v>
      </c>
      <c r="S13" s="545"/>
      <c r="T13" s="552" t="s">
        <v>530</v>
      </c>
      <c r="U13" s="552"/>
      <c r="V13" s="552"/>
      <c r="W13" s="545" t="s">
        <v>528</v>
      </c>
      <c r="X13" s="545"/>
      <c r="Y13" s="545" t="s">
        <v>527</v>
      </c>
      <c r="Z13" s="545"/>
      <c r="AA13" s="545"/>
      <c r="AB13" s="545" t="s">
        <v>529</v>
      </c>
      <c r="AC13" s="545"/>
      <c r="AD13" s="545"/>
      <c r="AE13" s="545" t="s">
        <v>533</v>
      </c>
      <c r="AF13" s="545"/>
      <c r="AG13" s="545" t="s">
        <v>532</v>
      </c>
      <c r="AH13" s="545"/>
      <c r="AI13" s="545" t="s">
        <v>531</v>
      </c>
      <c r="AJ13" s="545"/>
      <c r="AK13" s="545" t="s">
        <v>1123</v>
      </c>
      <c r="AL13" s="545"/>
      <c r="AM13" s="545" t="s">
        <v>569</v>
      </c>
      <c r="AN13" s="545"/>
      <c r="AO13" s="545" t="s">
        <v>584</v>
      </c>
      <c r="AP13" s="545"/>
      <c r="AQ13" s="545" t="s">
        <v>570</v>
      </c>
      <c r="AR13" s="545"/>
      <c r="AS13" s="545" t="s">
        <v>574</v>
      </c>
      <c r="AT13" s="545"/>
      <c r="AU13" s="545"/>
      <c r="AV13" s="545" t="s">
        <v>573</v>
      </c>
      <c r="AW13" s="545"/>
      <c r="AX13" s="545"/>
      <c r="AY13" s="545" t="s">
        <v>572</v>
      </c>
      <c r="AZ13" s="545"/>
      <c r="BA13" s="545"/>
      <c r="BB13" s="545" t="s">
        <v>571</v>
      </c>
      <c r="BC13" s="545"/>
      <c r="BD13" s="545"/>
      <c r="BE13" s="545" t="s">
        <v>575</v>
      </c>
      <c r="BF13" s="545"/>
      <c r="BG13" s="545"/>
      <c r="BH13" s="544" t="s">
        <v>576</v>
      </c>
      <c r="BI13" s="544" t="s">
        <v>577</v>
      </c>
      <c r="BJ13" s="544" t="s">
        <v>578</v>
      </c>
      <c r="BK13" s="544" t="s">
        <v>182</v>
      </c>
      <c r="BL13" s="544" t="s">
        <v>183</v>
      </c>
      <c r="BM13" s="544" t="s">
        <v>579</v>
      </c>
      <c r="BN13" s="544" t="s">
        <v>580</v>
      </c>
      <c r="BO13" s="904" t="s">
        <v>1124</v>
      </c>
      <c r="BP13" s="544" t="s">
        <v>582</v>
      </c>
      <c r="BQ13" s="905" t="s">
        <v>1125</v>
      </c>
      <c r="BR13" s="544" t="s">
        <v>449</v>
      </c>
      <c r="BS13" s="545" t="s">
        <v>186</v>
      </c>
      <c r="BT13" s="545"/>
      <c r="BU13" s="545" t="s">
        <v>675</v>
      </c>
      <c r="BV13" s="545" t="s">
        <v>189</v>
      </c>
      <c r="BW13" s="545"/>
      <c r="BX13" s="545" t="s">
        <v>585</v>
      </c>
      <c r="BY13" s="545"/>
      <c r="BZ13" s="544" t="s">
        <v>568</v>
      </c>
      <c r="CA13" s="544" t="s">
        <v>190</v>
      </c>
      <c r="CB13" s="544"/>
      <c r="CC13" s="544"/>
      <c r="CD13" s="545" t="s">
        <v>192</v>
      </c>
      <c r="CE13" s="545" t="s">
        <v>193</v>
      </c>
      <c r="CF13" s="545"/>
      <c r="CG13" s="544" t="s">
        <v>194</v>
      </c>
      <c r="CH13" s="544"/>
      <c r="CI13" s="544" t="s">
        <v>450</v>
      </c>
      <c r="CJ13" s="544"/>
      <c r="CK13" s="544" t="s">
        <v>274</v>
      </c>
      <c r="CL13" s="544"/>
      <c r="CM13" s="544" t="s">
        <v>683</v>
      </c>
      <c r="CN13" s="544"/>
      <c r="CO13" s="544"/>
      <c r="CP13" s="544"/>
      <c r="CQ13" s="544"/>
      <c r="CR13" s="544" t="s">
        <v>679</v>
      </c>
      <c r="CS13" s="544"/>
      <c r="CT13" s="544"/>
      <c r="CU13" s="544"/>
      <c r="CV13" s="903" t="s">
        <v>1126</v>
      </c>
      <c r="CW13" s="903"/>
      <c r="CX13" s="544" t="s">
        <v>453</v>
      </c>
      <c r="CY13" s="544"/>
      <c r="CZ13" s="554" t="s">
        <v>587</v>
      </c>
      <c r="DA13" s="544" t="s">
        <v>1127</v>
      </c>
      <c r="DB13" s="544"/>
      <c r="DC13" s="900" t="s">
        <v>590</v>
      </c>
      <c r="DD13" s="900"/>
      <c r="DE13" s="901" t="s">
        <v>1128</v>
      </c>
      <c r="DF13" s="544" t="s">
        <v>454</v>
      </c>
      <c r="DG13" s="544"/>
      <c r="DH13" s="544" t="s">
        <v>455</v>
      </c>
      <c r="DI13" s="544"/>
      <c r="DJ13" s="902" t="s">
        <v>593</v>
      </c>
      <c r="DK13" s="902" t="s">
        <v>592</v>
      </c>
      <c r="DL13" s="544" t="s">
        <v>461</v>
      </c>
      <c r="DM13" s="544"/>
      <c r="DN13" s="544"/>
      <c r="DO13" s="544" t="s">
        <v>466</v>
      </c>
      <c r="DP13" s="544" t="s">
        <v>459</v>
      </c>
      <c r="DQ13" s="544" t="s">
        <v>460</v>
      </c>
      <c r="DR13" s="544"/>
      <c r="DS13" s="911"/>
      <c r="DT13" s="911"/>
      <c r="DU13" s="911"/>
      <c r="DV13" s="906"/>
      <c r="DW13" s="907"/>
    </row>
    <row r="14" spans="2:128" ht="263.25" customHeight="1" thickBot="1">
      <c r="B14" s="928"/>
      <c r="C14" s="928"/>
      <c r="D14" s="928"/>
      <c r="E14" s="931"/>
      <c r="F14" s="931"/>
      <c r="G14" s="545"/>
      <c r="H14" s="545"/>
      <c r="I14" s="545"/>
      <c r="J14" s="545"/>
      <c r="K14" s="545"/>
      <c r="L14" s="545"/>
      <c r="M14" s="545"/>
      <c r="N14" s="545"/>
      <c r="O14" s="545"/>
      <c r="P14" s="545"/>
      <c r="Q14" s="545"/>
      <c r="R14" s="545"/>
      <c r="S14" s="545"/>
      <c r="T14" s="552"/>
      <c r="U14" s="552"/>
      <c r="V14" s="552"/>
      <c r="W14" s="545"/>
      <c r="X14" s="545"/>
      <c r="Y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  <c r="AP14" s="545"/>
      <c r="AQ14" s="545"/>
      <c r="AR14" s="545"/>
      <c r="AS14" s="545"/>
      <c r="AT14" s="545"/>
      <c r="AU14" s="545"/>
      <c r="AV14" s="545"/>
      <c r="AW14" s="545"/>
      <c r="AX14" s="545"/>
      <c r="AY14" s="545"/>
      <c r="AZ14" s="545"/>
      <c r="BA14" s="545"/>
      <c r="BB14" s="545"/>
      <c r="BC14" s="545"/>
      <c r="BD14" s="545"/>
      <c r="BE14" s="545"/>
      <c r="BF14" s="545"/>
      <c r="BG14" s="545"/>
      <c r="BH14" s="544"/>
      <c r="BI14" s="544"/>
      <c r="BJ14" s="544"/>
      <c r="BK14" s="544"/>
      <c r="BL14" s="544"/>
      <c r="BM14" s="544"/>
      <c r="BN14" s="544"/>
      <c r="BO14" s="904"/>
      <c r="BP14" s="544"/>
      <c r="BQ14" s="905"/>
      <c r="BR14" s="544"/>
      <c r="BS14" s="545"/>
      <c r="BT14" s="545"/>
      <c r="BU14" s="545"/>
      <c r="BV14" s="545"/>
      <c r="BW14" s="545"/>
      <c r="BX14" s="545"/>
      <c r="BY14" s="545"/>
      <c r="BZ14" s="544"/>
      <c r="CA14" s="544"/>
      <c r="CB14" s="544"/>
      <c r="CC14" s="544"/>
      <c r="CD14" s="545"/>
      <c r="CE14" s="545"/>
      <c r="CF14" s="545"/>
      <c r="CG14" s="544"/>
      <c r="CH14" s="544"/>
      <c r="CI14" s="544"/>
      <c r="CJ14" s="544"/>
      <c r="CK14" s="544"/>
      <c r="CL14" s="544"/>
      <c r="CM14" s="544"/>
      <c r="CN14" s="544"/>
      <c r="CO14" s="544"/>
      <c r="CP14" s="544"/>
      <c r="CQ14" s="544"/>
      <c r="CR14" s="544"/>
      <c r="CS14" s="544"/>
      <c r="CT14" s="544"/>
      <c r="CU14" s="544"/>
      <c r="CV14" s="903"/>
      <c r="CW14" s="903"/>
      <c r="CX14" s="544"/>
      <c r="CY14" s="544"/>
      <c r="CZ14" s="554"/>
      <c r="DA14" s="544"/>
      <c r="DB14" s="544"/>
      <c r="DC14" s="900"/>
      <c r="DD14" s="900"/>
      <c r="DE14" s="901"/>
      <c r="DF14" s="544"/>
      <c r="DG14" s="544"/>
      <c r="DH14" s="544"/>
      <c r="DI14" s="544"/>
      <c r="DJ14" s="902"/>
      <c r="DK14" s="902"/>
      <c r="DL14" s="544"/>
      <c r="DM14" s="544"/>
      <c r="DN14" s="544"/>
      <c r="DO14" s="544"/>
      <c r="DP14" s="544"/>
      <c r="DQ14" s="544"/>
      <c r="DR14" s="544"/>
      <c r="DS14" s="911"/>
      <c r="DT14" s="911"/>
      <c r="DU14" s="911"/>
      <c r="DV14" s="906"/>
      <c r="DW14" s="907"/>
      <c r="DX14" s="162"/>
    </row>
    <row r="15" spans="2:128" ht="408" customHeight="1" thickBot="1">
      <c r="B15" s="928"/>
      <c r="C15" s="928"/>
      <c r="D15" s="928"/>
      <c r="E15" s="931"/>
      <c r="F15" s="931"/>
      <c r="G15" s="896" t="s">
        <v>175</v>
      </c>
      <c r="H15" s="896" t="s">
        <v>64</v>
      </c>
      <c r="I15" s="896" t="s">
        <v>175</v>
      </c>
      <c r="J15" s="896" t="s">
        <v>179</v>
      </c>
      <c r="K15" s="896" t="s">
        <v>64</v>
      </c>
      <c r="L15" s="896" t="s">
        <v>175</v>
      </c>
      <c r="M15" s="896" t="s">
        <v>64</v>
      </c>
      <c r="N15" s="896" t="s">
        <v>175</v>
      </c>
      <c r="O15" s="896" t="s">
        <v>64</v>
      </c>
      <c r="P15" s="896" t="s">
        <v>175</v>
      </c>
      <c r="Q15" s="896" t="s">
        <v>64</v>
      </c>
      <c r="R15" s="896" t="s">
        <v>175</v>
      </c>
      <c r="S15" s="896" t="s">
        <v>64</v>
      </c>
      <c r="T15" s="896" t="s">
        <v>177</v>
      </c>
      <c r="U15" s="896" t="s">
        <v>175</v>
      </c>
      <c r="V15" s="896" t="s">
        <v>64</v>
      </c>
      <c r="W15" s="896" t="s">
        <v>177</v>
      </c>
      <c r="X15" s="896" t="s">
        <v>64</v>
      </c>
      <c r="Y15" s="896" t="s">
        <v>177</v>
      </c>
      <c r="Z15" s="896" t="s">
        <v>175</v>
      </c>
      <c r="AA15" s="896" t="s">
        <v>64</v>
      </c>
      <c r="AB15" s="896" t="s">
        <v>175</v>
      </c>
      <c r="AC15" s="896" t="s">
        <v>177</v>
      </c>
      <c r="AD15" s="896" t="s">
        <v>64</v>
      </c>
      <c r="AE15" s="896" t="s">
        <v>175</v>
      </c>
      <c r="AF15" s="896" t="s">
        <v>64</v>
      </c>
      <c r="AG15" s="896" t="s">
        <v>175</v>
      </c>
      <c r="AH15" s="896" t="s">
        <v>64</v>
      </c>
      <c r="AI15" s="896" t="s">
        <v>175</v>
      </c>
      <c r="AJ15" s="896" t="s">
        <v>64</v>
      </c>
      <c r="AK15" s="896" t="s">
        <v>175</v>
      </c>
      <c r="AL15" s="896" t="s">
        <v>64</v>
      </c>
      <c r="AM15" s="896" t="s">
        <v>175</v>
      </c>
      <c r="AN15" s="896" t="s">
        <v>64</v>
      </c>
      <c r="AO15" s="896" t="s">
        <v>175</v>
      </c>
      <c r="AP15" s="896" t="s">
        <v>64</v>
      </c>
      <c r="AQ15" s="896" t="s">
        <v>175</v>
      </c>
      <c r="AR15" s="896" t="s">
        <v>64</v>
      </c>
      <c r="AS15" s="896" t="s">
        <v>175</v>
      </c>
      <c r="AT15" s="896" t="s">
        <v>179</v>
      </c>
      <c r="AU15" s="896" t="s">
        <v>180</v>
      </c>
      <c r="AV15" s="896" t="s">
        <v>175</v>
      </c>
      <c r="AW15" s="896" t="s">
        <v>179</v>
      </c>
      <c r="AX15" s="896" t="s">
        <v>180</v>
      </c>
      <c r="AY15" s="896" t="s">
        <v>175</v>
      </c>
      <c r="AZ15" s="896" t="s">
        <v>179</v>
      </c>
      <c r="BA15" s="896" t="s">
        <v>180</v>
      </c>
      <c r="BB15" s="896" t="s">
        <v>175</v>
      </c>
      <c r="BC15" s="896" t="s">
        <v>179</v>
      </c>
      <c r="BD15" s="896" t="s">
        <v>180</v>
      </c>
      <c r="BE15" s="896" t="s">
        <v>175</v>
      </c>
      <c r="BF15" s="896" t="s">
        <v>179</v>
      </c>
      <c r="BG15" s="896" t="s">
        <v>180</v>
      </c>
      <c r="BH15" s="896" t="s">
        <v>458</v>
      </c>
      <c r="BI15" s="896" t="s">
        <v>458</v>
      </c>
      <c r="BJ15" s="896" t="s">
        <v>458</v>
      </c>
      <c r="BK15" s="896" t="s">
        <v>458</v>
      </c>
      <c r="BL15" s="896" t="s">
        <v>458</v>
      </c>
      <c r="BM15" s="896" t="s">
        <v>458</v>
      </c>
      <c r="BN15" s="896" t="s">
        <v>458</v>
      </c>
      <c r="BO15" s="896" t="s">
        <v>458</v>
      </c>
      <c r="BP15" s="896" t="s">
        <v>458</v>
      </c>
      <c r="BQ15" s="896" t="s">
        <v>458</v>
      </c>
      <c r="BR15" s="896" t="s">
        <v>458</v>
      </c>
      <c r="BS15" s="896" t="s">
        <v>175</v>
      </c>
      <c r="BT15" s="896" t="s">
        <v>64</v>
      </c>
      <c r="BU15" s="896" t="s">
        <v>188</v>
      </c>
      <c r="BV15" s="896" t="s">
        <v>60</v>
      </c>
      <c r="BW15" s="896" t="s">
        <v>188</v>
      </c>
      <c r="BX15" s="896" t="s">
        <v>175</v>
      </c>
      <c r="BY15" s="896" t="s">
        <v>458</v>
      </c>
      <c r="BZ15" s="896" t="s">
        <v>458</v>
      </c>
      <c r="CA15" s="897" t="s">
        <v>177</v>
      </c>
      <c r="CB15" s="897" t="s">
        <v>191</v>
      </c>
      <c r="CC15" s="897" t="s">
        <v>64</v>
      </c>
      <c r="CD15" s="896" t="s">
        <v>458</v>
      </c>
      <c r="CE15" s="896" t="s">
        <v>458</v>
      </c>
      <c r="CF15" s="896" t="s">
        <v>195</v>
      </c>
      <c r="CG15" s="896" t="s">
        <v>175</v>
      </c>
      <c r="CH15" s="899" t="s">
        <v>64</v>
      </c>
      <c r="CI15" s="899" t="s">
        <v>197</v>
      </c>
      <c r="CJ15" s="899" t="s">
        <v>198</v>
      </c>
      <c r="CK15" s="899" t="s">
        <v>197</v>
      </c>
      <c r="CL15" s="899" t="s">
        <v>198</v>
      </c>
      <c r="CM15" s="899" t="s">
        <v>199</v>
      </c>
      <c r="CN15" s="899" t="s">
        <v>200</v>
      </c>
      <c r="CO15" s="898" t="s">
        <v>202</v>
      </c>
      <c r="CP15" s="898" t="s">
        <v>204</v>
      </c>
      <c r="CQ15" s="898" t="s">
        <v>64</v>
      </c>
      <c r="CR15" s="898" t="s">
        <v>199</v>
      </c>
      <c r="CS15" s="898" t="s">
        <v>202</v>
      </c>
      <c r="CT15" s="896" t="s">
        <v>204</v>
      </c>
      <c r="CU15" s="896" t="s">
        <v>64</v>
      </c>
      <c r="CV15" s="896" t="s">
        <v>208</v>
      </c>
      <c r="CW15" s="896" t="s">
        <v>64</v>
      </c>
      <c r="CX15" s="896" t="s">
        <v>175</v>
      </c>
      <c r="CY15" s="896" t="s">
        <v>64</v>
      </c>
      <c r="CZ15" s="896" t="s">
        <v>64</v>
      </c>
      <c r="DA15" s="896" t="s">
        <v>175</v>
      </c>
      <c r="DB15" s="896" t="s">
        <v>64</v>
      </c>
      <c r="DC15" s="896" t="s">
        <v>175</v>
      </c>
      <c r="DD15" s="896" t="s">
        <v>64</v>
      </c>
      <c r="DE15" s="896" t="s">
        <v>458</v>
      </c>
      <c r="DF15" s="896" t="s">
        <v>275</v>
      </c>
      <c r="DG15" s="897" t="s">
        <v>458</v>
      </c>
      <c r="DH15" s="896" t="s">
        <v>175</v>
      </c>
      <c r="DI15" s="896" t="s">
        <v>64</v>
      </c>
      <c r="DJ15" s="896" t="s">
        <v>185</v>
      </c>
      <c r="DK15" s="896" t="s">
        <v>185</v>
      </c>
      <c r="DL15" s="896" t="s">
        <v>175</v>
      </c>
      <c r="DM15" s="896" t="s">
        <v>462</v>
      </c>
      <c r="DN15" s="896" t="s">
        <v>206</v>
      </c>
      <c r="DO15" s="896" t="s">
        <v>175</v>
      </c>
      <c r="DP15" s="896" t="s">
        <v>206</v>
      </c>
      <c r="DQ15" s="896" t="s">
        <v>175</v>
      </c>
      <c r="DR15" s="896" t="s">
        <v>206</v>
      </c>
      <c r="DS15" s="911"/>
      <c r="DT15" s="911"/>
      <c r="DU15" s="911"/>
      <c r="DV15" s="906"/>
      <c r="DW15" s="907"/>
    </row>
    <row r="16" spans="2:128" ht="408" customHeight="1" thickBot="1">
      <c r="B16" s="929"/>
      <c r="C16" s="929"/>
      <c r="D16" s="929"/>
      <c r="E16" s="932"/>
      <c r="F16" s="932"/>
      <c r="G16" s="896"/>
      <c r="H16" s="896"/>
      <c r="I16" s="896"/>
      <c r="J16" s="896"/>
      <c r="K16" s="896"/>
      <c r="L16" s="896"/>
      <c r="M16" s="896"/>
      <c r="N16" s="896"/>
      <c r="O16" s="896"/>
      <c r="P16" s="896"/>
      <c r="Q16" s="896"/>
      <c r="R16" s="896"/>
      <c r="S16" s="896"/>
      <c r="T16" s="896"/>
      <c r="U16" s="896"/>
      <c r="V16" s="896"/>
      <c r="W16" s="896"/>
      <c r="X16" s="896"/>
      <c r="Y16" s="896"/>
      <c r="Z16" s="896"/>
      <c r="AA16" s="896"/>
      <c r="AB16" s="896"/>
      <c r="AC16" s="896"/>
      <c r="AD16" s="896"/>
      <c r="AE16" s="896"/>
      <c r="AF16" s="896"/>
      <c r="AG16" s="896"/>
      <c r="AH16" s="896"/>
      <c r="AI16" s="896"/>
      <c r="AJ16" s="896"/>
      <c r="AK16" s="896"/>
      <c r="AL16" s="896"/>
      <c r="AM16" s="896"/>
      <c r="AN16" s="896"/>
      <c r="AO16" s="896"/>
      <c r="AP16" s="896"/>
      <c r="AQ16" s="896"/>
      <c r="AR16" s="896"/>
      <c r="AS16" s="896"/>
      <c r="AT16" s="896"/>
      <c r="AU16" s="896"/>
      <c r="AV16" s="896"/>
      <c r="AW16" s="896"/>
      <c r="AX16" s="896"/>
      <c r="AY16" s="896"/>
      <c r="AZ16" s="896"/>
      <c r="BA16" s="896"/>
      <c r="BB16" s="896"/>
      <c r="BC16" s="896"/>
      <c r="BD16" s="896"/>
      <c r="BE16" s="896"/>
      <c r="BF16" s="896"/>
      <c r="BG16" s="896"/>
      <c r="BH16" s="896"/>
      <c r="BI16" s="896"/>
      <c r="BJ16" s="896"/>
      <c r="BK16" s="896"/>
      <c r="BL16" s="896"/>
      <c r="BM16" s="896"/>
      <c r="BN16" s="896"/>
      <c r="BO16" s="896"/>
      <c r="BP16" s="896"/>
      <c r="BQ16" s="896"/>
      <c r="BR16" s="896"/>
      <c r="BS16" s="896"/>
      <c r="BT16" s="896"/>
      <c r="BU16" s="896"/>
      <c r="BV16" s="896"/>
      <c r="BW16" s="896"/>
      <c r="BX16" s="896"/>
      <c r="BY16" s="896"/>
      <c r="BZ16" s="896"/>
      <c r="CA16" s="897"/>
      <c r="CB16" s="897"/>
      <c r="CC16" s="897"/>
      <c r="CD16" s="896"/>
      <c r="CE16" s="896"/>
      <c r="CF16" s="896"/>
      <c r="CG16" s="896"/>
      <c r="CH16" s="899"/>
      <c r="CI16" s="899"/>
      <c r="CJ16" s="899"/>
      <c r="CK16" s="899"/>
      <c r="CL16" s="899"/>
      <c r="CM16" s="899"/>
      <c r="CN16" s="899"/>
      <c r="CO16" s="898"/>
      <c r="CP16" s="898"/>
      <c r="CQ16" s="898"/>
      <c r="CR16" s="898"/>
      <c r="CS16" s="898"/>
      <c r="CT16" s="896"/>
      <c r="CU16" s="896"/>
      <c r="CV16" s="896"/>
      <c r="CW16" s="896"/>
      <c r="CX16" s="896"/>
      <c r="CY16" s="896"/>
      <c r="CZ16" s="896"/>
      <c r="DA16" s="896"/>
      <c r="DB16" s="896"/>
      <c r="DC16" s="896"/>
      <c r="DD16" s="896"/>
      <c r="DE16" s="896"/>
      <c r="DF16" s="896"/>
      <c r="DG16" s="897"/>
      <c r="DH16" s="896"/>
      <c r="DI16" s="896"/>
      <c r="DJ16" s="896"/>
      <c r="DK16" s="896"/>
      <c r="DL16" s="896"/>
      <c r="DM16" s="896"/>
      <c r="DN16" s="896"/>
      <c r="DO16" s="896"/>
      <c r="DP16" s="896"/>
      <c r="DQ16" s="896"/>
      <c r="DR16" s="896"/>
      <c r="DS16" s="912"/>
      <c r="DT16" s="912"/>
      <c r="DU16" s="912"/>
      <c r="DV16" s="299"/>
      <c r="DW16" s="303"/>
    </row>
    <row r="17" spans="1:131" s="156" customFormat="1" ht="118.5" customHeight="1">
      <c r="A17" s="312">
        <v>1</v>
      </c>
      <c r="B17" s="313" t="s">
        <v>674</v>
      </c>
      <c r="C17" s="383" t="s">
        <v>1029</v>
      </c>
      <c r="D17" s="375">
        <v>45147</v>
      </c>
      <c r="E17" s="314" t="s">
        <v>217</v>
      </c>
      <c r="F17" s="381" t="s">
        <v>1134</v>
      </c>
      <c r="G17" s="315">
        <v>3</v>
      </c>
      <c r="H17" s="315" t="s">
        <v>69</v>
      </c>
      <c r="I17" s="315">
        <v>3</v>
      </c>
      <c r="J17" s="315" t="s">
        <v>69</v>
      </c>
      <c r="K17" s="315" t="s">
        <v>69</v>
      </c>
      <c r="L17" s="315" t="s">
        <v>69</v>
      </c>
      <c r="M17" s="315" t="s">
        <v>69</v>
      </c>
      <c r="N17" s="315">
        <v>4</v>
      </c>
      <c r="O17" s="315" t="s">
        <v>69</v>
      </c>
      <c r="P17" s="315">
        <v>3</v>
      </c>
      <c r="Q17" s="315" t="s">
        <v>69</v>
      </c>
      <c r="R17" s="315">
        <v>4</v>
      </c>
      <c r="S17" s="315" t="s">
        <v>69</v>
      </c>
      <c r="T17" s="315" t="s">
        <v>69</v>
      </c>
      <c r="U17" s="315" t="s">
        <v>69</v>
      </c>
      <c r="V17" s="315" t="s">
        <v>69</v>
      </c>
      <c r="W17" s="315" t="s">
        <v>69</v>
      </c>
      <c r="X17" s="315" t="s">
        <v>69</v>
      </c>
      <c r="Y17" s="315" t="s">
        <v>69</v>
      </c>
      <c r="Z17" s="315" t="s">
        <v>69</v>
      </c>
      <c r="AA17" s="315" t="s">
        <v>69</v>
      </c>
      <c r="AB17" s="315">
        <v>4</v>
      </c>
      <c r="AC17" s="315">
        <v>4</v>
      </c>
      <c r="AD17" s="315" t="s">
        <v>69</v>
      </c>
      <c r="AE17" s="315">
        <v>4</v>
      </c>
      <c r="AF17" s="315">
        <v>4</v>
      </c>
      <c r="AG17" s="315">
        <v>4</v>
      </c>
      <c r="AH17" s="315">
        <v>4</v>
      </c>
      <c r="AI17" s="315">
        <v>2</v>
      </c>
      <c r="AJ17" s="315">
        <v>4</v>
      </c>
      <c r="AK17" s="315">
        <v>4</v>
      </c>
      <c r="AL17" s="315">
        <v>4</v>
      </c>
      <c r="AM17" s="315" t="s">
        <v>69</v>
      </c>
      <c r="AN17" s="315" t="s">
        <v>69</v>
      </c>
      <c r="AO17" s="315" t="s">
        <v>69</v>
      </c>
      <c r="AP17" s="315" t="s">
        <v>69</v>
      </c>
      <c r="AQ17" s="315">
        <v>4</v>
      </c>
      <c r="AR17" s="315" t="s">
        <v>69</v>
      </c>
      <c r="AS17" s="315" t="s">
        <v>69</v>
      </c>
      <c r="AT17" s="315" t="s">
        <v>69</v>
      </c>
      <c r="AU17" s="315" t="s">
        <v>69</v>
      </c>
      <c r="AV17" s="315">
        <v>4</v>
      </c>
      <c r="AW17" s="315" t="s">
        <v>69</v>
      </c>
      <c r="AX17" s="315" t="s">
        <v>69</v>
      </c>
      <c r="AY17" s="315">
        <v>4</v>
      </c>
      <c r="AZ17" s="315">
        <v>4</v>
      </c>
      <c r="BA17" s="315">
        <v>3</v>
      </c>
      <c r="BB17" s="315">
        <v>4</v>
      </c>
      <c r="BC17" s="315">
        <v>4</v>
      </c>
      <c r="BD17" s="315" t="s">
        <v>69</v>
      </c>
      <c r="BE17" s="315">
        <v>4</v>
      </c>
      <c r="BF17" s="315">
        <v>2</v>
      </c>
      <c r="BG17" s="315" t="s">
        <v>69</v>
      </c>
      <c r="BH17" s="315" t="s">
        <v>69</v>
      </c>
      <c r="BI17" s="315" t="s">
        <v>69</v>
      </c>
      <c r="BJ17" s="315" t="s">
        <v>69</v>
      </c>
      <c r="BK17" s="315">
        <v>4</v>
      </c>
      <c r="BL17" s="315" t="s">
        <v>69</v>
      </c>
      <c r="BM17" s="315" t="s">
        <v>69</v>
      </c>
      <c r="BN17" s="315" t="s">
        <v>69</v>
      </c>
      <c r="BO17" s="315" t="s">
        <v>69</v>
      </c>
      <c r="BP17" s="315" t="s">
        <v>69</v>
      </c>
      <c r="BQ17" s="315">
        <v>4</v>
      </c>
      <c r="BR17" s="315">
        <v>4</v>
      </c>
      <c r="BS17" s="315">
        <v>4</v>
      </c>
      <c r="BT17" s="315">
        <v>4</v>
      </c>
      <c r="BU17" s="315" t="s">
        <v>69</v>
      </c>
      <c r="BV17" s="315" t="s">
        <v>69</v>
      </c>
      <c r="BW17" s="315" t="s">
        <v>69</v>
      </c>
      <c r="BX17" s="315">
        <v>4</v>
      </c>
      <c r="BY17" s="315">
        <v>4</v>
      </c>
      <c r="BZ17" s="315" t="s">
        <v>69</v>
      </c>
      <c r="CA17" s="315">
        <v>4</v>
      </c>
      <c r="CB17" s="315">
        <v>4</v>
      </c>
      <c r="CC17" s="315" t="s">
        <v>69</v>
      </c>
      <c r="CD17" s="315" t="s">
        <v>69</v>
      </c>
      <c r="CE17" s="315">
        <v>3</v>
      </c>
      <c r="CF17" s="315">
        <v>3</v>
      </c>
      <c r="CG17" s="316">
        <v>4</v>
      </c>
      <c r="CH17" s="315">
        <v>4</v>
      </c>
      <c r="CI17" s="316">
        <v>4</v>
      </c>
      <c r="CJ17" s="315" t="s">
        <v>69</v>
      </c>
      <c r="CK17" s="315" t="s">
        <v>69</v>
      </c>
      <c r="CL17" s="315" t="s">
        <v>69</v>
      </c>
      <c r="CM17" s="315">
        <v>2</v>
      </c>
      <c r="CN17" s="315">
        <v>2</v>
      </c>
      <c r="CO17" s="315">
        <v>3</v>
      </c>
      <c r="CP17" s="315">
        <v>3</v>
      </c>
      <c r="CQ17" s="315" t="s">
        <v>69</v>
      </c>
      <c r="CR17" s="315" t="s">
        <v>69</v>
      </c>
      <c r="CS17" s="315" t="s">
        <v>69</v>
      </c>
      <c r="CT17" s="315" t="s">
        <v>69</v>
      </c>
      <c r="CU17" s="315" t="s">
        <v>69</v>
      </c>
      <c r="CV17" s="315">
        <v>4</v>
      </c>
      <c r="CW17" s="315" t="s">
        <v>69</v>
      </c>
      <c r="CX17" s="315">
        <v>4</v>
      </c>
      <c r="CY17" s="315" t="s">
        <v>69</v>
      </c>
      <c r="CZ17" s="315">
        <v>4</v>
      </c>
      <c r="DA17" s="315">
        <v>4</v>
      </c>
      <c r="DB17" s="315" t="s">
        <v>69</v>
      </c>
      <c r="DC17" s="315">
        <v>4</v>
      </c>
      <c r="DD17" s="315" t="s">
        <v>69</v>
      </c>
      <c r="DE17" s="315">
        <v>4</v>
      </c>
      <c r="DF17" s="315">
        <v>4</v>
      </c>
      <c r="DG17" s="315" t="s">
        <v>69</v>
      </c>
      <c r="DH17" s="315" t="s">
        <v>69</v>
      </c>
      <c r="DI17" s="315">
        <v>4</v>
      </c>
      <c r="DJ17" s="315" t="s">
        <v>69</v>
      </c>
      <c r="DK17" s="315" t="s">
        <v>69</v>
      </c>
      <c r="DL17" s="315" t="s">
        <v>69</v>
      </c>
      <c r="DM17" s="315" t="s">
        <v>69</v>
      </c>
      <c r="DN17" s="315" t="s">
        <v>69</v>
      </c>
      <c r="DO17" s="315" t="s">
        <v>69</v>
      </c>
      <c r="DP17" s="315" t="s">
        <v>69</v>
      </c>
      <c r="DQ17" s="315" t="s">
        <v>69</v>
      </c>
      <c r="DR17" s="315" t="s">
        <v>69</v>
      </c>
      <c r="DS17" s="315" t="s">
        <v>69</v>
      </c>
      <c r="DT17" s="315" t="s">
        <v>69</v>
      </c>
      <c r="DU17" s="315">
        <v>4</v>
      </c>
      <c r="DV17" s="317">
        <f>COUNTIF(G17:DU17,"&gt;0")/63</f>
        <v>0.80952380952380953</v>
      </c>
      <c r="DW17" s="356">
        <f t="shared" ref="DW17:DW80" si="0">+COUNTIF(G17:DU17,"&gt;2")/COUNTIF(G17:DU17,"&gt;1")</f>
        <v>0.92156862745098034</v>
      </c>
      <c r="DX17" s="156" t="str">
        <f>VLOOKUP(B17,[1]Pointage!$A:$D,4,0)</f>
        <v>Mourad Saitali</v>
      </c>
    </row>
    <row r="18" spans="1:131" s="156" customFormat="1" ht="118.5" hidden="1" customHeight="1">
      <c r="A18" s="312">
        <v>2</v>
      </c>
      <c r="B18" s="318" t="s">
        <v>218</v>
      </c>
      <c r="C18" s="383" t="s">
        <v>620</v>
      </c>
      <c r="D18" s="376">
        <v>45240</v>
      </c>
      <c r="E18" s="320" t="s">
        <v>214</v>
      </c>
      <c r="F18" s="381" t="s">
        <v>633</v>
      </c>
      <c r="G18" s="321" t="s">
        <v>69</v>
      </c>
      <c r="H18" s="321" t="s">
        <v>69</v>
      </c>
      <c r="I18" s="321" t="s">
        <v>69</v>
      </c>
      <c r="J18" s="321" t="s">
        <v>69</v>
      </c>
      <c r="K18" s="321" t="s">
        <v>69</v>
      </c>
      <c r="L18" s="321">
        <v>4</v>
      </c>
      <c r="M18" s="321">
        <v>4</v>
      </c>
      <c r="N18" s="321" t="s">
        <v>69</v>
      </c>
      <c r="O18" s="321" t="s">
        <v>69</v>
      </c>
      <c r="P18" s="321" t="s">
        <v>69</v>
      </c>
      <c r="Q18" s="321" t="s">
        <v>69</v>
      </c>
      <c r="R18" s="321">
        <v>4</v>
      </c>
      <c r="S18" s="321">
        <v>4</v>
      </c>
      <c r="T18" s="321" t="s">
        <v>69</v>
      </c>
      <c r="U18" s="321" t="s">
        <v>69</v>
      </c>
      <c r="V18" s="321" t="s">
        <v>69</v>
      </c>
      <c r="W18" s="321">
        <v>4</v>
      </c>
      <c r="X18" s="321">
        <v>3</v>
      </c>
      <c r="Y18" s="321" t="s">
        <v>69</v>
      </c>
      <c r="Z18" s="321">
        <v>4</v>
      </c>
      <c r="AA18" s="321">
        <v>4</v>
      </c>
      <c r="AB18" s="321">
        <v>4</v>
      </c>
      <c r="AC18" s="321" t="s">
        <v>69</v>
      </c>
      <c r="AD18" s="321">
        <v>4</v>
      </c>
      <c r="AE18" s="321" t="s">
        <v>69</v>
      </c>
      <c r="AF18" s="321" t="s">
        <v>69</v>
      </c>
      <c r="AG18" s="321" t="s">
        <v>69</v>
      </c>
      <c r="AH18" s="321" t="s">
        <v>69</v>
      </c>
      <c r="AI18" s="321" t="s">
        <v>69</v>
      </c>
      <c r="AJ18" s="321" t="s">
        <v>69</v>
      </c>
      <c r="AK18" s="321" t="s">
        <v>69</v>
      </c>
      <c r="AL18" s="321" t="s">
        <v>69</v>
      </c>
      <c r="AM18" s="321" t="s">
        <v>69</v>
      </c>
      <c r="AN18" s="321" t="s">
        <v>69</v>
      </c>
      <c r="AO18" s="321" t="s">
        <v>69</v>
      </c>
      <c r="AP18" s="321" t="s">
        <v>69</v>
      </c>
      <c r="AQ18" s="321">
        <v>3</v>
      </c>
      <c r="AR18" s="321">
        <v>1</v>
      </c>
      <c r="AS18" s="321" t="s">
        <v>69</v>
      </c>
      <c r="AT18" s="321" t="s">
        <v>69</v>
      </c>
      <c r="AU18" s="321" t="s">
        <v>69</v>
      </c>
      <c r="AV18" s="321" t="s">
        <v>69</v>
      </c>
      <c r="AW18" s="321" t="s">
        <v>69</v>
      </c>
      <c r="AX18" s="321">
        <v>4</v>
      </c>
      <c r="AY18" s="321" t="s">
        <v>69</v>
      </c>
      <c r="AZ18" s="321" t="s">
        <v>69</v>
      </c>
      <c r="BA18" s="321" t="s">
        <v>69</v>
      </c>
      <c r="BB18" s="321" t="s">
        <v>69</v>
      </c>
      <c r="BC18" s="321" t="s">
        <v>69</v>
      </c>
      <c r="BD18" s="321" t="s">
        <v>69</v>
      </c>
      <c r="BE18" s="321" t="s">
        <v>69</v>
      </c>
      <c r="BF18" s="321" t="s">
        <v>69</v>
      </c>
      <c r="BG18" s="321" t="s">
        <v>69</v>
      </c>
      <c r="BH18" s="321" t="s">
        <v>69</v>
      </c>
      <c r="BI18" s="321" t="s">
        <v>69</v>
      </c>
      <c r="BJ18" s="321" t="s">
        <v>69</v>
      </c>
      <c r="BK18" s="321">
        <v>4</v>
      </c>
      <c r="BL18" s="321" t="s">
        <v>69</v>
      </c>
      <c r="BM18" s="321" t="s">
        <v>69</v>
      </c>
      <c r="BN18" s="321" t="s">
        <v>69</v>
      </c>
      <c r="BO18" s="321" t="s">
        <v>69</v>
      </c>
      <c r="BP18" s="321">
        <v>4</v>
      </c>
      <c r="BQ18" s="321">
        <v>2</v>
      </c>
      <c r="BR18" s="321">
        <v>3</v>
      </c>
      <c r="BS18" s="321">
        <v>4</v>
      </c>
      <c r="BT18" s="321">
        <v>4</v>
      </c>
      <c r="BU18" s="321" t="s">
        <v>69</v>
      </c>
      <c r="BV18" s="321" t="s">
        <v>69</v>
      </c>
      <c r="BW18" s="321" t="s">
        <v>69</v>
      </c>
      <c r="BX18" s="321">
        <v>4</v>
      </c>
      <c r="BY18" s="321" t="s">
        <v>69</v>
      </c>
      <c r="BZ18" s="321" t="s">
        <v>69</v>
      </c>
      <c r="CA18" s="321" t="s">
        <v>69</v>
      </c>
      <c r="CB18" s="321"/>
      <c r="CC18" s="321">
        <v>4</v>
      </c>
      <c r="CD18" s="321" t="s">
        <v>69</v>
      </c>
      <c r="CE18" s="321" t="s">
        <v>69</v>
      </c>
      <c r="CF18" s="321" t="s">
        <v>69</v>
      </c>
      <c r="CG18" s="321">
        <v>4</v>
      </c>
      <c r="CH18" s="321" t="s">
        <v>69</v>
      </c>
      <c r="CI18" s="321" t="s">
        <v>69</v>
      </c>
      <c r="CJ18" s="321" t="s">
        <v>69</v>
      </c>
      <c r="CK18" s="321" t="s">
        <v>69</v>
      </c>
      <c r="CL18" s="321" t="s">
        <v>69</v>
      </c>
      <c r="CM18" s="321" t="s">
        <v>69</v>
      </c>
      <c r="CN18" s="321">
        <v>4</v>
      </c>
      <c r="CO18" s="321">
        <v>4</v>
      </c>
      <c r="CP18" s="321">
        <v>4</v>
      </c>
      <c r="CQ18" s="321">
        <v>4</v>
      </c>
      <c r="CR18" s="321">
        <v>4</v>
      </c>
      <c r="CS18" s="321">
        <v>4</v>
      </c>
      <c r="CT18" s="321">
        <v>4</v>
      </c>
      <c r="CU18" s="321">
        <v>4</v>
      </c>
      <c r="CV18" s="321" t="s">
        <v>69</v>
      </c>
      <c r="CW18" s="321" t="s">
        <v>69</v>
      </c>
      <c r="CX18" s="321">
        <v>4</v>
      </c>
      <c r="CY18" s="321" t="s">
        <v>69</v>
      </c>
      <c r="CZ18" s="321" t="s">
        <v>69</v>
      </c>
      <c r="DA18" s="321">
        <v>4</v>
      </c>
      <c r="DB18" s="321" t="s">
        <v>69</v>
      </c>
      <c r="DC18" s="321">
        <v>4</v>
      </c>
      <c r="DD18" s="321" t="s">
        <v>69</v>
      </c>
      <c r="DE18" s="321" t="s">
        <v>69</v>
      </c>
      <c r="DF18" s="322">
        <v>4</v>
      </c>
      <c r="DG18" s="321" t="s">
        <v>69</v>
      </c>
      <c r="DH18" s="321" t="s">
        <v>69</v>
      </c>
      <c r="DI18" s="321" t="s">
        <v>69</v>
      </c>
      <c r="DJ18" s="321" t="s">
        <v>69</v>
      </c>
      <c r="DK18" s="321" t="s">
        <v>69</v>
      </c>
      <c r="DL18" s="321">
        <v>4</v>
      </c>
      <c r="DM18" s="321">
        <v>4</v>
      </c>
      <c r="DN18" s="321">
        <v>4</v>
      </c>
      <c r="DO18" s="323" t="s">
        <v>69</v>
      </c>
      <c r="DP18" s="323" t="s">
        <v>69</v>
      </c>
      <c r="DQ18" s="323" t="s">
        <v>69</v>
      </c>
      <c r="DR18" s="323" t="s">
        <v>69</v>
      </c>
      <c r="DS18" s="321" t="s">
        <v>69</v>
      </c>
      <c r="DT18" s="321" t="s">
        <v>69</v>
      </c>
      <c r="DU18" s="321">
        <v>4</v>
      </c>
      <c r="DV18" s="317">
        <f t="shared" ref="DV18:DV71" si="1">COUNTIF(G18:DU18,"&gt;0")/63</f>
        <v>0.60317460317460314</v>
      </c>
      <c r="DW18" s="356">
        <f t="shared" si="0"/>
        <v>0.97297297297297303</v>
      </c>
      <c r="DX18" s="156" t="str">
        <f>VLOOKUP(B18,[1]Pointage!$A:$D,4,0)</f>
        <v>Mourad Saitali</v>
      </c>
    </row>
    <row r="19" spans="1:131" s="156" customFormat="1" ht="118.5" hidden="1" customHeight="1">
      <c r="A19" s="312">
        <v>3</v>
      </c>
      <c r="B19" s="318" t="s">
        <v>473</v>
      </c>
      <c r="C19" s="383" t="s">
        <v>1152</v>
      </c>
      <c r="D19" s="376">
        <v>45225</v>
      </c>
      <c r="E19" s="320" t="s">
        <v>214</v>
      </c>
      <c r="F19" s="381" t="s">
        <v>633</v>
      </c>
      <c r="G19" s="321" t="s">
        <v>69</v>
      </c>
      <c r="H19" s="321" t="s">
        <v>69</v>
      </c>
      <c r="I19" s="321" t="s">
        <v>69</v>
      </c>
      <c r="J19" s="321" t="s">
        <v>69</v>
      </c>
      <c r="K19" s="321" t="s">
        <v>69</v>
      </c>
      <c r="L19" s="321" t="s">
        <v>69</v>
      </c>
      <c r="M19" s="321" t="s">
        <v>69</v>
      </c>
      <c r="N19" s="324">
        <v>4</v>
      </c>
      <c r="O19" s="321" t="s">
        <v>69</v>
      </c>
      <c r="P19" s="321" t="s">
        <v>69</v>
      </c>
      <c r="Q19" s="321" t="s">
        <v>69</v>
      </c>
      <c r="R19" s="324">
        <v>4</v>
      </c>
      <c r="S19" s="321" t="s">
        <v>69</v>
      </c>
      <c r="T19" s="321" t="s">
        <v>69</v>
      </c>
      <c r="U19" s="321" t="s">
        <v>69</v>
      </c>
      <c r="V19" s="321" t="s">
        <v>69</v>
      </c>
      <c r="W19" s="321" t="s">
        <v>69</v>
      </c>
      <c r="X19" s="321" t="s">
        <v>69</v>
      </c>
      <c r="Y19" s="321" t="s">
        <v>69</v>
      </c>
      <c r="Z19" s="321">
        <v>4</v>
      </c>
      <c r="AA19" s="321" t="s">
        <v>69</v>
      </c>
      <c r="AB19" s="321">
        <v>4</v>
      </c>
      <c r="AC19" s="321" t="s">
        <v>69</v>
      </c>
      <c r="AD19" s="321" t="s">
        <v>69</v>
      </c>
      <c r="AE19" s="321">
        <v>4</v>
      </c>
      <c r="AF19" s="321" t="s">
        <v>69</v>
      </c>
      <c r="AG19" s="321" t="s">
        <v>69</v>
      </c>
      <c r="AH19" s="321" t="s">
        <v>69</v>
      </c>
      <c r="AI19" s="321" t="s">
        <v>69</v>
      </c>
      <c r="AJ19" s="321" t="s">
        <v>69</v>
      </c>
      <c r="AK19" s="321">
        <v>4</v>
      </c>
      <c r="AL19" s="321" t="s">
        <v>69</v>
      </c>
      <c r="AM19" s="321" t="s">
        <v>69</v>
      </c>
      <c r="AN19" s="321" t="s">
        <v>69</v>
      </c>
      <c r="AO19" s="321" t="s">
        <v>69</v>
      </c>
      <c r="AP19" s="321" t="s">
        <v>69</v>
      </c>
      <c r="AQ19" s="321">
        <v>4</v>
      </c>
      <c r="AR19" s="321" t="s">
        <v>69</v>
      </c>
      <c r="AS19" s="321" t="s">
        <v>69</v>
      </c>
      <c r="AT19" s="321" t="s">
        <v>69</v>
      </c>
      <c r="AU19" s="321" t="s">
        <v>69</v>
      </c>
      <c r="AV19" s="321">
        <v>4</v>
      </c>
      <c r="AW19" s="321" t="s">
        <v>69</v>
      </c>
      <c r="AX19" s="321" t="s">
        <v>69</v>
      </c>
      <c r="AY19" s="321" t="s">
        <v>69</v>
      </c>
      <c r="AZ19" s="321" t="s">
        <v>69</v>
      </c>
      <c r="BA19" s="321" t="s">
        <v>69</v>
      </c>
      <c r="BB19" s="321">
        <v>4</v>
      </c>
      <c r="BC19" s="321">
        <v>4</v>
      </c>
      <c r="BD19" s="321" t="s">
        <v>69</v>
      </c>
      <c r="BE19" s="321">
        <v>4</v>
      </c>
      <c r="BF19" s="321" t="s">
        <v>69</v>
      </c>
      <c r="BG19" s="321" t="s">
        <v>69</v>
      </c>
      <c r="BH19" s="321" t="s">
        <v>69</v>
      </c>
      <c r="BI19" s="321" t="s">
        <v>69</v>
      </c>
      <c r="BJ19" s="321" t="s">
        <v>69</v>
      </c>
      <c r="BK19" s="325">
        <v>4</v>
      </c>
      <c r="BL19" s="321" t="s">
        <v>69</v>
      </c>
      <c r="BM19" s="321" t="s">
        <v>69</v>
      </c>
      <c r="BN19" s="321" t="s">
        <v>69</v>
      </c>
      <c r="BO19" s="321" t="s">
        <v>69</v>
      </c>
      <c r="BP19" s="326">
        <v>4</v>
      </c>
      <c r="BQ19" s="321">
        <v>2</v>
      </c>
      <c r="BR19" s="321" t="s">
        <v>69</v>
      </c>
      <c r="BS19" s="321">
        <v>4</v>
      </c>
      <c r="BT19" s="321" t="s">
        <v>69</v>
      </c>
      <c r="BU19" s="321" t="s">
        <v>69</v>
      </c>
      <c r="BV19" s="321" t="s">
        <v>69</v>
      </c>
      <c r="BW19" s="321" t="s">
        <v>69</v>
      </c>
      <c r="BX19" s="321">
        <v>4</v>
      </c>
      <c r="BY19" s="321" t="s">
        <v>69</v>
      </c>
      <c r="BZ19" s="321" t="s">
        <v>69</v>
      </c>
      <c r="CA19" s="321">
        <v>4</v>
      </c>
      <c r="CB19" s="321">
        <v>4</v>
      </c>
      <c r="CC19" s="321" t="s">
        <v>69</v>
      </c>
      <c r="CD19" s="321" t="s">
        <v>69</v>
      </c>
      <c r="CE19" s="321" t="s">
        <v>69</v>
      </c>
      <c r="CF19" s="321" t="s">
        <v>69</v>
      </c>
      <c r="CG19" s="321">
        <v>4</v>
      </c>
      <c r="CH19" s="321" t="s">
        <v>69</v>
      </c>
      <c r="CI19" s="321">
        <v>4</v>
      </c>
      <c r="CJ19" s="321" t="s">
        <v>69</v>
      </c>
      <c r="CK19" s="321" t="s">
        <v>69</v>
      </c>
      <c r="CL19" s="321" t="s">
        <v>69</v>
      </c>
      <c r="CM19" s="321">
        <v>4</v>
      </c>
      <c r="CN19" s="321" t="s">
        <v>69</v>
      </c>
      <c r="CO19" s="321">
        <v>4</v>
      </c>
      <c r="CP19" s="321" t="s">
        <v>69</v>
      </c>
      <c r="CQ19" s="321" t="s">
        <v>69</v>
      </c>
      <c r="CR19" s="321">
        <v>4</v>
      </c>
      <c r="CS19" s="321">
        <v>4</v>
      </c>
      <c r="CT19" s="321" t="s">
        <v>69</v>
      </c>
      <c r="CU19" s="321" t="s">
        <v>69</v>
      </c>
      <c r="CV19" s="321">
        <v>4</v>
      </c>
      <c r="CW19" s="321" t="s">
        <v>69</v>
      </c>
      <c r="CX19" s="321">
        <v>4</v>
      </c>
      <c r="CY19" s="321" t="s">
        <v>69</v>
      </c>
      <c r="CZ19" s="321" t="s">
        <v>69</v>
      </c>
      <c r="DA19" s="321">
        <v>4</v>
      </c>
      <c r="DB19" s="321" t="s">
        <v>69</v>
      </c>
      <c r="DC19" s="321">
        <v>4</v>
      </c>
      <c r="DD19" s="321" t="s">
        <v>69</v>
      </c>
      <c r="DE19" s="321" t="s">
        <v>69</v>
      </c>
      <c r="DF19" s="321">
        <v>4</v>
      </c>
      <c r="DG19" s="321" t="s">
        <v>69</v>
      </c>
      <c r="DH19" s="321" t="s">
        <v>69</v>
      </c>
      <c r="DI19" s="321" t="s">
        <v>69</v>
      </c>
      <c r="DJ19" s="321" t="s">
        <v>69</v>
      </c>
      <c r="DK19" s="321" t="s">
        <v>69</v>
      </c>
      <c r="DL19" s="323" t="s">
        <v>69</v>
      </c>
      <c r="DM19" s="323" t="s">
        <v>69</v>
      </c>
      <c r="DN19" s="323" t="s">
        <v>69</v>
      </c>
      <c r="DO19" s="323" t="s">
        <v>69</v>
      </c>
      <c r="DP19" s="323" t="s">
        <v>69</v>
      </c>
      <c r="DQ19" s="323" t="s">
        <v>69</v>
      </c>
      <c r="DR19" s="323" t="s">
        <v>69</v>
      </c>
      <c r="DS19" s="321" t="s">
        <v>69</v>
      </c>
      <c r="DT19" s="321" t="s">
        <v>69</v>
      </c>
      <c r="DU19" s="321">
        <v>4</v>
      </c>
      <c r="DV19" s="317">
        <f t="shared" si="1"/>
        <v>0.47619047619047616</v>
      </c>
      <c r="DW19" s="356">
        <f t="shared" si="0"/>
        <v>0.96666666666666667</v>
      </c>
      <c r="DX19" s="156" t="str">
        <f>VLOOKUP(B19,[1]Pointage!$A:$D,4,0)</f>
        <v>Mourad Saitali</v>
      </c>
    </row>
    <row r="20" spans="1:131" s="156" customFormat="1" ht="118.5" hidden="1" customHeight="1">
      <c r="A20" s="312">
        <v>4</v>
      </c>
      <c r="B20" s="318" t="s">
        <v>474</v>
      </c>
      <c r="C20" s="383" t="s">
        <v>1032</v>
      </c>
      <c r="D20" s="376">
        <v>45225</v>
      </c>
      <c r="E20" s="320" t="s">
        <v>214</v>
      </c>
      <c r="F20" s="381" t="s">
        <v>633</v>
      </c>
      <c r="G20" s="321" t="s">
        <v>69</v>
      </c>
      <c r="H20" s="321" t="s">
        <v>69</v>
      </c>
      <c r="I20" s="321" t="s">
        <v>69</v>
      </c>
      <c r="J20" s="321" t="s">
        <v>69</v>
      </c>
      <c r="K20" s="321" t="s">
        <v>69</v>
      </c>
      <c r="L20" s="321" t="s">
        <v>69</v>
      </c>
      <c r="M20" s="321" t="s">
        <v>69</v>
      </c>
      <c r="N20" s="321" t="s">
        <v>69</v>
      </c>
      <c r="O20" s="321" t="s">
        <v>69</v>
      </c>
      <c r="P20" s="321" t="s">
        <v>69</v>
      </c>
      <c r="Q20" s="321" t="s">
        <v>69</v>
      </c>
      <c r="R20" s="321">
        <v>4</v>
      </c>
      <c r="S20" s="321" t="s">
        <v>69</v>
      </c>
      <c r="T20" s="321" t="s">
        <v>69</v>
      </c>
      <c r="U20" s="321" t="s">
        <v>69</v>
      </c>
      <c r="V20" s="321" t="s">
        <v>69</v>
      </c>
      <c r="W20" s="321">
        <v>4</v>
      </c>
      <c r="X20" s="321" t="s">
        <v>69</v>
      </c>
      <c r="Y20" s="321" t="s">
        <v>69</v>
      </c>
      <c r="Z20" s="321" t="s">
        <v>69</v>
      </c>
      <c r="AA20" s="321" t="s">
        <v>69</v>
      </c>
      <c r="AB20" s="321">
        <v>4</v>
      </c>
      <c r="AC20" s="321" t="s">
        <v>69</v>
      </c>
      <c r="AD20" s="321" t="s">
        <v>69</v>
      </c>
      <c r="AE20" s="321">
        <v>4</v>
      </c>
      <c r="AF20" s="321" t="s">
        <v>69</v>
      </c>
      <c r="AG20" s="321">
        <v>4</v>
      </c>
      <c r="AH20" s="321" t="s">
        <v>69</v>
      </c>
      <c r="AI20" s="321" t="s">
        <v>69</v>
      </c>
      <c r="AJ20" s="321" t="s">
        <v>69</v>
      </c>
      <c r="AK20" s="321">
        <v>4</v>
      </c>
      <c r="AL20" s="321" t="s">
        <v>69</v>
      </c>
      <c r="AM20" s="321" t="s">
        <v>69</v>
      </c>
      <c r="AN20" s="321" t="s">
        <v>69</v>
      </c>
      <c r="AO20" s="321" t="s">
        <v>69</v>
      </c>
      <c r="AP20" s="321" t="s">
        <v>69</v>
      </c>
      <c r="AQ20" s="321">
        <v>4</v>
      </c>
      <c r="AR20" s="321" t="s">
        <v>69</v>
      </c>
      <c r="AS20" s="321" t="s">
        <v>69</v>
      </c>
      <c r="AT20" s="321" t="s">
        <v>69</v>
      </c>
      <c r="AU20" s="321" t="s">
        <v>69</v>
      </c>
      <c r="AV20" s="321" t="s">
        <v>69</v>
      </c>
      <c r="AW20" s="321" t="s">
        <v>69</v>
      </c>
      <c r="AX20" s="321" t="s">
        <v>69</v>
      </c>
      <c r="AY20" s="321" t="s">
        <v>69</v>
      </c>
      <c r="AZ20" s="321" t="s">
        <v>69</v>
      </c>
      <c r="BA20" s="321" t="s">
        <v>69</v>
      </c>
      <c r="BB20" s="321">
        <v>4</v>
      </c>
      <c r="BC20" s="321">
        <v>4</v>
      </c>
      <c r="BD20" s="321" t="s">
        <v>69</v>
      </c>
      <c r="BE20" s="321" t="s">
        <v>69</v>
      </c>
      <c r="BF20" s="321" t="s">
        <v>69</v>
      </c>
      <c r="BG20" s="321" t="s">
        <v>69</v>
      </c>
      <c r="BH20" s="321" t="s">
        <v>69</v>
      </c>
      <c r="BI20" s="321" t="s">
        <v>69</v>
      </c>
      <c r="BJ20" s="321" t="s">
        <v>69</v>
      </c>
      <c r="BK20" s="321" t="s">
        <v>69</v>
      </c>
      <c r="BL20" s="327">
        <v>4</v>
      </c>
      <c r="BM20" s="321" t="s">
        <v>69</v>
      </c>
      <c r="BN20" s="321" t="s">
        <v>69</v>
      </c>
      <c r="BO20" s="321" t="s">
        <v>69</v>
      </c>
      <c r="BP20" s="321" t="s">
        <v>69</v>
      </c>
      <c r="BQ20" s="322">
        <v>2</v>
      </c>
      <c r="BR20" s="322">
        <v>2</v>
      </c>
      <c r="BS20" s="321" t="s">
        <v>69</v>
      </c>
      <c r="BT20" s="321" t="s">
        <v>69</v>
      </c>
      <c r="BU20" s="321">
        <v>4</v>
      </c>
      <c r="BV20" s="321" t="s">
        <v>69</v>
      </c>
      <c r="BW20" s="321" t="s">
        <v>69</v>
      </c>
      <c r="BX20" s="321">
        <v>4</v>
      </c>
      <c r="BY20" s="321" t="s">
        <v>69</v>
      </c>
      <c r="BZ20" s="321" t="s">
        <v>69</v>
      </c>
      <c r="CA20" s="321" t="s">
        <v>69</v>
      </c>
      <c r="CB20" s="321" t="s">
        <v>69</v>
      </c>
      <c r="CC20" s="321" t="s">
        <v>69</v>
      </c>
      <c r="CD20" s="321" t="s">
        <v>69</v>
      </c>
      <c r="CE20" s="321" t="s">
        <v>69</v>
      </c>
      <c r="CF20" s="321" t="s">
        <v>69</v>
      </c>
      <c r="CG20" s="321" t="s">
        <v>69</v>
      </c>
      <c r="CH20" s="321">
        <v>2</v>
      </c>
      <c r="CI20" s="321">
        <v>4</v>
      </c>
      <c r="CJ20" s="321">
        <v>4</v>
      </c>
      <c r="CK20" s="321" t="s">
        <v>69</v>
      </c>
      <c r="CL20" s="321" t="s">
        <v>69</v>
      </c>
      <c r="CM20" s="321" t="s">
        <v>69</v>
      </c>
      <c r="CN20" s="321" t="s">
        <v>69</v>
      </c>
      <c r="CO20" s="321">
        <v>4</v>
      </c>
      <c r="CP20" s="321" t="s">
        <v>69</v>
      </c>
      <c r="CQ20" s="321" t="s">
        <v>69</v>
      </c>
      <c r="CR20" s="321" t="s">
        <v>69</v>
      </c>
      <c r="CS20" s="321">
        <v>4</v>
      </c>
      <c r="CT20" s="321" t="s">
        <v>69</v>
      </c>
      <c r="CU20" s="321" t="s">
        <v>69</v>
      </c>
      <c r="CV20" s="321">
        <v>4</v>
      </c>
      <c r="CW20" s="321">
        <v>4</v>
      </c>
      <c r="CX20" s="327">
        <v>4</v>
      </c>
      <c r="CY20" s="321">
        <v>4</v>
      </c>
      <c r="CZ20" s="321" t="s">
        <v>69</v>
      </c>
      <c r="DA20" s="327">
        <v>4</v>
      </c>
      <c r="DB20" s="321" t="s">
        <v>69</v>
      </c>
      <c r="DC20" s="321">
        <v>4</v>
      </c>
      <c r="DD20" s="321" t="s">
        <v>69</v>
      </c>
      <c r="DE20" s="321" t="s">
        <v>69</v>
      </c>
      <c r="DF20" s="321">
        <v>4</v>
      </c>
      <c r="DG20" s="321" t="s">
        <v>69</v>
      </c>
      <c r="DH20" s="322">
        <v>4</v>
      </c>
      <c r="DI20" s="321" t="s">
        <v>69</v>
      </c>
      <c r="DJ20" s="321" t="s">
        <v>69</v>
      </c>
      <c r="DK20" s="321" t="s">
        <v>69</v>
      </c>
      <c r="DL20" s="323" t="s">
        <v>69</v>
      </c>
      <c r="DM20" s="323" t="s">
        <v>69</v>
      </c>
      <c r="DN20" s="323" t="s">
        <v>69</v>
      </c>
      <c r="DO20" s="323" t="s">
        <v>69</v>
      </c>
      <c r="DP20" s="323" t="s">
        <v>69</v>
      </c>
      <c r="DQ20" s="323" t="s">
        <v>69</v>
      </c>
      <c r="DR20" s="323" t="s">
        <v>69</v>
      </c>
      <c r="DS20" s="321" t="s">
        <v>69</v>
      </c>
      <c r="DT20" s="321" t="s">
        <v>69</v>
      </c>
      <c r="DU20" s="328">
        <v>4</v>
      </c>
      <c r="DV20" s="317">
        <f t="shared" si="1"/>
        <v>0.44444444444444442</v>
      </c>
      <c r="DW20" s="356">
        <f t="shared" si="0"/>
        <v>0.8928571428571429</v>
      </c>
      <c r="DX20" s="156" t="e">
        <f>VLOOKUP(B20,[1]Pointage!$A:$D,4,0)</f>
        <v>#N/A</v>
      </c>
    </row>
    <row r="21" spans="1:131" s="156" customFormat="1" ht="118.5" hidden="1" customHeight="1">
      <c r="A21" s="312">
        <v>5</v>
      </c>
      <c r="B21" s="318" t="s">
        <v>40</v>
      </c>
      <c r="C21" s="383" t="s">
        <v>1153</v>
      </c>
      <c r="D21" s="376">
        <v>45020</v>
      </c>
      <c r="E21" s="320" t="s">
        <v>214</v>
      </c>
      <c r="F21" s="381" t="s">
        <v>633</v>
      </c>
      <c r="G21" s="321" t="s">
        <v>69</v>
      </c>
      <c r="H21" s="321" t="s">
        <v>69</v>
      </c>
      <c r="I21" s="321" t="s">
        <v>69</v>
      </c>
      <c r="J21" s="321" t="s">
        <v>69</v>
      </c>
      <c r="K21" s="321" t="s">
        <v>69</v>
      </c>
      <c r="L21" s="321" t="s">
        <v>69</v>
      </c>
      <c r="M21" s="321" t="s">
        <v>69</v>
      </c>
      <c r="N21" s="321" t="s">
        <v>69</v>
      </c>
      <c r="O21" s="321" t="s">
        <v>69</v>
      </c>
      <c r="P21" s="321" t="s">
        <v>69</v>
      </c>
      <c r="Q21" s="321" t="s">
        <v>69</v>
      </c>
      <c r="R21" s="321" t="s">
        <v>69</v>
      </c>
      <c r="S21" s="321" t="s">
        <v>69</v>
      </c>
      <c r="T21" s="321" t="s">
        <v>69</v>
      </c>
      <c r="U21" s="321" t="s">
        <v>69</v>
      </c>
      <c r="V21" s="321" t="s">
        <v>69</v>
      </c>
      <c r="W21" s="321" t="s">
        <v>69</v>
      </c>
      <c r="X21" s="321" t="s">
        <v>69</v>
      </c>
      <c r="Y21" s="321" t="s">
        <v>69</v>
      </c>
      <c r="Z21" s="321" t="s">
        <v>69</v>
      </c>
      <c r="AA21" s="321" t="s">
        <v>69</v>
      </c>
      <c r="AB21" s="321" t="s">
        <v>69</v>
      </c>
      <c r="AC21" s="321" t="s">
        <v>69</v>
      </c>
      <c r="AD21" s="321" t="s">
        <v>69</v>
      </c>
      <c r="AE21" s="321" t="s">
        <v>69</v>
      </c>
      <c r="AF21" s="321" t="s">
        <v>69</v>
      </c>
      <c r="AG21" s="321" t="s">
        <v>69</v>
      </c>
      <c r="AH21" s="321" t="s">
        <v>69</v>
      </c>
      <c r="AI21" s="321" t="s">
        <v>69</v>
      </c>
      <c r="AJ21" s="321" t="s">
        <v>69</v>
      </c>
      <c r="AK21" s="321" t="s">
        <v>69</v>
      </c>
      <c r="AL21" s="321" t="s">
        <v>69</v>
      </c>
      <c r="AM21" s="321" t="s">
        <v>69</v>
      </c>
      <c r="AN21" s="321" t="s">
        <v>69</v>
      </c>
      <c r="AO21" s="321" t="s">
        <v>69</v>
      </c>
      <c r="AP21" s="321" t="s">
        <v>69</v>
      </c>
      <c r="AQ21" s="321" t="s">
        <v>69</v>
      </c>
      <c r="AR21" s="321" t="s">
        <v>69</v>
      </c>
      <c r="AS21" s="321" t="s">
        <v>69</v>
      </c>
      <c r="AT21" s="321" t="s">
        <v>69</v>
      </c>
      <c r="AU21" s="321" t="s">
        <v>69</v>
      </c>
      <c r="AV21" s="321" t="s">
        <v>69</v>
      </c>
      <c r="AW21" s="321" t="s">
        <v>69</v>
      </c>
      <c r="AX21" s="321" t="s">
        <v>69</v>
      </c>
      <c r="AY21" s="321" t="s">
        <v>69</v>
      </c>
      <c r="AZ21" s="321" t="s">
        <v>69</v>
      </c>
      <c r="BA21" s="321" t="s">
        <v>69</v>
      </c>
      <c r="BB21" s="321" t="s">
        <v>69</v>
      </c>
      <c r="BC21" s="321" t="s">
        <v>69</v>
      </c>
      <c r="BD21" s="321" t="s">
        <v>69</v>
      </c>
      <c r="BE21" s="321" t="s">
        <v>69</v>
      </c>
      <c r="BF21" s="321" t="s">
        <v>69</v>
      </c>
      <c r="BG21" s="321" t="s">
        <v>69</v>
      </c>
      <c r="BH21" s="321" t="s">
        <v>69</v>
      </c>
      <c r="BI21" s="321" t="s">
        <v>69</v>
      </c>
      <c r="BJ21" s="321" t="s">
        <v>69</v>
      </c>
      <c r="BK21" s="322">
        <v>4</v>
      </c>
      <c r="BL21" s="321" t="s">
        <v>69</v>
      </c>
      <c r="BM21" s="321" t="s">
        <v>69</v>
      </c>
      <c r="BN21" s="321" t="s">
        <v>69</v>
      </c>
      <c r="BO21" s="321" t="s">
        <v>69</v>
      </c>
      <c r="BP21" s="321" t="s">
        <v>69</v>
      </c>
      <c r="BQ21" s="321" t="s">
        <v>69</v>
      </c>
      <c r="BR21" s="321" t="s">
        <v>69</v>
      </c>
      <c r="BS21" s="321" t="s">
        <v>69</v>
      </c>
      <c r="BT21" s="321" t="s">
        <v>69</v>
      </c>
      <c r="BU21" s="321" t="s">
        <v>69</v>
      </c>
      <c r="BV21" s="321" t="s">
        <v>69</v>
      </c>
      <c r="BW21" s="321" t="s">
        <v>69</v>
      </c>
      <c r="BX21" s="321">
        <v>4</v>
      </c>
      <c r="BY21" s="321" t="s">
        <v>69</v>
      </c>
      <c r="BZ21" s="321" t="s">
        <v>69</v>
      </c>
      <c r="CA21" s="321" t="s">
        <v>69</v>
      </c>
      <c r="CB21" s="321" t="s">
        <v>69</v>
      </c>
      <c r="CC21" s="321" t="s">
        <v>69</v>
      </c>
      <c r="CD21" s="321" t="s">
        <v>69</v>
      </c>
      <c r="CE21" s="321" t="s">
        <v>69</v>
      </c>
      <c r="CF21" s="321" t="s">
        <v>69</v>
      </c>
      <c r="CG21" s="321" t="s">
        <v>69</v>
      </c>
      <c r="CH21" s="321" t="s">
        <v>69</v>
      </c>
      <c r="CI21" s="321" t="s">
        <v>69</v>
      </c>
      <c r="CJ21" s="321" t="s">
        <v>69</v>
      </c>
      <c r="CK21" s="321" t="s">
        <v>69</v>
      </c>
      <c r="CL21" s="321" t="s">
        <v>69</v>
      </c>
      <c r="CM21" s="321" t="s">
        <v>69</v>
      </c>
      <c r="CN21" s="321" t="s">
        <v>69</v>
      </c>
      <c r="CO21" s="321" t="s">
        <v>69</v>
      </c>
      <c r="CP21" s="321" t="s">
        <v>69</v>
      </c>
      <c r="CQ21" s="321" t="s">
        <v>69</v>
      </c>
      <c r="CR21" s="321" t="s">
        <v>69</v>
      </c>
      <c r="CS21" s="321" t="s">
        <v>69</v>
      </c>
      <c r="CT21" s="321" t="s">
        <v>69</v>
      </c>
      <c r="CU21" s="321" t="s">
        <v>69</v>
      </c>
      <c r="CV21" s="323">
        <v>4</v>
      </c>
      <c r="CW21" s="321" t="s">
        <v>69</v>
      </c>
      <c r="CX21" s="321" t="s">
        <v>69</v>
      </c>
      <c r="CY21" s="321" t="s">
        <v>69</v>
      </c>
      <c r="CZ21" s="321" t="s">
        <v>69</v>
      </c>
      <c r="DA21" s="323">
        <v>4</v>
      </c>
      <c r="DB21" s="321" t="s">
        <v>69</v>
      </c>
      <c r="DC21" s="321" t="s">
        <v>69</v>
      </c>
      <c r="DD21" s="321" t="s">
        <v>69</v>
      </c>
      <c r="DE21" s="321" t="s">
        <v>69</v>
      </c>
      <c r="DF21" s="321" t="s">
        <v>69</v>
      </c>
      <c r="DG21" s="321" t="s">
        <v>69</v>
      </c>
      <c r="DH21" s="321" t="s">
        <v>69</v>
      </c>
      <c r="DI21" s="321" t="s">
        <v>69</v>
      </c>
      <c r="DJ21" s="321" t="s">
        <v>69</v>
      </c>
      <c r="DK21" s="321" t="s">
        <v>69</v>
      </c>
      <c r="DL21" s="323" t="s">
        <v>69</v>
      </c>
      <c r="DM21" s="323" t="s">
        <v>69</v>
      </c>
      <c r="DN21" s="323" t="s">
        <v>69</v>
      </c>
      <c r="DO21" s="323" t="s">
        <v>69</v>
      </c>
      <c r="DP21" s="323" t="s">
        <v>69</v>
      </c>
      <c r="DQ21" s="323" t="s">
        <v>69</v>
      </c>
      <c r="DR21" s="323" t="s">
        <v>69</v>
      </c>
      <c r="DS21" s="321" t="s">
        <v>69</v>
      </c>
      <c r="DT21" s="321" t="s">
        <v>69</v>
      </c>
      <c r="DU21" s="321" t="s">
        <v>69</v>
      </c>
      <c r="DV21" s="317">
        <f t="shared" si="1"/>
        <v>6.3492063492063489E-2</v>
      </c>
      <c r="DW21" s="356">
        <f t="shared" si="0"/>
        <v>1</v>
      </c>
      <c r="DX21" s="156" t="str">
        <f>VLOOKUP(B21,[1]Pointage!$A:$D,4,0)</f>
        <v>Mourad Saitali</v>
      </c>
    </row>
    <row r="22" spans="1:131" s="156" customFormat="1" ht="118.5" hidden="1" customHeight="1">
      <c r="A22" s="312">
        <v>6</v>
      </c>
      <c r="B22" s="318" t="s">
        <v>219</v>
      </c>
      <c r="C22" s="383" t="s">
        <v>1151</v>
      </c>
      <c r="D22" s="376">
        <v>45147</v>
      </c>
      <c r="E22" s="320" t="s">
        <v>216</v>
      </c>
      <c r="F22" s="381" t="s">
        <v>633</v>
      </c>
      <c r="G22" s="321" t="s">
        <v>69</v>
      </c>
      <c r="H22" s="321" t="s">
        <v>69</v>
      </c>
      <c r="I22" s="321" t="s">
        <v>69</v>
      </c>
      <c r="J22" s="321" t="s">
        <v>69</v>
      </c>
      <c r="K22" s="321" t="s">
        <v>69</v>
      </c>
      <c r="L22" s="321" t="s">
        <v>69</v>
      </c>
      <c r="M22" s="321" t="s">
        <v>69</v>
      </c>
      <c r="N22" s="321">
        <v>4</v>
      </c>
      <c r="O22" s="321" t="s">
        <v>69</v>
      </c>
      <c r="P22" s="321" t="s">
        <v>69</v>
      </c>
      <c r="Q22" s="321" t="s">
        <v>69</v>
      </c>
      <c r="R22" s="321">
        <v>4</v>
      </c>
      <c r="S22" s="321" t="s">
        <v>69</v>
      </c>
      <c r="T22" s="321" t="s">
        <v>69</v>
      </c>
      <c r="U22" s="321" t="s">
        <v>69</v>
      </c>
      <c r="V22" s="321" t="s">
        <v>69</v>
      </c>
      <c r="W22" s="321">
        <v>4</v>
      </c>
      <c r="X22" s="321" t="s">
        <v>69</v>
      </c>
      <c r="Y22" s="321" t="s">
        <v>69</v>
      </c>
      <c r="Z22" s="321" t="s">
        <v>69</v>
      </c>
      <c r="AA22" s="329" t="s">
        <v>69</v>
      </c>
      <c r="AB22" s="330">
        <v>4</v>
      </c>
      <c r="AC22" s="321" t="s">
        <v>69</v>
      </c>
      <c r="AD22" s="321" t="s">
        <v>69</v>
      </c>
      <c r="AE22" s="321">
        <v>4</v>
      </c>
      <c r="AF22" s="321" t="s">
        <v>69</v>
      </c>
      <c r="AG22" s="321" t="s">
        <v>69</v>
      </c>
      <c r="AH22" s="321" t="s">
        <v>69</v>
      </c>
      <c r="AI22" s="321" t="s">
        <v>69</v>
      </c>
      <c r="AJ22" s="321" t="s">
        <v>69</v>
      </c>
      <c r="AK22" s="329" t="s">
        <v>69</v>
      </c>
      <c r="AL22" s="329" t="s">
        <v>69</v>
      </c>
      <c r="AM22" s="321" t="s">
        <v>69</v>
      </c>
      <c r="AN22" s="321" t="s">
        <v>69</v>
      </c>
      <c r="AO22" s="321" t="s">
        <v>69</v>
      </c>
      <c r="AP22" s="321" t="s">
        <v>69</v>
      </c>
      <c r="AQ22" s="331">
        <v>4</v>
      </c>
      <c r="AR22" s="329" t="s">
        <v>69</v>
      </c>
      <c r="AS22" s="321" t="s">
        <v>69</v>
      </c>
      <c r="AT22" s="321" t="s">
        <v>69</v>
      </c>
      <c r="AU22" s="321" t="s">
        <v>69</v>
      </c>
      <c r="AV22" s="321">
        <v>4</v>
      </c>
      <c r="AW22" s="321" t="s">
        <v>69</v>
      </c>
      <c r="AX22" s="321" t="s">
        <v>69</v>
      </c>
      <c r="AY22" s="321" t="s">
        <v>69</v>
      </c>
      <c r="AZ22" s="321" t="s">
        <v>69</v>
      </c>
      <c r="BA22" s="321" t="s">
        <v>69</v>
      </c>
      <c r="BB22" s="321">
        <v>4</v>
      </c>
      <c r="BC22" s="321" t="s">
        <v>69</v>
      </c>
      <c r="BD22" s="321" t="s">
        <v>69</v>
      </c>
      <c r="BE22" s="329" t="s">
        <v>69</v>
      </c>
      <c r="BF22" s="329" t="s">
        <v>69</v>
      </c>
      <c r="BG22" s="329" t="s">
        <v>69</v>
      </c>
      <c r="BH22" s="321" t="s">
        <v>69</v>
      </c>
      <c r="BI22" s="321" t="s">
        <v>69</v>
      </c>
      <c r="BJ22" s="329" t="s">
        <v>69</v>
      </c>
      <c r="BK22" s="329" t="s">
        <v>69</v>
      </c>
      <c r="BL22" s="329" t="s">
        <v>69</v>
      </c>
      <c r="BM22" s="321" t="s">
        <v>69</v>
      </c>
      <c r="BN22" s="321" t="s">
        <v>69</v>
      </c>
      <c r="BO22" s="329" t="s">
        <v>69</v>
      </c>
      <c r="BP22" s="321" t="s">
        <v>69</v>
      </c>
      <c r="BQ22" s="329">
        <v>4</v>
      </c>
      <c r="BR22" s="329">
        <v>4</v>
      </c>
      <c r="BS22" s="329">
        <v>4</v>
      </c>
      <c r="BT22" s="329" t="s">
        <v>69</v>
      </c>
      <c r="BU22" s="321" t="s">
        <v>69</v>
      </c>
      <c r="BV22" s="321" t="s">
        <v>69</v>
      </c>
      <c r="BW22" s="321" t="s">
        <v>69</v>
      </c>
      <c r="BX22" s="321" t="s">
        <v>69</v>
      </c>
      <c r="BY22" s="321" t="s">
        <v>69</v>
      </c>
      <c r="BZ22" s="321">
        <v>4</v>
      </c>
      <c r="CA22" s="321">
        <v>4</v>
      </c>
      <c r="CB22" s="321">
        <v>4</v>
      </c>
      <c r="CC22" s="321" t="s">
        <v>69</v>
      </c>
      <c r="CD22" s="321" t="s">
        <v>69</v>
      </c>
      <c r="CE22" s="321" t="s">
        <v>69</v>
      </c>
      <c r="CF22" s="321" t="s">
        <v>69</v>
      </c>
      <c r="CG22" s="321">
        <v>4</v>
      </c>
      <c r="CH22" s="321">
        <v>4</v>
      </c>
      <c r="CI22" s="321" t="s">
        <v>69</v>
      </c>
      <c r="CJ22" s="321" t="s">
        <v>69</v>
      </c>
      <c r="CK22" s="321" t="s">
        <v>69</v>
      </c>
      <c r="CL22" s="321" t="s">
        <v>69</v>
      </c>
      <c r="CM22" s="321" t="s">
        <v>69</v>
      </c>
      <c r="CN22" s="321" t="s">
        <v>69</v>
      </c>
      <c r="CO22" s="321" t="s">
        <v>69</v>
      </c>
      <c r="CP22" s="321" t="s">
        <v>69</v>
      </c>
      <c r="CQ22" s="321" t="s">
        <v>69</v>
      </c>
      <c r="CR22" s="321" t="s">
        <v>69</v>
      </c>
      <c r="CS22" s="321" t="s">
        <v>69</v>
      </c>
      <c r="CT22" s="321" t="s">
        <v>69</v>
      </c>
      <c r="CU22" s="321" t="s">
        <v>69</v>
      </c>
      <c r="CV22" s="332">
        <v>4</v>
      </c>
      <c r="CW22" s="321" t="s">
        <v>69</v>
      </c>
      <c r="CX22" s="323">
        <v>4</v>
      </c>
      <c r="CY22" s="321" t="s">
        <v>69</v>
      </c>
      <c r="CZ22" s="321" t="s">
        <v>69</v>
      </c>
      <c r="DA22" s="332">
        <v>4</v>
      </c>
      <c r="DB22" s="321" t="s">
        <v>69</v>
      </c>
      <c r="DC22" s="321">
        <v>4</v>
      </c>
      <c r="DD22" s="321" t="s">
        <v>69</v>
      </c>
      <c r="DE22" s="321" t="s">
        <v>69</v>
      </c>
      <c r="DF22" s="321">
        <v>4</v>
      </c>
      <c r="DG22" s="321" t="s">
        <v>69</v>
      </c>
      <c r="DH22" s="321" t="s">
        <v>69</v>
      </c>
      <c r="DI22" s="321" t="s">
        <v>69</v>
      </c>
      <c r="DJ22" s="321" t="s">
        <v>69</v>
      </c>
      <c r="DK22" s="321" t="s">
        <v>69</v>
      </c>
      <c r="DL22" s="323" t="s">
        <v>69</v>
      </c>
      <c r="DM22" s="323" t="s">
        <v>69</v>
      </c>
      <c r="DN22" s="323" t="s">
        <v>69</v>
      </c>
      <c r="DO22" s="323" t="s">
        <v>69</v>
      </c>
      <c r="DP22" s="323" t="s">
        <v>69</v>
      </c>
      <c r="DQ22" s="323" t="s">
        <v>69</v>
      </c>
      <c r="DR22" s="323" t="s">
        <v>69</v>
      </c>
      <c r="DS22" s="321" t="s">
        <v>69</v>
      </c>
      <c r="DT22" s="321" t="s">
        <v>69</v>
      </c>
      <c r="DU22" s="321">
        <v>4</v>
      </c>
      <c r="DV22" s="317">
        <f t="shared" si="1"/>
        <v>0.34920634920634919</v>
      </c>
      <c r="DW22" s="356">
        <f t="shared" si="0"/>
        <v>1</v>
      </c>
      <c r="DX22" s="156" t="e">
        <f>VLOOKUP(B22,[1]Pointage!$A:$D,4,0)</f>
        <v>#N/A</v>
      </c>
    </row>
    <row r="23" spans="1:131" s="156" customFormat="1" ht="118.5" hidden="1" customHeight="1">
      <c r="A23" s="312">
        <v>7</v>
      </c>
      <c r="B23" s="318" t="s">
        <v>220</v>
      </c>
      <c r="C23" s="383" t="s">
        <v>221</v>
      </c>
      <c r="D23" s="376">
        <v>43696</v>
      </c>
      <c r="E23" s="320" t="s">
        <v>217</v>
      </c>
      <c r="F23" s="381" t="s">
        <v>633</v>
      </c>
      <c r="G23" s="323" t="s">
        <v>69</v>
      </c>
      <c r="H23" s="323" t="s">
        <v>69</v>
      </c>
      <c r="I23" s="323" t="s">
        <v>69</v>
      </c>
      <c r="J23" s="321" t="s">
        <v>69</v>
      </c>
      <c r="K23" s="321" t="s">
        <v>69</v>
      </c>
      <c r="L23" s="321" t="s">
        <v>69</v>
      </c>
      <c r="M23" s="321" t="s">
        <v>69</v>
      </c>
      <c r="N23" s="321" t="s">
        <v>69</v>
      </c>
      <c r="O23" s="321" t="s">
        <v>69</v>
      </c>
      <c r="P23" s="321" t="s">
        <v>69</v>
      </c>
      <c r="Q23" s="321" t="s">
        <v>69</v>
      </c>
      <c r="R23" s="321" t="s">
        <v>69</v>
      </c>
      <c r="S23" s="321" t="s">
        <v>69</v>
      </c>
      <c r="T23" s="321" t="s">
        <v>69</v>
      </c>
      <c r="U23" s="321" t="s">
        <v>69</v>
      </c>
      <c r="V23" s="321" t="s">
        <v>69</v>
      </c>
      <c r="W23" s="321" t="s">
        <v>69</v>
      </c>
      <c r="X23" s="321" t="s">
        <v>69</v>
      </c>
      <c r="Y23" s="321" t="s">
        <v>69</v>
      </c>
      <c r="Z23" s="321" t="s">
        <v>69</v>
      </c>
      <c r="AA23" s="333" t="s">
        <v>69</v>
      </c>
      <c r="AB23" s="321" t="s">
        <v>69</v>
      </c>
      <c r="AC23" s="321" t="s">
        <v>69</v>
      </c>
      <c r="AD23" s="333" t="s">
        <v>69</v>
      </c>
      <c r="AE23" s="321" t="s">
        <v>69</v>
      </c>
      <c r="AF23" s="321" t="s">
        <v>69</v>
      </c>
      <c r="AG23" s="321" t="s">
        <v>69</v>
      </c>
      <c r="AH23" s="321" t="s">
        <v>69</v>
      </c>
      <c r="AI23" s="321" t="s">
        <v>69</v>
      </c>
      <c r="AJ23" s="321" t="s">
        <v>69</v>
      </c>
      <c r="AK23" s="333" t="s">
        <v>69</v>
      </c>
      <c r="AL23" s="333" t="s">
        <v>69</v>
      </c>
      <c r="AM23" s="321" t="s">
        <v>69</v>
      </c>
      <c r="AN23" s="321" t="s">
        <v>69</v>
      </c>
      <c r="AO23" s="321" t="s">
        <v>69</v>
      </c>
      <c r="AP23" s="321" t="s">
        <v>69</v>
      </c>
      <c r="AQ23" s="333" t="s">
        <v>69</v>
      </c>
      <c r="AR23" s="333" t="s">
        <v>69</v>
      </c>
      <c r="AS23" s="321" t="s">
        <v>69</v>
      </c>
      <c r="AT23" s="321" t="s">
        <v>69</v>
      </c>
      <c r="AU23" s="321" t="s">
        <v>69</v>
      </c>
      <c r="AV23" s="321" t="s">
        <v>69</v>
      </c>
      <c r="AW23" s="321" t="s">
        <v>69</v>
      </c>
      <c r="AX23" s="321" t="s">
        <v>69</v>
      </c>
      <c r="AY23" s="321" t="s">
        <v>69</v>
      </c>
      <c r="AZ23" s="321" t="s">
        <v>69</v>
      </c>
      <c r="BA23" s="321" t="s">
        <v>69</v>
      </c>
      <c r="BB23" s="321" t="s">
        <v>69</v>
      </c>
      <c r="BC23" s="321" t="s">
        <v>69</v>
      </c>
      <c r="BD23" s="321" t="s">
        <v>69</v>
      </c>
      <c r="BE23" s="333" t="s">
        <v>69</v>
      </c>
      <c r="BF23" s="333" t="s">
        <v>69</v>
      </c>
      <c r="BG23" s="333" t="s">
        <v>69</v>
      </c>
      <c r="BH23" s="321" t="s">
        <v>69</v>
      </c>
      <c r="BI23" s="321" t="s">
        <v>69</v>
      </c>
      <c r="BJ23" s="333" t="s">
        <v>69</v>
      </c>
      <c r="BK23" s="333" t="s">
        <v>69</v>
      </c>
      <c r="BL23" s="333" t="s">
        <v>69</v>
      </c>
      <c r="BM23" s="321" t="s">
        <v>69</v>
      </c>
      <c r="BN23" s="321" t="s">
        <v>69</v>
      </c>
      <c r="BO23" s="333" t="s">
        <v>69</v>
      </c>
      <c r="BP23" s="321" t="s">
        <v>69</v>
      </c>
      <c r="BQ23" s="333" t="s">
        <v>69</v>
      </c>
      <c r="BR23" s="333" t="s">
        <v>69</v>
      </c>
      <c r="BS23" s="333" t="s">
        <v>69</v>
      </c>
      <c r="BT23" s="333" t="s">
        <v>69</v>
      </c>
      <c r="BU23" s="323" t="s">
        <v>69</v>
      </c>
      <c r="BV23" s="321" t="s">
        <v>69</v>
      </c>
      <c r="BW23" s="321" t="s">
        <v>69</v>
      </c>
      <c r="BX23" s="321"/>
      <c r="BY23" s="321" t="s">
        <v>69</v>
      </c>
      <c r="BZ23" s="323" t="s">
        <v>69</v>
      </c>
      <c r="CA23" s="323" t="s">
        <v>69</v>
      </c>
      <c r="CB23" s="323" t="s">
        <v>69</v>
      </c>
      <c r="CC23" s="323" t="s">
        <v>69</v>
      </c>
      <c r="CD23" s="321" t="s">
        <v>69</v>
      </c>
      <c r="CE23" s="321" t="s">
        <v>69</v>
      </c>
      <c r="CF23" s="321" t="s">
        <v>69</v>
      </c>
      <c r="CG23" s="323" t="s">
        <v>69</v>
      </c>
      <c r="CH23" s="323" t="s">
        <v>69</v>
      </c>
      <c r="CI23" s="334">
        <v>4</v>
      </c>
      <c r="CJ23" s="334">
        <v>4</v>
      </c>
      <c r="CK23" s="334" t="s">
        <v>69</v>
      </c>
      <c r="CL23" s="334" t="s">
        <v>69</v>
      </c>
      <c r="CM23" s="323" t="s">
        <v>69</v>
      </c>
      <c r="CN23" s="323" t="s">
        <v>69</v>
      </c>
      <c r="CO23" s="323" t="s">
        <v>69</v>
      </c>
      <c r="CP23" s="323" t="s">
        <v>69</v>
      </c>
      <c r="CQ23" s="323" t="s">
        <v>69</v>
      </c>
      <c r="CR23" s="323" t="s">
        <v>69</v>
      </c>
      <c r="CS23" s="323" t="s">
        <v>69</v>
      </c>
      <c r="CT23" s="323" t="s">
        <v>69</v>
      </c>
      <c r="CU23" s="323" t="s">
        <v>69</v>
      </c>
      <c r="CV23" s="334" t="s">
        <v>69</v>
      </c>
      <c r="CW23" s="334" t="s">
        <v>69</v>
      </c>
      <c r="CX23" s="323" t="s">
        <v>69</v>
      </c>
      <c r="CY23" s="323" t="s">
        <v>69</v>
      </c>
      <c r="CZ23" s="321" t="s">
        <v>69</v>
      </c>
      <c r="DA23" s="323" t="s">
        <v>69</v>
      </c>
      <c r="DB23" s="323" t="s">
        <v>69</v>
      </c>
      <c r="DC23" s="321" t="s">
        <v>69</v>
      </c>
      <c r="DD23" s="321" t="s">
        <v>69</v>
      </c>
      <c r="DE23" s="334" t="s">
        <v>69</v>
      </c>
      <c r="DF23" s="323" t="s">
        <v>69</v>
      </c>
      <c r="DG23" s="323" t="s">
        <v>69</v>
      </c>
      <c r="DH23" s="334" t="s">
        <v>69</v>
      </c>
      <c r="DI23" s="334" t="s">
        <v>69</v>
      </c>
      <c r="DJ23" s="321" t="s">
        <v>69</v>
      </c>
      <c r="DK23" s="334" t="s">
        <v>69</v>
      </c>
      <c r="DL23" s="323" t="s">
        <v>69</v>
      </c>
      <c r="DM23" s="323" t="s">
        <v>69</v>
      </c>
      <c r="DN23" s="323" t="s">
        <v>69</v>
      </c>
      <c r="DO23" s="323" t="s">
        <v>69</v>
      </c>
      <c r="DP23" s="323" t="s">
        <v>69</v>
      </c>
      <c r="DQ23" s="323" t="s">
        <v>69</v>
      </c>
      <c r="DR23" s="323" t="s">
        <v>69</v>
      </c>
      <c r="DS23" s="334">
        <v>4</v>
      </c>
      <c r="DT23" s="334" t="s">
        <v>69</v>
      </c>
      <c r="DU23" s="334">
        <v>4</v>
      </c>
      <c r="DV23" s="317">
        <f t="shared" si="1"/>
        <v>6.3492063492063489E-2</v>
      </c>
      <c r="DW23" s="356">
        <f t="shared" si="0"/>
        <v>1</v>
      </c>
      <c r="DX23" s="156" t="str">
        <f>VLOOKUP(B23,[1]Pointage!$A:$D,4,0)</f>
        <v>Mourad Saitali</v>
      </c>
    </row>
    <row r="24" spans="1:131" s="156" customFormat="1" ht="118.5" hidden="1" customHeight="1">
      <c r="A24" s="312">
        <v>8</v>
      </c>
      <c r="B24" s="318" t="s">
        <v>468</v>
      </c>
      <c r="C24" s="383" t="s">
        <v>1154</v>
      </c>
      <c r="D24" s="376">
        <v>44197</v>
      </c>
      <c r="E24" s="320" t="s">
        <v>216</v>
      </c>
      <c r="F24" s="381" t="s">
        <v>633</v>
      </c>
      <c r="G24" s="335">
        <v>4</v>
      </c>
      <c r="H24" s="335" t="s">
        <v>69</v>
      </c>
      <c r="I24" s="335" t="s">
        <v>69</v>
      </c>
      <c r="J24" s="335" t="s">
        <v>69</v>
      </c>
      <c r="K24" s="335" t="s">
        <v>69</v>
      </c>
      <c r="L24" s="335">
        <v>2</v>
      </c>
      <c r="M24" s="335">
        <v>4</v>
      </c>
      <c r="N24" s="335" t="s">
        <v>69</v>
      </c>
      <c r="O24" s="335">
        <v>4</v>
      </c>
      <c r="P24" s="335" t="s">
        <v>69</v>
      </c>
      <c r="Q24" s="335">
        <v>4</v>
      </c>
      <c r="R24" s="335" t="s">
        <v>69</v>
      </c>
      <c r="S24" s="335" t="s">
        <v>69</v>
      </c>
      <c r="T24" s="335" t="s">
        <v>69</v>
      </c>
      <c r="U24" s="335" t="s">
        <v>69</v>
      </c>
      <c r="V24" s="335" t="s">
        <v>69</v>
      </c>
      <c r="W24" s="335" t="s">
        <v>69</v>
      </c>
      <c r="X24" s="335" t="s">
        <v>69</v>
      </c>
      <c r="Y24" s="335" t="s">
        <v>69</v>
      </c>
      <c r="Z24" s="335" t="s">
        <v>69</v>
      </c>
      <c r="AA24" s="335">
        <v>4</v>
      </c>
      <c r="AB24" s="335" t="s">
        <v>69</v>
      </c>
      <c r="AC24" s="335" t="s">
        <v>69</v>
      </c>
      <c r="AD24" s="335">
        <v>4</v>
      </c>
      <c r="AE24" s="335">
        <v>4</v>
      </c>
      <c r="AF24" s="335">
        <v>4</v>
      </c>
      <c r="AG24" s="335">
        <v>4</v>
      </c>
      <c r="AH24" s="335" t="s">
        <v>69</v>
      </c>
      <c r="AI24" s="335" t="s">
        <v>69</v>
      </c>
      <c r="AJ24" s="335" t="s">
        <v>69</v>
      </c>
      <c r="AK24" s="335" t="s">
        <v>69</v>
      </c>
      <c r="AL24" s="335" t="s">
        <v>69</v>
      </c>
      <c r="AM24" s="335" t="s">
        <v>69</v>
      </c>
      <c r="AN24" s="335" t="s">
        <v>69</v>
      </c>
      <c r="AO24" s="335" t="s">
        <v>69</v>
      </c>
      <c r="AP24" s="335">
        <v>2</v>
      </c>
      <c r="AQ24" s="335" t="s">
        <v>69</v>
      </c>
      <c r="AR24" s="335" t="s">
        <v>69</v>
      </c>
      <c r="AS24" s="335">
        <v>4</v>
      </c>
      <c r="AT24" s="335" t="s">
        <v>69</v>
      </c>
      <c r="AU24" s="335" t="s">
        <v>69</v>
      </c>
      <c r="AV24" s="335">
        <v>4</v>
      </c>
      <c r="AW24" s="335" t="s">
        <v>69</v>
      </c>
      <c r="AX24" s="335" t="s">
        <v>69</v>
      </c>
      <c r="AY24" s="335">
        <v>4</v>
      </c>
      <c r="AZ24" s="335" t="s">
        <v>69</v>
      </c>
      <c r="BA24" s="335" t="s">
        <v>69</v>
      </c>
      <c r="BB24" s="335">
        <v>4</v>
      </c>
      <c r="BC24" s="335" t="s">
        <v>69</v>
      </c>
      <c r="BD24" s="335" t="s">
        <v>69</v>
      </c>
      <c r="BE24" s="335">
        <v>4</v>
      </c>
      <c r="BF24" s="335" t="s">
        <v>69</v>
      </c>
      <c r="BG24" s="335" t="s">
        <v>69</v>
      </c>
      <c r="BH24" s="335" t="s">
        <v>69</v>
      </c>
      <c r="BI24" s="335" t="s">
        <v>69</v>
      </c>
      <c r="BJ24" s="335" t="s">
        <v>69</v>
      </c>
      <c r="BK24" s="335" t="s">
        <v>69</v>
      </c>
      <c r="BL24" s="335" t="s">
        <v>69</v>
      </c>
      <c r="BM24" s="335">
        <v>4</v>
      </c>
      <c r="BN24" s="335" t="s">
        <v>69</v>
      </c>
      <c r="BO24" s="335" t="s">
        <v>69</v>
      </c>
      <c r="BP24" s="335">
        <v>4</v>
      </c>
      <c r="BQ24" s="335">
        <v>4</v>
      </c>
      <c r="BR24" s="335">
        <v>4</v>
      </c>
      <c r="BS24" s="335" t="s">
        <v>69</v>
      </c>
      <c r="BT24" s="335" t="s">
        <v>69</v>
      </c>
      <c r="BU24" s="335">
        <v>4</v>
      </c>
      <c r="BV24" s="335">
        <v>4</v>
      </c>
      <c r="BW24" s="335" t="s">
        <v>69</v>
      </c>
      <c r="BX24" s="335" t="s">
        <v>69</v>
      </c>
      <c r="BY24" s="335">
        <v>4</v>
      </c>
      <c r="BZ24" s="335">
        <v>2</v>
      </c>
      <c r="CA24" s="335" t="s">
        <v>69</v>
      </c>
      <c r="CB24" s="335" t="s">
        <v>69</v>
      </c>
      <c r="CC24" s="335" t="s">
        <v>69</v>
      </c>
      <c r="CD24" s="335" t="s">
        <v>69</v>
      </c>
      <c r="CE24" s="335" t="s">
        <v>69</v>
      </c>
      <c r="CF24" s="335" t="s">
        <v>69</v>
      </c>
      <c r="CG24" s="335">
        <v>4</v>
      </c>
      <c r="CH24" s="335" t="s">
        <v>69</v>
      </c>
      <c r="CI24" s="335" t="s">
        <v>69</v>
      </c>
      <c r="CJ24" s="335" t="s">
        <v>69</v>
      </c>
      <c r="CK24" s="335" t="s">
        <v>69</v>
      </c>
      <c r="CL24" s="335" t="s">
        <v>69</v>
      </c>
      <c r="CM24" s="335" t="s">
        <v>69</v>
      </c>
      <c r="CN24" s="335" t="s">
        <v>69</v>
      </c>
      <c r="CO24" s="335" t="s">
        <v>69</v>
      </c>
      <c r="CP24" s="335" t="s">
        <v>69</v>
      </c>
      <c r="CQ24" s="335" t="s">
        <v>69</v>
      </c>
      <c r="CR24" s="335" t="s">
        <v>69</v>
      </c>
      <c r="CS24" s="335" t="s">
        <v>69</v>
      </c>
      <c r="CT24" s="335">
        <v>3</v>
      </c>
      <c r="CU24" s="335" t="s">
        <v>69</v>
      </c>
      <c r="CV24" s="335">
        <v>4</v>
      </c>
      <c r="CW24" s="335">
        <v>4</v>
      </c>
      <c r="CX24" s="335">
        <v>3</v>
      </c>
      <c r="CY24" s="335" t="s">
        <v>69</v>
      </c>
      <c r="CZ24" s="335" t="s">
        <v>69</v>
      </c>
      <c r="DA24" s="335">
        <v>4</v>
      </c>
      <c r="DB24" s="335">
        <v>4</v>
      </c>
      <c r="DC24" s="335">
        <v>4</v>
      </c>
      <c r="DD24" s="335">
        <v>4</v>
      </c>
      <c r="DE24" s="335">
        <v>4</v>
      </c>
      <c r="DF24" s="335" t="s">
        <v>69</v>
      </c>
      <c r="DG24" s="335" t="s">
        <v>69</v>
      </c>
      <c r="DH24" s="335" t="s">
        <v>69</v>
      </c>
      <c r="DI24" s="335" t="s">
        <v>69</v>
      </c>
      <c r="DJ24" s="335" t="s">
        <v>69</v>
      </c>
      <c r="DK24" s="335" t="s">
        <v>69</v>
      </c>
      <c r="DL24" s="335" t="s">
        <v>69</v>
      </c>
      <c r="DM24" s="335" t="s">
        <v>69</v>
      </c>
      <c r="DN24" s="335" t="s">
        <v>69</v>
      </c>
      <c r="DO24" s="335" t="s">
        <v>69</v>
      </c>
      <c r="DP24" s="335" t="s">
        <v>69</v>
      </c>
      <c r="DQ24" s="335" t="s">
        <v>69</v>
      </c>
      <c r="DR24" s="335" t="s">
        <v>69</v>
      </c>
      <c r="DS24" s="335">
        <v>2</v>
      </c>
      <c r="DT24" s="335" t="s">
        <v>69</v>
      </c>
      <c r="DU24" s="335">
        <v>4</v>
      </c>
      <c r="DV24" s="317">
        <f t="shared" si="1"/>
        <v>0.5714285714285714</v>
      </c>
      <c r="DW24" s="356">
        <f t="shared" si="0"/>
        <v>0.88888888888888884</v>
      </c>
      <c r="DX24" s="156" t="str">
        <f>VLOOKUP(B24,[1]Pointage!$A:$D,4,0)</f>
        <v>Mourad Saitali</v>
      </c>
    </row>
    <row r="25" spans="1:131" s="156" customFormat="1" ht="118.5" hidden="1" customHeight="1">
      <c r="A25" s="312">
        <v>9</v>
      </c>
      <c r="B25" s="318" t="s">
        <v>222</v>
      </c>
      <c r="C25" s="383" t="s">
        <v>223</v>
      </c>
      <c r="D25" s="376">
        <v>43696</v>
      </c>
      <c r="E25" s="320" t="s">
        <v>217</v>
      </c>
      <c r="F25" s="381" t="s">
        <v>633</v>
      </c>
      <c r="G25" s="323">
        <v>4</v>
      </c>
      <c r="H25" s="334">
        <v>4</v>
      </c>
      <c r="I25" s="323">
        <v>4</v>
      </c>
      <c r="J25" s="323" t="s">
        <v>69</v>
      </c>
      <c r="K25" s="334">
        <v>4</v>
      </c>
      <c r="L25" s="321" t="s">
        <v>69</v>
      </c>
      <c r="M25" s="321" t="s">
        <v>69</v>
      </c>
      <c r="N25" s="321" t="s">
        <v>69</v>
      </c>
      <c r="O25" s="321" t="s">
        <v>69</v>
      </c>
      <c r="P25" s="321">
        <v>4</v>
      </c>
      <c r="Q25" s="321">
        <v>4</v>
      </c>
      <c r="R25" s="321">
        <v>4</v>
      </c>
      <c r="S25" s="321" t="s">
        <v>69</v>
      </c>
      <c r="T25" s="321" t="s">
        <v>69</v>
      </c>
      <c r="U25" s="321" t="s">
        <v>69</v>
      </c>
      <c r="V25" s="334">
        <v>4</v>
      </c>
      <c r="W25" s="321">
        <v>4</v>
      </c>
      <c r="X25" s="321">
        <v>4</v>
      </c>
      <c r="Y25" s="321" t="s">
        <v>69</v>
      </c>
      <c r="Z25" s="321" t="s">
        <v>69</v>
      </c>
      <c r="AA25" s="334">
        <v>4</v>
      </c>
      <c r="AB25" s="321" t="s">
        <v>69</v>
      </c>
      <c r="AC25" s="321" t="s">
        <v>69</v>
      </c>
      <c r="AD25" s="334">
        <v>4</v>
      </c>
      <c r="AE25" s="321" t="s">
        <v>69</v>
      </c>
      <c r="AF25" s="321" t="s">
        <v>69</v>
      </c>
      <c r="AG25" s="321" t="s">
        <v>69</v>
      </c>
      <c r="AH25" s="321" t="s">
        <v>69</v>
      </c>
      <c r="AI25" s="321" t="s">
        <v>69</v>
      </c>
      <c r="AJ25" s="321" t="s">
        <v>69</v>
      </c>
      <c r="AK25" s="321" t="s">
        <v>69</v>
      </c>
      <c r="AL25" s="321" t="s">
        <v>69</v>
      </c>
      <c r="AM25" s="321">
        <v>4</v>
      </c>
      <c r="AN25" s="321">
        <v>4</v>
      </c>
      <c r="AO25" s="321">
        <v>4</v>
      </c>
      <c r="AP25" s="321">
        <v>4</v>
      </c>
      <c r="AQ25" s="334">
        <v>4</v>
      </c>
      <c r="AR25" s="334">
        <v>4</v>
      </c>
      <c r="AS25" s="321">
        <v>4</v>
      </c>
      <c r="AT25" s="321">
        <v>4</v>
      </c>
      <c r="AU25" s="321">
        <v>4</v>
      </c>
      <c r="AV25" s="321">
        <v>4</v>
      </c>
      <c r="AW25" s="321" t="s">
        <v>69</v>
      </c>
      <c r="AX25" s="321">
        <v>4</v>
      </c>
      <c r="AY25" s="321">
        <v>4</v>
      </c>
      <c r="AZ25" s="321">
        <v>4</v>
      </c>
      <c r="BA25" s="321" t="s">
        <v>69</v>
      </c>
      <c r="BB25" s="321">
        <v>4</v>
      </c>
      <c r="BC25" s="321">
        <v>4</v>
      </c>
      <c r="BD25" s="321">
        <v>4</v>
      </c>
      <c r="BE25" s="329" t="s">
        <v>69</v>
      </c>
      <c r="BF25" s="334">
        <v>4</v>
      </c>
      <c r="BG25" s="334">
        <v>4</v>
      </c>
      <c r="BH25" s="321" t="s">
        <v>69</v>
      </c>
      <c r="BI25" s="321">
        <v>4</v>
      </c>
      <c r="BJ25" s="333" t="s">
        <v>69</v>
      </c>
      <c r="BK25" s="333">
        <v>4</v>
      </c>
      <c r="BL25" s="336" t="s">
        <v>69</v>
      </c>
      <c r="BM25" s="321">
        <v>4</v>
      </c>
      <c r="BN25" s="321">
        <v>4</v>
      </c>
      <c r="BO25" s="321">
        <v>4</v>
      </c>
      <c r="BP25" s="321" t="s">
        <v>69</v>
      </c>
      <c r="BQ25" s="334">
        <v>4</v>
      </c>
      <c r="BR25" s="321" t="s">
        <v>69</v>
      </c>
      <c r="BS25" s="321">
        <v>4</v>
      </c>
      <c r="BT25" s="321">
        <v>4</v>
      </c>
      <c r="BU25" s="334" t="s">
        <v>69</v>
      </c>
      <c r="BV25" s="321" t="s">
        <v>69</v>
      </c>
      <c r="BW25" s="321" t="s">
        <v>69</v>
      </c>
      <c r="BX25" s="321" t="s">
        <v>69</v>
      </c>
      <c r="BY25" s="321">
        <v>4</v>
      </c>
      <c r="BZ25" s="321" t="s">
        <v>69</v>
      </c>
      <c r="CA25" s="334">
        <v>4</v>
      </c>
      <c r="CB25" s="334">
        <v>4</v>
      </c>
      <c r="CC25" s="334" t="s">
        <v>69</v>
      </c>
      <c r="CD25" s="321" t="s">
        <v>69</v>
      </c>
      <c r="CE25" s="321" t="s">
        <v>69</v>
      </c>
      <c r="CF25" s="321" t="s">
        <v>69</v>
      </c>
      <c r="CG25" s="334">
        <v>4</v>
      </c>
      <c r="CH25" s="334">
        <v>4</v>
      </c>
      <c r="CI25" s="323" t="s">
        <v>69</v>
      </c>
      <c r="CJ25" s="323" t="s">
        <v>69</v>
      </c>
      <c r="CK25" s="323" t="s">
        <v>69</v>
      </c>
      <c r="CL25" s="323" t="s">
        <v>69</v>
      </c>
      <c r="CM25" s="333" t="s">
        <v>69</v>
      </c>
      <c r="CN25" s="333" t="s">
        <v>69</v>
      </c>
      <c r="CO25" s="333" t="s">
        <v>69</v>
      </c>
      <c r="CP25" s="333" t="s">
        <v>69</v>
      </c>
      <c r="CQ25" s="333" t="s">
        <v>69</v>
      </c>
      <c r="CR25" s="333" t="s">
        <v>69</v>
      </c>
      <c r="CS25" s="333" t="s">
        <v>69</v>
      </c>
      <c r="CT25" s="333" t="s">
        <v>69</v>
      </c>
      <c r="CU25" s="333" t="s">
        <v>69</v>
      </c>
      <c r="CV25" s="321">
        <v>4</v>
      </c>
      <c r="CW25" s="321">
        <v>4</v>
      </c>
      <c r="CX25" s="321">
        <v>4</v>
      </c>
      <c r="CY25" s="323" t="s">
        <v>69</v>
      </c>
      <c r="CZ25" s="321" t="s">
        <v>69</v>
      </c>
      <c r="DA25" s="321">
        <v>4</v>
      </c>
      <c r="DB25" s="321">
        <v>4</v>
      </c>
      <c r="DC25" s="321">
        <v>4</v>
      </c>
      <c r="DD25" s="321">
        <v>4</v>
      </c>
      <c r="DE25" s="323" t="s">
        <v>69</v>
      </c>
      <c r="DF25" s="321">
        <v>4</v>
      </c>
      <c r="DG25" s="321">
        <v>4</v>
      </c>
      <c r="DH25" s="323" t="s">
        <v>69</v>
      </c>
      <c r="DI25" s="323" t="s">
        <v>69</v>
      </c>
      <c r="DJ25" s="321" t="s">
        <v>69</v>
      </c>
      <c r="DK25" s="323" t="s">
        <v>69</v>
      </c>
      <c r="DL25" s="323" t="s">
        <v>69</v>
      </c>
      <c r="DM25" s="323" t="s">
        <v>69</v>
      </c>
      <c r="DN25" s="323" t="s">
        <v>69</v>
      </c>
      <c r="DO25" s="323" t="s">
        <v>69</v>
      </c>
      <c r="DP25" s="323" t="s">
        <v>69</v>
      </c>
      <c r="DQ25" s="323" t="s">
        <v>69</v>
      </c>
      <c r="DR25" s="323" t="s">
        <v>69</v>
      </c>
      <c r="DS25" s="334">
        <v>4</v>
      </c>
      <c r="DT25" s="334" t="s">
        <v>69</v>
      </c>
      <c r="DU25" s="334">
        <v>4</v>
      </c>
      <c r="DV25" s="317">
        <f t="shared" si="1"/>
        <v>0.8571428571428571</v>
      </c>
      <c r="DW25" s="356">
        <f t="shared" si="0"/>
        <v>1</v>
      </c>
      <c r="DX25" s="156" t="str">
        <f>VLOOKUP(B25,[1]Pointage!$A:$D,4,0)</f>
        <v>Mourad Saitali</v>
      </c>
    </row>
    <row r="26" spans="1:131" s="156" customFormat="1" ht="118.5" hidden="1" customHeight="1">
      <c r="A26" s="312">
        <v>10</v>
      </c>
      <c r="B26" s="318" t="s">
        <v>224</v>
      </c>
      <c r="C26" s="383" t="s">
        <v>225</v>
      </c>
      <c r="D26" s="376">
        <v>43621</v>
      </c>
      <c r="E26" s="320" t="s">
        <v>216</v>
      </c>
      <c r="F26" s="381" t="s">
        <v>633</v>
      </c>
      <c r="G26" s="337">
        <v>4</v>
      </c>
      <c r="H26" s="334">
        <v>4</v>
      </c>
      <c r="I26" s="337">
        <v>4</v>
      </c>
      <c r="J26" s="321" t="s">
        <v>69</v>
      </c>
      <c r="K26" s="334">
        <v>4</v>
      </c>
      <c r="L26" s="321" t="s">
        <v>69</v>
      </c>
      <c r="M26" s="321" t="s">
        <v>69</v>
      </c>
      <c r="N26" s="321" t="s">
        <v>69</v>
      </c>
      <c r="O26" s="321" t="s">
        <v>69</v>
      </c>
      <c r="P26" s="321" t="s">
        <v>69</v>
      </c>
      <c r="Q26" s="321" t="s">
        <v>69</v>
      </c>
      <c r="R26" s="321" t="s">
        <v>69</v>
      </c>
      <c r="S26" s="321" t="s">
        <v>69</v>
      </c>
      <c r="T26" s="321" t="s">
        <v>69</v>
      </c>
      <c r="U26" s="321" t="s">
        <v>69</v>
      </c>
      <c r="V26" s="333" t="s">
        <v>69</v>
      </c>
      <c r="W26" s="321" t="s">
        <v>69</v>
      </c>
      <c r="X26" s="321">
        <v>4</v>
      </c>
      <c r="Y26" s="321" t="s">
        <v>69</v>
      </c>
      <c r="Z26" s="321" t="s">
        <v>69</v>
      </c>
      <c r="AA26" s="338">
        <v>4</v>
      </c>
      <c r="AB26" s="321" t="s">
        <v>69</v>
      </c>
      <c r="AC26" s="321" t="s">
        <v>69</v>
      </c>
      <c r="AD26" s="333">
        <v>4</v>
      </c>
      <c r="AE26" s="321" t="s">
        <v>69</v>
      </c>
      <c r="AF26" s="321" t="s">
        <v>69</v>
      </c>
      <c r="AG26" s="321" t="s">
        <v>69</v>
      </c>
      <c r="AH26" s="321" t="s">
        <v>69</v>
      </c>
      <c r="AI26" s="321" t="s">
        <v>69</v>
      </c>
      <c r="AJ26" s="321" t="s">
        <v>69</v>
      </c>
      <c r="AK26" s="321" t="s">
        <v>69</v>
      </c>
      <c r="AL26" s="321" t="s">
        <v>69</v>
      </c>
      <c r="AM26" s="321" t="s">
        <v>69</v>
      </c>
      <c r="AN26" s="321" t="s">
        <v>69</v>
      </c>
      <c r="AO26" s="321" t="s">
        <v>69</v>
      </c>
      <c r="AP26" s="321" t="s">
        <v>69</v>
      </c>
      <c r="AQ26" s="333" t="s">
        <v>69</v>
      </c>
      <c r="AR26" s="333" t="s">
        <v>69</v>
      </c>
      <c r="AS26" s="321" t="s">
        <v>69</v>
      </c>
      <c r="AT26" s="321" t="s">
        <v>69</v>
      </c>
      <c r="AU26" s="321" t="s">
        <v>69</v>
      </c>
      <c r="AV26" s="321" t="s">
        <v>69</v>
      </c>
      <c r="AW26" s="321" t="s">
        <v>69</v>
      </c>
      <c r="AX26" s="321" t="s">
        <v>69</v>
      </c>
      <c r="AY26" s="321" t="s">
        <v>69</v>
      </c>
      <c r="AZ26" s="321" t="s">
        <v>69</v>
      </c>
      <c r="BA26" s="321" t="s">
        <v>69</v>
      </c>
      <c r="BB26" s="321" t="s">
        <v>69</v>
      </c>
      <c r="BC26" s="321" t="s">
        <v>69</v>
      </c>
      <c r="BD26" s="321" t="s">
        <v>69</v>
      </c>
      <c r="BE26" s="333" t="s">
        <v>69</v>
      </c>
      <c r="BF26" s="333" t="s">
        <v>69</v>
      </c>
      <c r="BG26" s="333" t="s">
        <v>69</v>
      </c>
      <c r="BH26" s="321" t="s">
        <v>69</v>
      </c>
      <c r="BI26" s="321" t="s">
        <v>69</v>
      </c>
      <c r="BJ26" s="333" t="s">
        <v>69</v>
      </c>
      <c r="BK26" s="333" t="s">
        <v>69</v>
      </c>
      <c r="BL26" s="333" t="s">
        <v>69</v>
      </c>
      <c r="BM26" s="333" t="s">
        <v>69</v>
      </c>
      <c r="BN26" s="333" t="s">
        <v>69</v>
      </c>
      <c r="BO26" s="333" t="s">
        <v>69</v>
      </c>
      <c r="BP26" s="333" t="s">
        <v>69</v>
      </c>
      <c r="BQ26" s="336" t="s">
        <v>69</v>
      </c>
      <c r="BR26" s="336" t="s">
        <v>69</v>
      </c>
      <c r="BS26" s="336">
        <v>4</v>
      </c>
      <c r="BT26" s="336" t="s">
        <v>69</v>
      </c>
      <c r="BU26" s="334" t="s">
        <v>69</v>
      </c>
      <c r="BV26" s="321" t="s">
        <v>69</v>
      </c>
      <c r="BW26" s="321" t="s">
        <v>69</v>
      </c>
      <c r="BX26" s="321"/>
      <c r="BY26" s="321" t="s">
        <v>69</v>
      </c>
      <c r="BZ26" s="334" t="s">
        <v>69</v>
      </c>
      <c r="CA26" s="334" t="s">
        <v>69</v>
      </c>
      <c r="CB26" s="334" t="s">
        <v>69</v>
      </c>
      <c r="CC26" s="334" t="s">
        <v>69</v>
      </c>
      <c r="CD26" s="321" t="s">
        <v>69</v>
      </c>
      <c r="CE26" s="321" t="s">
        <v>69</v>
      </c>
      <c r="CF26" s="321" t="s">
        <v>69</v>
      </c>
      <c r="CG26" s="334">
        <v>4</v>
      </c>
      <c r="CH26" s="334" t="s">
        <v>69</v>
      </c>
      <c r="CI26" s="323" t="s">
        <v>69</v>
      </c>
      <c r="CJ26" s="323" t="s">
        <v>69</v>
      </c>
      <c r="CK26" s="323" t="s">
        <v>69</v>
      </c>
      <c r="CL26" s="323" t="s">
        <v>69</v>
      </c>
      <c r="CM26" s="333" t="s">
        <v>69</v>
      </c>
      <c r="CN26" s="333" t="s">
        <v>69</v>
      </c>
      <c r="CO26" s="333">
        <v>4</v>
      </c>
      <c r="CP26" s="333" t="s">
        <v>69</v>
      </c>
      <c r="CQ26" s="333" t="s">
        <v>69</v>
      </c>
      <c r="CR26" s="333" t="s">
        <v>69</v>
      </c>
      <c r="CS26" s="333">
        <v>4</v>
      </c>
      <c r="CT26" s="333" t="s">
        <v>69</v>
      </c>
      <c r="CU26" s="333" t="s">
        <v>69</v>
      </c>
      <c r="CV26" s="323" t="s">
        <v>69</v>
      </c>
      <c r="CW26" s="323" t="s">
        <v>69</v>
      </c>
      <c r="CX26" s="323" t="s">
        <v>69</v>
      </c>
      <c r="CY26" s="323" t="s">
        <v>69</v>
      </c>
      <c r="CZ26" s="321" t="s">
        <v>69</v>
      </c>
      <c r="DA26" s="323" t="s">
        <v>69</v>
      </c>
      <c r="DB26" s="323" t="s">
        <v>69</v>
      </c>
      <c r="DC26" s="321" t="s">
        <v>69</v>
      </c>
      <c r="DD26" s="321" t="s">
        <v>69</v>
      </c>
      <c r="DE26" s="323" t="s">
        <v>69</v>
      </c>
      <c r="DF26" s="333" t="s">
        <v>69</v>
      </c>
      <c r="DG26" s="333" t="s">
        <v>69</v>
      </c>
      <c r="DH26" s="323" t="s">
        <v>69</v>
      </c>
      <c r="DI26" s="323" t="s">
        <v>69</v>
      </c>
      <c r="DJ26" s="321" t="s">
        <v>69</v>
      </c>
      <c r="DK26" s="323" t="s">
        <v>69</v>
      </c>
      <c r="DL26" s="323" t="s">
        <v>69</v>
      </c>
      <c r="DM26" s="323" t="s">
        <v>69</v>
      </c>
      <c r="DN26" s="323" t="s">
        <v>69</v>
      </c>
      <c r="DO26" s="323" t="s">
        <v>69</v>
      </c>
      <c r="DP26" s="323" t="s">
        <v>69</v>
      </c>
      <c r="DQ26" s="323" t="s">
        <v>69</v>
      </c>
      <c r="DR26" s="323" t="s">
        <v>69</v>
      </c>
      <c r="DS26" s="334" t="s">
        <v>69</v>
      </c>
      <c r="DT26" s="334" t="s">
        <v>69</v>
      </c>
      <c r="DU26" s="334">
        <v>4</v>
      </c>
      <c r="DV26" s="317">
        <f t="shared" si="1"/>
        <v>0.19047619047619047</v>
      </c>
      <c r="DW26" s="356">
        <f t="shared" si="0"/>
        <v>1</v>
      </c>
      <c r="DX26" s="156" t="str">
        <f>VLOOKUP(B26,[1]Pointage!$A:$D,4,0)</f>
        <v>Mourad Saitali</v>
      </c>
    </row>
    <row r="27" spans="1:131" s="156" customFormat="1" ht="118.5" hidden="1" customHeight="1">
      <c r="A27" s="312">
        <v>11</v>
      </c>
      <c r="B27" s="318" t="s">
        <v>226</v>
      </c>
      <c r="C27" s="383" t="s">
        <v>227</v>
      </c>
      <c r="D27" s="376">
        <v>43782</v>
      </c>
      <c r="E27" s="320" t="s">
        <v>216</v>
      </c>
      <c r="F27" s="381" t="s">
        <v>633</v>
      </c>
      <c r="G27" s="337">
        <v>4</v>
      </c>
      <c r="H27" s="323" t="s">
        <v>69</v>
      </c>
      <c r="I27" s="337">
        <v>4</v>
      </c>
      <c r="J27" s="321">
        <v>4</v>
      </c>
      <c r="K27" s="323" t="s">
        <v>69</v>
      </c>
      <c r="L27" s="321" t="s">
        <v>69</v>
      </c>
      <c r="M27" s="321" t="s">
        <v>69</v>
      </c>
      <c r="N27" s="321" t="s">
        <v>69</v>
      </c>
      <c r="O27" s="321" t="s">
        <v>69</v>
      </c>
      <c r="P27" s="321" t="s">
        <v>69</v>
      </c>
      <c r="Q27" s="321" t="s">
        <v>69</v>
      </c>
      <c r="R27" s="321" t="s">
        <v>69</v>
      </c>
      <c r="S27" s="321" t="s">
        <v>69</v>
      </c>
      <c r="T27" s="321" t="s">
        <v>69</v>
      </c>
      <c r="U27" s="321" t="s">
        <v>69</v>
      </c>
      <c r="V27" s="321" t="s">
        <v>69</v>
      </c>
      <c r="W27" s="321" t="s">
        <v>69</v>
      </c>
      <c r="X27" s="321" t="s">
        <v>69</v>
      </c>
      <c r="Y27" s="321" t="s">
        <v>69</v>
      </c>
      <c r="Z27" s="321" t="s">
        <v>69</v>
      </c>
      <c r="AA27" s="321" t="s">
        <v>69</v>
      </c>
      <c r="AB27" s="321" t="s">
        <v>69</v>
      </c>
      <c r="AC27" s="321" t="s">
        <v>69</v>
      </c>
      <c r="AD27" s="333" t="s">
        <v>69</v>
      </c>
      <c r="AE27" s="321" t="s">
        <v>69</v>
      </c>
      <c r="AF27" s="321" t="s">
        <v>69</v>
      </c>
      <c r="AG27" s="321" t="s">
        <v>69</v>
      </c>
      <c r="AH27" s="321" t="s">
        <v>69</v>
      </c>
      <c r="AI27" s="321" t="s">
        <v>69</v>
      </c>
      <c r="AJ27" s="321" t="s">
        <v>69</v>
      </c>
      <c r="AK27" s="321" t="s">
        <v>69</v>
      </c>
      <c r="AL27" s="321" t="s">
        <v>69</v>
      </c>
      <c r="AM27" s="321" t="s">
        <v>69</v>
      </c>
      <c r="AN27" s="321" t="s">
        <v>69</v>
      </c>
      <c r="AO27" s="321" t="s">
        <v>69</v>
      </c>
      <c r="AP27" s="321" t="s">
        <v>69</v>
      </c>
      <c r="AQ27" s="334">
        <v>4</v>
      </c>
      <c r="AR27" s="333" t="s">
        <v>69</v>
      </c>
      <c r="AS27" s="321">
        <v>4</v>
      </c>
      <c r="AT27" s="321">
        <v>4</v>
      </c>
      <c r="AU27" s="321" t="s">
        <v>69</v>
      </c>
      <c r="AV27" s="321">
        <v>4</v>
      </c>
      <c r="AW27" s="321">
        <v>4</v>
      </c>
      <c r="AX27" s="321" t="s">
        <v>69</v>
      </c>
      <c r="AY27" s="321">
        <v>4</v>
      </c>
      <c r="AZ27" s="321">
        <v>4</v>
      </c>
      <c r="BA27" s="321" t="s">
        <v>69</v>
      </c>
      <c r="BB27" s="321">
        <v>4</v>
      </c>
      <c r="BC27" s="321">
        <v>4</v>
      </c>
      <c r="BD27" s="321" t="s">
        <v>69</v>
      </c>
      <c r="BE27" s="334">
        <v>4</v>
      </c>
      <c r="BF27" s="334">
        <v>4</v>
      </c>
      <c r="BG27" s="334">
        <v>4</v>
      </c>
      <c r="BH27" s="321" t="s">
        <v>69</v>
      </c>
      <c r="BI27" s="321" t="s">
        <v>69</v>
      </c>
      <c r="BJ27" s="321" t="s">
        <v>69</v>
      </c>
      <c r="BK27" s="321" t="s">
        <v>69</v>
      </c>
      <c r="BL27" s="336" t="s">
        <v>69</v>
      </c>
      <c r="BM27" s="321" t="s">
        <v>69</v>
      </c>
      <c r="BN27" s="321" t="s">
        <v>69</v>
      </c>
      <c r="BO27" s="336" t="s">
        <v>69</v>
      </c>
      <c r="BP27" s="321" t="s">
        <v>69</v>
      </c>
      <c r="BQ27" s="321" t="s">
        <v>69</v>
      </c>
      <c r="BR27" s="321" t="s">
        <v>69</v>
      </c>
      <c r="BS27" s="336">
        <v>4</v>
      </c>
      <c r="BT27" s="336">
        <v>4</v>
      </c>
      <c r="BU27" s="334" t="s">
        <v>69</v>
      </c>
      <c r="BV27" s="321" t="s">
        <v>69</v>
      </c>
      <c r="BW27" s="321" t="s">
        <v>69</v>
      </c>
      <c r="BX27" s="321">
        <v>4</v>
      </c>
      <c r="BY27" s="321" t="s">
        <v>69</v>
      </c>
      <c r="BZ27" s="334" t="s">
        <v>69</v>
      </c>
      <c r="CA27" s="334">
        <v>4</v>
      </c>
      <c r="CB27" s="334">
        <v>4</v>
      </c>
      <c r="CC27" s="334" t="s">
        <v>69</v>
      </c>
      <c r="CD27" s="321" t="s">
        <v>69</v>
      </c>
      <c r="CE27" s="321" t="s">
        <v>69</v>
      </c>
      <c r="CF27" s="321" t="s">
        <v>69</v>
      </c>
      <c r="CG27" s="334">
        <v>4</v>
      </c>
      <c r="CH27" s="334" t="s">
        <v>69</v>
      </c>
      <c r="CI27" s="323" t="s">
        <v>69</v>
      </c>
      <c r="CJ27" s="323" t="s">
        <v>69</v>
      </c>
      <c r="CK27" s="323" t="s">
        <v>69</v>
      </c>
      <c r="CL27" s="323" t="s">
        <v>69</v>
      </c>
      <c r="CM27" s="333" t="s">
        <v>69</v>
      </c>
      <c r="CN27" s="333" t="s">
        <v>69</v>
      </c>
      <c r="CO27" s="333" t="s">
        <v>69</v>
      </c>
      <c r="CP27" s="333" t="s">
        <v>69</v>
      </c>
      <c r="CQ27" s="333" t="s">
        <v>69</v>
      </c>
      <c r="CR27" s="333" t="s">
        <v>69</v>
      </c>
      <c r="CS27" s="333" t="s">
        <v>69</v>
      </c>
      <c r="CT27" s="333" t="s">
        <v>69</v>
      </c>
      <c r="CU27" s="333" t="s">
        <v>69</v>
      </c>
      <c r="CV27" s="323" t="s">
        <v>69</v>
      </c>
      <c r="CW27" s="323" t="s">
        <v>69</v>
      </c>
      <c r="CX27" s="323">
        <v>4</v>
      </c>
      <c r="CY27" s="323" t="s">
        <v>69</v>
      </c>
      <c r="CZ27" s="321" t="s">
        <v>69</v>
      </c>
      <c r="DA27" s="323" t="s">
        <v>69</v>
      </c>
      <c r="DB27" s="323" t="s">
        <v>69</v>
      </c>
      <c r="DC27" s="321" t="s">
        <v>69</v>
      </c>
      <c r="DD27" s="321" t="s">
        <v>69</v>
      </c>
      <c r="DE27" s="323" t="s">
        <v>69</v>
      </c>
      <c r="DF27" s="333" t="s">
        <v>69</v>
      </c>
      <c r="DG27" s="333" t="s">
        <v>69</v>
      </c>
      <c r="DH27" s="323" t="s">
        <v>69</v>
      </c>
      <c r="DI27" s="323" t="s">
        <v>69</v>
      </c>
      <c r="DJ27" s="321" t="s">
        <v>69</v>
      </c>
      <c r="DK27" s="323" t="s">
        <v>69</v>
      </c>
      <c r="DL27" s="323" t="s">
        <v>69</v>
      </c>
      <c r="DM27" s="323" t="s">
        <v>69</v>
      </c>
      <c r="DN27" s="323" t="s">
        <v>69</v>
      </c>
      <c r="DO27" s="323" t="s">
        <v>69</v>
      </c>
      <c r="DP27" s="323" t="s">
        <v>69</v>
      </c>
      <c r="DQ27" s="323" t="s">
        <v>69</v>
      </c>
      <c r="DR27" s="323" t="s">
        <v>69</v>
      </c>
      <c r="DS27" s="334" t="s">
        <v>69</v>
      </c>
      <c r="DT27" s="334">
        <v>4</v>
      </c>
      <c r="DU27" s="334">
        <v>4</v>
      </c>
      <c r="DV27" s="317">
        <f t="shared" si="1"/>
        <v>0.38095238095238093</v>
      </c>
      <c r="DW27" s="356">
        <f t="shared" si="0"/>
        <v>1</v>
      </c>
      <c r="DX27" s="156" t="str">
        <f>VLOOKUP(B27,[1]Pointage!$A:$D,4,0)</f>
        <v>Mourad Saitali</v>
      </c>
    </row>
    <row r="28" spans="1:131" s="156" customFormat="1" ht="118.5" hidden="1" customHeight="1">
      <c r="A28" s="312">
        <v>12</v>
      </c>
      <c r="B28" s="318" t="s">
        <v>228</v>
      </c>
      <c r="C28" s="383" t="s">
        <v>229</v>
      </c>
      <c r="D28" s="376">
        <v>43864</v>
      </c>
      <c r="E28" s="320" t="s">
        <v>217</v>
      </c>
      <c r="F28" s="381" t="s">
        <v>633</v>
      </c>
      <c r="G28" s="323" t="s">
        <v>69</v>
      </c>
      <c r="H28" s="323" t="s">
        <v>69</v>
      </c>
      <c r="I28" s="323" t="s">
        <v>69</v>
      </c>
      <c r="J28" s="321" t="s">
        <v>69</v>
      </c>
      <c r="K28" s="323" t="s">
        <v>69</v>
      </c>
      <c r="L28" s="321" t="s">
        <v>69</v>
      </c>
      <c r="M28" s="321" t="s">
        <v>69</v>
      </c>
      <c r="N28" s="321" t="s">
        <v>69</v>
      </c>
      <c r="O28" s="321" t="s">
        <v>69</v>
      </c>
      <c r="P28" s="321" t="s">
        <v>69</v>
      </c>
      <c r="Q28" s="321" t="s">
        <v>69</v>
      </c>
      <c r="R28" s="321">
        <v>4</v>
      </c>
      <c r="S28" s="321">
        <v>4</v>
      </c>
      <c r="T28" s="321" t="s">
        <v>69</v>
      </c>
      <c r="U28" s="321" t="s">
        <v>69</v>
      </c>
      <c r="V28" s="321" t="s">
        <v>69</v>
      </c>
      <c r="W28" s="321">
        <v>4</v>
      </c>
      <c r="X28" s="321">
        <v>4</v>
      </c>
      <c r="Y28" s="321" t="s">
        <v>69</v>
      </c>
      <c r="Z28" s="321" t="s">
        <v>69</v>
      </c>
      <c r="AA28" s="334">
        <v>4</v>
      </c>
      <c r="AB28" s="321">
        <v>4</v>
      </c>
      <c r="AC28" s="321">
        <v>4</v>
      </c>
      <c r="AD28" s="334">
        <v>4</v>
      </c>
      <c r="AE28" s="321" t="s">
        <v>69</v>
      </c>
      <c r="AF28" s="321" t="s">
        <v>69</v>
      </c>
      <c r="AG28" s="321" t="s">
        <v>69</v>
      </c>
      <c r="AH28" s="321" t="s">
        <v>69</v>
      </c>
      <c r="AI28" s="321" t="s">
        <v>69</v>
      </c>
      <c r="AJ28" s="321" t="s">
        <v>69</v>
      </c>
      <c r="AK28" s="334">
        <v>4</v>
      </c>
      <c r="AL28" s="333" t="s">
        <v>69</v>
      </c>
      <c r="AM28" s="321">
        <v>4</v>
      </c>
      <c r="AN28" s="321">
        <v>4</v>
      </c>
      <c r="AO28" s="321">
        <v>4</v>
      </c>
      <c r="AP28" s="321">
        <v>4</v>
      </c>
      <c r="AQ28" s="334">
        <v>4</v>
      </c>
      <c r="AR28" s="334">
        <v>4</v>
      </c>
      <c r="AS28" s="321" t="s">
        <v>69</v>
      </c>
      <c r="AT28" s="321" t="s">
        <v>69</v>
      </c>
      <c r="AU28" s="321" t="s">
        <v>69</v>
      </c>
      <c r="AV28" s="321" t="s">
        <v>69</v>
      </c>
      <c r="AW28" s="321" t="s">
        <v>69</v>
      </c>
      <c r="AX28" s="321" t="s">
        <v>69</v>
      </c>
      <c r="AY28" s="321" t="s">
        <v>69</v>
      </c>
      <c r="AZ28" s="321" t="s">
        <v>69</v>
      </c>
      <c r="BA28" s="321" t="s">
        <v>69</v>
      </c>
      <c r="BB28" s="321" t="s">
        <v>69</v>
      </c>
      <c r="BC28" s="321" t="s">
        <v>69</v>
      </c>
      <c r="BD28" s="321" t="s">
        <v>69</v>
      </c>
      <c r="BE28" s="334">
        <v>4</v>
      </c>
      <c r="BF28" s="321" t="s">
        <v>69</v>
      </c>
      <c r="BG28" s="321" t="s">
        <v>69</v>
      </c>
      <c r="BH28" s="321" t="s">
        <v>69</v>
      </c>
      <c r="BI28" s="321" t="s">
        <v>69</v>
      </c>
      <c r="BJ28" s="336" t="s">
        <v>69</v>
      </c>
      <c r="BK28" s="321" t="s">
        <v>69</v>
      </c>
      <c r="BL28" s="336" t="s">
        <v>69</v>
      </c>
      <c r="BM28" s="321" t="s">
        <v>69</v>
      </c>
      <c r="BN28" s="321" t="s">
        <v>69</v>
      </c>
      <c r="BO28" s="336" t="s">
        <v>69</v>
      </c>
      <c r="BP28" s="321" t="s">
        <v>69</v>
      </c>
      <c r="BQ28" s="336" t="s">
        <v>69</v>
      </c>
      <c r="BR28" s="336" t="s">
        <v>69</v>
      </c>
      <c r="BS28" s="336">
        <v>4</v>
      </c>
      <c r="BT28" s="336" t="s">
        <v>69</v>
      </c>
      <c r="BU28" s="334" t="s">
        <v>69</v>
      </c>
      <c r="BV28" s="321" t="s">
        <v>69</v>
      </c>
      <c r="BW28" s="321" t="s">
        <v>69</v>
      </c>
      <c r="BX28" s="321" t="s">
        <v>69</v>
      </c>
      <c r="BY28" s="321">
        <v>4</v>
      </c>
      <c r="BZ28" s="321" t="s">
        <v>69</v>
      </c>
      <c r="CA28" s="334" t="s">
        <v>69</v>
      </c>
      <c r="CB28" s="334" t="s">
        <v>69</v>
      </c>
      <c r="CC28" s="321">
        <v>4</v>
      </c>
      <c r="CD28" s="321" t="s">
        <v>69</v>
      </c>
      <c r="CE28" s="321" t="s">
        <v>69</v>
      </c>
      <c r="CF28" s="321" t="s">
        <v>69</v>
      </c>
      <c r="CG28" s="321">
        <v>4</v>
      </c>
      <c r="CH28" s="334" t="s">
        <v>69</v>
      </c>
      <c r="CI28" s="323" t="s">
        <v>69</v>
      </c>
      <c r="CJ28" s="323" t="s">
        <v>69</v>
      </c>
      <c r="CK28" s="323" t="s">
        <v>69</v>
      </c>
      <c r="CL28" s="323" t="s">
        <v>69</v>
      </c>
      <c r="CM28" s="333" t="s">
        <v>69</v>
      </c>
      <c r="CN28" s="333" t="s">
        <v>69</v>
      </c>
      <c r="CO28" s="333" t="s">
        <v>69</v>
      </c>
      <c r="CP28" s="333" t="s">
        <v>69</v>
      </c>
      <c r="CQ28" s="333" t="s">
        <v>69</v>
      </c>
      <c r="CR28" s="333" t="s">
        <v>69</v>
      </c>
      <c r="CS28" s="333" t="s">
        <v>69</v>
      </c>
      <c r="CT28" s="333" t="s">
        <v>69</v>
      </c>
      <c r="CU28" s="333" t="s">
        <v>69</v>
      </c>
      <c r="CV28" s="321">
        <v>4</v>
      </c>
      <c r="CW28" s="321">
        <v>4</v>
      </c>
      <c r="CX28" s="321">
        <v>4</v>
      </c>
      <c r="CY28" s="323" t="s">
        <v>69</v>
      </c>
      <c r="CZ28" s="321" t="s">
        <v>69</v>
      </c>
      <c r="DA28" s="321">
        <v>4</v>
      </c>
      <c r="DB28" s="321">
        <v>4</v>
      </c>
      <c r="DC28" s="321">
        <v>4</v>
      </c>
      <c r="DD28" s="321">
        <v>4</v>
      </c>
      <c r="DE28" s="323" t="s">
        <v>69</v>
      </c>
      <c r="DF28" s="321">
        <v>4</v>
      </c>
      <c r="DG28" s="321">
        <v>4</v>
      </c>
      <c r="DH28" s="323">
        <v>4</v>
      </c>
      <c r="DI28" s="323">
        <v>0</v>
      </c>
      <c r="DJ28" s="321" t="s">
        <v>69</v>
      </c>
      <c r="DK28" s="323" t="s">
        <v>69</v>
      </c>
      <c r="DL28" s="323" t="s">
        <v>69</v>
      </c>
      <c r="DM28" s="323" t="s">
        <v>69</v>
      </c>
      <c r="DN28" s="323" t="s">
        <v>69</v>
      </c>
      <c r="DO28" s="323" t="s">
        <v>69</v>
      </c>
      <c r="DP28" s="323" t="s">
        <v>69</v>
      </c>
      <c r="DQ28" s="323" t="s">
        <v>69</v>
      </c>
      <c r="DR28" s="323" t="s">
        <v>69</v>
      </c>
      <c r="DS28" s="321" t="s">
        <v>69</v>
      </c>
      <c r="DT28" s="334" t="s">
        <v>69</v>
      </c>
      <c r="DU28" s="334">
        <v>4</v>
      </c>
      <c r="DV28" s="317">
        <f t="shared" si="1"/>
        <v>0.49206349206349204</v>
      </c>
      <c r="DW28" s="356">
        <f t="shared" si="0"/>
        <v>1</v>
      </c>
      <c r="DX28" s="156" t="str">
        <f>VLOOKUP(B28,[1]Pointage!$A:$D,4,0)</f>
        <v>Mourad Saitali</v>
      </c>
      <c r="DY28" s="300"/>
      <c r="DZ28" s="300"/>
      <c r="EA28" s="300"/>
    </row>
    <row r="29" spans="1:131" s="156" customFormat="1" ht="118.5" hidden="1" customHeight="1">
      <c r="A29" s="312">
        <v>13</v>
      </c>
      <c r="B29" s="318" t="s">
        <v>230</v>
      </c>
      <c r="C29" s="383" t="s">
        <v>231</v>
      </c>
      <c r="D29" s="376">
        <v>43924</v>
      </c>
      <c r="E29" s="320" t="s">
        <v>214</v>
      </c>
      <c r="F29" s="381" t="s">
        <v>633</v>
      </c>
      <c r="G29" s="337">
        <v>4</v>
      </c>
      <c r="H29" s="334">
        <v>4</v>
      </c>
      <c r="I29" s="337">
        <v>4</v>
      </c>
      <c r="J29" s="321" t="s">
        <v>69</v>
      </c>
      <c r="K29" s="334">
        <v>4</v>
      </c>
      <c r="L29" s="321" t="s">
        <v>69</v>
      </c>
      <c r="M29" s="321" t="s">
        <v>69</v>
      </c>
      <c r="N29" s="321" t="s">
        <v>69</v>
      </c>
      <c r="O29" s="321" t="s">
        <v>69</v>
      </c>
      <c r="P29" s="321" t="s">
        <v>69</v>
      </c>
      <c r="Q29" s="321" t="s">
        <v>69</v>
      </c>
      <c r="R29" s="321">
        <v>4</v>
      </c>
      <c r="S29" s="321" t="s">
        <v>69</v>
      </c>
      <c r="T29" s="321" t="s">
        <v>69</v>
      </c>
      <c r="U29" s="321" t="s">
        <v>69</v>
      </c>
      <c r="V29" s="336" t="s">
        <v>69</v>
      </c>
      <c r="W29" s="321" t="s">
        <v>69</v>
      </c>
      <c r="X29" s="321" t="s">
        <v>69</v>
      </c>
      <c r="Y29" s="321" t="s">
        <v>69</v>
      </c>
      <c r="Z29" s="321" t="s">
        <v>69</v>
      </c>
      <c r="AA29" s="336">
        <v>4</v>
      </c>
      <c r="AB29" s="321">
        <v>4</v>
      </c>
      <c r="AC29" s="321" t="s">
        <v>69</v>
      </c>
      <c r="AD29" s="333">
        <v>4</v>
      </c>
      <c r="AE29" s="321" t="s">
        <v>69</v>
      </c>
      <c r="AF29" s="321" t="s">
        <v>69</v>
      </c>
      <c r="AG29" s="321" t="s">
        <v>69</v>
      </c>
      <c r="AH29" s="321" t="s">
        <v>69</v>
      </c>
      <c r="AI29" s="321" t="s">
        <v>69</v>
      </c>
      <c r="AJ29" s="321" t="s">
        <v>69</v>
      </c>
      <c r="AK29" s="334">
        <v>4</v>
      </c>
      <c r="AL29" s="334">
        <v>4</v>
      </c>
      <c r="AM29" s="321" t="s">
        <v>69</v>
      </c>
      <c r="AN29" s="321" t="s">
        <v>69</v>
      </c>
      <c r="AO29" s="321" t="s">
        <v>69</v>
      </c>
      <c r="AP29" s="321" t="s">
        <v>69</v>
      </c>
      <c r="AQ29" s="334">
        <v>4</v>
      </c>
      <c r="AR29" s="334">
        <v>4</v>
      </c>
      <c r="AS29" s="321" t="s">
        <v>69</v>
      </c>
      <c r="AT29" s="321" t="s">
        <v>69</v>
      </c>
      <c r="AU29" s="321" t="s">
        <v>69</v>
      </c>
      <c r="AV29" s="321" t="s">
        <v>69</v>
      </c>
      <c r="AW29" s="321" t="s">
        <v>69</v>
      </c>
      <c r="AX29" s="321" t="s">
        <v>69</v>
      </c>
      <c r="AY29" s="321" t="s">
        <v>69</v>
      </c>
      <c r="AZ29" s="321" t="s">
        <v>69</v>
      </c>
      <c r="BA29" s="321" t="s">
        <v>69</v>
      </c>
      <c r="BB29" s="321" t="s">
        <v>69</v>
      </c>
      <c r="BC29" s="321" t="s">
        <v>69</v>
      </c>
      <c r="BD29" s="321" t="s">
        <v>69</v>
      </c>
      <c r="BE29" s="334">
        <v>4</v>
      </c>
      <c r="BF29" s="334">
        <v>4</v>
      </c>
      <c r="BG29" s="334">
        <v>4</v>
      </c>
      <c r="BH29" s="321" t="s">
        <v>69</v>
      </c>
      <c r="BI29" s="321" t="s">
        <v>69</v>
      </c>
      <c r="BJ29" s="334">
        <v>4</v>
      </c>
      <c r="BK29" s="334">
        <v>4</v>
      </c>
      <c r="BL29" s="336" t="s">
        <v>69</v>
      </c>
      <c r="BM29" s="321" t="s">
        <v>69</v>
      </c>
      <c r="BN29" s="321" t="s">
        <v>69</v>
      </c>
      <c r="BO29" s="334">
        <v>4</v>
      </c>
      <c r="BP29" s="321" t="s">
        <v>69</v>
      </c>
      <c r="BQ29" s="336" t="s">
        <v>69</v>
      </c>
      <c r="BR29" s="336" t="s">
        <v>69</v>
      </c>
      <c r="BS29" s="336">
        <v>4</v>
      </c>
      <c r="BT29" s="336" t="s">
        <v>69</v>
      </c>
      <c r="BU29" s="334" t="s">
        <v>69</v>
      </c>
      <c r="BV29" s="321" t="s">
        <v>69</v>
      </c>
      <c r="BW29" s="321" t="s">
        <v>69</v>
      </c>
      <c r="BX29" s="321">
        <v>4</v>
      </c>
      <c r="BY29" s="321" t="s">
        <v>69</v>
      </c>
      <c r="BZ29" s="334" t="s">
        <v>69</v>
      </c>
      <c r="CA29" s="334" t="s">
        <v>69</v>
      </c>
      <c r="CB29" s="334" t="s">
        <v>69</v>
      </c>
      <c r="CC29" s="334" t="s">
        <v>69</v>
      </c>
      <c r="CD29" s="321" t="s">
        <v>69</v>
      </c>
      <c r="CE29" s="321" t="s">
        <v>69</v>
      </c>
      <c r="CF29" s="321" t="s">
        <v>69</v>
      </c>
      <c r="CG29" s="334" t="s">
        <v>69</v>
      </c>
      <c r="CH29" s="334" t="s">
        <v>69</v>
      </c>
      <c r="CI29" s="323" t="s">
        <v>69</v>
      </c>
      <c r="CJ29" s="323" t="s">
        <v>69</v>
      </c>
      <c r="CK29" s="323" t="s">
        <v>69</v>
      </c>
      <c r="CL29" s="323" t="s">
        <v>69</v>
      </c>
      <c r="CM29" s="333" t="s">
        <v>69</v>
      </c>
      <c r="CN29" s="333" t="s">
        <v>69</v>
      </c>
      <c r="CO29" s="333" t="s">
        <v>69</v>
      </c>
      <c r="CP29" s="333" t="s">
        <v>69</v>
      </c>
      <c r="CQ29" s="333" t="s">
        <v>69</v>
      </c>
      <c r="CR29" s="333" t="s">
        <v>69</v>
      </c>
      <c r="CS29" s="333" t="s">
        <v>69</v>
      </c>
      <c r="CT29" s="333" t="s">
        <v>69</v>
      </c>
      <c r="CU29" s="333" t="s">
        <v>69</v>
      </c>
      <c r="CV29" s="323" t="s">
        <v>69</v>
      </c>
      <c r="CW29" s="323" t="s">
        <v>69</v>
      </c>
      <c r="CX29" s="323" t="s">
        <v>69</v>
      </c>
      <c r="CY29" s="323" t="s">
        <v>69</v>
      </c>
      <c r="CZ29" s="321" t="s">
        <v>69</v>
      </c>
      <c r="DA29" s="323" t="s">
        <v>69</v>
      </c>
      <c r="DB29" s="323" t="s">
        <v>69</v>
      </c>
      <c r="DC29" s="321" t="s">
        <v>69</v>
      </c>
      <c r="DD29" s="321" t="s">
        <v>69</v>
      </c>
      <c r="DE29" s="323" t="s">
        <v>69</v>
      </c>
      <c r="DF29" s="333" t="s">
        <v>69</v>
      </c>
      <c r="DG29" s="333" t="s">
        <v>69</v>
      </c>
      <c r="DH29" s="323" t="s">
        <v>69</v>
      </c>
      <c r="DI29" s="323" t="s">
        <v>69</v>
      </c>
      <c r="DJ29" s="321" t="s">
        <v>69</v>
      </c>
      <c r="DK29" s="323" t="s">
        <v>69</v>
      </c>
      <c r="DL29" s="323" t="s">
        <v>69</v>
      </c>
      <c r="DM29" s="323" t="s">
        <v>69</v>
      </c>
      <c r="DN29" s="323" t="s">
        <v>69</v>
      </c>
      <c r="DO29" s="323" t="s">
        <v>69</v>
      </c>
      <c r="DP29" s="323" t="s">
        <v>69</v>
      </c>
      <c r="DQ29" s="323" t="s">
        <v>69</v>
      </c>
      <c r="DR29" s="323" t="s">
        <v>69</v>
      </c>
      <c r="DS29" s="334">
        <v>4</v>
      </c>
      <c r="DT29" s="334" t="s">
        <v>69</v>
      </c>
      <c r="DU29" s="334" t="s">
        <v>69</v>
      </c>
      <c r="DV29" s="317">
        <f t="shared" si="1"/>
        <v>0.33333333333333331</v>
      </c>
      <c r="DW29" s="356">
        <f t="shared" si="0"/>
        <v>1</v>
      </c>
      <c r="DX29" s="156" t="str">
        <f>VLOOKUP(B29,[1]Pointage!$A:$D,4,0)</f>
        <v>Mourad Saitali</v>
      </c>
    </row>
    <row r="30" spans="1:131" s="156" customFormat="1" ht="118.5" hidden="1" customHeight="1">
      <c r="A30" s="312">
        <v>14</v>
      </c>
      <c r="B30" s="339" t="s">
        <v>171</v>
      </c>
      <c r="C30" s="383" t="s">
        <v>172</v>
      </c>
      <c r="D30" s="376">
        <v>44119</v>
      </c>
      <c r="E30" s="340" t="s">
        <v>215</v>
      </c>
      <c r="F30" s="381" t="s">
        <v>635</v>
      </c>
      <c r="G30" s="341" t="s">
        <v>212</v>
      </c>
      <c r="H30" s="341" t="s">
        <v>212</v>
      </c>
      <c r="I30" s="342" t="s">
        <v>69</v>
      </c>
      <c r="J30" s="341" t="s">
        <v>212</v>
      </c>
      <c r="K30" s="342" t="s">
        <v>69</v>
      </c>
      <c r="L30" s="342" t="s">
        <v>69</v>
      </c>
      <c r="M30" s="342" t="s">
        <v>212</v>
      </c>
      <c r="N30" s="342" t="s">
        <v>212</v>
      </c>
      <c r="O30" s="342" t="s">
        <v>212</v>
      </c>
      <c r="P30" s="342" t="s">
        <v>212</v>
      </c>
      <c r="Q30" s="342" t="s">
        <v>212</v>
      </c>
      <c r="R30" s="342" t="s">
        <v>212</v>
      </c>
      <c r="S30" s="342" t="s">
        <v>69</v>
      </c>
      <c r="T30" s="342" t="s">
        <v>69</v>
      </c>
      <c r="U30" s="342" t="s">
        <v>69</v>
      </c>
      <c r="V30" s="342" t="s">
        <v>69</v>
      </c>
      <c r="W30" s="342" t="s">
        <v>69</v>
      </c>
      <c r="X30" s="342" t="s">
        <v>212</v>
      </c>
      <c r="Y30" s="342" t="s">
        <v>212</v>
      </c>
      <c r="Z30" s="342" t="s">
        <v>212</v>
      </c>
      <c r="AA30" s="342" t="s">
        <v>212</v>
      </c>
      <c r="AB30" s="342" t="s">
        <v>212</v>
      </c>
      <c r="AC30" s="342" t="s">
        <v>69</v>
      </c>
      <c r="AD30" s="342" t="s">
        <v>69</v>
      </c>
      <c r="AE30" s="342" t="s">
        <v>69</v>
      </c>
      <c r="AF30" s="342" t="s">
        <v>69</v>
      </c>
      <c r="AG30" s="342" t="s">
        <v>69</v>
      </c>
      <c r="AH30" s="342" t="s">
        <v>69</v>
      </c>
      <c r="AI30" s="342" t="s">
        <v>69</v>
      </c>
      <c r="AJ30" s="342" t="s">
        <v>69</v>
      </c>
      <c r="AK30" s="342" t="s">
        <v>69</v>
      </c>
      <c r="AL30" s="342" t="s">
        <v>212</v>
      </c>
      <c r="AM30" s="342" t="s">
        <v>212</v>
      </c>
      <c r="AN30" s="342" t="s">
        <v>69</v>
      </c>
      <c r="AO30" s="342" t="s">
        <v>69</v>
      </c>
      <c r="AP30" s="342" t="s">
        <v>69</v>
      </c>
      <c r="AQ30" s="342">
        <v>4</v>
      </c>
      <c r="AR30" s="341" t="s">
        <v>69</v>
      </c>
      <c r="AS30" s="342" t="s">
        <v>69</v>
      </c>
      <c r="AT30" s="342" t="s">
        <v>69</v>
      </c>
      <c r="AU30" s="342" t="s">
        <v>69</v>
      </c>
      <c r="AV30" s="342" t="s">
        <v>69</v>
      </c>
      <c r="AW30" s="342">
        <v>4</v>
      </c>
      <c r="AX30" s="342" t="s">
        <v>69</v>
      </c>
      <c r="AY30" s="342">
        <v>4</v>
      </c>
      <c r="AZ30" s="342" t="s">
        <v>69</v>
      </c>
      <c r="BA30" s="342" t="s">
        <v>69</v>
      </c>
      <c r="BB30" s="342" t="s">
        <v>69</v>
      </c>
      <c r="BC30" s="342" t="s">
        <v>69</v>
      </c>
      <c r="BD30" s="342" t="s">
        <v>69</v>
      </c>
      <c r="BE30" s="342" t="s">
        <v>69</v>
      </c>
      <c r="BF30" s="341" t="s">
        <v>69</v>
      </c>
      <c r="BG30" s="342" t="s">
        <v>69</v>
      </c>
      <c r="BH30" s="342" t="s">
        <v>69</v>
      </c>
      <c r="BI30" s="342" t="s">
        <v>69</v>
      </c>
      <c r="BJ30" s="342">
        <v>4</v>
      </c>
      <c r="BK30" s="342" t="s">
        <v>69</v>
      </c>
      <c r="BL30" s="342" t="s">
        <v>69</v>
      </c>
      <c r="BM30" s="342" t="s">
        <v>69</v>
      </c>
      <c r="BN30" s="342" t="s">
        <v>69</v>
      </c>
      <c r="BO30" s="342" t="s">
        <v>69</v>
      </c>
      <c r="BP30" s="342" t="s">
        <v>69</v>
      </c>
      <c r="BQ30" s="342" t="s">
        <v>69</v>
      </c>
      <c r="BR30" s="341" t="s">
        <v>69</v>
      </c>
      <c r="BS30" s="342" t="s">
        <v>69</v>
      </c>
      <c r="BT30" s="343">
        <v>4</v>
      </c>
      <c r="BU30" s="342" t="s">
        <v>212</v>
      </c>
      <c r="BV30" s="342" t="s">
        <v>212</v>
      </c>
      <c r="BW30" s="342" t="s">
        <v>69</v>
      </c>
      <c r="BX30" s="342" t="s">
        <v>69</v>
      </c>
      <c r="BY30" s="342" t="s">
        <v>69</v>
      </c>
      <c r="BZ30" s="342" t="s">
        <v>212</v>
      </c>
      <c r="CA30" s="341" t="s">
        <v>212</v>
      </c>
      <c r="CB30" s="342" t="s">
        <v>212</v>
      </c>
      <c r="CC30" s="341" t="s">
        <v>212</v>
      </c>
      <c r="CD30" s="342" t="s">
        <v>212</v>
      </c>
      <c r="CE30" s="342" t="s">
        <v>212</v>
      </c>
      <c r="CF30" s="342" t="s">
        <v>212</v>
      </c>
      <c r="CG30" s="342">
        <v>4</v>
      </c>
      <c r="CH30" s="342" t="s">
        <v>212</v>
      </c>
      <c r="CI30" s="341" t="s">
        <v>69</v>
      </c>
      <c r="CJ30" s="342" t="s">
        <v>69</v>
      </c>
      <c r="CK30" s="342" t="s">
        <v>69</v>
      </c>
      <c r="CL30" s="342" t="s">
        <v>69</v>
      </c>
      <c r="CM30" s="344" t="s">
        <v>69</v>
      </c>
      <c r="CN30" s="344" t="s">
        <v>69</v>
      </c>
      <c r="CO30" s="344" t="s">
        <v>69</v>
      </c>
      <c r="CP30" s="344" t="s">
        <v>69</v>
      </c>
      <c r="CQ30" s="344" t="s">
        <v>69</v>
      </c>
      <c r="CR30" s="344" t="s">
        <v>69</v>
      </c>
      <c r="CS30" s="344" t="s">
        <v>69</v>
      </c>
      <c r="CT30" s="344" t="s">
        <v>69</v>
      </c>
      <c r="CU30" s="344" t="s">
        <v>69</v>
      </c>
      <c r="CV30" s="342" t="s">
        <v>69</v>
      </c>
      <c r="CW30" s="342" t="s">
        <v>212</v>
      </c>
      <c r="CX30" s="342" t="s">
        <v>212</v>
      </c>
      <c r="CY30" s="341" t="s">
        <v>212</v>
      </c>
      <c r="CZ30" s="342" t="s">
        <v>212</v>
      </c>
      <c r="DA30" s="342" t="s">
        <v>212</v>
      </c>
      <c r="DB30" s="342" t="s">
        <v>212</v>
      </c>
      <c r="DC30" s="342" t="s">
        <v>212</v>
      </c>
      <c r="DD30" s="341" t="s">
        <v>212</v>
      </c>
      <c r="DE30" s="342">
        <v>3</v>
      </c>
      <c r="DF30" s="342" t="s">
        <v>212</v>
      </c>
      <c r="DG30" s="341" t="s">
        <v>212</v>
      </c>
      <c r="DH30" s="342" t="s">
        <v>212</v>
      </c>
      <c r="DI30" s="341" t="s">
        <v>212</v>
      </c>
      <c r="DJ30" s="342" t="s">
        <v>212</v>
      </c>
      <c r="DK30" s="342" t="s">
        <v>212</v>
      </c>
      <c r="DL30" s="345" t="s">
        <v>69</v>
      </c>
      <c r="DM30" s="345" t="s">
        <v>69</v>
      </c>
      <c r="DN30" s="345" t="s">
        <v>69</v>
      </c>
      <c r="DO30" s="345" t="s">
        <v>69</v>
      </c>
      <c r="DP30" s="345" t="s">
        <v>69</v>
      </c>
      <c r="DQ30" s="345" t="s">
        <v>69</v>
      </c>
      <c r="DR30" s="345" t="s">
        <v>69</v>
      </c>
      <c r="DS30" s="342" t="s">
        <v>212</v>
      </c>
      <c r="DT30" s="342" t="s">
        <v>212</v>
      </c>
      <c r="DU30" s="346">
        <v>4</v>
      </c>
      <c r="DV30" s="317">
        <f t="shared" si="1"/>
        <v>0.12698412698412698</v>
      </c>
      <c r="DW30" s="356">
        <f t="shared" si="0"/>
        <v>1</v>
      </c>
      <c r="DX30" s="156" t="e">
        <f>VLOOKUP(B30,[1]Pointage!$A:$D,4,0)</f>
        <v>#N/A</v>
      </c>
    </row>
    <row r="31" spans="1:131" s="156" customFormat="1" ht="118.5" hidden="1" customHeight="1">
      <c r="A31" s="312">
        <v>15</v>
      </c>
      <c r="B31" s="318" t="s">
        <v>232</v>
      </c>
      <c r="C31" s="383" t="s">
        <v>1035</v>
      </c>
      <c r="D31" s="376">
        <v>42950</v>
      </c>
      <c r="E31" s="320" t="s">
        <v>214</v>
      </c>
      <c r="F31" s="381" t="s">
        <v>633</v>
      </c>
      <c r="G31" s="323" t="s">
        <v>69</v>
      </c>
      <c r="H31" s="323" t="s">
        <v>69</v>
      </c>
      <c r="I31" s="323" t="s">
        <v>69</v>
      </c>
      <c r="J31" s="321" t="s">
        <v>69</v>
      </c>
      <c r="K31" s="321" t="s">
        <v>69</v>
      </c>
      <c r="L31" s="321" t="s">
        <v>69</v>
      </c>
      <c r="M31" s="321" t="s">
        <v>69</v>
      </c>
      <c r="N31" s="321" t="s">
        <v>69</v>
      </c>
      <c r="O31" s="321" t="s">
        <v>69</v>
      </c>
      <c r="P31" s="321" t="s">
        <v>69</v>
      </c>
      <c r="Q31" s="321" t="s">
        <v>69</v>
      </c>
      <c r="R31" s="321" t="s">
        <v>69</v>
      </c>
      <c r="S31" s="321" t="s">
        <v>69</v>
      </c>
      <c r="T31" s="321" t="s">
        <v>69</v>
      </c>
      <c r="U31" s="321" t="s">
        <v>69</v>
      </c>
      <c r="V31" s="336" t="s">
        <v>69</v>
      </c>
      <c r="W31" s="321" t="s">
        <v>69</v>
      </c>
      <c r="X31" s="321" t="s">
        <v>69</v>
      </c>
      <c r="Y31" s="321" t="s">
        <v>69</v>
      </c>
      <c r="Z31" s="321" t="s">
        <v>69</v>
      </c>
      <c r="AA31" s="336" t="s">
        <v>69</v>
      </c>
      <c r="AB31" s="321">
        <v>4</v>
      </c>
      <c r="AC31" s="321" t="s">
        <v>69</v>
      </c>
      <c r="AD31" s="333" t="s">
        <v>69</v>
      </c>
      <c r="AE31" s="321" t="s">
        <v>69</v>
      </c>
      <c r="AF31" s="321" t="s">
        <v>69</v>
      </c>
      <c r="AG31" s="321">
        <v>4</v>
      </c>
      <c r="AH31" s="321">
        <v>4</v>
      </c>
      <c r="AI31" s="321">
        <v>4</v>
      </c>
      <c r="AJ31" s="321">
        <v>4</v>
      </c>
      <c r="AK31" s="334">
        <v>4</v>
      </c>
      <c r="AL31" s="334">
        <v>4</v>
      </c>
      <c r="AM31" s="321">
        <v>4</v>
      </c>
      <c r="AN31" s="321">
        <v>4</v>
      </c>
      <c r="AO31" s="321">
        <v>4</v>
      </c>
      <c r="AP31" s="321">
        <v>4</v>
      </c>
      <c r="AQ31" s="334">
        <v>4</v>
      </c>
      <c r="AR31" s="334">
        <v>4</v>
      </c>
      <c r="AS31" s="321" t="s">
        <v>69</v>
      </c>
      <c r="AT31" s="321" t="s">
        <v>69</v>
      </c>
      <c r="AU31" s="321" t="s">
        <v>69</v>
      </c>
      <c r="AV31" s="321" t="s">
        <v>69</v>
      </c>
      <c r="AW31" s="321" t="s">
        <v>69</v>
      </c>
      <c r="AX31" s="321" t="s">
        <v>69</v>
      </c>
      <c r="AY31" s="321" t="s">
        <v>69</v>
      </c>
      <c r="AZ31" s="321" t="s">
        <v>69</v>
      </c>
      <c r="BA31" s="321" t="s">
        <v>69</v>
      </c>
      <c r="BB31" s="321" t="s">
        <v>69</v>
      </c>
      <c r="BC31" s="321" t="s">
        <v>69</v>
      </c>
      <c r="BD31" s="321" t="s">
        <v>69</v>
      </c>
      <c r="BE31" s="329" t="s">
        <v>69</v>
      </c>
      <c r="BF31" s="329" t="s">
        <v>69</v>
      </c>
      <c r="BG31" s="329" t="s">
        <v>69</v>
      </c>
      <c r="BH31" s="321" t="s">
        <v>69</v>
      </c>
      <c r="BI31" s="321" t="s">
        <v>69</v>
      </c>
      <c r="BJ31" s="336" t="s">
        <v>69</v>
      </c>
      <c r="BK31" s="321" t="s">
        <v>69</v>
      </c>
      <c r="BL31" s="336" t="s">
        <v>69</v>
      </c>
      <c r="BM31" s="321" t="s">
        <v>69</v>
      </c>
      <c r="BN31" s="321" t="s">
        <v>69</v>
      </c>
      <c r="BO31" s="334">
        <v>4</v>
      </c>
      <c r="BP31" s="321" t="s">
        <v>69</v>
      </c>
      <c r="BQ31" s="336" t="s">
        <v>69</v>
      </c>
      <c r="BR31" s="336" t="s">
        <v>69</v>
      </c>
      <c r="BS31" s="336">
        <v>4</v>
      </c>
      <c r="BT31" s="336">
        <v>4</v>
      </c>
      <c r="BU31" s="334" t="s">
        <v>69</v>
      </c>
      <c r="BV31" s="321" t="s">
        <v>69</v>
      </c>
      <c r="BW31" s="321" t="s">
        <v>69</v>
      </c>
      <c r="BX31" s="321" t="s">
        <v>69</v>
      </c>
      <c r="BY31" s="321">
        <v>4</v>
      </c>
      <c r="BZ31" s="334" t="s">
        <v>69</v>
      </c>
      <c r="CA31" s="334" t="s">
        <v>69</v>
      </c>
      <c r="CB31" s="334" t="s">
        <v>69</v>
      </c>
      <c r="CC31" s="334" t="s">
        <v>69</v>
      </c>
      <c r="CD31" s="321" t="s">
        <v>69</v>
      </c>
      <c r="CE31" s="321" t="s">
        <v>69</v>
      </c>
      <c r="CF31" s="321" t="s">
        <v>69</v>
      </c>
      <c r="CG31" s="334" t="s">
        <v>69</v>
      </c>
      <c r="CH31" s="334" t="s">
        <v>69</v>
      </c>
      <c r="CI31" s="323" t="s">
        <v>69</v>
      </c>
      <c r="CJ31" s="323" t="s">
        <v>69</v>
      </c>
      <c r="CK31" s="323" t="s">
        <v>69</v>
      </c>
      <c r="CL31" s="323" t="s">
        <v>69</v>
      </c>
      <c r="CM31" s="333" t="s">
        <v>69</v>
      </c>
      <c r="CN31" s="333" t="s">
        <v>69</v>
      </c>
      <c r="CO31" s="333" t="s">
        <v>69</v>
      </c>
      <c r="CP31" s="333" t="s">
        <v>69</v>
      </c>
      <c r="CQ31" s="333" t="s">
        <v>69</v>
      </c>
      <c r="CR31" s="333" t="s">
        <v>69</v>
      </c>
      <c r="CS31" s="333" t="s">
        <v>69</v>
      </c>
      <c r="CT31" s="333" t="s">
        <v>69</v>
      </c>
      <c r="CU31" s="333" t="s">
        <v>69</v>
      </c>
      <c r="CV31" s="323">
        <v>4</v>
      </c>
      <c r="CW31" s="323" t="s">
        <v>69</v>
      </c>
      <c r="CX31" s="323">
        <v>4</v>
      </c>
      <c r="CY31" s="323" t="s">
        <v>69</v>
      </c>
      <c r="CZ31" s="321" t="s">
        <v>69</v>
      </c>
      <c r="DA31" s="323">
        <v>4</v>
      </c>
      <c r="DB31" s="323">
        <v>4</v>
      </c>
      <c r="DC31" s="321">
        <v>4</v>
      </c>
      <c r="DD31" s="321">
        <v>4</v>
      </c>
      <c r="DE31" s="323">
        <v>4</v>
      </c>
      <c r="DF31" s="333">
        <v>4</v>
      </c>
      <c r="DG31" s="333" t="s">
        <v>69</v>
      </c>
      <c r="DH31" s="323" t="s">
        <v>69</v>
      </c>
      <c r="DI31" s="323" t="s">
        <v>69</v>
      </c>
      <c r="DJ31" s="321" t="s">
        <v>69</v>
      </c>
      <c r="DK31" s="323" t="s">
        <v>69</v>
      </c>
      <c r="DL31" s="323" t="s">
        <v>69</v>
      </c>
      <c r="DM31" s="323" t="s">
        <v>69</v>
      </c>
      <c r="DN31" s="323" t="s">
        <v>69</v>
      </c>
      <c r="DO31" s="323" t="s">
        <v>69</v>
      </c>
      <c r="DP31" s="323" t="s">
        <v>69</v>
      </c>
      <c r="DQ31" s="323" t="s">
        <v>69</v>
      </c>
      <c r="DR31" s="323" t="s">
        <v>69</v>
      </c>
      <c r="DS31" s="334" t="s">
        <v>69</v>
      </c>
      <c r="DT31" s="334" t="s">
        <v>69</v>
      </c>
      <c r="DU31" s="334">
        <v>4</v>
      </c>
      <c r="DV31" s="317">
        <f t="shared" si="1"/>
        <v>0.41269841269841268</v>
      </c>
      <c r="DW31" s="356">
        <f t="shared" si="0"/>
        <v>1</v>
      </c>
      <c r="DX31" s="156" t="str">
        <f>VLOOKUP(B31,[1]Pointage!$A:$D,4,0)</f>
        <v>Mourad Saitali</v>
      </c>
    </row>
    <row r="32" spans="1:131" s="156" customFormat="1" ht="118.5" hidden="1" customHeight="1">
      <c r="A32" s="312">
        <v>16</v>
      </c>
      <c r="B32" s="318" t="s">
        <v>233</v>
      </c>
      <c r="C32" s="383" t="s">
        <v>234</v>
      </c>
      <c r="D32" s="376">
        <v>44119</v>
      </c>
      <c r="E32" s="320" t="s">
        <v>214</v>
      </c>
      <c r="F32" s="381" t="s">
        <v>633</v>
      </c>
      <c r="G32" s="337">
        <v>4</v>
      </c>
      <c r="H32" s="323" t="s">
        <v>69</v>
      </c>
      <c r="I32" s="323" t="s">
        <v>69</v>
      </c>
      <c r="J32" s="321">
        <v>4</v>
      </c>
      <c r="K32" s="323" t="s">
        <v>69</v>
      </c>
      <c r="L32" s="321" t="s">
        <v>69</v>
      </c>
      <c r="M32" s="321" t="s">
        <v>69</v>
      </c>
      <c r="N32" s="321" t="s">
        <v>69</v>
      </c>
      <c r="O32" s="321" t="s">
        <v>69</v>
      </c>
      <c r="P32" s="321" t="s">
        <v>69</v>
      </c>
      <c r="Q32" s="321" t="s">
        <v>69</v>
      </c>
      <c r="R32" s="321">
        <v>4</v>
      </c>
      <c r="S32" s="321">
        <v>4</v>
      </c>
      <c r="T32" s="321" t="s">
        <v>69</v>
      </c>
      <c r="U32" s="321" t="s">
        <v>69</v>
      </c>
      <c r="V32" s="334">
        <v>4</v>
      </c>
      <c r="W32" s="321" t="s">
        <v>69</v>
      </c>
      <c r="X32" s="321" t="s">
        <v>69</v>
      </c>
      <c r="Y32" s="321" t="s">
        <v>69</v>
      </c>
      <c r="Z32" s="321" t="s">
        <v>69</v>
      </c>
      <c r="AA32" s="334">
        <v>4</v>
      </c>
      <c r="AB32" s="321">
        <v>4</v>
      </c>
      <c r="AC32" s="321" t="s">
        <v>69</v>
      </c>
      <c r="AD32" s="333" t="s">
        <v>69</v>
      </c>
      <c r="AE32" s="321">
        <v>4</v>
      </c>
      <c r="AF32" s="321">
        <v>4</v>
      </c>
      <c r="AG32" s="321">
        <v>4</v>
      </c>
      <c r="AH32" s="321" t="s">
        <v>69</v>
      </c>
      <c r="AI32" s="321">
        <v>4</v>
      </c>
      <c r="AJ32" s="321" t="s">
        <v>69</v>
      </c>
      <c r="AK32" s="336">
        <v>4</v>
      </c>
      <c r="AL32" s="333" t="s">
        <v>69</v>
      </c>
      <c r="AM32" s="321">
        <v>4</v>
      </c>
      <c r="AN32" s="321">
        <v>4</v>
      </c>
      <c r="AO32" s="321">
        <v>4</v>
      </c>
      <c r="AP32" s="321">
        <v>4</v>
      </c>
      <c r="AQ32" s="334">
        <v>4</v>
      </c>
      <c r="AR32" s="334">
        <v>4</v>
      </c>
      <c r="AS32" s="321" t="s">
        <v>69</v>
      </c>
      <c r="AT32" s="321" t="s">
        <v>69</v>
      </c>
      <c r="AU32" s="321" t="s">
        <v>69</v>
      </c>
      <c r="AV32" s="321">
        <v>4</v>
      </c>
      <c r="AW32" s="321" t="s">
        <v>69</v>
      </c>
      <c r="AX32" s="321" t="s">
        <v>69</v>
      </c>
      <c r="AY32" s="321">
        <v>4</v>
      </c>
      <c r="AZ32" s="321">
        <v>4</v>
      </c>
      <c r="BA32" s="321" t="s">
        <v>69</v>
      </c>
      <c r="BB32" s="321">
        <v>4</v>
      </c>
      <c r="BC32" s="321">
        <v>4</v>
      </c>
      <c r="BD32" s="321" t="s">
        <v>69</v>
      </c>
      <c r="BE32" s="334">
        <v>4</v>
      </c>
      <c r="BF32" s="329">
        <v>4</v>
      </c>
      <c r="BG32" s="334">
        <v>4</v>
      </c>
      <c r="BH32" s="321" t="s">
        <v>69</v>
      </c>
      <c r="BI32" s="321" t="s">
        <v>69</v>
      </c>
      <c r="BJ32" s="336" t="s">
        <v>69</v>
      </c>
      <c r="BK32" s="334">
        <v>4</v>
      </c>
      <c r="BL32" s="336" t="s">
        <v>69</v>
      </c>
      <c r="BM32" s="321" t="s">
        <v>69</v>
      </c>
      <c r="BN32" s="321" t="s">
        <v>69</v>
      </c>
      <c r="BO32" s="336" t="s">
        <v>69</v>
      </c>
      <c r="BP32" s="321" t="s">
        <v>69</v>
      </c>
      <c r="BQ32" s="336" t="s">
        <v>69</v>
      </c>
      <c r="BR32" s="336" t="s">
        <v>69</v>
      </c>
      <c r="BS32" s="336">
        <v>4</v>
      </c>
      <c r="BT32" s="336" t="s">
        <v>69</v>
      </c>
      <c r="BU32" s="334" t="s">
        <v>69</v>
      </c>
      <c r="BV32" s="321" t="s">
        <v>69</v>
      </c>
      <c r="BW32" s="321" t="s">
        <v>69</v>
      </c>
      <c r="BX32" s="321">
        <v>4</v>
      </c>
      <c r="BY32" s="321" t="s">
        <v>69</v>
      </c>
      <c r="BZ32" s="334" t="s">
        <v>69</v>
      </c>
      <c r="CA32" s="334">
        <v>4</v>
      </c>
      <c r="CB32" s="334">
        <v>4</v>
      </c>
      <c r="CC32" s="334" t="s">
        <v>69</v>
      </c>
      <c r="CD32" s="321">
        <v>4</v>
      </c>
      <c r="CE32" s="321">
        <v>4</v>
      </c>
      <c r="CF32" s="321">
        <v>4</v>
      </c>
      <c r="CG32" s="334">
        <v>4</v>
      </c>
      <c r="CH32" s="334" t="s">
        <v>69</v>
      </c>
      <c r="CI32" s="323" t="s">
        <v>69</v>
      </c>
      <c r="CJ32" s="323" t="s">
        <v>69</v>
      </c>
      <c r="CK32" s="323" t="s">
        <v>69</v>
      </c>
      <c r="CL32" s="323" t="s">
        <v>69</v>
      </c>
      <c r="CM32" s="333" t="s">
        <v>69</v>
      </c>
      <c r="CN32" s="333" t="s">
        <v>69</v>
      </c>
      <c r="CO32" s="333" t="s">
        <v>69</v>
      </c>
      <c r="CP32" s="333" t="s">
        <v>69</v>
      </c>
      <c r="CQ32" s="333" t="s">
        <v>69</v>
      </c>
      <c r="CR32" s="333">
        <v>2</v>
      </c>
      <c r="CS32" s="333" t="s">
        <v>69</v>
      </c>
      <c r="CT32" s="333" t="s">
        <v>69</v>
      </c>
      <c r="CU32" s="333" t="s">
        <v>69</v>
      </c>
      <c r="CV32" s="323">
        <v>4</v>
      </c>
      <c r="CW32" s="323">
        <v>4</v>
      </c>
      <c r="CX32" s="323">
        <v>4</v>
      </c>
      <c r="CY32" s="323" t="s">
        <v>69</v>
      </c>
      <c r="CZ32" s="321">
        <v>4</v>
      </c>
      <c r="DA32" s="323">
        <v>4</v>
      </c>
      <c r="DB32" s="323">
        <v>4</v>
      </c>
      <c r="DC32" s="321">
        <v>4</v>
      </c>
      <c r="DD32" s="321">
        <v>4</v>
      </c>
      <c r="DE32" s="323">
        <v>4</v>
      </c>
      <c r="DF32" s="333">
        <v>4</v>
      </c>
      <c r="DG32" s="333" t="s">
        <v>69</v>
      </c>
      <c r="DH32" s="323">
        <v>4</v>
      </c>
      <c r="DI32" s="323">
        <v>4</v>
      </c>
      <c r="DJ32" s="321">
        <v>4</v>
      </c>
      <c r="DK32" s="323">
        <v>4</v>
      </c>
      <c r="DL32" s="323" t="s">
        <v>69</v>
      </c>
      <c r="DM32" s="323" t="s">
        <v>69</v>
      </c>
      <c r="DN32" s="323" t="s">
        <v>69</v>
      </c>
      <c r="DO32" s="323" t="s">
        <v>69</v>
      </c>
      <c r="DP32" s="323" t="s">
        <v>69</v>
      </c>
      <c r="DQ32" s="323" t="s">
        <v>69</v>
      </c>
      <c r="DR32" s="323" t="s">
        <v>69</v>
      </c>
      <c r="DS32" s="334">
        <v>4</v>
      </c>
      <c r="DT32" s="334">
        <v>4</v>
      </c>
      <c r="DU32" s="334">
        <v>4</v>
      </c>
      <c r="DV32" s="317">
        <f t="shared" si="1"/>
        <v>0.84126984126984128</v>
      </c>
      <c r="DW32" s="356">
        <f t="shared" si="0"/>
        <v>0.98113207547169812</v>
      </c>
      <c r="DX32" s="156" t="str">
        <f>VLOOKUP(B32,[1]Pointage!$A:$D,4,0)</f>
        <v>Mourad Saitali</v>
      </c>
    </row>
    <row r="33" spans="1:128" s="156" customFormat="1" ht="118.5" hidden="1" customHeight="1">
      <c r="A33" s="312">
        <v>17</v>
      </c>
      <c r="B33" s="318" t="s">
        <v>238</v>
      </c>
      <c r="C33" s="383" t="s">
        <v>239</v>
      </c>
      <c r="D33" s="376">
        <v>44289</v>
      </c>
      <c r="E33" s="320" t="s">
        <v>214</v>
      </c>
      <c r="F33" s="381" t="s">
        <v>633</v>
      </c>
      <c r="G33" s="334">
        <v>4</v>
      </c>
      <c r="H33" s="323" t="s">
        <v>69</v>
      </c>
      <c r="I33" s="334">
        <v>4</v>
      </c>
      <c r="J33" s="321" t="s">
        <v>69</v>
      </c>
      <c r="K33" s="323" t="s">
        <v>69</v>
      </c>
      <c r="L33" s="321" t="s">
        <v>69</v>
      </c>
      <c r="M33" s="321" t="s">
        <v>69</v>
      </c>
      <c r="N33" s="321" t="s">
        <v>69</v>
      </c>
      <c r="O33" s="321" t="s">
        <v>69</v>
      </c>
      <c r="P33" s="321" t="s">
        <v>69</v>
      </c>
      <c r="Q33" s="321" t="s">
        <v>69</v>
      </c>
      <c r="R33" s="321" t="s">
        <v>69</v>
      </c>
      <c r="S33" s="321" t="s">
        <v>69</v>
      </c>
      <c r="T33" s="321" t="s">
        <v>69</v>
      </c>
      <c r="U33" s="321" t="s">
        <v>69</v>
      </c>
      <c r="V33" s="323" t="s">
        <v>69</v>
      </c>
      <c r="W33" s="321" t="s">
        <v>69</v>
      </c>
      <c r="X33" s="321" t="s">
        <v>69</v>
      </c>
      <c r="Y33" s="321" t="s">
        <v>69</v>
      </c>
      <c r="Z33" s="321" t="s">
        <v>69</v>
      </c>
      <c r="AA33" s="323" t="s">
        <v>69</v>
      </c>
      <c r="AB33" s="321">
        <v>4</v>
      </c>
      <c r="AC33" s="321" t="s">
        <v>69</v>
      </c>
      <c r="AD33" s="323" t="s">
        <v>69</v>
      </c>
      <c r="AE33" s="321" t="s">
        <v>69</v>
      </c>
      <c r="AF33" s="321" t="s">
        <v>69</v>
      </c>
      <c r="AG33" s="321" t="s">
        <v>69</v>
      </c>
      <c r="AH33" s="321" t="s">
        <v>69</v>
      </c>
      <c r="AI33" s="321" t="s">
        <v>69</v>
      </c>
      <c r="AJ33" s="321" t="s">
        <v>69</v>
      </c>
      <c r="AK33" s="321" t="s">
        <v>69</v>
      </c>
      <c r="AL33" s="334" t="s">
        <v>69</v>
      </c>
      <c r="AM33" s="321">
        <v>3</v>
      </c>
      <c r="AN33" s="321">
        <v>4</v>
      </c>
      <c r="AO33" s="321">
        <v>2</v>
      </c>
      <c r="AP33" s="321">
        <v>4</v>
      </c>
      <c r="AQ33" s="334" t="s">
        <v>69</v>
      </c>
      <c r="AR33" s="334" t="s">
        <v>69</v>
      </c>
      <c r="AS33" s="321" t="s">
        <v>69</v>
      </c>
      <c r="AT33" s="321" t="s">
        <v>69</v>
      </c>
      <c r="AU33" s="321" t="s">
        <v>69</v>
      </c>
      <c r="AV33" s="321" t="s">
        <v>69</v>
      </c>
      <c r="AW33" s="321" t="s">
        <v>69</v>
      </c>
      <c r="AX33" s="321" t="s">
        <v>69</v>
      </c>
      <c r="AY33" s="321" t="s">
        <v>69</v>
      </c>
      <c r="AZ33" s="321" t="s">
        <v>69</v>
      </c>
      <c r="BA33" s="321" t="s">
        <v>69</v>
      </c>
      <c r="BB33" s="321" t="s">
        <v>69</v>
      </c>
      <c r="BC33" s="321" t="s">
        <v>69</v>
      </c>
      <c r="BD33" s="321" t="s">
        <v>69</v>
      </c>
      <c r="BE33" s="334">
        <v>4</v>
      </c>
      <c r="BF33" s="334">
        <v>4</v>
      </c>
      <c r="BG33" s="321" t="s">
        <v>69</v>
      </c>
      <c r="BH33" s="321" t="s">
        <v>69</v>
      </c>
      <c r="BI33" s="321" t="s">
        <v>69</v>
      </c>
      <c r="BJ33" s="334" t="s">
        <v>69</v>
      </c>
      <c r="BK33" s="334" t="s">
        <v>69</v>
      </c>
      <c r="BL33" s="321" t="s">
        <v>69</v>
      </c>
      <c r="BM33" s="321">
        <v>4</v>
      </c>
      <c r="BN33" s="321">
        <v>4</v>
      </c>
      <c r="BO33" s="334">
        <v>4</v>
      </c>
      <c r="BP33" s="321" t="s">
        <v>69</v>
      </c>
      <c r="BQ33" s="334">
        <v>4</v>
      </c>
      <c r="BR33" s="321" t="s">
        <v>69</v>
      </c>
      <c r="BS33" s="321">
        <v>4</v>
      </c>
      <c r="BT33" s="334" t="s">
        <v>69</v>
      </c>
      <c r="BU33" s="334">
        <v>4</v>
      </c>
      <c r="BV33" s="321" t="s">
        <v>69</v>
      </c>
      <c r="BW33" s="321" t="s">
        <v>69</v>
      </c>
      <c r="BX33" s="321">
        <v>4</v>
      </c>
      <c r="BY33" s="321">
        <v>4</v>
      </c>
      <c r="BZ33" s="334" t="s">
        <v>69</v>
      </c>
      <c r="CA33" s="334">
        <v>4</v>
      </c>
      <c r="CB33" s="334">
        <v>4</v>
      </c>
      <c r="CC33" s="334" t="s">
        <v>69</v>
      </c>
      <c r="CD33" s="321" t="s">
        <v>69</v>
      </c>
      <c r="CE33" s="321" t="s">
        <v>69</v>
      </c>
      <c r="CF33" s="321" t="s">
        <v>69</v>
      </c>
      <c r="CG33" s="334">
        <v>4</v>
      </c>
      <c r="CH33" s="334" t="s">
        <v>69</v>
      </c>
      <c r="CI33" s="323" t="s">
        <v>69</v>
      </c>
      <c r="CJ33" s="323" t="s">
        <v>69</v>
      </c>
      <c r="CK33" s="323" t="s">
        <v>69</v>
      </c>
      <c r="CL33" s="323" t="s">
        <v>69</v>
      </c>
      <c r="CM33" s="333" t="s">
        <v>69</v>
      </c>
      <c r="CN33" s="333" t="s">
        <v>69</v>
      </c>
      <c r="CO33" s="333" t="s">
        <v>69</v>
      </c>
      <c r="CP33" s="333" t="s">
        <v>69</v>
      </c>
      <c r="CQ33" s="333" t="s">
        <v>69</v>
      </c>
      <c r="CR33" s="333" t="s">
        <v>69</v>
      </c>
      <c r="CS33" s="333" t="s">
        <v>69</v>
      </c>
      <c r="CT33" s="333" t="s">
        <v>69</v>
      </c>
      <c r="CU33" s="333" t="s">
        <v>69</v>
      </c>
      <c r="CV33" s="323">
        <v>4</v>
      </c>
      <c r="CW33" s="323">
        <v>4</v>
      </c>
      <c r="CX33" s="323">
        <v>4</v>
      </c>
      <c r="CY33" s="323" t="s">
        <v>69</v>
      </c>
      <c r="CZ33" s="321" t="s">
        <v>69</v>
      </c>
      <c r="DA33" s="323">
        <v>4</v>
      </c>
      <c r="DB33" s="323">
        <v>4</v>
      </c>
      <c r="DC33" s="321">
        <v>4</v>
      </c>
      <c r="DD33" s="321">
        <v>4</v>
      </c>
      <c r="DE33" s="323">
        <v>4</v>
      </c>
      <c r="DF33" s="333">
        <v>4</v>
      </c>
      <c r="DG33" s="333">
        <v>4</v>
      </c>
      <c r="DH33" s="321" t="s">
        <v>69</v>
      </c>
      <c r="DI33" s="323" t="s">
        <v>69</v>
      </c>
      <c r="DJ33" s="321" t="s">
        <v>69</v>
      </c>
      <c r="DK33" s="323" t="s">
        <v>69</v>
      </c>
      <c r="DL33" s="323" t="s">
        <v>69</v>
      </c>
      <c r="DM33" s="323" t="s">
        <v>69</v>
      </c>
      <c r="DN33" s="323" t="s">
        <v>69</v>
      </c>
      <c r="DO33" s="323" t="s">
        <v>69</v>
      </c>
      <c r="DP33" s="323" t="s">
        <v>69</v>
      </c>
      <c r="DQ33" s="323" t="s">
        <v>69</v>
      </c>
      <c r="DR33" s="323" t="s">
        <v>69</v>
      </c>
      <c r="DS33" s="334" t="s">
        <v>69</v>
      </c>
      <c r="DT33" s="334" t="s">
        <v>69</v>
      </c>
      <c r="DU33" s="334">
        <v>4</v>
      </c>
      <c r="DV33" s="317">
        <f t="shared" si="1"/>
        <v>0.49206349206349204</v>
      </c>
      <c r="DW33" s="356">
        <f t="shared" si="0"/>
        <v>0.967741935483871</v>
      </c>
      <c r="DX33" s="156" t="str">
        <f>VLOOKUP(B33,[1]Pointage!$A:$D,4,0)</f>
        <v>Mourad Saitali</v>
      </c>
    </row>
    <row r="34" spans="1:128" s="156" customFormat="1" ht="118.5" hidden="1" customHeight="1">
      <c r="A34" s="312">
        <v>18</v>
      </c>
      <c r="B34" s="318" t="s">
        <v>240</v>
      </c>
      <c r="C34" s="383" t="s">
        <v>241</v>
      </c>
      <c r="D34" s="376">
        <v>44289</v>
      </c>
      <c r="E34" s="320" t="s">
        <v>214</v>
      </c>
      <c r="F34" s="381" t="s">
        <v>633</v>
      </c>
      <c r="G34" s="323">
        <v>4</v>
      </c>
      <c r="H34" s="323" t="s">
        <v>69</v>
      </c>
      <c r="I34" s="334">
        <v>4</v>
      </c>
      <c r="J34" s="321">
        <v>4</v>
      </c>
      <c r="K34" s="323" t="s">
        <v>69</v>
      </c>
      <c r="L34" s="321" t="s">
        <v>69</v>
      </c>
      <c r="M34" s="321" t="s">
        <v>69</v>
      </c>
      <c r="N34" s="321">
        <v>4</v>
      </c>
      <c r="O34" s="321" t="s">
        <v>69</v>
      </c>
      <c r="P34" s="321" t="s">
        <v>69</v>
      </c>
      <c r="Q34" s="321" t="s">
        <v>69</v>
      </c>
      <c r="R34" s="321">
        <v>4</v>
      </c>
      <c r="S34" s="321" t="s">
        <v>69</v>
      </c>
      <c r="T34" s="321" t="s">
        <v>69</v>
      </c>
      <c r="U34" s="321" t="s">
        <v>69</v>
      </c>
      <c r="V34" s="334">
        <v>4</v>
      </c>
      <c r="W34" s="321" t="s">
        <v>69</v>
      </c>
      <c r="X34" s="321" t="s">
        <v>69</v>
      </c>
      <c r="Y34" s="321" t="s">
        <v>69</v>
      </c>
      <c r="Z34" s="321" t="s">
        <v>69</v>
      </c>
      <c r="AA34" s="323" t="s">
        <v>69</v>
      </c>
      <c r="AB34" s="321">
        <v>4</v>
      </c>
      <c r="AC34" s="321" t="s">
        <v>69</v>
      </c>
      <c r="AD34" s="323" t="s">
        <v>69</v>
      </c>
      <c r="AE34" s="321">
        <v>4</v>
      </c>
      <c r="AF34" s="321" t="s">
        <v>69</v>
      </c>
      <c r="AG34" s="321">
        <v>4</v>
      </c>
      <c r="AH34" s="321" t="s">
        <v>69</v>
      </c>
      <c r="AI34" s="321">
        <v>4</v>
      </c>
      <c r="AJ34" s="321" t="s">
        <v>69</v>
      </c>
      <c r="AK34" s="334">
        <v>4</v>
      </c>
      <c r="AL34" s="334" t="s">
        <v>69</v>
      </c>
      <c r="AM34" s="321">
        <v>4</v>
      </c>
      <c r="AN34" s="321" t="s">
        <v>69</v>
      </c>
      <c r="AO34" s="321">
        <v>4</v>
      </c>
      <c r="AP34" s="321" t="s">
        <v>69</v>
      </c>
      <c r="AQ34" s="334">
        <v>4</v>
      </c>
      <c r="AR34" s="334" t="s">
        <v>69</v>
      </c>
      <c r="AS34" s="321" t="s">
        <v>69</v>
      </c>
      <c r="AT34" s="321" t="s">
        <v>69</v>
      </c>
      <c r="AU34" s="321" t="s">
        <v>69</v>
      </c>
      <c r="AV34" s="321">
        <v>4</v>
      </c>
      <c r="AW34" s="321" t="s">
        <v>69</v>
      </c>
      <c r="AX34" s="321" t="s">
        <v>69</v>
      </c>
      <c r="AY34" s="321" t="s">
        <v>69</v>
      </c>
      <c r="AZ34" s="321" t="s">
        <v>69</v>
      </c>
      <c r="BA34" s="321" t="s">
        <v>69</v>
      </c>
      <c r="BB34" s="321" t="s">
        <v>69</v>
      </c>
      <c r="BC34" s="321">
        <v>4</v>
      </c>
      <c r="BD34" s="321" t="s">
        <v>69</v>
      </c>
      <c r="BE34" s="334">
        <v>4</v>
      </c>
      <c r="BF34" s="321" t="s">
        <v>69</v>
      </c>
      <c r="BG34" s="321" t="s">
        <v>69</v>
      </c>
      <c r="BH34" s="321" t="s">
        <v>69</v>
      </c>
      <c r="BI34" s="321" t="s">
        <v>69</v>
      </c>
      <c r="BJ34" s="334" t="s">
        <v>69</v>
      </c>
      <c r="BK34" s="334" t="s">
        <v>69</v>
      </c>
      <c r="BL34" s="334" t="s">
        <v>69</v>
      </c>
      <c r="BM34" s="321" t="s">
        <v>69</v>
      </c>
      <c r="BN34" s="321" t="s">
        <v>69</v>
      </c>
      <c r="BO34" s="334" t="s">
        <v>69</v>
      </c>
      <c r="BP34" s="321" t="s">
        <v>69</v>
      </c>
      <c r="BQ34" s="334" t="s">
        <v>69</v>
      </c>
      <c r="BR34" s="334" t="s">
        <v>69</v>
      </c>
      <c r="BS34" s="334">
        <v>4</v>
      </c>
      <c r="BT34" s="334" t="s">
        <v>69</v>
      </c>
      <c r="BU34" s="334" t="s">
        <v>69</v>
      </c>
      <c r="BV34" s="321" t="s">
        <v>69</v>
      </c>
      <c r="BW34" s="321" t="s">
        <v>69</v>
      </c>
      <c r="BX34" s="321">
        <v>4</v>
      </c>
      <c r="BY34" s="321" t="s">
        <v>69</v>
      </c>
      <c r="BZ34" s="334">
        <v>4</v>
      </c>
      <c r="CA34" s="334" t="s">
        <v>69</v>
      </c>
      <c r="CB34" s="334" t="s">
        <v>69</v>
      </c>
      <c r="CC34" s="334" t="s">
        <v>69</v>
      </c>
      <c r="CD34" s="321" t="s">
        <v>69</v>
      </c>
      <c r="CE34" s="321" t="s">
        <v>69</v>
      </c>
      <c r="CF34" s="321" t="s">
        <v>69</v>
      </c>
      <c r="CG34" s="334">
        <v>4</v>
      </c>
      <c r="CH34" s="334">
        <v>4</v>
      </c>
      <c r="CI34" s="323" t="s">
        <v>69</v>
      </c>
      <c r="CJ34" s="323" t="s">
        <v>69</v>
      </c>
      <c r="CK34" s="323" t="s">
        <v>69</v>
      </c>
      <c r="CL34" s="323" t="s">
        <v>69</v>
      </c>
      <c r="CM34" s="333" t="s">
        <v>69</v>
      </c>
      <c r="CN34" s="333">
        <v>3</v>
      </c>
      <c r="CO34" s="333">
        <v>4</v>
      </c>
      <c r="CP34" s="333">
        <v>4</v>
      </c>
      <c r="CQ34" s="333" t="s">
        <v>69</v>
      </c>
      <c r="CR34" s="333" t="s">
        <v>69</v>
      </c>
      <c r="CS34" s="333">
        <v>4</v>
      </c>
      <c r="CT34" s="333">
        <v>4</v>
      </c>
      <c r="CU34" s="333" t="s">
        <v>69</v>
      </c>
      <c r="CV34" s="323">
        <v>4</v>
      </c>
      <c r="CW34" s="321" t="s">
        <v>69</v>
      </c>
      <c r="CX34" s="323">
        <v>4</v>
      </c>
      <c r="CY34" s="323" t="s">
        <v>69</v>
      </c>
      <c r="CZ34" s="321" t="s">
        <v>69</v>
      </c>
      <c r="DA34" s="323">
        <v>4</v>
      </c>
      <c r="DB34" s="323" t="s">
        <v>69</v>
      </c>
      <c r="DC34" s="321">
        <v>4</v>
      </c>
      <c r="DD34" s="321" t="s">
        <v>69</v>
      </c>
      <c r="DE34" s="323" t="s">
        <v>69</v>
      </c>
      <c r="DF34" s="333" t="s">
        <v>69</v>
      </c>
      <c r="DG34" s="333" t="s">
        <v>69</v>
      </c>
      <c r="DH34" s="323" t="s">
        <v>69</v>
      </c>
      <c r="DI34" s="323" t="s">
        <v>69</v>
      </c>
      <c r="DJ34" s="321" t="s">
        <v>69</v>
      </c>
      <c r="DK34" s="323" t="s">
        <v>69</v>
      </c>
      <c r="DL34" s="323" t="s">
        <v>69</v>
      </c>
      <c r="DM34" s="323" t="s">
        <v>69</v>
      </c>
      <c r="DN34" s="323" t="s">
        <v>69</v>
      </c>
      <c r="DO34" s="323" t="s">
        <v>69</v>
      </c>
      <c r="DP34" s="323" t="s">
        <v>69</v>
      </c>
      <c r="DQ34" s="323" t="s">
        <v>69</v>
      </c>
      <c r="DR34" s="323" t="s">
        <v>69</v>
      </c>
      <c r="DS34" s="334" t="s">
        <v>69</v>
      </c>
      <c r="DT34" s="334" t="s">
        <v>69</v>
      </c>
      <c r="DU34" s="334" t="s">
        <v>69</v>
      </c>
      <c r="DV34" s="317">
        <f t="shared" si="1"/>
        <v>0.49206349206349204</v>
      </c>
      <c r="DW34" s="356">
        <f t="shared" si="0"/>
        <v>1</v>
      </c>
      <c r="DX34" s="156" t="str">
        <f>VLOOKUP(B34,[1]Pointage!$A:$D,4,0)</f>
        <v>Mourad Saitali</v>
      </c>
    </row>
    <row r="35" spans="1:128" s="156" customFormat="1" ht="118.5" hidden="1" customHeight="1">
      <c r="A35" s="312">
        <v>19</v>
      </c>
      <c r="B35" s="318" t="s">
        <v>242</v>
      </c>
      <c r="C35" s="383" t="s">
        <v>243</v>
      </c>
      <c r="D35" s="376">
        <v>44292</v>
      </c>
      <c r="E35" s="320" t="s">
        <v>214</v>
      </c>
      <c r="F35" s="381" t="s">
        <v>633</v>
      </c>
      <c r="G35" s="334">
        <v>4</v>
      </c>
      <c r="H35" s="323" t="s">
        <v>69</v>
      </c>
      <c r="I35" s="334">
        <v>4</v>
      </c>
      <c r="J35" s="321" t="s">
        <v>69</v>
      </c>
      <c r="K35" s="323" t="s">
        <v>69</v>
      </c>
      <c r="L35" s="321">
        <v>4</v>
      </c>
      <c r="M35" s="321" t="s">
        <v>69</v>
      </c>
      <c r="N35" s="321" t="s">
        <v>69</v>
      </c>
      <c r="O35" s="321" t="s">
        <v>69</v>
      </c>
      <c r="P35" s="321" t="s">
        <v>69</v>
      </c>
      <c r="Q35" s="321" t="s">
        <v>69</v>
      </c>
      <c r="R35" s="321">
        <v>4</v>
      </c>
      <c r="S35" s="321" t="s">
        <v>69</v>
      </c>
      <c r="T35" s="321" t="s">
        <v>69</v>
      </c>
      <c r="U35" s="321" t="s">
        <v>69</v>
      </c>
      <c r="V35" s="323" t="s">
        <v>69</v>
      </c>
      <c r="W35" s="321" t="s">
        <v>69</v>
      </c>
      <c r="X35" s="321" t="s">
        <v>69</v>
      </c>
      <c r="Y35" s="321" t="s">
        <v>69</v>
      </c>
      <c r="Z35" s="321" t="s">
        <v>69</v>
      </c>
      <c r="AA35" s="323" t="s">
        <v>69</v>
      </c>
      <c r="AB35" s="321">
        <v>4</v>
      </c>
      <c r="AC35" s="321" t="s">
        <v>69</v>
      </c>
      <c r="AD35" s="323" t="s">
        <v>69</v>
      </c>
      <c r="AE35" s="321">
        <v>4</v>
      </c>
      <c r="AF35" s="321">
        <v>4</v>
      </c>
      <c r="AG35" s="321" t="s">
        <v>69</v>
      </c>
      <c r="AH35" s="321" t="s">
        <v>69</v>
      </c>
      <c r="AI35" s="321" t="s">
        <v>69</v>
      </c>
      <c r="AJ35" s="321" t="s">
        <v>69</v>
      </c>
      <c r="AK35" s="334">
        <v>4</v>
      </c>
      <c r="AL35" s="334">
        <v>4</v>
      </c>
      <c r="AM35" s="321" t="s">
        <v>69</v>
      </c>
      <c r="AN35" s="321" t="s">
        <v>69</v>
      </c>
      <c r="AO35" s="321" t="s">
        <v>69</v>
      </c>
      <c r="AP35" s="321" t="s">
        <v>69</v>
      </c>
      <c r="AQ35" s="334" t="s">
        <v>69</v>
      </c>
      <c r="AR35" s="334" t="s">
        <v>69</v>
      </c>
      <c r="AS35" s="321" t="s">
        <v>69</v>
      </c>
      <c r="AT35" s="321" t="s">
        <v>69</v>
      </c>
      <c r="AU35" s="321" t="s">
        <v>69</v>
      </c>
      <c r="AV35" s="321" t="s">
        <v>69</v>
      </c>
      <c r="AW35" s="321" t="s">
        <v>69</v>
      </c>
      <c r="AX35" s="321" t="s">
        <v>69</v>
      </c>
      <c r="AY35" s="321" t="s">
        <v>69</v>
      </c>
      <c r="AZ35" s="321" t="s">
        <v>69</v>
      </c>
      <c r="BA35" s="321" t="s">
        <v>69</v>
      </c>
      <c r="BB35" s="321" t="s">
        <v>69</v>
      </c>
      <c r="BC35" s="321" t="s">
        <v>69</v>
      </c>
      <c r="BD35" s="321" t="s">
        <v>69</v>
      </c>
      <c r="BE35" s="334">
        <v>4</v>
      </c>
      <c r="BF35" s="334">
        <v>4</v>
      </c>
      <c r="BG35" s="321" t="s">
        <v>69</v>
      </c>
      <c r="BH35" s="321" t="s">
        <v>69</v>
      </c>
      <c r="BI35" s="321" t="s">
        <v>69</v>
      </c>
      <c r="BJ35" s="334" t="s">
        <v>69</v>
      </c>
      <c r="BK35" s="334">
        <v>4</v>
      </c>
      <c r="BL35" s="334">
        <v>4</v>
      </c>
      <c r="BM35" s="321" t="s">
        <v>69</v>
      </c>
      <c r="BN35" s="321" t="s">
        <v>69</v>
      </c>
      <c r="BO35" s="334" t="s">
        <v>69</v>
      </c>
      <c r="BP35" s="321" t="s">
        <v>69</v>
      </c>
      <c r="BQ35" s="334" t="s">
        <v>69</v>
      </c>
      <c r="BR35" s="334" t="s">
        <v>69</v>
      </c>
      <c r="BS35" s="334" t="s">
        <v>69</v>
      </c>
      <c r="BT35" s="334" t="s">
        <v>69</v>
      </c>
      <c r="BU35" s="334">
        <v>4</v>
      </c>
      <c r="BV35" s="321" t="s">
        <v>69</v>
      </c>
      <c r="BW35" s="321" t="s">
        <v>69</v>
      </c>
      <c r="BX35" s="321"/>
      <c r="BY35" s="321" t="s">
        <v>69</v>
      </c>
      <c r="BZ35" s="334" t="s">
        <v>69</v>
      </c>
      <c r="CA35" s="334" t="s">
        <v>69</v>
      </c>
      <c r="CB35" s="334" t="s">
        <v>69</v>
      </c>
      <c r="CC35" s="334" t="s">
        <v>69</v>
      </c>
      <c r="CD35" s="321" t="s">
        <v>69</v>
      </c>
      <c r="CE35" s="321" t="s">
        <v>69</v>
      </c>
      <c r="CF35" s="321" t="s">
        <v>69</v>
      </c>
      <c r="CG35" s="334">
        <v>4</v>
      </c>
      <c r="CH35" s="334" t="s">
        <v>69</v>
      </c>
      <c r="CI35" s="323" t="s">
        <v>69</v>
      </c>
      <c r="CJ35" s="323" t="s">
        <v>69</v>
      </c>
      <c r="CK35" s="323" t="s">
        <v>69</v>
      </c>
      <c r="CL35" s="323" t="s">
        <v>69</v>
      </c>
      <c r="CM35" s="333" t="s">
        <v>69</v>
      </c>
      <c r="CN35" s="333" t="s">
        <v>69</v>
      </c>
      <c r="CO35" s="333" t="s">
        <v>69</v>
      </c>
      <c r="CP35" s="333" t="s">
        <v>69</v>
      </c>
      <c r="CQ35" s="333" t="s">
        <v>69</v>
      </c>
      <c r="CR35" s="333" t="s">
        <v>69</v>
      </c>
      <c r="CS35" s="333" t="s">
        <v>69</v>
      </c>
      <c r="CT35" s="333" t="s">
        <v>69</v>
      </c>
      <c r="CU35" s="333" t="s">
        <v>69</v>
      </c>
      <c r="CV35" s="323">
        <v>4</v>
      </c>
      <c r="CW35" s="323" t="s">
        <v>69</v>
      </c>
      <c r="CX35" s="323">
        <v>4</v>
      </c>
      <c r="CY35" s="323" t="s">
        <v>69</v>
      </c>
      <c r="CZ35" s="321" t="s">
        <v>69</v>
      </c>
      <c r="DA35" s="323">
        <v>4</v>
      </c>
      <c r="DB35" s="323">
        <v>3</v>
      </c>
      <c r="DC35" s="321">
        <v>4</v>
      </c>
      <c r="DD35" s="321" t="s">
        <v>69</v>
      </c>
      <c r="DE35" s="323">
        <v>3</v>
      </c>
      <c r="DF35" s="333">
        <v>4</v>
      </c>
      <c r="DG35" s="333" t="s">
        <v>69</v>
      </c>
      <c r="DH35" s="323" t="s">
        <v>69</v>
      </c>
      <c r="DI35" s="323" t="s">
        <v>69</v>
      </c>
      <c r="DJ35" s="321" t="s">
        <v>69</v>
      </c>
      <c r="DK35" s="323" t="s">
        <v>69</v>
      </c>
      <c r="DL35" s="323" t="s">
        <v>69</v>
      </c>
      <c r="DM35" s="323" t="s">
        <v>69</v>
      </c>
      <c r="DN35" s="323" t="s">
        <v>69</v>
      </c>
      <c r="DO35" s="323" t="s">
        <v>69</v>
      </c>
      <c r="DP35" s="323" t="s">
        <v>69</v>
      </c>
      <c r="DQ35" s="323" t="s">
        <v>69</v>
      </c>
      <c r="DR35" s="323" t="s">
        <v>69</v>
      </c>
      <c r="DS35" s="334" t="s">
        <v>69</v>
      </c>
      <c r="DT35" s="334" t="s">
        <v>69</v>
      </c>
      <c r="DU35" s="334">
        <v>4</v>
      </c>
      <c r="DV35" s="317">
        <f t="shared" si="1"/>
        <v>0.36507936507936506</v>
      </c>
      <c r="DW35" s="356">
        <f t="shared" si="0"/>
        <v>1</v>
      </c>
      <c r="DX35" s="156" t="str">
        <f>VLOOKUP(B35,[1]Pointage!$A:$D,4,0)</f>
        <v>Mourad Saitali</v>
      </c>
    </row>
    <row r="36" spans="1:128" s="156" customFormat="1" ht="118.5" hidden="1" customHeight="1">
      <c r="A36" s="312">
        <v>20</v>
      </c>
      <c r="B36" s="376" t="s">
        <v>244</v>
      </c>
      <c r="C36" s="383" t="s">
        <v>1150</v>
      </c>
      <c r="D36" s="376">
        <v>44441</v>
      </c>
      <c r="E36" s="320" t="s">
        <v>217</v>
      </c>
      <c r="F36" s="381" t="s">
        <v>633</v>
      </c>
      <c r="G36" s="323">
        <v>4</v>
      </c>
      <c r="H36" s="323" t="s">
        <v>69</v>
      </c>
      <c r="I36" s="323">
        <v>4</v>
      </c>
      <c r="J36" s="323">
        <v>4</v>
      </c>
      <c r="K36" s="323" t="s">
        <v>69</v>
      </c>
      <c r="L36" s="321">
        <v>4</v>
      </c>
      <c r="M36" s="321" t="s">
        <v>69</v>
      </c>
      <c r="N36" s="321">
        <v>4</v>
      </c>
      <c r="O36" s="321" t="s">
        <v>69</v>
      </c>
      <c r="P36" s="323" t="s">
        <v>69</v>
      </c>
      <c r="Q36" s="321" t="s">
        <v>69</v>
      </c>
      <c r="R36" s="321">
        <v>4</v>
      </c>
      <c r="S36" s="321" t="s">
        <v>69</v>
      </c>
      <c r="T36" s="321" t="s">
        <v>69</v>
      </c>
      <c r="U36" s="321" t="s">
        <v>69</v>
      </c>
      <c r="V36" s="334">
        <v>4</v>
      </c>
      <c r="W36" s="321">
        <v>4</v>
      </c>
      <c r="X36" s="321" t="s">
        <v>69</v>
      </c>
      <c r="Y36" s="321">
        <v>4</v>
      </c>
      <c r="Z36" s="321">
        <v>4</v>
      </c>
      <c r="AA36" s="321" t="s">
        <v>69</v>
      </c>
      <c r="AB36" s="321">
        <v>4</v>
      </c>
      <c r="AC36" s="321">
        <v>4</v>
      </c>
      <c r="AD36" s="323" t="s">
        <v>69</v>
      </c>
      <c r="AE36" s="321">
        <v>4</v>
      </c>
      <c r="AF36" s="321" t="s">
        <v>69</v>
      </c>
      <c r="AG36" s="321" t="s">
        <v>69</v>
      </c>
      <c r="AH36" s="321" t="s">
        <v>69</v>
      </c>
      <c r="AI36" s="321" t="s">
        <v>69</v>
      </c>
      <c r="AJ36" s="321" t="s">
        <v>69</v>
      </c>
      <c r="AK36" s="333" t="s">
        <v>69</v>
      </c>
      <c r="AL36" s="333" t="s">
        <v>69</v>
      </c>
      <c r="AM36" s="321" t="s">
        <v>69</v>
      </c>
      <c r="AN36" s="321" t="s">
        <v>69</v>
      </c>
      <c r="AO36" s="321" t="s">
        <v>69</v>
      </c>
      <c r="AP36" s="321" t="s">
        <v>69</v>
      </c>
      <c r="AQ36" s="334">
        <v>4</v>
      </c>
      <c r="AR36" s="333" t="s">
        <v>69</v>
      </c>
      <c r="AS36" s="321">
        <v>4</v>
      </c>
      <c r="AT36" s="321">
        <v>4</v>
      </c>
      <c r="AU36" s="321">
        <v>4</v>
      </c>
      <c r="AV36" s="321">
        <v>4</v>
      </c>
      <c r="AW36" s="321" t="s">
        <v>69</v>
      </c>
      <c r="AX36" s="321" t="s">
        <v>69</v>
      </c>
      <c r="AY36" s="321">
        <v>4</v>
      </c>
      <c r="AZ36" s="321">
        <v>4</v>
      </c>
      <c r="BA36" s="321" t="s">
        <v>69</v>
      </c>
      <c r="BB36" s="321">
        <v>4</v>
      </c>
      <c r="BC36" s="321">
        <v>4</v>
      </c>
      <c r="BD36" s="321" t="s">
        <v>69</v>
      </c>
      <c r="BE36" s="334">
        <v>4</v>
      </c>
      <c r="BF36" s="321" t="s">
        <v>69</v>
      </c>
      <c r="BG36" s="321" t="s">
        <v>69</v>
      </c>
      <c r="BH36" s="321" t="s">
        <v>69</v>
      </c>
      <c r="BI36" s="321" t="s">
        <v>69</v>
      </c>
      <c r="BJ36" s="333" t="s">
        <v>69</v>
      </c>
      <c r="BK36" s="333" t="s">
        <v>69</v>
      </c>
      <c r="BL36" s="333" t="s">
        <v>69</v>
      </c>
      <c r="BM36" s="321" t="s">
        <v>69</v>
      </c>
      <c r="BN36" s="321" t="s">
        <v>69</v>
      </c>
      <c r="BO36" s="333" t="s">
        <v>69</v>
      </c>
      <c r="BP36" s="321" t="s">
        <v>69</v>
      </c>
      <c r="BQ36" s="333" t="s">
        <v>69</v>
      </c>
      <c r="BR36" s="333" t="s">
        <v>69</v>
      </c>
      <c r="BS36" s="334">
        <v>4</v>
      </c>
      <c r="BT36" s="334" t="s">
        <v>69</v>
      </c>
      <c r="BU36" s="334" t="s">
        <v>69</v>
      </c>
      <c r="BV36" s="321" t="s">
        <v>69</v>
      </c>
      <c r="BW36" s="321" t="s">
        <v>69</v>
      </c>
      <c r="BX36" s="323" t="s">
        <v>69</v>
      </c>
      <c r="BY36" s="321" t="s">
        <v>69</v>
      </c>
      <c r="BZ36" s="321" t="s">
        <v>69</v>
      </c>
      <c r="CA36" s="334">
        <v>4</v>
      </c>
      <c r="CB36" s="334">
        <v>4</v>
      </c>
      <c r="CC36" s="334" t="s">
        <v>69</v>
      </c>
      <c r="CD36" s="321" t="s">
        <v>69</v>
      </c>
      <c r="CE36" s="321" t="s">
        <v>69</v>
      </c>
      <c r="CF36" s="321" t="s">
        <v>69</v>
      </c>
      <c r="CG36" s="334">
        <v>4</v>
      </c>
      <c r="CH36" s="334" t="s">
        <v>69</v>
      </c>
      <c r="CI36" s="323" t="s">
        <v>69</v>
      </c>
      <c r="CJ36" s="323" t="s">
        <v>69</v>
      </c>
      <c r="CK36" s="323" t="s">
        <v>69</v>
      </c>
      <c r="CL36" s="323" t="s">
        <v>69</v>
      </c>
      <c r="CM36" s="333" t="s">
        <v>69</v>
      </c>
      <c r="CN36" s="333">
        <v>4</v>
      </c>
      <c r="CO36" s="333">
        <v>4</v>
      </c>
      <c r="CP36" s="333" t="s">
        <v>69</v>
      </c>
      <c r="CQ36" s="333" t="s">
        <v>69</v>
      </c>
      <c r="CR36" s="333">
        <v>4</v>
      </c>
      <c r="CS36" s="333">
        <v>4</v>
      </c>
      <c r="CT36" s="333" t="s">
        <v>69</v>
      </c>
      <c r="CU36" s="333" t="s">
        <v>69</v>
      </c>
      <c r="CV36" s="323" t="s">
        <v>69</v>
      </c>
      <c r="CW36" s="323" t="s">
        <v>69</v>
      </c>
      <c r="CX36" s="323">
        <v>4</v>
      </c>
      <c r="CY36" s="323" t="s">
        <v>69</v>
      </c>
      <c r="CZ36" s="321" t="s">
        <v>69</v>
      </c>
      <c r="DA36" s="323">
        <v>4</v>
      </c>
      <c r="DB36" s="323" t="s">
        <v>69</v>
      </c>
      <c r="DC36" s="321">
        <v>4</v>
      </c>
      <c r="DD36" s="321" t="s">
        <v>69</v>
      </c>
      <c r="DE36" s="323" t="s">
        <v>69</v>
      </c>
      <c r="DF36" s="333">
        <v>4</v>
      </c>
      <c r="DG36" s="333" t="s">
        <v>69</v>
      </c>
      <c r="DH36" s="323" t="s">
        <v>69</v>
      </c>
      <c r="DI36" s="323" t="s">
        <v>69</v>
      </c>
      <c r="DJ36" s="321" t="s">
        <v>69</v>
      </c>
      <c r="DK36" s="323" t="s">
        <v>69</v>
      </c>
      <c r="DL36" s="323">
        <v>4</v>
      </c>
      <c r="DM36" s="323">
        <v>4</v>
      </c>
      <c r="DN36" s="323" t="s">
        <v>69</v>
      </c>
      <c r="DO36" s="323" t="s">
        <v>69</v>
      </c>
      <c r="DP36" s="323" t="s">
        <v>69</v>
      </c>
      <c r="DQ36" s="323" t="s">
        <v>69</v>
      </c>
      <c r="DR36" s="323" t="s">
        <v>69</v>
      </c>
      <c r="DS36" s="334" t="s">
        <v>69</v>
      </c>
      <c r="DT36" s="334">
        <v>4</v>
      </c>
      <c r="DU36" s="334">
        <v>4</v>
      </c>
      <c r="DV36" s="317">
        <f t="shared" si="1"/>
        <v>0.61904761904761907</v>
      </c>
      <c r="DW36" s="356">
        <f t="shared" si="0"/>
        <v>1</v>
      </c>
      <c r="DX36" s="156" t="str">
        <f>VLOOKUP(B36,[1]Pointage!$A:$D,4,0)</f>
        <v>Mourad Saitali</v>
      </c>
    </row>
    <row r="37" spans="1:128" s="156" customFormat="1" ht="118.5" hidden="1" customHeight="1">
      <c r="A37" s="312">
        <v>21</v>
      </c>
      <c r="B37" s="318" t="s">
        <v>42</v>
      </c>
      <c r="C37" s="383" t="s">
        <v>43</v>
      </c>
      <c r="D37" s="376">
        <v>44713</v>
      </c>
      <c r="E37" s="320" t="s">
        <v>217</v>
      </c>
      <c r="F37" s="381" t="s">
        <v>633</v>
      </c>
      <c r="G37" s="323">
        <v>3</v>
      </c>
      <c r="H37" s="323" t="s">
        <v>69</v>
      </c>
      <c r="I37" s="323">
        <v>3</v>
      </c>
      <c r="J37" s="321" t="s">
        <v>69</v>
      </c>
      <c r="K37" s="323" t="s">
        <v>69</v>
      </c>
      <c r="L37" s="321" t="s">
        <v>69</v>
      </c>
      <c r="M37" s="321" t="s">
        <v>69</v>
      </c>
      <c r="N37" s="321" t="s">
        <v>69</v>
      </c>
      <c r="O37" s="321" t="s">
        <v>69</v>
      </c>
      <c r="P37" s="321">
        <v>3</v>
      </c>
      <c r="Q37" s="321" t="s">
        <v>69</v>
      </c>
      <c r="R37" s="321" t="s">
        <v>69</v>
      </c>
      <c r="S37" s="321" t="s">
        <v>69</v>
      </c>
      <c r="T37" s="321" t="s">
        <v>69</v>
      </c>
      <c r="U37" s="321" t="s">
        <v>69</v>
      </c>
      <c r="V37" s="323" t="s">
        <v>69</v>
      </c>
      <c r="W37" s="321" t="s">
        <v>69</v>
      </c>
      <c r="X37" s="321" t="s">
        <v>69</v>
      </c>
      <c r="Y37" s="321" t="s">
        <v>69</v>
      </c>
      <c r="Z37" s="321" t="s">
        <v>69</v>
      </c>
      <c r="AA37" s="323" t="s">
        <v>69</v>
      </c>
      <c r="AB37" s="321" t="s">
        <v>69</v>
      </c>
      <c r="AC37" s="321" t="s">
        <v>69</v>
      </c>
      <c r="AD37" s="323" t="s">
        <v>69</v>
      </c>
      <c r="AE37" s="321" t="s">
        <v>69</v>
      </c>
      <c r="AF37" s="321" t="s">
        <v>69</v>
      </c>
      <c r="AG37" s="321" t="s">
        <v>69</v>
      </c>
      <c r="AH37" s="321" t="s">
        <v>69</v>
      </c>
      <c r="AI37" s="321" t="s">
        <v>69</v>
      </c>
      <c r="AJ37" s="321" t="s">
        <v>69</v>
      </c>
      <c r="AK37" s="323" t="s">
        <v>69</v>
      </c>
      <c r="AL37" s="323" t="s">
        <v>69</v>
      </c>
      <c r="AM37" s="321" t="s">
        <v>69</v>
      </c>
      <c r="AN37" s="321" t="s">
        <v>69</v>
      </c>
      <c r="AO37" s="321" t="s">
        <v>69</v>
      </c>
      <c r="AP37" s="321" t="s">
        <v>69</v>
      </c>
      <c r="AQ37" s="323">
        <v>2</v>
      </c>
      <c r="AR37" s="333" t="s">
        <v>69</v>
      </c>
      <c r="AS37" s="321">
        <v>4</v>
      </c>
      <c r="AT37" s="321">
        <v>4</v>
      </c>
      <c r="AU37" s="321">
        <v>3</v>
      </c>
      <c r="AV37" s="321">
        <v>4</v>
      </c>
      <c r="AW37" s="321" t="s">
        <v>69</v>
      </c>
      <c r="AX37" s="321" t="s">
        <v>69</v>
      </c>
      <c r="AY37" s="321">
        <v>4</v>
      </c>
      <c r="AZ37" s="321" t="s">
        <v>69</v>
      </c>
      <c r="BA37" s="321" t="s">
        <v>69</v>
      </c>
      <c r="BB37" s="321" t="s">
        <v>69</v>
      </c>
      <c r="BC37" s="321" t="s">
        <v>69</v>
      </c>
      <c r="BD37" s="321" t="s">
        <v>69</v>
      </c>
      <c r="BE37" s="321">
        <v>4</v>
      </c>
      <c r="BF37" s="323" t="s">
        <v>69</v>
      </c>
      <c r="BG37" s="333" t="s">
        <v>69</v>
      </c>
      <c r="BH37" s="321" t="s">
        <v>69</v>
      </c>
      <c r="BI37" s="321" t="s">
        <v>69</v>
      </c>
      <c r="BJ37" s="333" t="s">
        <v>69</v>
      </c>
      <c r="BK37" s="333" t="s">
        <v>69</v>
      </c>
      <c r="BL37" s="333" t="s">
        <v>69</v>
      </c>
      <c r="BM37" s="321" t="s">
        <v>69</v>
      </c>
      <c r="BN37" s="321" t="s">
        <v>69</v>
      </c>
      <c r="BO37" s="333" t="s">
        <v>69</v>
      </c>
      <c r="BP37" s="321" t="s">
        <v>69</v>
      </c>
      <c r="BQ37" s="333" t="s">
        <v>69</v>
      </c>
      <c r="BR37" s="333" t="s">
        <v>69</v>
      </c>
      <c r="BS37" s="323">
        <v>3</v>
      </c>
      <c r="BT37" s="323" t="s">
        <v>69</v>
      </c>
      <c r="BU37" s="323" t="s">
        <v>69</v>
      </c>
      <c r="BV37" s="321" t="s">
        <v>69</v>
      </c>
      <c r="BW37" s="321" t="s">
        <v>69</v>
      </c>
      <c r="BX37" s="321"/>
      <c r="BY37" s="321" t="s">
        <v>69</v>
      </c>
      <c r="BZ37" s="323" t="s">
        <v>69</v>
      </c>
      <c r="CA37" s="323" t="s">
        <v>69</v>
      </c>
      <c r="CB37" s="323" t="s">
        <v>69</v>
      </c>
      <c r="CC37" s="323" t="s">
        <v>69</v>
      </c>
      <c r="CD37" s="321" t="s">
        <v>69</v>
      </c>
      <c r="CE37" s="321" t="s">
        <v>69</v>
      </c>
      <c r="CF37" s="321" t="s">
        <v>69</v>
      </c>
      <c r="CG37" s="323" t="s">
        <v>69</v>
      </c>
      <c r="CH37" s="323" t="s">
        <v>69</v>
      </c>
      <c r="CI37" s="323">
        <v>4</v>
      </c>
      <c r="CJ37" s="323">
        <v>4</v>
      </c>
      <c r="CK37" s="323" t="s">
        <v>69</v>
      </c>
      <c r="CL37" s="323">
        <v>4</v>
      </c>
      <c r="CM37" s="333" t="s">
        <v>69</v>
      </c>
      <c r="CN37" s="323" t="s">
        <v>69</v>
      </c>
      <c r="CO37" s="323" t="s">
        <v>69</v>
      </c>
      <c r="CP37" s="323" t="s">
        <v>69</v>
      </c>
      <c r="CQ37" s="333" t="s">
        <v>69</v>
      </c>
      <c r="CR37" s="323" t="s">
        <v>69</v>
      </c>
      <c r="CS37" s="323" t="s">
        <v>69</v>
      </c>
      <c r="CT37" s="323" t="s">
        <v>69</v>
      </c>
      <c r="CU37" s="333" t="s">
        <v>69</v>
      </c>
      <c r="CV37" s="323" t="s">
        <v>69</v>
      </c>
      <c r="CW37" s="323" t="s">
        <v>69</v>
      </c>
      <c r="CX37" s="323" t="s">
        <v>69</v>
      </c>
      <c r="CY37" s="323" t="s">
        <v>69</v>
      </c>
      <c r="CZ37" s="321" t="s">
        <v>69</v>
      </c>
      <c r="DA37" s="334">
        <v>4</v>
      </c>
      <c r="DB37" s="323" t="s">
        <v>69</v>
      </c>
      <c r="DC37" s="321" t="s">
        <v>69</v>
      </c>
      <c r="DD37" s="321" t="s">
        <v>69</v>
      </c>
      <c r="DE37" s="323" t="s">
        <v>69</v>
      </c>
      <c r="DF37" s="333" t="s">
        <v>69</v>
      </c>
      <c r="DG37" s="333" t="s">
        <v>69</v>
      </c>
      <c r="DH37" s="323" t="s">
        <v>69</v>
      </c>
      <c r="DI37" s="323" t="s">
        <v>69</v>
      </c>
      <c r="DJ37" s="321" t="s">
        <v>69</v>
      </c>
      <c r="DK37" s="323">
        <v>4</v>
      </c>
      <c r="DL37" s="323">
        <v>4</v>
      </c>
      <c r="DM37" s="323">
        <v>4</v>
      </c>
      <c r="DN37" s="323" t="s">
        <v>69</v>
      </c>
      <c r="DO37" s="323" t="s">
        <v>69</v>
      </c>
      <c r="DP37" s="323" t="s">
        <v>69</v>
      </c>
      <c r="DQ37" s="323" t="s">
        <v>69</v>
      </c>
      <c r="DR37" s="323" t="s">
        <v>69</v>
      </c>
      <c r="DS37" s="323" t="s">
        <v>69</v>
      </c>
      <c r="DT37" s="323" t="s">
        <v>69</v>
      </c>
      <c r="DU37" s="323" t="s">
        <v>69</v>
      </c>
      <c r="DV37" s="317">
        <f t="shared" si="1"/>
        <v>0.2857142857142857</v>
      </c>
      <c r="DW37" s="356">
        <f t="shared" si="0"/>
        <v>0.94444444444444442</v>
      </c>
      <c r="DX37" s="156" t="str">
        <f>VLOOKUP(B37,[1]Pointage!$A:$D,4,0)</f>
        <v>Mourad Saitali</v>
      </c>
    </row>
    <row r="38" spans="1:128" s="156" customFormat="1" ht="118.5" hidden="1" customHeight="1">
      <c r="A38" s="312">
        <v>22</v>
      </c>
      <c r="B38" s="318" t="s">
        <v>34</v>
      </c>
      <c r="C38" s="383" t="s">
        <v>1038</v>
      </c>
      <c r="D38" s="376">
        <v>44441</v>
      </c>
      <c r="E38" s="320" t="s">
        <v>214</v>
      </c>
      <c r="F38" s="381" t="s">
        <v>633</v>
      </c>
      <c r="G38" s="337">
        <v>4</v>
      </c>
      <c r="H38" s="329">
        <v>4</v>
      </c>
      <c r="I38" s="321" t="s">
        <v>69</v>
      </c>
      <c r="J38" s="321" t="s">
        <v>69</v>
      </c>
      <c r="K38" s="321" t="s">
        <v>69</v>
      </c>
      <c r="L38" s="321" t="s">
        <v>69</v>
      </c>
      <c r="M38" s="321" t="s">
        <v>69</v>
      </c>
      <c r="N38" s="321" t="s">
        <v>69</v>
      </c>
      <c r="O38" s="321" t="s">
        <v>69</v>
      </c>
      <c r="P38" s="321" t="s">
        <v>69</v>
      </c>
      <c r="Q38" s="321" t="s">
        <v>69</v>
      </c>
      <c r="R38" s="321" t="s">
        <v>69</v>
      </c>
      <c r="S38" s="321" t="s">
        <v>69</v>
      </c>
      <c r="T38" s="321" t="s">
        <v>69</v>
      </c>
      <c r="U38" s="321" t="s">
        <v>69</v>
      </c>
      <c r="V38" s="321">
        <v>4</v>
      </c>
      <c r="W38" s="321" t="s">
        <v>69</v>
      </c>
      <c r="X38" s="321" t="s">
        <v>69</v>
      </c>
      <c r="Y38" s="321" t="s">
        <v>69</v>
      </c>
      <c r="Z38" s="321" t="s">
        <v>69</v>
      </c>
      <c r="AA38" s="347">
        <v>4</v>
      </c>
      <c r="AB38" s="321">
        <v>4</v>
      </c>
      <c r="AC38" s="321" t="s">
        <v>69</v>
      </c>
      <c r="AD38" s="321">
        <v>4</v>
      </c>
      <c r="AE38" s="321" t="s">
        <v>69</v>
      </c>
      <c r="AF38" s="321" t="s">
        <v>69</v>
      </c>
      <c r="AG38" s="321" t="s">
        <v>69</v>
      </c>
      <c r="AH38" s="321" t="s">
        <v>69</v>
      </c>
      <c r="AI38" s="321" t="s">
        <v>69</v>
      </c>
      <c r="AJ38" s="321" t="s">
        <v>69</v>
      </c>
      <c r="AK38" s="321" t="s">
        <v>69</v>
      </c>
      <c r="AL38" s="321" t="s">
        <v>69</v>
      </c>
      <c r="AM38" s="321" t="s">
        <v>69</v>
      </c>
      <c r="AN38" s="321" t="s">
        <v>69</v>
      </c>
      <c r="AO38" s="321" t="s">
        <v>69</v>
      </c>
      <c r="AP38" s="321" t="s">
        <v>69</v>
      </c>
      <c r="AQ38" s="321" t="s">
        <v>69</v>
      </c>
      <c r="AR38" s="333" t="s">
        <v>69</v>
      </c>
      <c r="AS38" s="321" t="s">
        <v>69</v>
      </c>
      <c r="AT38" s="321" t="s">
        <v>69</v>
      </c>
      <c r="AU38" s="321" t="s">
        <v>69</v>
      </c>
      <c r="AV38" s="321" t="s">
        <v>69</v>
      </c>
      <c r="AW38" s="321" t="s">
        <v>69</v>
      </c>
      <c r="AX38" s="321" t="s">
        <v>69</v>
      </c>
      <c r="AY38" s="321" t="s">
        <v>69</v>
      </c>
      <c r="AZ38" s="321" t="s">
        <v>69</v>
      </c>
      <c r="BA38" s="321" t="s">
        <v>69</v>
      </c>
      <c r="BB38" s="321" t="s">
        <v>69</v>
      </c>
      <c r="BC38" s="321" t="s">
        <v>69</v>
      </c>
      <c r="BD38" s="321" t="s">
        <v>69</v>
      </c>
      <c r="BE38" s="321">
        <v>4</v>
      </c>
      <c r="BF38" s="321" t="s">
        <v>69</v>
      </c>
      <c r="BG38" s="321" t="s">
        <v>69</v>
      </c>
      <c r="BH38" s="321" t="s">
        <v>69</v>
      </c>
      <c r="BI38" s="321" t="s">
        <v>69</v>
      </c>
      <c r="BJ38" s="321" t="s">
        <v>69</v>
      </c>
      <c r="BK38" s="321" t="s">
        <v>69</v>
      </c>
      <c r="BL38" s="321" t="s">
        <v>69</v>
      </c>
      <c r="BM38" s="321" t="s">
        <v>69</v>
      </c>
      <c r="BN38" s="321" t="s">
        <v>69</v>
      </c>
      <c r="BO38" s="321" t="s">
        <v>69</v>
      </c>
      <c r="BP38" s="321" t="s">
        <v>69</v>
      </c>
      <c r="BQ38" s="321" t="s">
        <v>69</v>
      </c>
      <c r="BR38" s="321" t="s">
        <v>69</v>
      </c>
      <c r="BS38" s="334" t="s">
        <v>69</v>
      </c>
      <c r="BT38" s="321">
        <v>4</v>
      </c>
      <c r="BU38" s="321" t="s">
        <v>69</v>
      </c>
      <c r="BV38" s="321" t="s">
        <v>69</v>
      </c>
      <c r="BW38" s="321" t="s">
        <v>69</v>
      </c>
      <c r="BX38" s="321"/>
      <c r="BY38" s="321" t="s">
        <v>69</v>
      </c>
      <c r="BZ38" s="321" t="s">
        <v>69</v>
      </c>
      <c r="CA38" s="334" t="s">
        <v>69</v>
      </c>
      <c r="CB38" s="321" t="s">
        <v>69</v>
      </c>
      <c r="CC38" s="321" t="s">
        <v>69</v>
      </c>
      <c r="CD38" s="321" t="s">
        <v>69</v>
      </c>
      <c r="CE38" s="321" t="s">
        <v>69</v>
      </c>
      <c r="CF38" s="321" t="s">
        <v>69</v>
      </c>
      <c r="CG38" s="334">
        <v>4</v>
      </c>
      <c r="CH38" s="321" t="s">
        <v>69</v>
      </c>
      <c r="CI38" s="334">
        <v>4</v>
      </c>
      <c r="CJ38" s="334">
        <v>4</v>
      </c>
      <c r="CK38" s="321" t="s">
        <v>69</v>
      </c>
      <c r="CL38" s="334">
        <v>4</v>
      </c>
      <c r="CM38" s="333" t="s">
        <v>69</v>
      </c>
      <c r="CN38" s="321" t="s">
        <v>69</v>
      </c>
      <c r="CO38" s="321" t="s">
        <v>69</v>
      </c>
      <c r="CP38" s="321" t="s">
        <v>69</v>
      </c>
      <c r="CQ38" s="321" t="s">
        <v>69</v>
      </c>
      <c r="CR38" s="321" t="s">
        <v>69</v>
      </c>
      <c r="CS38" s="321" t="s">
        <v>69</v>
      </c>
      <c r="CT38" s="321" t="s">
        <v>69</v>
      </c>
      <c r="CU38" s="321" t="s">
        <v>69</v>
      </c>
      <c r="CV38" s="334" t="s">
        <v>69</v>
      </c>
      <c r="CW38" s="334" t="s">
        <v>69</v>
      </c>
      <c r="CX38" s="334" t="s">
        <v>69</v>
      </c>
      <c r="CY38" s="334" t="s">
        <v>69</v>
      </c>
      <c r="CZ38" s="321" t="s">
        <v>69</v>
      </c>
      <c r="DA38" s="334">
        <v>4</v>
      </c>
      <c r="DB38" s="321" t="s">
        <v>69</v>
      </c>
      <c r="DC38" s="321">
        <v>4</v>
      </c>
      <c r="DD38" s="321" t="s">
        <v>69</v>
      </c>
      <c r="DE38" s="334" t="s">
        <v>69</v>
      </c>
      <c r="DF38" s="333">
        <v>4</v>
      </c>
      <c r="DG38" s="333" t="s">
        <v>69</v>
      </c>
      <c r="DH38" s="334" t="s">
        <v>69</v>
      </c>
      <c r="DI38" s="334" t="s">
        <v>69</v>
      </c>
      <c r="DJ38" s="321" t="s">
        <v>69</v>
      </c>
      <c r="DK38" s="321" t="s">
        <v>69</v>
      </c>
      <c r="DL38" s="323">
        <v>3</v>
      </c>
      <c r="DM38" s="323">
        <v>3</v>
      </c>
      <c r="DN38" s="323" t="s">
        <v>69</v>
      </c>
      <c r="DO38" s="323" t="s">
        <v>69</v>
      </c>
      <c r="DP38" s="323" t="s">
        <v>69</v>
      </c>
      <c r="DQ38" s="323" t="s">
        <v>69</v>
      </c>
      <c r="DR38" s="323" t="s">
        <v>69</v>
      </c>
      <c r="DS38" s="334">
        <v>2</v>
      </c>
      <c r="DT38" s="334" t="s">
        <v>69</v>
      </c>
      <c r="DU38" s="334">
        <v>4</v>
      </c>
      <c r="DV38" s="317">
        <f t="shared" si="1"/>
        <v>0.30158730158730157</v>
      </c>
      <c r="DW38" s="356">
        <f t="shared" si="0"/>
        <v>0.94736842105263153</v>
      </c>
      <c r="DX38" s="156" t="str">
        <f>VLOOKUP(B38,[1]Pointage!$A:$D,4,0)</f>
        <v>Mourad Saitali</v>
      </c>
    </row>
    <row r="39" spans="1:128" s="156" customFormat="1" ht="118.5" hidden="1" customHeight="1">
      <c r="A39" s="312">
        <v>23</v>
      </c>
      <c r="B39" s="318" t="s">
        <v>36</v>
      </c>
      <c r="C39" s="383" t="s">
        <v>37</v>
      </c>
      <c r="D39" s="377">
        <v>44819</v>
      </c>
      <c r="E39" s="320" t="s">
        <v>214</v>
      </c>
      <c r="F39" s="381" t="s">
        <v>633</v>
      </c>
      <c r="G39" s="334">
        <v>4</v>
      </c>
      <c r="H39" s="333" t="s">
        <v>69</v>
      </c>
      <c r="I39" s="333">
        <v>4</v>
      </c>
      <c r="J39" s="321" t="s">
        <v>69</v>
      </c>
      <c r="K39" s="333" t="s">
        <v>69</v>
      </c>
      <c r="L39" s="321" t="s">
        <v>69</v>
      </c>
      <c r="M39" s="321" t="s">
        <v>69</v>
      </c>
      <c r="N39" s="321" t="s">
        <v>69</v>
      </c>
      <c r="O39" s="321" t="s">
        <v>69</v>
      </c>
      <c r="P39" s="321" t="s">
        <v>69</v>
      </c>
      <c r="Q39" s="321" t="s">
        <v>69</v>
      </c>
      <c r="R39" s="321" t="s">
        <v>69</v>
      </c>
      <c r="S39" s="321" t="s">
        <v>69</v>
      </c>
      <c r="T39" s="321" t="s">
        <v>69</v>
      </c>
      <c r="U39" s="321" t="s">
        <v>69</v>
      </c>
      <c r="V39" s="334">
        <v>4</v>
      </c>
      <c r="W39" s="321" t="s">
        <v>69</v>
      </c>
      <c r="X39" s="321" t="s">
        <v>69</v>
      </c>
      <c r="Y39" s="321" t="s">
        <v>69</v>
      </c>
      <c r="Z39" s="321" t="s">
        <v>69</v>
      </c>
      <c r="AA39" s="334">
        <v>4</v>
      </c>
      <c r="AB39" s="321" t="s">
        <v>69</v>
      </c>
      <c r="AC39" s="321" t="s">
        <v>69</v>
      </c>
      <c r="AD39" s="334">
        <v>4</v>
      </c>
      <c r="AE39" s="321" t="s">
        <v>69</v>
      </c>
      <c r="AF39" s="321" t="s">
        <v>69</v>
      </c>
      <c r="AG39" s="321" t="s">
        <v>69</v>
      </c>
      <c r="AH39" s="321" t="s">
        <v>69</v>
      </c>
      <c r="AI39" s="321" t="s">
        <v>69</v>
      </c>
      <c r="AJ39" s="321" t="s">
        <v>69</v>
      </c>
      <c r="AK39" s="323" t="s">
        <v>69</v>
      </c>
      <c r="AL39" s="323" t="s">
        <v>69</v>
      </c>
      <c r="AM39" s="321" t="s">
        <v>69</v>
      </c>
      <c r="AN39" s="321" t="s">
        <v>69</v>
      </c>
      <c r="AO39" s="321" t="s">
        <v>69</v>
      </c>
      <c r="AP39" s="321" t="s">
        <v>69</v>
      </c>
      <c r="AQ39" s="323" t="s">
        <v>69</v>
      </c>
      <c r="AR39" s="323" t="s">
        <v>69</v>
      </c>
      <c r="AS39" s="321" t="s">
        <v>69</v>
      </c>
      <c r="AT39" s="321" t="s">
        <v>69</v>
      </c>
      <c r="AU39" s="321" t="s">
        <v>69</v>
      </c>
      <c r="AV39" s="321" t="s">
        <v>69</v>
      </c>
      <c r="AW39" s="321" t="s">
        <v>69</v>
      </c>
      <c r="AX39" s="321" t="s">
        <v>69</v>
      </c>
      <c r="AY39" s="321" t="s">
        <v>69</v>
      </c>
      <c r="AZ39" s="321" t="s">
        <v>69</v>
      </c>
      <c r="BA39" s="321" t="s">
        <v>69</v>
      </c>
      <c r="BB39" s="321" t="s">
        <v>69</v>
      </c>
      <c r="BC39" s="321" t="s">
        <v>69</v>
      </c>
      <c r="BD39" s="321" t="s">
        <v>69</v>
      </c>
      <c r="BE39" s="334">
        <v>4</v>
      </c>
      <c r="BF39" s="334">
        <v>4</v>
      </c>
      <c r="BG39" s="342" t="s">
        <v>69</v>
      </c>
      <c r="BH39" s="321" t="s">
        <v>69</v>
      </c>
      <c r="BI39" s="321" t="s">
        <v>69</v>
      </c>
      <c r="BJ39" s="323" t="s">
        <v>69</v>
      </c>
      <c r="BK39" s="323" t="s">
        <v>69</v>
      </c>
      <c r="BL39" s="323" t="s">
        <v>69</v>
      </c>
      <c r="BM39" s="321" t="s">
        <v>69</v>
      </c>
      <c r="BN39" s="321" t="s">
        <v>69</v>
      </c>
      <c r="BO39" s="323" t="s">
        <v>69</v>
      </c>
      <c r="BP39" s="321" t="s">
        <v>69</v>
      </c>
      <c r="BQ39" s="323" t="s">
        <v>69</v>
      </c>
      <c r="BR39" s="323" t="s">
        <v>69</v>
      </c>
      <c r="BS39" s="334">
        <v>4</v>
      </c>
      <c r="BT39" s="323" t="s">
        <v>69</v>
      </c>
      <c r="BU39" s="323" t="s">
        <v>69</v>
      </c>
      <c r="BV39" s="321" t="s">
        <v>69</v>
      </c>
      <c r="BW39" s="321" t="s">
        <v>69</v>
      </c>
      <c r="BX39" s="321"/>
      <c r="BY39" s="321" t="s">
        <v>69</v>
      </c>
      <c r="BZ39" s="323">
        <v>4</v>
      </c>
      <c r="CA39" s="323" t="s">
        <v>69</v>
      </c>
      <c r="CB39" s="323" t="s">
        <v>69</v>
      </c>
      <c r="CC39" s="323" t="s">
        <v>69</v>
      </c>
      <c r="CD39" s="321" t="s">
        <v>69</v>
      </c>
      <c r="CE39" s="321" t="s">
        <v>69</v>
      </c>
      <c r="CF39" s="321" t="s">
        <v>69</v>
      </c>
      <c r="CG39" s="323">
        <v>4</v>
      </c>
      <c r="CH39" s="323" t="s">
        <v>69</v>
      </c>
      <c r="CI39" s="323" t="s">
        <v>69</v>
      </c>
      <c r="CJ39" s="323" t="s">
        <v>69</v>
      </c>
      <c r="CK39" s="334">
        <v>4</v>
      </c>
      <c r="CL39" s="323" t="s">
        <v>69</v>
      </c>
      <c r="CM39" s="334">
        <v>4</v>
      </c>
      <c r="CN39" s="323" t="s">
        <v>69</v>
      </c>
      <c r="CO39" s="334">
        <v>4</v>
      </c>
      <c r="CP39" s="334">
        <v>4</v>
      </c>
      <c r="CQ39" s="323" t="s">
        <v>69</v>
      </c>
      <c r="CR39" s="323" t="s">
        <v>69</v>
      </c>
      <c r="CS39" s="334">
        <v>4</v>
      </c>
      <c r="CT39" s="334">
        <v>4</v>
      </c>
      <c r="CU39" s="323" t="s">
        <v>69</v>
      </c>
      <c r="CV39" s="323" t="s">
        <v>69</v>
      </c>
      <c r="CW39" s="323" t="s">
        <v>69</v>
      </c>
      <c r="CX39" s="323" t="s">
        <v>69</v>
      </c>
      <c r="CY39" s="323" t="s">
        <v>69</v>
      </c>
      <c r="CZ39" s="321" t="s">
        <v>69</v>
      </c>
      <c r="DA39" s="323" t="s">
        <v>69</v>
      </c>
      <c r="DB39" s="323" t="s">
        <v>69</v>
      </c>
      <c r="DC39" s="321" t="s">
        <v>69</v>
      </c>
      <c r="DD39" s="321" t="s">
        <v>69</v>
      </c>
      <c r="DE39" s="323" t="s">
        <v>69</v>
      </c>
      <c r="DF39" s="323" t="s">
        <v>69</v>
      </c>
      <c r="DG39" s="323" t="s">
        <v>69</v>
      </c>
      <c r="DH39" s="323" t="s">
        <v>69</v>
      </c>
      <c r="DI39" s="323" t="s">
        <v>69</v>
      </c>
      <c r="DJ39" s="321" t="s">
        <v>69</v>
      </c>
      <c r="DK39" s="323" t="s">
        <v>69</v>
      </c>
      <c r="DL39" s="323" t="s">
        <v>69</v>
      </c>
      <c r="DM39" s="323" t="s">
        <v>69</v>
      </c>
      <c r="DN39" s="323" t="s">
        <v>69</v>
      </c>
      <c r="DO39" s="323" t="s">
        <v>69</v>
      </c>
      <c r="DP39" s="323" t="s">
        <v>69</v>
      </c>
      <c r="DQ39" s="323" t="s">
        <v>69</v>
      </c>
      <c r="DR39" s="323" t="s">
        <v>69</v>
      </c>
      <c r="DS39" s="323" t="s">
        <v>69</v>
      </c>
      <c r="DT39" s="323" t="s">
        <v>69</v>
      </c>
      <c r="DU39" s="334">
        <v>4</v>
      </c>
      <c r="DV39" s="317">
        <f t="shared" si="1"/>
        <v>0.26984126984126983</v>
      </c>
      <c r="DW39" s="356">
        <f t="shared" si="0"/>
        <v>1</v>
      </c>
      <c r="DX39" s="156" t="str">
        <f>VLOOKUP(B39,[1]Pointage!$A:$D,4,0)</f>
        <v>Mourad Saitali</v>
      </c>
    </row>
    <row r="40" spans="1:128" s="156" customFormat="1" ht="118.5" hidden="1" customHeight="1">
      <c r="A40" s="312">
        <v>24</v>
      </c>
      <c r="B40" s="318" t="s">
        <v>251</v>
      </c>
      <c r="C40" s="383" t="s">
        <v>252</v>
      </c>
      <c r="D40" s="376">
        <v>44567</v>
      </c>
      <c r="E40" s="320" t="s">
        <v>216</v>
      </c>
      <c r="F40" s="381" t="s">
        <v>633</v>
      </c>
      <c r="G40" s="333">
        <v>4</v>
      </c>
      <c r="H40" s="333">
        <v>4</v>
      </c>
      <c r="I40" s="321">
        <v>4</v>
      </c>
      <c r="J40" s="321">
        <v>4</v>
      </c>
      <c r="K40" s="321">
        <v>4</v>
      </c>
      <c r="L40" s="321" t="s">
        <v>69</v>
      </c>
      <c r="M40" s="321" t="s">
        <v>69</v>
      </c>
      <c r="N40" s="321" t="s">
        <v>69</v>
      </c>
      <c r="O40" s="321" t="s">
        <v>69</v>
      </c>
      <c r="P40" s="321">
        <v>4</v>
      </c>
      <c r="Q40" s="321">
        <v>4</v>
      </c>
      <c r="R40" s="321" t="s">
        <v>69</v>
      </c>
      <c r="S40" s="321">
        <v>4</v>
      </c>
      <c r="T40" s="321" t="s">
        <v>69</v>
      </c>
      <c r="U40" s="321" t="s">
        <v>69</v>
      </c>
      <c r="V40" s="321" t="s">
        <v>69</v>
      </c>
      <c r="W40" s="321" t="s">
        <v>69</v>
      </c>
      <c r="X40" s="321" t="s">
        <v>69</v>
      </c>
      <c r="Y40" s="321" t="s">
        <v>69</v>
      </c>
      <c r="Z40" s="321" t="s">
        <v>69</v>
      </c>
      <c r="AA40" s="323" t="s">
        <v>69</v>
      </c>
      <c r="AB40" s="321" t="s">
        <v>69</v>
      </c>
      <c r="AC40" s="321" t="s">
        <v>69</v>
      </c>
      <c r="AD40" s="323" t="s">
        <v>69</v>
      </c>
      <c r="AE40" s="323" t="s">
        <v>69</v>
      </c>
      <c r="AF40" s="323" t="s">
        <v>69</v>
      </c>
      <c r="AG40" s="323" t="s">
        <v>69</v>
      </c>
      <c r="AH40" s="323" t="s">
        <v>69</v>
      </c>
      <c r="AI40" s="323" t="s">
        <v>69</v>
      </c>
      <c r="AJ40" s="323" t="s">
        <v>69</v>
      </c>
      <c r="AK40" s="323" t="s">
        <v>69</v>
      </c>
      <c r="AL40" s="323" t="s">
        <v>69</v>
      </c>
      <c r="AM40" s="321" t="s">
        <v>69</v>
      </c>
      <c r="AN40" s="321" t="s">
        <v>69</v>
      </c>
      <c r="AO40" s="321">
        <v>4</v>
      </c>
      <c r="AP40" s="321">
        <v>4</v>
      </c>
      <c r="AQ40" s="323" t="s">
        <v>69</v>
      </c>
      <c r="AR40" s="323" t="s">
        <v>69</v>
      </c>
      <c r="AS40" s="321">
        <v>4</v>
      </c>
      <c r="AT40" s="321">
        <v>4</v>
      </c>
      <c r="AU40" s="321">
        <v>4</v>
      </c>
      <c r="AV40" s="321">
        <v>4</v>
      </c>
      <c r="AW40" s="321">
        <v>4</v>
      </c>
      <c r="AX40" s="321">
        <v>4</v>
      </c>
      <c r="AY40" s="321">
        <v>4</v>
      </c>
      <c r="AZ40" s="321" t="s">
        <v>69</v>
      </c>
      <c r="BA40" s="321">
        <v>4</v>
      </c>
      <c r="BB40" s="321" t="s">
        <v>69</v>
      </c>
      <c r="BC40" s="321" t="s">
        <v>69</v>
      </c>
      <c r="BD40" s="321" t="s">
        <v>1063</v>
      </c>
      <c r="BE40" s="334">
        <v>4</v>
      </c>
      <c r="BF40" s="342" t="s">
        <v>69</v>
      </c>
      <c r="BG40" s="321">
        <v>4</v>
      </c>
      <c r="BH40" s="321" t="s">
        <v>69</v>
      </c>
      <c r="BI40" s="321" t="s">
        <v>69</v>
      </c>
      <c r="BJ40" s="323" t="s">
        <v>69</v>
      </c>
      <c r="BK40" s="323" t="s">
        <v>69</v>
      </c>
      <c r="BL40" s="323" t="s">
        <v>69</v>
      </c>
      <c r="BM40" s="321" t="s">
        <v>69</v>
      </c>
      <c r="BN40" s="321" t="s">
        <v>69</v>
      </c>
      <c r="BO40" s="323" t="s">
        <v>69</v>
      </c>
      <c r="BP40" s="321" t="s">
        <v>69</v>
      </c>
      <c r="BQ40" s="323" t="s">
        <v>69</v>
      </c>
      <c r="BR40" s="323" t="s">
        <v>69</v>
      </c>
      <c r="BS40" s="323">
        <v>4</v>
      </c>
      <c r="BT40" s="323" t="s">
        <v>69</v>
      </c>
      <c r="BU40" s="323" t="s">
        <v>69</v>
      </c>
      <c r="BV40" s="321" t="s">
        <v>69</v>
      </c>
      <c r="BW40" s="321" t="s">
        <v>69</v>
      </c>
      <c r="BX40" s="321"/>
      <c r="BY40" s="321" t="s">
        <v>69</v>
      </c>
      <c r="BZ40" s="323" t="s">
        <v>69</v>
      </c>
      <c r="CA40" s="323" t="s">
        <v>69</v>
      </c>
      <c r="CB40" s="323" t="s">
        <v>69</v>
      </c>
      <c r="CC40" s="323" t="s">
        <v>69</v>
      </c>
      <c r="CD40" s="321" t="s">
        <v>69</v>
      </c>
      <c r="CE40" s="321" t="s">
        <v>69</v>
      </c>
      <c r="CF40" s="321" t="s">
        <v>69</v>
      </c>
      <c r="CG40" s="323">
        <v>4</v>
      </c>
      <c r="CH40" s="323" t="s">
        <v>69</v>
      </c>
      <c r="CI40" s="323" t="s">
        <v>69</v>
      </c>
      <c r="CJ40" s="323" t="s">
        <v>69</v>
      </c>
      <c r="CK40" s="323" t="s">
        <v>69</v>
      </c>
      <c r="CL40" s="323" t="s">
        <v>69</v>
      </c>
      <c r="CM40" s="323" t="s">
        <v>69</v>
      </c>
      <c r="CN40" s="323">
        <v>3</v>
      </c>
      <c r="CO40" s="323">
        <v>3</v>
      </c>
      <c r="CP40" s="323">
        <v>3</v>
      </c>
      <c r="CQ40" s="323">
        <v>3</v>
      </c>
      <c r="CR40" s="321" t="s">
        <v>69</v>
      </c>
      <c r="CS40" s="321" t="s">
        <v>69</v>
      </c>
      <c r="CT40" s="321" t="s">
        <v>69</v>
      </c>
      <c r="CU40" s="323" t="s">
        <v>69</v>
      </c>
      <c r="CV40" s="323" t="s">
        <v>69</v>
      </c>
      <c r="CW40" s="323" t="s">
        <v>69</v>
      </c>
      <c r="CX40" s="323" t="s">
        <v>69</v>
      </c>
      <c r="CY40" s="323" t="s">
        <v>69</v>
      </c>
      <c r="CZ40" s="321" t="s">
        <v>69</v>
      </c>
      <c r="DA40" s="323" t="s">
        <v>69</v>
      </c>
      <c r="DB40" s="323" t="s">
        <v>69</v>
      </c>
      <c r="DC40" s="321" t="s">
        <v>69</v>
      </c>
      <c r="DD40" s="321" t="s">
        <v>69</v>
      </c>
      <c r="DE40" s="323" t="s">
        <v>69</v>
      </c>
      <c r="DF40" s="323" t="s">
        <v>69</v>
      </c>
      <c r="DG40" s="323" t="s">
        <v>69</v>
      </c>
      <c r="DH40" s="323" t="s">
        <v>69</v>
      </c>
      <c r="DI40" s="323" t="s">
        <v>69</v>
      </c>
      <c r="DJ40" s="321" t="s">
        <v>69</v>
      </c>
      <c r="DK40" s="323" t="s">
        <v>69</v>
      </c>
      <c r="DL40" s="323">
        <v>4</v>
      </c>
      <c r="DM40" s="323">
        <v>4</v>
      </c>
      <c r="DN40" s="323">
        <v>2</v>
      </c>
      <c r="DO40" s="323" t="s">
        <v>69</v>
      </c>
      <c r="DP40" s="323" t="s">
        <v>69</v>
      </c>
      <c r="DQ40" s="323" t="s">
        <v>69</v>
      </c>
      <c r="DR40" s="323" t="s">
        <v>69</v>
      </c>
      <c r="DS40" s="323" t="s">
        <v>69</v>
      </c>
      <c r="DT40" s="323" t="s">
        <v>69</v>
      </c>
      <c r="DU40" s="334">
        <v>4</v>
      </c>
      <c r="DV40" s="317">
        <f t="shared" si="1"/>
        <v>0.47619047619047616</v>
      </c>
      <c r="DW40" s="356">
        <f t="shared" si="0"/>
        <v>0.96666666666666667</v>
      </c>
      <c r="DX40" s="156" t="str">
        <f>VLOOKUP(B40,[1]Pointage!$A:$D,4,0)</f>
        <v>Mourad Saitali</v>
      </c>
    </row>
    <row r="41" spans="1:128" s="156" customFormat="1" ht="118.5" hidden="1" customHeight="1">
      <c r="A41" s="312">
        <v>25</v>
      </c>
      <c r="B41" s="318" t="s">
        <v>253</v>
      </c>
      <c r="C41" s="383" t="s">
        <v>1039</v>
      </c>
      <c r="D41" s="376">
        <v>43873</v>
      </c>
      <c r="E41" s="320" t="s">
        <v>216</v>
      </c>
      <c r="F41" s="381" t="s">
        <v>633</v>
      </c>
      <c r="G41" s="333">
        <v>4</v>
      </c>
      <c r="H41" s="333">
        <v>4</v>
      </c>
      <c r="I41" s="333">
        <v>4</v>
      </c>
      <c r="J41" s="321" t="s">
        <v>69</v>
      </c>
      <c r="K41" s="333">
        <v>4</v>
      </c>
      <c r="L41" s="321" t="s">
        <v>69</v>
      </c>
      <c r="M41" s="321" t="s">
        <v>69</v>
      </c>
      <c r="N41" s="321" t="s">
        <v>69</v>
      </c>
      <c r="O41" s="321" t="s">
        <v>69</v>
      </c>
      <c r="P41" s="321">
        <v>4</v>
      </c>
      <c r="Q41" s="321">
        <v>4</v>
      </c>
      <c r="R41" s="321" t="s">
        <v>69</v>
      </c>
      <c r="S41" s="321" t="s">
        <v>69</v>
      </c>
      <c r="T41" s="321" t="s">
        <v>69</v>
      </c>
      <c r="U41" s="321" t="s">
        <v>69</v>
      </c>
      <c r="V41" s="323" t="s">
        <v>69</v>
      </c>
      <c r="W41" s="321" t="s">
        <v>69</v>
      </c>
      <c r="X41" s="321" t="s">
        <v>69</v>
      </c>
      <c r="Y41" s="321" t="s">
        <v>69</v>
      </c>
      <c r="Z41" s="321" t="s">
        <v>69</v>
      </c>
      <c r="AA41" s="323" t="s">
        <v>69</v>
      </c>
      <c r="AB41" s="321" t="s">
        <v>69</v>
      </c>
      <c r="AC41" s="321" t="s">
        <v>69</v>
      </c>
      <c r="AD41" s="323" t="s">
        <v>69</v>
      </c>
      <c r="AE41" s="323" t="s">
        <v>69</v>
      </c>
      <c r="AF41" s="323" t="s">
        <v>69</v>
      </c>
      <c r="AG41" s="323" t="s">
        <v>69</v>
      </c>
      <c r="AH41" s="323" t="s">
        <v>69</v>
      </c>
      <c r="AI41" s="323" t="s">
        <v>69</v>
      </c>
      <c r="AJ41" s="323" t="s">
        <v>69</v>
      </c>
      <c r="AK41" s="323" t="s">
        <v>69</v>
      </c>
      <c r="AL41" s="323" t="s">
        <v>69</v>
      </c>
      <c r="AM41" s="321">
        <v>4</v>
      </c>
      <c r="AN41" s="321">
        <v>4</v>
      </c>
      <c r="AO41" s="321" t="s">
        <v>69</v>
      </c>
      <c r="AP41" s="321" t="s">
        <v>69</v>
      </c>
      <c r="AQ41" s="323" t="s">
        <v>69</v>
      </c>
      <c r="AR41" s="323" t="s">
        <v>69</v>
      </c>
      <c r="AS41" s="321">
        <v>4</v>
      </c>
      <c r="AT41" s="321">
        <v>4</v>
      </c>
      <c r="AU41" s="321">
        <v>4</v>
      </c>
      <c r="AV41" s="321">
        <v>4</v>
      </c>
      <c r="AW41" s="321">
        <v>4</v>
      </c>
      <c r="AX41" s="321">
        <v>4</v>
      </c>
      <c r="AY41" s="321">
        <v>4</v>
      </c>
      <c r="AZ41" s="321" t="s">
        <v>69</v>
      </c>
      <c r="BA41" s="321">
        <v>4</v>
      </c>
      <c r="BB41" s="321" t="s">
        <v>69</v>
      </c>
      <c r="BC41" s="321" t="s">
        <v>69</v>
      </c>
      <c r="BD41" s="321" t="s">
        <v>69</v>
      </c>
      <c r="BE41" s="342">
        <v>3</v>
      </c>
      <c r="BF41" s="342" t="s">
        <v>69</v>
      </c>
      <c r="BG41" s="334">
        <v>4</v>
      </c>
      <c r="BH41" s="321" t="s">
        <v>69</v>
      </c>
      <c r="BI41" s="321" t="s">
        <v>69</v>
      </c>
      <c r="BJ41" s="323" t="s">
        <v>69</v>
      </c>
      <c r="BK41" s="323" t="s">
        <v>69</v>
      </c>
      <c r="BL41" s="323" t="s">
        <v>69</v>
      </c>
      <c r="BM41" s="321" t="s">
        <v>69</v>
      </c>
      <c r="BN41" s="321" t="s">
        <v>69</v>
      </c>
      <c r="BO41" s="323" t="s">
        <v>69</v>
      </c>
      <c r="BP41" s="321" t="s">
        <v>69</v>
      </c>
      <c r="BQ41" s="323" t="s">
        <v>69</v>
      </c>
      <c r="BR41" s="323" t="s">
        <v>69</v>
      </c>
      <c r="BS41" s="323" t="s">
        <v>69</v>
      </c>
      <c r="BT41" s="323" t="s">
        <v>69</v>
      </c>
      <c r="BU41" s="323" t="s">
        <v>69</v>
      </c>
      <c r="BV41" s="321" t="s">
        <v>69</v>
      </c>
      <c r="BW41" s="321" t="s">
        <v>69</v>
      </c>
      <c r="BX41" s="321"/>
      <c r="BY41" s="321" t="s">
        <v>69</v>
      </c>
      <c r="BZ41" s="323" t="s">
        <v>69</v>
      </c>
      <c r="CA41" s="323" t="s">
        <v>69</v>
      </c>
      <c r="CB41" s="323" t="s">
        <v>69</v>
      </c>
      <c r="CC41" s="323" t="s">
        <v>69</v>
      </c>
      <c r="CD41" s="321" t="s">
        <v>69</v>
      </c>
      <c r="CE41" s="321" t="s">
        <v>69</v>
      </c>
      <c r="CF41" s="321" t="s">
        <v>69</v>
      </c>
      <c r="CG41" s="323" t="s">
        <v>69</v>
      </c>
      <c r="CH41" s="323" t="s">
        <v>69</v>
      </c>
      <c r="CI41" s="323" t="s">
        <v>69</v>
      </c>
      <c r="CJ41" s="323" t="s">
        <v>69</v>
      </c>
      <c r="CK41" s="323" t="s">
        <v>69</v>
      </c>
      <c r="CL41" s="323" t="s">
        <v>69</v>
      </c>
      <c r="CM41" s="323" t="s">
        <v>69</v>
      </c>
      <c r="CN41" s="323" t="s">
        <v>69</v>
      </c>
      <c r="CO41" s="321">
        <v>4</v>
      </c>
      <c r="CP41" s="321">
        <v>4</v>
      </c>
      <c r="CQ41" s="321">
        <v>4</v>
      </c>
      <c r="CR41" s="323" t="s">
        <v>69</v>
      </c>
      <c r="CS41" s="321">
        <v>4</v>
      </c>
      <c r="CT41" s="321">
        <v>4</v>
      </c>
      <c r="CU41" s="321">
        <v>4</v>
      </c>
      <c r="CV41" s="323" t="s">
        <v>69</v>
      </c>
      <c r="CW41" s="323" t="s">
        <v>69</v>
      </c>
      <c r="CX41" s="323" t="s">
        <v>69</v>
      </c>
      <c r="CY41" s="323" t="s">
        <v>69</v>
      </c>
      <c r="CZ41" s="321" t="s">
        <v>69</v>
      </c>
      <c r="DA41" s="323" t="s">
        <v>69</v>
      </c>
      <c r="DB41" s="323" t="s">
        <v>69</v>
      </c>
      <c r="DC41" s="321" t="s">
        <v>69</v>
      </c>
      <c r="DD41" s="321" t="s">
        <v>69</v>
      </c>
      <c r="DE41" s="323">
        <v>2</v>
      </c>
      <c r="DF41" s="323" t="s">
        <v>69</v>
      </c>
      <c r="DG41" s="323" t="s">
        <v>69</v>
      </c>
      <c r="DH41" s="323" t="s">
        <v>69</v>
      </c>
      <c r="DI41" s="323" t="s">
        <v>69</v>
      </c>
      <c r="DJ41" s="321" t="s">
        <v>69</v>
      </c>
      <c r="DK41" s="323" t="s">
        <v>69</v>
      </c>
      <c r="DL41" s="323" t="s">
        <v>69</v>
      </c>
      <c r="DM41" s="323">
        <v>4</v>
      </c>
      <c r="DN41" s="323">
        <v>4</v>
      </c>
      <c r="DO41" s="323" t="s">
        <v>69</v>
      </c>
      <c r="DP41" s="323" t="s">
        <v>69</v>
      </c>
      <c r="DQ41" s="323" t="s">
        <v>69</v>
      </c>
      <c r="DR41" s="323" t="s">
        <v>69</v>
      </c>
      <c r="DS41" s="323" t="s">
        <v>69</v>
      </c>
      <c r="DT41" s="323" t="s">
        <v>69</v>
      </c>
      <c r="DU41" s="334">
        <v>4</v>
      </c>
      <c r="DV41" s="317">
        <f t="shared" si="1"/>
        <v>0.44444444444444442</v>
      </c>
      <c r="DW41" s="356">
        <f t="shared" si="0"/>
        <v>0.9642857142857143</v>
      </c>
      <c r="DX41" s="156" t="str">
        <f>VLOOKUP(B41,[1]Pointage!$A:$D,4,0)</f>
        <v>Mourad Saitali</v>
      </c>
    </row>
    <row r="42" spans="1:128" s="156" customFormat="1" ht="118.5" hidden="1" customHeight="1">
      <c r="A42" s="312">
        <v>26</v>
      </c>
      <c r="B42" s="318" t="s">
        <v>254</v>
      </c>
      <c r="C42" s="383" t="s">
        <v>255</v>
      </c>
      <c r="D42" s="376">
        <v>43862</v>
      </c>
      <c r="E42" s="320" t="s">
        <v>215</v>
      </c>
      <c r="F42" s="381" t="s">
        <v>633</v>
      </c>
      <c r="G42" s="333" t="s">
        <v>69</v>
      </c>
      <c r="H42" s="333" t="s">
        <v>69</v>
      </c>
      <c r="I42" s="333">
        <v>4</v>
      </c>
      <c r="J42" s="321" t="s">
        <v>69</v>
      </c>
      <c r="K42" s="333" t="s">
        <v>69</v>
      </c>
      <c r="L42" s="321" t="s">
        <v>69</v>
      </c>
      <c r="M42" s="321" t="s">
        <v>69</v>
      </c>
      <c r="N42" s="321" t="s">
        <v>69</v>
      </c>
      <c r="O42" s="321" t="s">
        <v>69</v>
      </c>
      <c r="P42" s="321">
        <v>4</v>
      </c>
      <c r="Q42" s="321">
        <v>4</v>
      </c>
      <c r="R42" s="321" t="s">
        <v>69</v>
      </c>
      <c r="S42" s="321" t="s">
        <v>69</v>
      </c>
      <c r="T42" s="321" t="s">
        <v>69</v>
      </c>
      <c r="U42" s="321" t="s">
        <v>69</v>
      </c>
      <c r="V42" s="323" t="s">
        <v>69</v>
      </c>
      <c r="W42" s="321" t="s">
        <v>69</v>
      </c>
      <c r="X42" s="321" t="s">
        <v>69</v>
      </c>
      <c r="Y42" s="321" t="s">
        <v>69</v>
      </c>
      <c r="Z42" s="321" t="s">
        <v>69</v>
      </c>
      <c r="AA42" s="323">
        <v>4</v>
      </c>
      <c r="AB42" s="321" t="s">
        <v>69</v>
      </c>
      <c r="AC42" s="321" t="s">
        <v>69</v>
      </c>
      <c r="AD42" s="323" t="s">
        <v>69</v>
      </c>
      <c r="AE42" s="323" t="s">
        <v>69</v>
      </c>
      <c r="AF42" s="323" t="s">
        <v>69</v>
      </c>
      <c r="AG42" s="323" t="s">
        <v>69</v>
      </c>
      <c r="AH42" s="323" t="s">
        <v>69</v>
      </c>
      <c r="AI42" s="323" t="s">
        <v>69</v>
      </c>
      <c r="AJ42" s="323" t="s">
        <v>69</v>
      </c>
      <c r="AK42" s="323" t="s">
        <v>69</v>
      </c>
      <c r="AL42" s="323" t="s">
        <v>69</v>
      </c>
      <c r="AM42" s="321" t="s">
        <v>69</v>
      </c>
      <c r="AN42" s="321" t="s">
        <v>69</v>
      </c>
      <c r="AO42" s="321" t="s">
        <v>69</v>
      </c>
      <c r="AP42" s="321" t="s">
        <v>69</v>
      </c>
      <c r="AQ42" s="323" t="s">
        <v>69</v>
      </c>
      <c r="AR42" s="323" t="s">
        <v>69</v>
      </c>
      <c r="AS42" s="321">
        <v>4</v>
      </c>
      <c r="AT42" s="321">
        <v>4</v>
      </c>
      <c r="AU42" s="321" t="s">
        <v>69</v>
      </c>
      <c r="AV42" s="321">
        <v>4</v>
      </c>
      <c r="AW42" s="321">
        <v>4</v>
      </c>
      <c r="AX42" s="321" t="s">
        <v>69</v>
      </c>
      <c r="AY42" s="321" t="s">
        <v>69</v>
      </c>
      <c r="AZ42" s="321" t="s">
        <v>69</v>
      </c>
      <c r="BA42" s="321" t="s">
        <v>69</v>
      </c>
      <c r="BB42" s="321" t="s">
        <v>69</v>
      </c>
      <c r="BC42" s="321" t="s">
        <v>69</v>
      </c>
      <c r="BD42" s="321" t="s">
        <v>69</v>
      </c>
      <c r="BE42" s="342" t="s">
        <v>69</v>
      </c>
      <c r="BF42" s="342" t="s">
        <v>69</v>
      </c>
      <c r="BG42" s="342" t="s">
        <v>69</v>
      </c>
      <c r="BH42" s="321" t="s">
        <v>69</v>
      </c>
      <c r="BI42" s="321" t="s">
        <v>69</v>
      </c>
      <c r="BJ42" s="323" t="s">
        <v>69</v>
      </c>
      <c r="BK42" s="323" t="s">
        <v>69</v>
      </c>
      <c r="BL42" s="323" t="s">
        <v>69</v>
      </c>
      <c r="BM42" s="321" t="s">
        <v>69</v>
      </c>
      <c r="BN42" s="321" t="s">
        <v>69</v>
      </c>
      <c r="BO42" s="323" t="s">
        <v>69</v>
      </c>
      <c r="BP42" s="321" t="s">
        <v>69</v>
      </c>
      <c r="BQ42" s="323" t="s">
        <v>69</v>
      </c>
      <c r="BR42" s="323" t="s">
        <v>69</v>
      </c>
      <c r="BS42" s="323">
        <v>4</v>
      </c>
      <c r="BT42" s="323">
        <v>4</v>
      </c>
      <c r="BU42" s="321">
        <v>4</v>
      </c>
      <c r="BV42" s="321" t="s">
        <v>69</v>
      </c>
      <c r="BW42" s="321" t="s">
        <v>69</v>
      </c>
      <c r="BX42" s="321"/>
      <c r="BY42" s="321" t="s">
        <v>69</v>
      </c>
      <c r="BZ42" s="321">
        <v>4</v>
      </c>
      <c r="CA42" s="323" t="s">
        <v>69</v>
      </c>
      <c r="CB42" s="323" t="s">
        <v>69</v>
      </c>
      <c r="CC42" s="323" t="s">
        <v>69</v>
      </c>
      <c r="CD42" s="321" t="s">
        <v>69</v>
      </c>
      <c r="CE42" s="321" t="s">
        <v>69</v>
      </c>
      <c r="CF42" s="321" t="s">
        <v>69</v>
      </c>
      <c r="CG42" s="323">
        <v>4</v>
      </c>
      <c r="CH42" s="323" t="s">
        <v>69</v>
      </c>
      <c r="CI42" s="323" t="s">
        <v>69</v>
      </c>
      <c r="CJ42" s="323" t="s">
        <v>69</v>
      </c>
      <c r="CK42" s="323" t="s">
        <v>69</v>
      </c>
      <c r="CL42" s="323" t="s">
        <v>69</v>
      </c>
      <c r="CM42" s="323" t="s">
        <v>69</v>
      </c>
      <c r="CN42" s="321">
        <v>4</v>
      </c>
      <c r="CO42" s="321">
        <v>4</v>
      </c>
      <c r="CP42" s="323"/>
      <c r="CQ42" s="321">
        <v>4</v>
      </c>
      <c r="CR42" s="323" t="s">
        <v>69</v>
      </c>
      <c r="CS42" s="323">
        <v>4</v>
      </c>
      <c r="CT42" s="323">
        <v>4</v>
      </c>
      <c r="CU42" s="323">
        <v>4</v>
      </c>
      <c r="CV42" s="321">
        <v>4</v>
      </c>
      <c r="CW42" s="323" t="s">
        <v>69</v>
      </c>
      <c r="CX42" s="323" t="s">
        <v>69</v>
      </c>
      <c r="CY42" s="323" t="s">
        <v>69</v>
      </c>
      <c r="CZ42" s="321" t="s">
        <v>69</v>
      </c>
      <c r="DA42" s="323" t="s">
        <v>69</v>
      </c>
      <c r="DB42" s="323" t="s">
        <v>69</v>
      </c>
      <c r="DC42" s="321" t="s">
        <v>69</v>
      </c>
      <c r="DD42" s="321" t="s">
        <v>69</v>
      </c>
      <c r="DE42" s="323" t="s">
        <v>69</v>
      </c>
      <c r="DF42" s="323" t="s">
        <v>69</v>
      </c>
      <c r="DG42" s="323" t="s">
        <v>69</v>
      </c>
      <c r="DH42" s="323" t="s">
        <v>69</v>
      </c>
      <c r="DI42" s="323" t="s">
        <v>69</v>
      </c>
      <c r="DJ42" s="321" t="s">
        <v>69</v>
      </c>
      <c r="DK42" s="323" t="s">
        <v>69</v>
      </c>
      <c r="DL42" s="323">
        <v>4</v>
      </c>
      <c r="DM42" s="323">
        <v>4</v>
      </c>
      <c r="DN42" s="323">
        <v>4</v>
      </c>
      <c r="DO42" s="323" t="s">
        <v>69</v>
      </c>
      <c r="DP42" s="323" t="s">
        <v>69</v>
      </c>
      <c r="DQ42" s="323" t="s">
        <v>69</v>
      </c>
      <c r="DR42" s="323" t="s">
        <v>69</v>
      </c>
      <c r="DS42" s="323" t="s">
        <v>69</v>
      </c>
      <c r="DT42" s="323" t="s">
        <v>69</v>
      </c>
      <c r="DU42" s="334">
        <v>4</v>
      </c>
      <c r="DV42" s="317">
        <f t="shared" si="1"/>
        <v>0.38095238095238093</v>
      </c>
      <c r="DW42" s="356">
        <f t="shared" si="0"/>
        <v>1</v>
      </c>
      <c r="DX42" s="156" t="str">
        <f>VLOOKUP(B42,[1]Pointage!$A:$D,4,0)</f>
        <v>Mourad Saitali</v>
      </c>
    </row>
    <row r="43" spans="1:128" s="156" customFormat="1" ht="118.5" hidden="1" customHeight="1">
      <c r="A43" s="312">
        <v>27</v>
      </c>
      <c r="B43" s="318" t="s">
        <v>256</v>
      </c>
      <c r="C43" s="383" t="s">
        <v>257</v>
      </c>
      <c r="D43" s="377">
        <v>44958</v>
      </c>
      <c r="E43" s="320" t="s">
        <v>216</v>
      </c>
      <c r="F43" s="381" t="s">
        <v>633</v>
      </c>
      <c r="G43" s="333" t="s">
        <v>69</v>
      </c>
      <c r="H43" s="333" t="s">
        <v>69</v>
      </c>
      <c r="I43" s="333" t="s">
        <v>69</v>
      </c>
      <c r="J43" s="321" t="s">
        <v>69</v>
      </c>
      <c r="K43" s="333" t="s">
        <v>69</v>
      </c>
      <c r="L43" s="321" t="s">
        <v>69</v>
      </c>
      <c r="M43" s="321" t="s">
        <v>69</v>
      </c>
      <c r="N43" s="321" t="s">
        <v>69</v>
      </c>
      <c r="O43" s="321" t="s">
        <v>69</v>
      </c>
      <c r="P43" s="321" t="s">
        <v>69</v>
      </c>
      <c r="Q43" s="321" t="s">
        <v>69</v>
      </c>
      <c r="R43" s="321" t="s">
        <v>69</v>
      </c>
      <c r="S43" s="321" t="s">
        <v>69</v>
      </c>
      <c r="T43" s="321" t="s">
        <v>69</v>
      </c>
      <c r="U43" s="321" t="s">
        <v>69</v>
      </c>
      <c r="V43" s="323" t="s">
        <v>69</v>
      </c>
      <c r="W43" s="321" t="s">
        <v>69</v>
      </c>
      <c r="X43" s="321" t="s">
        <v>69</v>
      </c>
      <c r="Y43" s="321" t="s">
        <v>69</v>
      </c>
      <c r="Z43" s="321" t="s">
        <v>69</v>
      </c>
      <c r="AA43" s="323" t="s">
        <v>69</v>
      </c>
      <c r="AB43" s="321" t="s">
        <v>69</v>
      </c>
      <c r="AC43" s="321" t="s">
        <v>69</v>
      </c>
      <c r="AD43" s="323" t="s">
        <v>69</v>
      </c>
      <c r="AE43" s="323" t="s">
        <v>69</v>
      </c>
      <c r="AF43" s="323" t="s">
        <v>69</v>
      </c>
      <c r="AG43" s="323" t="s">
        <v>69</v>
      </c>
      <c r="AH43" s="323" t="s">
        <v>69</v>
      </c>
      <c r="AI43" s="323" t="s">
        <v>69</v>
      </c>
      <c r="AJ43" s="323" t="s">
        <v>69</v>
      </c>
      <c r="AK43" s="323" t="s">
        <v>69</v>
      </c>
      <c r="AL43" s="323" t="s">
        <v>69</v>
      </c>
      <c r="AM43" s="321" t="s">
        <v>69</v>
      </c>
      <c r="AN43" s="321" t="s">
        <v>69</v>
      </c>
      <c r="AO43" s="321" t="s">
        <v>69</v>
      </c>
      <c r="AP43" s="321" t="s">
        <v>69</v>
      </c>
      <c r="AQ43" s="323">
        <v>4</v>
      </c>
      <c r="AR43" s="323" t="s">
        <v>69</v>
      </c>
      <c r="AS43" s="321" t="s">
        <v>69</v>
      </c>
      <c r="AT43" s="321" t="s">
        <v>69</v>
      </c>
      <c r="AU43" s="321" t="s">
        <v>69</v>
      </c>
      <c r="AV43" s="321" t="s">
        <v>69</v>
      </c>
      <c r="AW43" s="321" t="s">
        <v>69</v>
      </c>
      <c r="AX43" s="321" t="s">
        <v>69</v>
      </c>
      <c r="AY43" s="321" t="s">
        <v>69</v>
      </c>
      <c r="AZ43" s="321" t="s">
        <v>69</v>
      </c>
      <c r="BA43" s="321" t="s">
        <v>69</v>
      </c>
      <c r="BB43" s="321" t="s">
        <v>69</v>
      </c>
      <c r="BC43" s="321" t="s">
        <v>69</v>
      </c>
      <c r="BD43" s="321" t="s">
        <v>69</v>
      </c>
      <c r="BE43" s="342">
        <v>4</v>
      </c>
      <c r="BF43" s="342" t="s">
        <v>69</v>
      </c>
      <c r="BG43" s="342" t="s">
        <v>69</v>
      </c>
      <c r="BH43" s="321" t="s">
        <v>69</v>
      </c>
      <c r="BI43" s="321" t="s">
        <v>69</v>
      </c>
      <c r="BJ43" s="323" t="s">
        <v>69</v>
      </c>
      <c r="BK43" s="323" t="s">
        <v>69</v>
      </c>
      <c r="BL43" s="323" t="s">
        <v>69</v>
      </c>
      <c r="BM43" s="321" t="s">
        <v>69</v>
      </c>
      <c r="BN43" s="321" t="s">
        <v>69</v>
      </c>
      <c r="BO43" s="323" t="s">
        <v>69</v>
      </c>
      <c r="BP43" s="321" t="s">
        <v>69</v>
      </c>
      <c r="BQ43" s="323" t="s">
        <v>69</v>
      </c>
      <c r="BR43" s="323" t="s">
        <v>69</v>
      </c>
      <c r="BS43" s="323" t="s">
        <v>69</v>
      </c>
      <c r="BT43" s="323" t="s">
        <v>69</v>
      </c>
      <c r="BU43" s="323" t="s">
        <v>69</v>
      </c>
      <c r="BV43" s="321" t="s">
        <v>69</v>
      </c>
      <c r="BW43" s="321" t="s">
        <v>69</v>
      </c>
      <c r="BX43" s="321"/>
      <c r="BY43" s="321" t="s">
        <v>69</v>
      </c>
      <c r="BZ43" s="321" t="s">
        <v>69</v>
      </c>
      <c r="CA43" s="323" t="s">
        <v>69</v>
      </c>
      <c r="CB43" s="323" t="s">
        <v>69</v>
      </c>
      <c r="CC43" s="323" t="s">
        <v>69</v>
      </c>
      <c r="CD43" s="321" t="s">
        <v>69</v>
      </c>
      <c r="CE43" s="321" t="s">
        <v>69</v>
      </c>
      <c r="CF43" s="321" t="s">
        <v>69</v>
      </c>
      <c r="CG43" s="321" t="s">
        <v>69</v>
      </c>
      <c r="CH43" s="321" t="s">
        <v>69</v>
      </c>
      <c r="CI43" s="323" t="s">
        <v>69</v>
      </c>
      <c r="CJ43" s="323" t="s">
        <v>69</v>
      </c>
      <c r="CK43" s="323" t="s">
        <v>69</v>
      </c>
      <c r="CL43" s="323" t="s">
        <v>69</v>
      </c>
      <c r="CM43" s="321">
        <v>4</v>
      </c>
      <c r="CN43" s="323" t="s">
        <v>69</v>
      </c>
      <c r="CO43" s="323">
        <v>4</v>
      </c>
      <c r="CP43" s="323" t="s">
        <v>69</v>
      </c>
      <c r="CQ43" s="323">
        <v>4</v>
      </c>
      <c r="CR43" s="323">
        <v>4</v>
      </c>
      <c r="CS43" s="323" t="s">
        <v>69</v>
      </c>
      <c r="CT43" s="323">
        <v>4</v>
      </c>
      <c r="CU43" s="323">
        <v>4</v>
      </c>
      <c r="CV43" s="323" t="s">
        <v>69</v>
      </c>
      <c r="CW43" s="323" t="s">
        <v>69</v>
      </c>
      <c r="CX43" s="323" t="s">
        <v>69</v>
      </c>
      <c r="CY43" s="323" t="s">
        <v>69</v>
      </c>
      <c r="CZ43" s="321" t="s">
        <v>69</v>
      </c>
      <c r="DA43" s="323" t="s">
        <v>69</v>
      </c>
      <c r="DB43" s="323" t="s">
        <v>69</v>
      </c>
      <c r="DC43" s="321" t="s">
        <v>69</v>
      </c>
      <c r="DD43" s="321" t="s">
        <v>69</v>
      </c>
      <c r="DE43" s="323" t="s">
        <v>69</v>
      </c>
      <c r="DF43" s="323">
        <v>4</v>
      </c>
      <c r="DG43" s="323" t="s">
        <v>69</v>
      </c>
      <c r="DH43" s="323" t="s">
        <v>69</v>
      </c>
      <c r="DI43" s="323" t="s">
        <v>69</v>
      </c>
      <c r="DJ43" s="321" t="s">
        <v>69</v>
      </c>
      <c r="DK43" s="323" t="s">
        <v>69</v>
      </c>
      <c r="DL43" s="323" t="s">
        <v>69</v>
      </c>
      <c r="DM43" s="323" t="s">
        <v>69</v>
      </c>
      <c r="DN43" s="323" t="s">
        <v>69</v>
      </c>
      <c r="DO43" s="323" t="s">
        <v>69</v>
      </c>
      <c r="DP43" s="323" t="s">
        <v>69</v>
      </c>
      <c r="DQ43" s="323" t="s">
        <v>69</v>
      </c>
      <c r="DR43" s="323" t="s">
        <v>69</v>
      </c>
      <c r="DS43" s="323">
        <v>4</v>
      </c>
      <c r="DT43" s="323">
        <v>4</v>
      </c>
      <c r="DU43" s="334">
        <v>4</v>
      </c>
      <c r="DV43" s="317">
        <f t="shared" si="1"/>
        <v>0.19047619047619047</v>
      </c>
      <c r="DW43" s="356">
        <f t="shared" si="0"/>
        <v>1</v>
      </c>
      <c r="DX43" s="156" t="str">
        <f>VLOOKUP(B43,[1]Pointage!$A:$D,4,0)</f>
        <v>Mourad Saitali</v>
      </c>
    </row>
    <row r="44" spans="1:128" s="156" customFormat="1" ht="118.5" hidden="1" customHeight="1">
      <c r="A44" s="312">
        <v>28</v>
      </c>
      <c r="B44" s="318" t="s">
        <v>1027</v>
      </c>
      <c r="C44" s="383" t="s">
        <v>1040</v>
      </c>
      <c r="D44" s="376">
        <v>45262</v>
      </c>
      <c r="E44" s="320" t="s">
        <v>215</v>
      </c>
      <c r="F44" s="381" t="s">
        <v>633</v>
      </c>
      <c r="G44" s="333">
        <v>4</v>
      </c>
      <c r="H44" s="333">
        <v>4</v>
      </c>
      <c r="I44" s="333">
        <v>4</v>
      </c>
      <c r="J44" s="321" t="s">
        <v>69</v>
      </c>
      <c r="K44" s="333">
        <v>4</v>
      </c>
      <c r="L44" s="321" t="s">
        <v>69</v>
      </c>
      <c r="M44" s="321" t="s">
        <v>69</v>
      </c>
      <c r="N44" s="321" t="s">
        <v>69</v>
      </c>
      <c r="O44" s="321" t="s">
        <v>69</v>
      </c>
      <c r="P44" s="321">
        <v>4</v>
      </c>
      <c r="Q44" s="321">
        <v>4</v>
      </c>
      <c r="R44" s="321" t="s">
        <v>69</v>
      </c>
      <c r="S44" s="321" t="s">
        <v>69</v>
      </c>
      <c r="T44" s="321" t="s">
        <v>69</v>
      </c>
      <c r="U44" s="321" t="s">
        <v>69</v>
      </c>
      <c r="V44" s="323" t="s">
        <v>69</v>
      </c>
      <c r="W44" s="321" t="s">
        <v>69</v>
      </c>
      <c r="X44" s="321" t="s">
        <v>69</v>
      </c>
      <c r="Y44" s="321" t="s">
        <v>69</v>
      </c>
      <c r="Z44" s="321" t="s">
        <v>69</v>
      </c>
      <c r="AA44" s="323" t="s">
        <v>69</v>
      </c>
      <c r="AB44" s="321" t="s">
        <v>69</v>
      </c>
      <c r="AC44" s="321" t="s">
        <v>69</v>
      </c>
      <c r="AD44" s="323" t="s">
        <v>69</v>
      </c>
      <c r="AE44" s="323" t="s">
        <v>69</v>
      </c>
      <c r="AF44" s="323" t="s">
        <v>69</v>
      </c>
      <c r="AG44" s="323" t="s">
        <v>69</v>
      </c>
      <c r="AH44" s="323" t="s">
        <v>69</v>
      </c>
      <c r="AI44" s="323" t="s">
        <v>69</v>
      </c>
      <c r="AJ44" s="323" t="s">
        <v>69</v>
      </c>
      <c r="AK44" s="323" t="s">
        <v>69</v>
      </c>
      <c r="AL44" s="323" t="s">
        <v>69</v>
      </c>
      <c r="AM44" s="321" t="s">
        <v>69</v>
      </c>
      <c r="AN44" s="321" t="s">
        <v>69</v>
      </c>
      <c r="AO44" s="321" t="s">
        <v>69</v>
      </c>
      <c r="AP44" s="321" t="s">
        <v>69</v>
      </c>
      <c r="AQ44" s="323" t="s">
        <v>69</v>
      </c>
      <c r="AR44" s="323" t="s">
        <v>69</v>
      </c>
      <c r="AS44" s="321">
        <v>4</v>
      </c>
      <c r="AT44" s="321">
        <v>4</v>
      </c>
      <c r="AU44" s="321">
        <v>4</v>
      </c>
      <c r="AV44" s="321">
        <v>4</v>
      </c>
      <c r="AW44" s="321">
        <v>4</v>
      </c>
      <c r="AX44" s="321">
        <v>3</v>
      </c>
      <c r="AY44" s="321">
        <v>4</v>
      </c>
      <c r="AZ44" s="321">
        <v>4</v>
      </c>
      <c r="BA44" s="321" t="s">
        <v>69</v>
      </c>
      <c r="BB44" s="321" t="s">
        <v>69</v>
      </c>
      <c r="BC44" s="321" t="s">
        <v>69</v>
      </c>
      <c r="BD44" s="321" t="s">
        <v>69</v>
      </c>
      <c r="BE44" s="334">
        <v>4</v>
      </c>
      <c r="BF44" s="342" t="s">
        <v>69</v>
      </c>
      <c r="BG44" s="342" t="s">
        <v>69</v>
      </c>
      <c r="BH44" s="321" t="s">
        <v>69</v>
      </c>
      <c r="BI44" s="321" t="s">
        <v>69</v>
      </c>
      <c r="BJ44" s="323" t="s">
        <v>69</v>
      </c>
      <c r="BK44" s="334">
        <v>4</v>
      </c>
      <c r="BL44" s="323" t="s">
        <v>69</v>
      </c>
      <c r="BM44" s="321" t="s">
        <v>69</v>
      </c>
      <c r="BN44" s="321" t="s">
        <v>69</v>
      </c>
      <c r="BO44" s="323" t="s">
        <v>69</v>
      </c>
      <c r="BP44" s="321" t="s">
        <v>69</v>
      </c>
      <c r="BQ44" s="323" t="s">
        <v>69</v>
      </c>
      <c r="BR44" s="323" t="s">
        <v>69</v>
      </c>
      <c r="BS44" s="321">
        <v>4</v>
      </c>
      <c r="BT44" s="321">
        <v>4</v>
      </c>
      <c r="BU44" s="323" t="s">
        <v>69</v>
      </c>
      <c r="BV44" s="321" t="s">
        <v>69</v>
      </c>
      <c r="BW44" s="321" t="s">
        <v>69</v>
      </c>
      <c r="BX44" s="321">
        <v>4</v>
      </c>
      <c r="BY44" s="321">
        <v>4</v>
      </c>
      <c r="BZ44" s="323" t="s">
        <v>69</v>
      </c>
      <c r="CA44" s="323" t="s">
        <v>69</v>
      </c>
      <c r="CB44" s="323" t="s">
        <v>69</v>
      </c>
      <c r="CC44" s="323" t="s">
        <v>69</v>
      </c>
      <c r="CD44" s="321" t="s">
        <v>69</v>
      </c>
      <c r="CE44" s="321" t="s">
        <v>69</v>
      </c>
      <c r="CF44" s="321" t="s">
        <v>69</v>
      </c>
      <c r="CG44" s="323" t="s">
        <v>69</v>
      </c>
      <c r="CH44" s="323" t="s">
        <v>69</v>
      </c>
      <c r="CI44" s="323" t="s">
        <v>69</v>
      </c>
      <c r="CJ44" s="323" t="s">
        <v>69</v>
      </c>
      <c r="CK44" s="323" t="s">
        <v>69</v>
      </c>
      <c r="CL44" s="323" t="s">
        <v>69</v>
      </c>
      <c r="CM44" s="323" t="s">
        <v>69</v>
      </c>
      <c r="CN44" s="321">
        <v>4</v>
      </c>
      <c r="CO44" s="321">
        <v>4</v>
      </c>
      <c r="CP44" s="321">
        <v>4</v>
      </c>
      <c r="CQ44" s="321">
        <v>4</v>
      </c>
      <c r="CR44" s="321">
        <v>4</v>
      </c>
      <c r="CS44" s="321">
        <v>4</v>
      </c>
      <c r="CT44" s="321">
        <v>4</v>
      </c>
      <c r="CU44" s="321">
        <v>4</v>
      </c>
      <c r="CV44" s="323">
        <v>2</v>
      </c>
      <c r="CW44" s="323" t="s">
        <v>69</v>
      </c>
      <c r="CX44" s="323" t="s">
        <v>69</v>
      </c>
      <c r="CY44" s="323" t="s">
        <v>69</v>
      </c>
      <c r="CZ44" s="321" t="s">
        <v>69</v>
      </c>
      <c r="DA44" s="323" t="s">
        <v>69</v>
      </c>
      <c r="DB44" s="323" t="s">
        <v>69</v>
      </c>
      <c r="DC44" s="321" t="s">
        <v>69</v>
      </c>
      <c r="DD44" s="321" t="s">
        <v>69</v>
      </c>
      <c r="DE44" s="323" t="s">
        <v>69</v>
      </c>
      <c r="DF44" s="323" t="s">
        <v>69</v>
      </c>
      <c r="DG44" s="323" t="s">
        <v>69</v>
      </c>
      <c r="DH44" s="323" t="s">
        <v>69</v>
      </c>
      <c r="DI44" s="323" t="s">
        <v>69</v>
      </c>
      <c r="DJ44" s="321" t="s">
        <v>69</v>
      </c>
      <c r="DK44" s="323" t="s">
        <v>69</v>
      </c>
      <c r="DL44" s="323" t="s">
        <v>69</v>
      </c>
      <c r="DM44" s="323" t="s">
        <v>69</v>
      </c>
      <c r="DN44" s="323" t="s">
        <v>69</v>
      </c>
      <c r="DO44" s="323" t="s">
        <v>69</v>
      </c>
      <c r="DP44" s="323">
        <v>3</v>
      </c>
      <c r="DQ44" s="323" t="s">
        <v>69</v>
      </c>
      <c r="DR44" s="323" t="s">
        <v>69</v>
      </c>
      <c r="DS44" s="323" t="s">
        <v>69</v>
      </c>
      <c r="DT44" s="323" t="s">
        <v>69</v>
      </c>
      <c r="DU44" s="323">
        <v>4</v>
      </c>
      <c r="DV44" s="317">
        <f t="shared" si="1"/>
        <v>0.49206349206349204</v>
      </c>
      <c r="DW44" s="356">
        <f t="shared" si="0"/>
        <v>0.967741935483871</v>
      </c>
      <c r="DX44" s="156" t="str">
        <f>VLOOKUP(B44,[1]Pointage!$A:$D,4,0)</f>
        <v>Mourad Saitali</v>
      </c>
    </row>
    <row r="45" spans="1:128" s="156" customFormat="1" ht="118.5" hidden="1" customHeight="1">
      <c r="A45" s="312">
        <v>29</v>
      </c>
      <c r="B45" s="318" t="s">
        <v>260</v>
      </c>
      <c r="C45" s="383" t="s">
        <v>1041</v>
      </c>
      <c r="D45" s="377">
        <v>44910</v>
      </c>
      <c r="E45" s="320" t="s">
        <v>216</v>
      </c>
      <c r="F45" s="381" t="s">
        <v>633</v>
      </c>
      <c r="G45" s="333">
        <v>4</v>
      </c>
      <c r="H45" s="333" t="s">
        <v>69</v>
      </c>
      <c r="I45" s="333" t="s">
        <v>69</v>
      </c>
      <c r="J45" s="321" t="s">
        <v>69</v>
      </c>
      <c r="K45" s="333" t="s">
        <v>69</v>
      </c>
      <c r="L45" s="321" t="s">
        <v>69</v>
      </c>
      <c r="M45" s="321" t="s">
        <v>69</v>
      </c>
      <c r="N45" s="321" t="s">
        <v>69</v>
      </c>
      <c r="O45" s="321" t="s">
        <v>69</v>
      </c>
      <c r="P45" s="321" t="s">
        <v>69</v>
      </c>
      <c r="Q45" s="321" t="s">
        <v>69</v>
      </c>
      <c r="R45" s="321" t="s">
        <v>69</v>
      </c>
      <c r="S45" s="321" t="s">
        <v>69</v>
      </c>
      <c r="T45" s="321" t="s">
        <v>69</v>
      </c>
      <c r="U45" s="321" t="s">
        <v>69</v>
      </c>
      <c r="V45" s="323" t="s">
        <v>69</v>
      </c>
      <c r="W45" s="321" t="s">
        <v>69</v>
      </c>
      <c r="X45" s="321" t="s">
        <v>69</v>
      </c>
      <c r="Y45" s="321" t="s">
        <v>69</v>
      </c>
      <c r="Z45" s="321" t="s">
        <v>69</v>
      </c>
      <c r="AA45" s="323" t="s">
        <v>69</v>
      </c>
      <c r="AB45" s="321" t="s">
        <v>69</v>
      </c>
      <c r="AC45" s="321" t="s">
        <v>69</v>
      </c>
      <c r="AD45" s="323" t="s">
        <v>69</v>
      </c>
      <c r="AE45" s="323" t="s">
        <v>69</v>
      </c>
      <c r="AF45" s="323" t="s">
        <v>69</v>
      </c>
      <c r="AG45" s="323" t="s">
        <v>69</v>
      </c>
      <c r="AH45" s="323" t="s">
        <v>69</v>
      </c>
      <c r="AI45" s="323" t="s">
        <v>69</v>
      </c>
      <c r="AJ45" s="323" t="s">
        <v>69</v>
      </c>
      <c r="AK45" s="323" t="s">
        <v>69</v>
      </c>
      <c r="AL45" s="323" t="s">
        <v>69</v>
      </c>
      <c r="AM45" s="321" t="s">
        <v>69</v>
      </c>
      <c r="AN45" s="321" t="s">
        <v>69</v>
      </c>
      <c r="AO45" s="321" t="s">
        <v>69</v>
      </c>
      <c r="AP45" s="321" t="s">
        <v>69</v>
      </c>
      <c r="AQ45" s="323" t="s">
        <v>69</v>
      </c>
      <c r="AR45" s="323" t="s">
        <v>69</v>
      </c>
      <c r="AS45" s="321" t="s">
        <v>69</v>
      </c>
      <c r="AT45" s="321" t="s">
        <v>69</v>
      </c>
      <c r="AU45" s="321" t="s">
        <v>69</v>
      </c>
      <c r="AV45" s="321" t="s">
        <v>69</v>
      </c>
      <c r="AW45" s="321" t="s">
        <v>69</v>
      </c>
      <c r="AX45" s="321" t="s">
        <v>69</v>
      </c>
      <c r="AY45" s="321" t="s">
        <v>69</v>
      </c>
      <c r="AZ45" s="321" t="s">
        <v>69</v>
      </c>
      <c r="BA45" s="321" t="s">
        <v>69</v>
      </c>
      <c r="BB45" s="321" t="s">
        <v>69</v>
      </c>
      <c r="BC45" s="321" t="s">
        <v>69</v>
      </c>
      <c r="BD45" s="321" t="s">
        <v>69</v>
      </c>
      <c r="BE45" s="334">
        <v>4</v>
      </c>
      <c r="BF45" s="342" t="s">
        <v>69</v>
      </c>
      <c r="BG45" s="342" t="s">
        <v>69</v>
      </c>
      <c r="BH45" s="321" t="s">
        <v>69</v>
      </c>
      <c r="BI45" s="321" t="s">
        <v>69</v>
      </c>
      <c r="BJ45" s="323" t="s">
        <v>69</v>
      </c>
      <c r="BK45" s="323" t="s">
        <v>69</v>
      </c>
      <c r="BL45" s="323" t="s">
        <v>69</v>
      </c>
      <c r="BM45" s="321" t="s">
        <v>69</v>
      </c>
      <c r="BN45" s="321" t="s">
        <v>69</v>
      </c>
      <c r="BO45" s="323" t="s">
        <v>69</v>
      </c>
      <c r="BP45" s="321" t="s">
        <v>69</v>
      </c>
      <c r="BQ45" s="323" t="s">
        <v>69</v>
      </c>
      <c r="BR45" s="323" t="s">
        <v>69</v>
      </c>
      <c r="BS45" s="323" t="s">
        <v>69</v>
      </c>
      <c r="BT45" s="323" t="s">
        <v>69</v>
      </c>
      <c r="BU45" s="323" t="s">
        <v>69</v>
      </c>
      <c r="BV45" s="321" t="s">
        <v>69</v>
      </c>
      <c r="BW45" s="321" t="s">
        <v>69</v>
      </c>
      <c r="BX45" s="321"/>
      <c r="BY45" s="321" t="s">
        <v>69</v>
      </c>
      <c r="BZ45" s="321">
        <v>4</v>
      </c>
      <c r="CA45" s="323" t="s">
        <v>69</v>
      </c>
      <c r="CB45" s="323" t="s">
        <v>69</v>
      </c>
      <c r="CC45" s="323" t="s">
        <v>69</v>
      </c>
      <c r="CD45" s="321" t="s">
        <v>69</v>
      </c>
      <c r="CE45" s="321" t="s">
        <v>69</v>
      </c>
      <c r="CF45" s="321" t="s">
        <v>69</v>
      </c>
      <c r="CG45" s="321">
        <v>4</v>
      </c>
      <c r="CH45" s="323" t="s">
        <v>69</v>
      </c>
      <c r="CI45" s="323" t="s">
        <v>69</v>
      </c>
      <c r="CJ45" s="323" t="s">
        <v>69</v>
      </c>
      <c r="CK45" s="323" t="s">
        <v>69</v>
      </c>
      <c r="CL45" s="323" t="s">
        <v>69</v>
      </c>
      <c r="CM45" s="323" t="s">
        <v>69</v>
      </c>
      <c r="CN45" s="323" t="s">
        <v>69</v>
      </c>
      <c r="CO45" s="323" t="s">
        <v>69</v>
      </c>
      <c r="CP45" s="323" t="s">
        <v>69</v>
      </c>
      <c r="CQ45" s="323" t="s">
        <v>69</v>
      </c>
      <c r="CR45" s="323" t="s">
        <v>69</v>
      </c>
      <c r="CS45" s="323" t="s">
        <v>69</v>
      </c>
      <c r="CT45" s="323" t="s">
        <v>69</v>
      </c>
      <c r="CU45" s="323" t="s">
        <v>69</v>
      </c>
      <c r="CV45" s="323">
        <v>2</v>
      </c>
      <c r="CW45" s="323" t="s">
        <v>69</v>
      </c>
      <c r="CX45" s="323" t="s">
        <v>69</v>
      </c>
      <c r="CY45" s="323" t="s">
        <v>69</v>
      </c>
      <c r="CZ45" s="321" t="s">
        <v>69</v>
      </c>
      <c r="DA45" s="323">
        <v>2</v>
      </c>
      <c r="DB45" s="323" t="s">
        <v>69</v>
      </c>
      <c r="DC45" s="321" t="s">
        <v>69</v>
      </c>
      <c r="DD45" s="321" t="s">
        <v>69</v>
      </c>
      <c r="DE45" s="323" t="s">
        <v>69</v>
      </c>
      <c r="DF45" s="323" t="s">
        <v>69</v>
      </c>
      <c r="DG45" s="323" t="s">
        <v>69</v>
      </c>
      <c r="DH45" s="323" t="s">
        <v>69</v>
      </c>
      <c r="DI45" s="323" t="s">
        <v>69</v>
      </c>
      <c r="DJ45" s="321" t="s">
        <v>69</v>
      </c>
      <c r="DK45" s="323" t="s">
        <v>69</v>
      </c>
      <c r="DL45" s="323" t="s">
        <v>69</v>
      </c>
      <c r="DM45" s="323" t="s">
        <v>69</v>
      </c>
      <c r="DN45" s="323" t="s">
        <v>69</v>
      </c>
      <c r="DO45" s="323" t="s">
        <v>69</v>
      </c>
      <c r="DP45" s="323" t="s">
        <v>69</v>
      </c>
      <c r="DQ45" s="323" t="s">
        <v>69</v>
      </c>
      <c r="DR45" s="323" t="s">
        <v>69</v>
      </c>
      <c r="DS45" s="323" t="s">
        <v>69</v>
      </c>
      <c r="DT45" s="323" t="s">
        <v>69</v>
      </c>
      <c r="DU45" s="334">
        <v>4</v>
      </c>
      <c r="DV45" s="317">
        <f t="shared" si="1"/>
        <v>0.1111111111111111</v>
      </c>
      <c r="DW45" s="356">
        <f t="shared" si="0"/>
        <v>0.7142857142857143</v>
      </c>
      <c r="DX45" s="156" t="str">
        <f>VLOOKUP(B45,[1]Pointage!$A:$D,4,0)</f>
        <v>Mourad Saitali</v>
      </c>
    </row>
    <row r="46" spans="1:128" s="156" customFormat="1" ht="118.5" hidden="1" customHeight="1">
      <c r="A46" s="312">
        <v>30</v>
      </c>
      <c r="B46" s="318" t="s">
        <v>261</v>
      </c>
      <c r="C46" s="383" t="s">
        <v>1042</v>
      </c>
      <c r="D46" s="377">
        <v>44117</v>
      </c>
      <c r="E46" s="320" t="s">
        <v>217</v>
      </c>
      <c r="F46" s="381" t="s">
        <v>633</v>
      </c>
      <c r="G46" s="333">
        <v>4</v>
      </c>
      <c r="H46" s="333" t="s">
        <v>69</v>
      </c>
      <c r="I46" s="333">
        <v>4</v>
      </c>
      <c r="J46" s="321" t="s">
        <v>69</v>
      </c>
      <c r="K46" s="333" t="s">
        <v>69</v>
      </c>
      <c r="L46" s="321" t="s">
        <v>69</v>
      </c>
      <c r="M46" s="321" t="s">
        <v>69</v>
      </c>
      <c r="N46" s="321" t="s">
        <v>69</v>
      </c>
      <c r="O46" s="321" t="s">
        <v>69</v>
      </c>
      <c r="P46" s="321" t="s">
        <v>69</v>
      </c>
      <c r="Q46" s="321" t="s">
        <v>69</v>
      </c>
      <c r="R46" s="321" t="s">
        <v>69</v>
      </c>
      <c r="S46" s="321" t="s">
        <v>69</v>
      </c>
      <c r="T46" s="321" t="s">
        <v>69</v>
      </c>
      <c r="U46" s="321" t="s">
        <v>69</v>
      </c>
      <c r="V46" s="323" t="s">
        <v>69</v>
      </c>
      <c r="W46" s="321" t="s">
        <v>69</v>
      </c>
      <c r="X46" s="321" t="s">
        <v>69</v>
      </c>
      <c r="Y46" s="321" t="s">
        <v>69</v>
      </c>
      <c r="Z46" s="321" t="s">
        <v>69</v>
      </c>
      <c r="AA46" s="323" t="s">
        <v>69</v>
      </c>
      <c r="AB46" s="321" t="s">
        <v>69</v>
      </c>
      <c r="AC46" s="321" t="s">
        <v>69</v>
      </c>
      <c r="AD46" s="323" t="s">
        <v>69</v>
      </c>
      <c r="AE46" s="323" t="s">
        <v>69</v>
      </c>
      <c r="AF46" s="323" t="s">
        <v>69</v>
      </c>
      <c r="AG46" s="323" t="s">
        <v>69</v>
      </c>
      <c r="AH46" s="323" t="s">
        <v>69</v>
      </c>
      <c r="AI46" s="323" t="s">
        <v>69</v>
      </c>
      <c r="AJ46" s="323" t="s">
        <v>69</v>
      </c>
      <c r="AK46" s="323" t="s">
        <v>69</v>
      </c>
      <c r="AL46" s="323" t="s">
        <v>69</v>
      </c>
      <c r="AM46" s="321" t="s">
        <v>69</v>
      </c>
      <c r="AN46" s="321" t="s">
        <v>69</v>
      </c>
      <c r="AO46" s="321" t="s">
        <v>69</v>
      </c>
      <c r="AP46" s="321" t="s">
        <v>69</v>
      </c>
      <c r="AQ46" s="323" t="s">
        <v>69</v>
      </c>
      <c r="AR46" s="323" t="s">
        <v>69</v>
      </c>
      <c r="AS46" s="321" t="s">
        <v>69</v>
      </c>
      <c r="AT46" s="321" t="s">
        <v>69</v>
      </c>
      <c r="AU46" s="321" t="s">
        <v>69</v>
      </c>
      <c r="AV46" s="321" t="s">
        <v>69</v>
      </c>
      <c r="AW46" s="321" t="s">
        <v>69</v>
      </c>
      <c r="AX46" s="321" t="s">
        <v>69</v>
      </c>
      <c r="AY46" s="321" t="s">
        <v>69</v>
      </c>
      <c r="AZ46" s="321" t="s">
        <v>69</v>
      </c>
      <c r="BA46" s="321" t="s">
        <v>69</v>
      </c>
      <c r="BB46" s="321" t="s">
        <v>69</v>
      </c>
      <c r="BC46" s="321" t="s">
        <v>69</v>
      </c>
      <c r="BD46" s="321" t="s">
        <v>69</v>
      </c>
      <c r="BE46" s="334">
        <v>4</v>
      </c>
      <c r="BF46" s="342" t="s">
        <v>69</v>
      </c>
      <c r="BG46" s="342" t="s">
        <v>69</v>
      </c>
      <c r="BH46" s="321" t="s">
        <v>69</v>
      </c>
      <c r="BI46" s="321" t="s">
        <v>69</v>
      </c>
      <c r="BJ46" s="323" t="s">
        <v>69</v>
      </c>
      <c r="BK46" s="323" t="s">
        <v>69</v>
      </c>
      <c r="BL46" s="323" t="s">
        <v>69</v>
      </c>
      <c r="BM46" s="321" t="s">
        <v>69</v>
      </c>
      <c r="BN46" s="321" t="s">
        <v>69</v>
      </c>
      <c r="BO46" s="323" t="s">
        <v>69</v>
      </c>
      <c r="BP46" s="321" t="s">
        <v>69</v>
      </c>
      <c r="BQ46" s="323" t="s">
        <v>69</v>
      </c>
      <c r="BR46" s="323" t="s">
        <v>69</v>
      </c>
      <c r="BS46" s="323" t="s">
        <v>69</v>
      </c>
      <c r="BT46" s="323" t="s">
        <v>69</v>
      </c>
      <c r="BU46" s="323" t="s">
        <v>69</v>
      </c>
      <c r="BV46" s="321" t="s">
        <v>69</v>
      </c>
      <c r="BW46" s="321" t="s">
        <v>69</v>
      </c>
      <c r="BX46" s="321"/>
      <c r="BY46" s="321" t="s">
        <v>69</v>
      </c>
      <c r="BZ46" s="323" t="s">
        <v>69</v>
      </c>
      <c r="CA46" s="323" t="s">
        <v>69</v>
      </c>
      <c r="CB46" s="323" t="s">
        <v>69</v>
      </c>
      <c r="CC46" s="323" t="s">
        <v>69</v>
      </c>
      <c r="CD46" s="321" t="s">
        <v>69</v>
      </c>
      <c r="CE46" s="321" t="s">
        <v>69</v>
      </c>
      <c r="CF46" s="321" t="s">
        <v>69</v>
      </c>
      <c r="CG46" s="323" t="s">
        <v>69</v>
      </c>
      <c r="CH46" s="323" t="s">
        <v>69</v>
      </c>
      <c r="CI46" s="323" t="s">
        <v>69</v>
      </c>
      <c r="CJ46" s="323" t="s">
        <v>69</v>
      </c>
      <c r="CK46" s="323" t="s">
        <v>69</v>
      </c>
      <c r="CL46" s="323" t="s">
        <v>69</v>
      </c>
      <c r="CM46" s="323" t="s">
        <v>69</v>
      </c>
      <c r="CN46" s="321">
        <v>4</v>
      </c>
      <c r="CO46" s="321">
        <v>4</v>
      </c>
      <c r="CP46" s="321">
        <v>4</v>
      </c>
      <c r="CQ46" s="323">
        <v>4</v>
      </c>
      <c r="CR46" s="321">
        <v>4</v>
      </c>
      <c r="CS46" s="321">
        <v>4</v>
      </c>
      <c r="CT46" s="321">
        <v>4</v>
      </c>
      <c r="CU46" s="323" t="s">
        <v>69</v>
      </c>
      <c r="CV46" s="321">
        <v>4</v>
      </c>
      <c r="CW46" s="323" t="s">
        <v>69</v>
      </c>
      <c r="CX46" s="323" t="s">
        <v>69</v>
      </c>
      <c r="CY46" s="323" t="s">
        <v>69</v>
      </c>
      <c r="CZ46" s="321" t="s">
        <v>69</v>
      </c>
      <c r="DA46" s="321">
        <v>4</v>
      </c>
      <c r="DB46" s="323" t="s">
        <v>69</v>
      </c>
      <c r="DC46" s="321" t="s">
        <v>69</v>
      </c>
      <c r="DD46" s="321" t="s">
        <v>69</v>
      </c>
      <c r="DE46" s="323">
        <v>2</v>
      </c>
      <c r="DF46" s="323" t="s">
        <v>69</v>
      </c>
      <c r="DG46" s="323" t="s">
        <v>69</v>
      </c>
      <c r="DH46" s="323" t="s">
        <v>69</v>
      </c>
      <c r="DI46" s="323" t="s">
        <v>69</v>
      </c>
      <c r="DJ46" s="321" t="s">
        <v>69</v>
      </c>
      <c r="DK46" s="323" t="s">
        <v>69</v>
      </c>
      <c r="DL46" s="323" t="s">
        <v>69</v>
      </c>
      <c r="DM46" s="323" t="s">
        <v>69</v>
      </c>
      <c r="DN46" s="323" t="s">
        <v>69</v>
      </c>
      <c r="DO46" s="323" t="s">
        <v>69</v>
      </c>
      <c r="DP46" s="323" t="s">
        <v>69</v>
      </c>
      <c r="DQ46" s="323" t="s">
        <v>69</v>
      </c>
      <c r="DR46" s="323" t="s">
        <v>69</v>
      </c>
      <c r="DS46" s="323" t="s">
        <v>69</v>
      </c>
      <c r="DT46" s="323" t="s">
        <v>69</v>
      </c>
      <c r="DU46" s="334">
        <v>4</v>
      </c>
      <c r="DV46" s="317">
        <f t="shared" si="1"/>
        <v>0.22222222222222221</v>
      </c>
      <c r="DW46" s="356">
        <f t="shared" si="0"/>
        <v>0.9285714285714286</v>
      </c>
      <c r="DX46" s="156" t="str">
        <f>VLOOKUP(B46,[1]Pointage!$A:$D,4,0)</f>
        <v>Mourad Saitali</v>
      </c>
    </row>
    <row r="47" spans="1:128" s="156" customFormat="1" ht="118.5" hidden="1" customHeight="1">
      <c r="A47" s="312">
        <v>31</v>
      </c>
      <c r="B47" s="318" t="s">
        <v>262</v>
      </c>
      <c r="C47" s="383" t="s">
        <v>601</v>
      </c>
      <c r="D47" s="377">
        <v>45061</v>
      </c>
      <c r="E47" s="320" t="s">
        <v>217</v>
      </c>
      <c r="F47" s="381" t="s">
        <v>633</v>
      </c>
      <c r="G47" s="321" t="s">
        <v>69</v>
      </c>
      <c r="H47" s="321" t="s">
        <v>69</v>
      </c>
      <c r="I47" s="333" t="s">
        <v>69</v>
      </c>
      <c r="J47" s="321" t="s">
        <v>69</v>
      </c>
      <c r="K47" s="321" t="s">
        <v>69</v>
      </c>
      <c r="L47" s="321" t="s">
        <v>69</v>
      </c>
      <c r="M47" s="321" t="s">
        <v>69</v>
      </c>
      <c r="N47" s="321" t="s">
        <v>69</v>
      </c>
      <c r="O47" s="321" t="s">
        <v>69</v>
      </c>
      <c r="P47" s="321" t="s">
        <v>69</v>
      </c>
      <c r="Q47" s="321" t="s">
        <v>69</v>
      </c>
      <c r="R47" s="321" t="s">
        <v>69</v>
      </c>
      <c r="S47" s="321" t="s">
        <v>69</v>
      </c>
      <c r="T47" s="321" t="s">
        <v>69</v>
      </c>
      <c r="U47" s="321" t="s">
        <v>69</v>
      </c>
      <c r="V47" s="323" t="s">
        <v>69</v>
      </c>
      <c r="W47" s="321">
        <v>4</v>
      </c>
      <c r="X47" s="321" t="s">
        <v>69</v>
      </c>
      <c r="Y47" s="321">
        <v>4</v>
      </c>
      <c r="Z47" s="321">
        <v>4</v>
      </c>
      <c r="AA47" s="323" t="s">
        <v>69</v>
      </c>
      <c r="AB47" s="321" t="s">
        <v>69</v>
      </c>
      <c r="AC47" s="321" t="s">
        <v>69</v>
      </c>
      <c r="AD47" s="323" t="s">
        <v>69</v>
      </c>
      <c r="AE47" s="323" t="s">
        <v>69</v>
      </c>
      <c r="AF47" s="323" t="s">
        <v>69</v>
      </c>
      <c r="AG47" s="323" t="s">
        <v>69</v>
      </c>
      <c r="AH47" s="323" t="s">
        <v>69</v>
      </c>
      <c r="AI47" s="323" t="s">
        <v>69</v>
      </c>
      <c r="AJ47" s="323" t="s">
        <v>69</v>
      </c>
      <c r="AK47" s="323" t="s">
        <v>69</v>
      </c>
      <c r="AL47" s="323" t="s">
        <v>69</v>
      </c>
      <c r="AM47" s="321" t="s">
        <v>69</v>
      </c>
      <c r="AN47" s="321" t="s">
        <v>69</v>
      </c>
      <c r="AO47" s="321" t="s">
        <v>69</v>
      </c>
      <c r="AP47" s="321" t="s">
        <v>69</v>
      </c>
      <c r="AQ47" s="323" t="s">
        <v>69</v>
      </c>
      <c r="AR47" s="323" t="s">
        <v>69</v>
      </c>
      <c r="AS47" s="321">
        <v>4</v>
      </c>
      <c r="AT47" s="321">
        <v>4</v>
      </c>
      <c r="AU47" s="321" t="s">
        <v>69</v>
      </c>
      <c r="AV47" s="321" t="s">
        <v>69</v>
      </c>
      <c r="AW47" s="321" t="s">
        <v>69</v>
      </c>
      <c r="AX47" s="321" t="s">
        <v>69</v>
      </c>
      <c r="AY47" s="321" t="s">
        <v>69</v>
      </c>
      <c r="AZ47" s="321" t="s">
        <v>69</v>
      </c>
      <c r="BA47" s="321" t="s">
        <v>69</v>
      </c>
      <c r="BB47" s="321" t="s">
        <v>69</v>
      </c>
      <c r="BC47" s="321" t="s">
        <v>69</v>
      </c>
      <c r="BD47" s="321" t="s">
        <v>69</v>
      </c>
      <c r="BE47" s="323">
        <v>4</v>
      </c>
      <c r="BF47" s="321" t="s">
        <v>69</v>
      </c>
      <c r="BG47" s="342" t="s">
        <v>69</v>
      </c>
      <c r="BH47" s="321" t="s">
        <v>69</v>
      </c>
      <c r="BI47" s="321" t="s">
        <v>69</v>
      </c>
      <c r="BJ47" s="342" t="s">
        <v>69</v>
      </c>
      <c r="BK47" s="342" t="s">
        <v>69</v>
      </c>
      <c r="BL47" s="342" t="s">
        <v>69</v>
      </c>
      <c r="BM47" s="321" t="s">
        <v>69</v>
      </c>
      <c r="BN47" s="321" t="s">
        <v>69</v>
      </c>
      <c r="BO47" s="342" t="s">
        <v>69</v>
      </c>
      <c r="BP47" s="321" t="s">
        <v>69</v>
      </c>
      <c r="BQ47" s="342" t="s">
        <v>69</v>
      </c>
      <c r="BR47" s="342">
        <v>4</v>
      </c>
      <c r="BS47" s="342">
        <v>4</v>
      </c>
      <c r="BT47" s="342">
        <v>4</v>
      </c>
      <c r="BU47" s="342" t="s">
        <v>69</v>
      </c>
      <c r="BV47" s="321" t="s">
        <v>69</v>
      </c>
      <c r="BW47" s="321" t="s">
        <v>69</v>
      </c>
      <c r="BX47" s="321"/>
      <c r="BY47" s="321" t="s">
        <v>69</v>
      </c>
      <c r="BZ47" s="321" t="s">
        <v>69</v>
      </c>
      <c r="CA47" s="342" t="s">
        <v>69</v>
      </c>
      <c r="CB47" s="342" t="s">
        <v>69</v>
      </c>
      <c r="CC47" s="342" t="s">
        <v>69</v>
      </c>
      <c r="CD47" s="321" t="s">
        <v>69</v>
      </c>
      <c r="CE47" s="321" t="s">
        <v>69</v>
      </c>
      <c r="CF47" s="321" t="s">
        <v>69</v>
      </c>
      <c r="CG47" s="342" t="s">
        <v>69</v>
      </c>
      <c r="CH47" s="342" t="s">
        <v>69</v>
      </c>
      <c r="CI47" s="323" t="s">
        <v>69</v>
      </c>
      <c r="CJ47" s="323" t="s">
        <v>69</v>
      </c>
      <c r="CK47" s="321" t="s">
        <v>69</v>
      </c>
      <c r="CL47" s="323" t="s">
        <v>69</v>
      </c>
      <c r="CM47" s="342">
        <v>4</v>
      </c>
      <c r="CN47" s="321">
        <v>4</v>
      </c>
      <c r="CO47" s="323">
        <v>4</v>
      </c>
      <c r="CP47" s="323" t="s">
        <v>69</v>
      </c>
      <c r="CQ47" s="323">
        <v>4</v>
      </c>
      <c r="CR47" s="321">
        <v>4</v>
      </c>
      <c r="CS47" s="323">
        <v>4</v>
      </c>
      <c r="CT47" s="323">
        <v>4</v>
      </c>
      <c r="CU47" s="323">
        <v>4</v>
      </c>
      <c r="CV47" s="323" t="s">
        <v>69</v>
      </c>
      <c r="CW47" s="323" t="s">
        <v>69</v>
      </c>
      <c r="CX47" s="342" t="s">
        <v>69</v>
      </c>
      <c r="CY47" s="342" t="s">
        <v>69</v>
      </c>
      <c r="CZ47" s="321" t="s">
        <v>69</v>
      </c>
      <c r="DA47" s="342" t="s">
        <v>69</v>
      </c>
      <c r="DB47" s="342" t="s">
        <v>69</v>
      </c>
      <c r="DC47" s="321" t="s">
        <v>69</v>
      </c>
      <c r="DD47" s="321" t="s">
        <v>69</v>
      </c>
      <c r="DE47" s="323" t="s">
        <v>69</v>
      </c>
      <c r="DF47" s="323" t="s">
        <v>69</v>
      </c>
      <c r="DG47" s="323" t="s">
        <v>69</v>
      </c>
      <c r="DH47" s="323" t="s">
        <v>69</v>
      </c>
      <c r="DI47" s="323" t="s">
        <v>69</v>
      </c>
      <c r="DJ47" s="321" t="s">
        <v>69</v>
      </c>
      <c r="DK47" s="323" t="s">
        <v>69</v>
      </c>
      <c r="DL47" s="323">
        <v>4</v>
      </c>
      <c r="DM47" s="323">
        <v>4</v>
      </c>
      <c r="DN47" s="323" t="s">
        <v>69</v>
      </c>
      <c r="DO47" s="323" t="s">
        <v>69</v>
      </c>
      <c r="DP47" s="323" t="s">
        <v>69</v>
      </c>
      <c r="DQ47" s="323" t="s">
        <v>69</v>
      </c>
      <c r="DR47" s="323" t="s">
        <v>69</v>
      </c>
      <c r="DS47" s="323">
        <v>4</v>
      </c>
      <c r="DT47" s="323" t="s">
        <v>69</v>
      </c>
      <c r="DU47" s="323">
        <v>4</v>
      </c>
      <c r="DV47" s="317">
        <f t="shared" si="1"/>
        <v>0.33333333333333331</v>
      </c>
      <c r="DW47" s="356">
        <f t="shared" si="0"/>
        <v>1</v>
      </c>
      <c r="DX47" s="156" t="str">
        <f>VLOOKUP(B47,[1]Pointage!$A:$D,4,0)</f>
        <v>Mourad Saitali</v>
      </c>
    </row>
    <row r="48" spans="1:128" s="156" customFormat="1" ht="118.5" hidden="1" customHeight="1">
      <c r="A48" s="312">
        <v>32</v>
      </c>
      <c r="B48" s="318" t="s">
        <v>265</v>
      </c>
      <c r="C48" s="383" t="s">
        <v>266</v>
      </c>
      <c r="D48" s="376">
        <v>45092</v>
      </c>
      <c r="E48" s="320" t="s">
        <v>216</v>
      </c>
      <c r="F48" s="381" t="s">
        <v>633</v>
      </c>
      <c r="G48" s="321" t="s">
        <v>69</v>
      </c>
      <c r="H48" s="321" t="s">
        <v>69</v>
      </c>
      <c r="I48" s="321" t="s">
        <v>69</v>
      </c>
      <c r="J48" s="321" t="s">
        <v>69</v>
      </c>
      <c r="K48" s="321" t="s">
        <v>69</v>
      </c>
      <c r="L48" s="321" t="s">
        <v>69</v>
      </c>
      <c r="M48" s="321">
        <v>4</v>
      </c>
      <c r="N48" s="321" t="s">
        <v>69</v>
      </c>
      <c r="O48" s="321">
        <v>4</v>
      </c>
      <c r="P48" s="321" t="s">
        <v>69</v>
      </c>
      <c r="Q48" s="321" t="s">
        <v>69</v>
      </c>
      <c r="R48" s="321">
        <v>2</v>
      </c>
      <c r="S48" s="321" t="s">
        <v>69</v>
      </c>
      <c r="T48" s="321" t="s">
        <v>69</v>
      </c>
      <c r="U48" s="321" t="s">
        <v>69</v>
      </c>
      <c r="V48" s="323" t="s">
        <v>69</v>
      </c>
      <c r="W48" s="321" t="s">
        <v>69</v>
      </c>
      <c r="X48" s="321" t="s">
        <v>69</v>
      </c>
      <c r="Y48" s="321" t="s">
        <v>69</v>
      </c>
      <c r="Z48" s="321" t="s">
        <v>69</v>
      </c>
      <c r="AA48" s="323">
        <v>4</v>
      </c>
      <c r="AB48" s="321" t="s">
        <v>69</v>
      </c>
      <c r="AC48" s="321" t="s">
        <v>69</v>
      </c>
      <c r="AD48" s="323" t="s">
        <v>69</v>
      </c>
      <c r="AE48" s="323" t="s">
        <v>69</v>
      </c>
      <c r="AF48" s="323" t="s">
        <v>69</v>
      </c>
      <c r="AG48" s="323" t="s">
        <v>69</v>
      </c>
      <c r="AH48" s="323" t="s">
        <v>69</v>
      </c>
      <c r="AI48" s="323" t="s">
        <v>69</v>
      </c>
      <c r="AJ48" s="323" t="s">
        <v>69</v>
      </c>
      <c r="AK48" s="323" t="s">
        <v>69</v>
      </c>
      <c r="AL48" s="323" t="s">
        <v>69</v>
      </c>
      <c r="AM48" s="321">
        <v>4</v>
      </c>
      <c r="AN48" s="321" t="s">
        <v>69</v>
      </c>
      <c r="AO48" s="321" t="s">
        <v>69</v>
      </c>
      <c r="AP48" s="321" t="s">
        <v>69</v>
      </c>
      <c r="AQ48" s="323" t="s">
        <v>69</v>
      </c>
      <c r="AR48" s="323" t="s">
        <v>69</v>
      </c>
      <c r="AS48" s="321">
        <v>4</v>
      </c>
      <c r="AT48" s="321">
        <v>4</v>
      </c>
      <c r="AU48" s="321">
        <v>4</v>
      </c>
      <c r="AV48" s="321" t="s">
        <v>69</v>
      </c>
      <c r="AW48" s="321" t="s">
        <v>69</v>
      </c>
      <c r="AX48" s="321" t="s">
        <v>69</v>
      </c>
      <c r="AY48" s="321">
        <v>4</v>
      </c>
      <c r="AZ48" s="321" t="s">
        <v>69</v>
      </c>
      <c r="BA48" s="321" t="s">
        <v>69</v>
      </c>
      <c r="BB48" s="321" t="s">
        <v>69</v>
      </c>
      <c r="BC48" s="321" t="s">
        <v>69</v>
      </c>
      <c r="BD48" s="321" t="s">
        <v>69</v>
      </c>
      <c r="BE48" s="342">
        <v>4</v>
      </c>
      <c r="BF48" s="342">
        <v>4</v>
      </c>
      <c r="BG48" s="342">
        <v>4</v>
      </c>
      <c r="BH48" s="321" t="s">
        <v>69</v>
      </c>
      <c r="BI48" s="321" t="s">
        <v>69</v>
      </c>
      <c r="BJ48" s="323" t="s">
        <v>69</v>
      </c>
      <c r="BK48" s="323" t="s">
        <v>69</v>
      </c>
      <c r="BL48" s="323" t="s">
        <v>69</v>
      </c>
      <c r="BM48" s="321" t="s">
        <v>69</v>
      </c>
      <c r="BN48" s="321" t="s">
        <v>69</v>
      </c>
      <c r="BO48" s="323" t="s">
        <v>69</v>
      </c>
      <c r="BP48" s="321" t="s">
        <v>69</v>
      </c>
      <c r="BQ48" s="323" t="s">
        <v>69</v>
      </c>
      <c r="BR48" s="323" t="s">
        <v>69</v>
      </c>
      <c r="BS48" s="323" t="s">
        <v>69</v>
      </c>
      <c r="BT48" s="323" t="s">
        <v>69</v>
      </c>
      <c r="BU48" s="323" t="s">
        <v>69</v>
      </c>
      <c r="BV48" s="321" t="s">
        <v>69</v>
      </c>
      <c r="BW48" s="321" t="s">
        <v>69</v>
      </c>
      <c r="BX48" s="321"/>
      <c r="BY48" s="321" t="s">
        <v>69</v>
      </c>
      <c r="BZ48" s="321" t="s">
        <v>69</v>
      </c>
      <c r="CA48" s="321" t="s">
        <v>69</v>
      </c>
      <c r="CB48" s="323">
        <v>4</v>
      </c>
      <c r="CC48" s="323">
        <v>4</v>
      </c>
      <c r="CD48" s="321" t="s">
        <v>69</v>
      </c>
      <c r="CE48" s="321" t="s">
        <v>69</v>
      </c>
      <c r="CF48" s="321" t="s">
        <v>69</v>
      </c>
      <c r="CG48" s="321" t="s">
        <v>69</v>
      </c>
      <c r="CH48" s="323">
        <v>4</v>
      </c>
      <c r="CI48" s="323" t="s">
        <v>69</v>
      </c>
      <c r="CJ48" s="323" t="s">
        <v>69</v>
      </c>
      <c r="CK48" s="321">
        <v>4</v>
      </c>
      <c r="CL48" s="323">
        <v>4</v>
      </c>
      <c r="CM48" s="323" t="s">
        <v>69</v>
      </c>
      <c r="CN48" s="323" t="s">
        <v>69</v>
      </c>
      <c r="CO48" s="323" t="s">
        <v>69</v>
      </c>
      <c r="CP48" s="323" t="s">
        <v>69</v>
      </c>
      <c r="CQ48" s="323" t="s">
        <v>69</v>
      </c>
      <c r="CR48" s="323" t="s">
        <v>69</v>
      </c>
      <c r="CS48" s="323" t="s">
        <v>69</v>
      </c>
      <c r="CT48" s="323" t="s">
        <v>69</v>
      </c>
      <c r="CU48" s="323">
        <v>4</v>
      </c>
      <c r="CV48" s="323" t="s">
        <v>69</v>
      </c>
      <c r="CW48" s="323" t="s">
        <v>69</v>
      </c>
      <c r="CX48" s="323" t="s">
        <v>69</v>
      </c>
      <c r="CY48" s="323" t="s">
        <v>69</v>
      </c>
      <c r="CZ48" s="321" t="s">
        <v>69</v>
      </c>
      <c r="DA48" s="323" t="s">
        <v>69</v>
      </c>
      <c r="DB48" s="323" t="s">
        <v>69</v>
      </c>
      <c r="DC48" s="321" t="s">
        <v>69</v>
      </c>
      <c r="DD48" s="321" t="s">
        <v>69</v>
      </c>
      <c r="DE48" s="323" t="s">
        <v>69</v>
      </c>
      <c r="DF48" s="323" t="s">
        <v>69</v>
      </c>
      <c r="DG48" s="323" t="s">
        <v>69</v>
      </c>
      <c r="DH48" s="323" t="s">
        <v>69</v>
      </c>
      <c r="DI48" s="323" t="s">
        <v>69</v>
      </c>
      <c r="DJ48" s="321" t="s">
        <v>69</v>
      </c>
      <c r="DK48" s="323" t="s">
        <v>69</v>
      </c>
      <c r="DL48" s="323">
        <v>4</v>
      </c>
      <c r="DM48" s="323">
        <v>4</v>
      </c>
      <c r="DN48" s="323" t="s">
        <v>69</v>
      </c>
      <c r="DO48" s="323" t="s">
        <v>69</v>
      </c>
      <c r="DP48" s="323" t="s">
        <v>69</v>
      </c>
      <c r="DQ48" s="323" t="s">
        <v>69</v>
      </c>
      <c r="DR48" s="323" t="s">
        <v>69</v>
      </c>
      <c r="DS48" s="323" t="s">
        <v>69</v>
      </c>
      <c r="DT48" s="323" t="s">
        <v>69</v>
      </c>
      <c r="DU48" s="321">
        <v>4</v>
      </c>
      <c r="DV48" s="317">
        <f t="shared" si="1"/>
        <v>0.33333333333333331</v>
      </c>
      <c r="DW48" s="356">
        <f t="shared" si="0"/>
        <v>0.95238095238095233</v>
      </c>
      <c r="DX48" s="156" t="e">
        <f>VLOOKUP(B48,[1]Pointage!$A:$D,4,0)</f>
        <v>#N/A</v>
      </c>
    </row>
    <row r="49" spans="1:412" s="156" customFormat="1" ht="118.5" hidden="1" customHeight="1">
      <c r="A49" s="312">
        <v>33</v>
      </c>
      <c r="B49" s="318" t="s">
        <v>44</v>
      </c>
      <c r="C49" s="383" t="s">
        <v>45</v>
      </c>
      <c r="D49" s="376">
        <v>44993</v>
      </c>
      <c r="E49" s="320" t="s">
        <v>215</v>
      </c>
      <c r="F49" s="381" t="s">
        <v>633</v>
      </c>
      <c r="G49" s="334">
        <v>4</v>
      </c>
      <c r="H49" s="321" t="s">
        <v>69</v>
      </c>
      <c r="I49" s="321">
        <v>4</v>
      </c>
      <c r="J49" s="321" t="s">
        <v>69</v>
      </c>
      <c r="K49" s="321" t="s">
        <v>69</v>
      </c>
      <c r="L49" s="321" t="s">
        <v>69</v>
      </c>
      <c r="M49" s="321" t="s">
        <v>69</v>
      </c>
      <c r="N49" s="321" t="s">
        <v>69</v>
      </c>
      <c r="O49" s="321" t="s">
        <v>69</v>
      </c>
      <c r="P49" s="321">
        <v>4</v>
      </c>
      <c r="Q49" s="321">
        <v>4</v>
      </c>
      <c r="R49" s="321" t="s">
        <v>69</v>
      </c>
      <c r="S49" s="321" t="s">
        <v>69</v>
      </c>
      <c r="T49" s="321">
        <v>4</v>
      </c>
      <c r="U49" s="321">
        <v>4</v>
      </c>
      <c r="V49" s="323">
        <v>4</v>
      </c>
      <c r="W49" s="321" t="s">
        <v>69</v>
      </c>
      <c r="X49" s="321" t="s">
        <v>69</v>
      </c>
      <c r="Y49" s="321" t="s">
        <v>69</v>
      </c>
      <c r="Z49" s="321" t="s">
        <v>69</v>
      </c>
      <c r="AA49" s="323" t="s">
        <v>69</v>
      </c>
      <c r="AB49" s="321">
        <v>4</v>
      </c>
      <c r="AC49" s="321">
        <v>4</v>
      </c>
      <c r="AD49" s="323" t="s">
        <v>69</v>
      </c>
      <c r="AE49" s="323" t="s">
        <v>69</v>
      </c>
      <c r="AF49" s="323" t="s">
        <v>69</v>
      </c>
      <c r="AG49" s="323" t="s">
        <v>69</v>
      </c>
      <c r="AH49" s="323" t="s">
        <v>69</v>
      </c>
      <c r="AI49" s="323" t="s">
        <v>69</v>
      </c>
      <c r="AJ49" s="323" t="s">
        <v>69</v>
      </c>
      <c r="AK49" s="323" t="s">
        <v>69</v>
      </c>
      <c r="AL49" s="323" t="s">
        <v>69</v>
      </c>
      <c r="AM49" s="321" t="s">
        <v>69</v>
      </c>
      <c r="AN49" s="321" t="s">
        <v>69</v>
      </c>
      <c r="AO49" s="321">
        <v>4</v>
      </c>
      <c r="AP49" s="321" t="s">
        <v>69</v>
      </c>
      <c r="AQ49" s="323" t="s">
        <v>69</v>
      </c>
      <c r="AR49" s="323" t="s">
        <v>69</v>
      </c>
      <c r="AS49" s="321">
        <v>4</v>
      </c>
      <c r="AT49" s="321">
        <v>4</v>
      </c>
      <c r="AU49" s="321">
        <v>4</v>
      </c>
      <c r="AV49" s="321">
        <v>4</v>
      </c>
      <c r="AW49" s="321">
        <v>4</v>
      </c>
      <c r="AX49" s="321" t="s">
        <v>69</v>
      </c>
      <c r="AY49" s="321">
        <v>4</v>
      </c>
      <c r="AZ49" s="321" t="s">
        <v>69</v>
      </c>
      <c r="BA49" s="321">
        <v>4</v>
      </c>
      <c r="BB49" s="321" t="s">
        <v>69</v>
      </c>
      <c r="BC49" s="321" t="s">
        <v>69</v>
      </c>
      <c r="BD49" s="321" t="s">
        <v>69</v>
      </c>
      <c r="BE49" s="334">
        <v>4</v>
      </c>
      <c r="BF49" s="334">
        <v>4</v>
      </c>
      <c r="BG49" s="321" t="s">
        <v>69</v>
      </c>
      <c r="BH49" s="321" t="s">
        <v>69</v>
      </c>
      <c r="BI49" s="321" t="s">
        <v>69</v>
      </c>
      <c r="BJ49" s="323" t="s">
        <v>69</v>
      </c>
      <c r="BK49" s="323" t="s">
        <v>69</v>
      </c>
      <c r="BL49" s="323" t="s">
        <v>69</v>
      </c>
      <c r="BM49" s="321" t="s">
        <v>69</v>
      </c>
      <c r="BN49" s="321" t="s">
        <v>69</v>
      </c>
      <c r="BO49" s="323" t="s">
        <v>69</v>
      </c>
      <c r="BP49" s="321" t="s">
        <v>69</v>
      </c>
      <c r="BQ49" s="323" t="s">
        <v>69</v>
      </c>
      <c r="BR49" s="323" t="s">
        <v>69</v>
      </c>
      <c r="BS49" s="334">
        <v>4</v>
      </c>
      <c r="BT49" s="323" t="s">
        <v>69</v>
      </c>
      <c r="BU49" s="323" t="s">
        <v>69</v>
      </c>
      <c r="BV49" s="321" t="s">
        <v>69</v>
      </c>
      <c r="BW49" s="321" t="s">
        <v>69</v>
      </c>
      <c r="BX49" s="321"/>
      <c r="BY49" s="321" t="s">
        <v>69</v>
      </c>
      <c r="BZ49" s="321">
        <v>4</v>
      </c>
      <c r="CA49" s="323" t="s">
        <v>69</v>
      </c>
      <c r="CB49" s="323" t="s">
        <v>69</v>
      </c>
      <c r="CC49" s="323" t="s">
        <v>69</v>
      </c>
      <c r="CD49" s="321" t="s">
        <v>69</v>
      </c>
      <c r="CE49" s="321" t="s">
        <v>69</v>
      </c>
      <c r="CF49" s="321" t="s">
        <v>69</v>
      </c>
      <c r="CG49" s="323">
        <v>4</v>
      </c>
      <c r="CH49" s="323" t="s">
        <v>69</v>
      </c>
      <c r="CI49" s="323">
        <v>4</v>
      </c>
      <c r="CJ49" s="323" t="s">
        <v>69</v>
      </c>
      <c r="CK49" s="321">
        <v>4</v>
      </c>
      <c r="CL49" s="323">
        <v>4</v>
      </c>
      <c r="CM49" s="323">
        <v>4</v>
      </c>
      <c r="CN49" s="333">
        <v>4</v>
      </c>
      <c r="CO49" s="333" t="s">
        <v>69</v>
      </c>
      <c r="CP49" s="333">
        <v>4</v>
      </c>
      <c r="CQ49" s="333">
        <v>4</v>
      </c>
      <c r="CR49" s="333">
        <v>4</v>
      </c>
      <c r="CS49" s="333">
        <v>4</v>
      </c>
      <c r="CT49" s="333">
        <v>4</v>
      </c>
      <c r="CU49" s="333">
        <v>4</v>
      </c>
      <c r="CV49" s="323" t="s">
        <v>69</v>
      </c>
      <c r="CW49" s="323" t="s">
        <v>69</v>
      </c>
      <c r="CX49" s="323" t="s">
        <v>69</v>
      </c>
      <c r="CY49" s="323" t="s">
        <v>69</v>
      </c>
      <c r="CZ49" s="321" t="s">
        <v>69</v>
      </c>
      <c r="DA49" s="323" t="s">
        <v>69</v>
      </c>
      <c r="DB49" s="323" t="s">
        <v>69</v>
      </c>
      <c r="DC49" s="321" t="s">
        <v>69</v>
      </c>
      <c r="DD49" s="321" t="s">
        <v>69</v>
      </c>
      <c r="DE49" s="323" t="s">
        <v>69</v>
      </c>
      <c r="DF49" s="323">
        <v>4</v>
      </c>
      <c r="DG49" s="323" t="s">
        <v>69</v>
      </c>
      <c r="DH49" s="323" t="s">
        <v>69</v>
      </c>
      <c r="DI49" s="323" t="s">
        <v>69</v>
      </c>
      <c r="DJ49" s="321" t="s">
        <v>69</v>
      </c>
      <c r="DK49" s="323" t="s">
        <v>69</v>
      </c>
      <c r="DL49" s="323">
        <v>4</v>
      </c>
      <c r="DM49" s="323">
        <v>4</v>
      </c>
      <c r="DN49" s="323">
        <v>4</v>
      </c>
      <c r="DO49" s="323" t="s">
        <v>69</v>
      </c>
      <c r="DP49" s="323" t="s">
        <v>69</v>
      </c>
      <c r="DQ49" s="323" t="s">
        <v>69</v>
      </c>
      <c r="DR49" s="323" t="s">
        <v>69</v>
      </c>
      <c r="DS49" s="323" t="s">
        <v>69</v>
      </c>
      <c r="DT49" s="323" t="s">
        <v>69</v>
      </c>
      <c r="DU49" s="334">
        <v>4</v>
      </c>
      <c r="DV49" s="317">
        <f t="shared" si="1"/>
        <v>0.60317460317460314</v>
      </c>
      <c r="DW49" s="356">
        <f t="shared" si="0"/>
        <v>1</v>
      </c>
      <c r="DX49" s="156" t="str">
        <f>VLOOKUP(B49,[1]Pointage!$A:$D,4,0)</f>
        <v>Mourad Saitali</v>
      </c>
    </row>
    <row r="50" spans="1:412" s="156" customFormat="1" ht="118.5" hidden="1" customHeight="1">
      <c r="A50" s="312">
        <v>34</v>
      </c>
      <c r="B50" s="318" t="s">
        <v>267</v>
      </c>
      <c r="C50" s="383" t="s">
        <v>268</v>
      </c>
      <c r="D50" s="376">
        <v>45265</v>
      </c>
      <c r="E50" s="320" t="s">
        <v>217</v>
      </c>
      <c r="F50" s="381" t="s">
        <v>633</v>
      </c>
      <c r="G50" s="334">
        <v>4</v>
      </c>
      <c r="H50" s="333" t="s">
        <v>69</v>
      </c>
      <c r="I50" s="334">
        <v>4</v>
      </c>
      <c r="J50" s="321">
        <v>4</v>
      </c>
      <c r="K50" s="333" t="s">
        <v>69</v>
      </c>
      <c r="L50" s="321">
        <v>4</v>
      </c>
      <c r="M50" s="321" t="s">
        <v>69</v>
      </c>
      <c r="N50" s="321" t="s">
        <v>69</v>
      </c>
      <c r="O50" s="321" t="s">
        <v>69</v>
      </c>
      <c r="P50" s="321" t="s">
        <v>69</v>
      </c>
      <c r="Q50" s="321" t="s">
        <v>69</v>
      </c>
      <c r="R50" s="321">
        <v>4</v>
      </c>
      <c r="S50" s="321" t="s">
        <v>69</v>
      </c>
      <c r="T50" s="321">
        <v>4</v>
      </c>
      <c r="U50" s="321">
        <v>4</v>
      </c>
      <c r="V50" s="333">
        <v>4</v>
      </c>
      <c r="W50" s="321" t="s">
        <v>69</v>
      </c>
      <c r="X50" s="321" t="s">
        <v>69</v>
      </c>
      <c r="Y50" s="321" t="s">
        <v>69</v>
      </c>
      <c r="Z50" s="321" t="s">
        <v>69</v>
      </c>
      <c r="AA50" s="333" t="s">
        <v>69</v>
      </c>
      <c r="AB50" s="321" t="s">
        <v>69</v>
      </c>
      <c r="AC50" s="321" t="s">
        <v>69</v>
      </c>
      <c r="AD50" s="333" t="s">
        <v>69</v>
      </c>
      <c r="AE50" s="323">
        <v>4</v>
      </c>
      <c r="AF50" s="323" t="s">
        <v>69</v>
      </c>
      <c r="AG50" s="323">
        <v>4</v>
      </c>
      <c r="AH50" s="323" t="s">
        <v>69</v>
      </c>
      <c r="AI50" s="323">
        <v>4</v>
      </c>
      <c r="AJ50" s="323">
        <v>1</v>
      </c>
      <c r="AK50" s="333">
        <v>4</v>
      </c>
      <c r="AL50" s="333" t="s">
        <v>69</v>
      </c>
      <c r="AM50" s="321" t="s">
        <v>69</v>
      </c>
      <c r="AN50" s="321" t="s">
        <v>69</v>
      </c>
      <c r="AO50" s="321" t="s">
        <v>69</v>
      </c>
      <c r="AP50" s="321" t="s">
        <v>69</v>
      </c>
      <c r="AQ50" s="333">
        <v>4</v>
      </c>
      <c r="AR50" s="333" t="s">
        <v>69</v>
      </c>
      <c r="AS50" s="321" t="s">
        <v>69</v>
      </c>
      <c r="AT50" s="321" t="s">
        <v>69</v>
      </c>
      <c r="AU50" s="321" t="s">
        <v>69</v>
      </c>
      <c r="AV50" s="321">
        <v>4</v>
      </c>
      <c r="AW50" s="321">
        <v>4</v>
      </c>
      <c r="AX50" s="321" t="s">
        <v>69</v>
      </c>
      <c r="AY50" s="321">
        <v>4</v>
      </c>
      <c r="AZ50" s="321" t="s">
        <v>69</v>
      </c>
      <c r="BA50" s="321" t="s">
        <v>69</v>
      </c>
      <c r="BB50" s="321">
        <v>4</v>
      </c>
      <c r="BC50" s="321">
        <v>4</v>
      </c>
      <c r="BD50" s="321" t="s">
        <v>69</v>
      </c>
      <c r="BE50" s="333" t="s">
        <v>69</v>
      </c>
      <c r="BF50" s="333" t="s">
        <v>69</v>
      </c>
      <c r="BG50" s="333" t="s">
        <v>69</v>
      </c>
      <c r="BH50" s="321" t="s">
        <v>69</v>
      </c>
      <c r="BI50" s="321" t="s">
        <v>69</v>
      </c>
      <c r="BJ50" s="321" t="s">
        <v>69</v>
      </c>
      <c r="BK50" s="333" t="s">
        <v>69</v>
      </c>
      <c r="BL50" s="333" t="s">
        <v>69</v>
      </c>
      <c r="BM50" s="321">
        <v>4</v>
      </c>
      <c r="BN50" s="321">
        <v>4</v>
      </c>
      <c r="BO50" s="321">
        <v>4</v>
      </c>
      <c r="BP50" s="321" t="s">
        <v>69</v>
      </c>
      <c r="BQ50" s="321">
        <v>4</v>
      </c>
      <c r="BR50" s="333" t="s">
        <v>69</v>
      </c>
      <c r="BS50" s="334">
        <v>4</v>
      </c>
      <c r="BT50" s="333">
        <v>4</v>
      </c>
      <c r="BU50" s="333" t="s">
        <v>69</v>
      </c>
      <c r="BV50" s="321" t="s">
        <v>69</v>
      </c>
      <c r="BW50" s="321" t="s">
        <v>69</v>
      </c>
      <c r="BX50" s="321">
        <v>4</v>
      </c>
      <c r="BY50" s="321" t="s">
        <v>69</v>
      </c>
      <c r="BZ50" s="333" t="s">
        <v>69</v>
      </c>
      <c r="CA50" s="333">
        <v>4</v>
      </c>
      <c r="CB50" s="333" t="s">
        <v>69</v>
      </c>
      <c r="CC50" s="333" t="s">
        <v>69</v>
      </c>
      <c r="CD50" s="321" t="s">
        <v>69</v>
      </c>
      <c r="CE50" s="321" t="s">
        <v>69</v>
      </c>
      <c r="CF50" s="321" t="s">
        <v>69</v>
      </c>
      <c r="CG50" s="333">
        <v>4</v>
      </c>
      <c r="CH50" s="333" t="s">
        <v>69</v>
      </c>
      <c r="CI50" s="333" t="s">
        <v>69</v>
      </c>
      <c r="CJ50" s="333" t="s">
        <v>69</v>
      </c>
      <c r="CK50" s="333" t="s">
        <v>69</v>
      </c>
      <c r="CL50" s="333" t="s">
        <v>69</v>
      </c>
      <c r="CM50" s="333" t="s">
        <v>69</v>
      </c>
      <c r="CN50" s="333">
        <v>2</v>
      </c>
      <c r="CO50" s="333">
        <v>2</v>
      </c>
      <c r="CP50" s="333">
        <v>4</v>
      </c>
      <c r="CQ50" s="333" t="s">
        <v>69</v>
      </c>
      <c r="CR50" s="333" t="s">
        <v>69</v>
      </c>
      <c r="CS50" s="333" t="s">
        <v>69</v>
      </c>
      <c r="CT50" s="333">
        <v>4</v>
      </c>
      <c r="CU50" s="333" t="s">
        <v>69</v>
      </c>
      <c r="CV50" s="333">
        <v>4</v>
      </c>
      <c r="CW50" s="333">
        <v>4</v>
      </c>
      <c r="CX50" s="333">
        <v>4</v>
      </c>
      <c r="CY50" s="333" t="s">
        <v>69</v>
      </c>
      <c r="CZ50" s="321" t="s">
        <v>69</v>
      </c>
      <c r="DA50" s="333">
        <v>4</v>
      </c>
      <c r="DB50" s="333">
        <v>4</v>
      </c>
      <c r="DC50" s="321">
        <v>4</v>
      </c>
      <c r="DD50" s="321">
        <v>4</v>
      </c>
      <c r="DE50" s="333">
        <v>4</v>
      </c>
      <c r="DF50" s="333" t="s">
        <v>69</v>
      </c>
      <c r="DG50" s="333" t="s">
        <v>69</v>
      </c>
      <c r="DH50" s="333" t="s">
        <v>69</v>
      </c>
      <c r="DI50" s="333" t="s">
        <v>69</v>
      </c>
      <c r="DJ50" s="321" t="s">
        <v>69</v>
      </c>
      <c r="DK50" s="333" t="s">
        <v>69</v>
      </c>
      <c r="DL50" s="323" t="s">
        <v>69</v>
      </c>
      <c r="DM50" s="323" t="s">
        <v>69</v>
      </c>
      <c r="DN50" s="323" t="s">
        <v>69</v>
      </c>
      <c r="DO50" s="323">
        <v>4</v>
      </c>
      <c r="DP50" s="323" t="s">
        <v>69</v>
      </c>
      <c r="DQ50" s="323" t="s">
        <v>69</v>
      </c>
      <c r="DR50" s="323" t="s">
        <v>69</v>
      </c>
      <c r="DS50" s="333" t="s">
        <v>69</v>
      </c>
      <c r="DT50" s="333" t="s">
        <v>69</v>
      </c>
      <c r="DU50" s="333">
        <v>4</v>
      </c>
      <c r="DV50" s="317">
        <f t="shared" si="1"/>
        <v>0.66666666666666663</v>
      </c>
      <c r="DW50" s="356">
        <f t="shared" si="0"/>
        <v>0.95121951219512191</v>
      </c>
      <c r="DX50" s="156" t="str">
        <f>VLOOKUP(B50,[1]Pointage!$A:$D,4,0)</f>
        <v>Mourad Saitali</v>
      </c>
    </row>
    <row r="51" spans="1:412" s="156" customFormat="1" ht="118.5" hidden="1" customHeight="1" thickBot="1">
      <c r="A51" s="312">
        <v>35</v>
      </c>
      <c r="B51" s="318" t="s">
        <v>271</v>
      </c>
      <c r="C51" s="383" t="s">
        <v>1044</v>
      </c>
      <c r="D51" s="376">
        <v>44501</v>
      </c>
      <c r="E51" s="320" t="s">
        <v>216</v>
      </c>
      <c r="F51" s="381" t="s">
        <v>633</v>
      </c>
      <c r="G51" s="333">
        <v>4</v>
      </c>
      <c r="H51" s="333">
        <v>4</v>
      </c>
      <c r="I51" s="333">
        <v>4</v>
      </c>
      <c r="J51" s="321" t="s">
        <v>69</v>
      </c>
      <c r="K51" s="333">
        <v>4</v>
      </c>
      <c r="L51" s="321" t="s">
        <v>69</v>
      </c>
      <c r="M51" s="321" t="s">
        <v>69</v>
      </c>
      <c r="N51" s="321" t="s">
        <v>69</v>
      </c>
      <c r="O51" s="321" t="s">
        <v>69</v>
      </c>
      <c r="P51" s="321" t="s">
        <v>69</v>
      </c>
      <c r="Q51" s="321" t="s">
        <v>69</v>
      </c>
      <c r="R51" s="321">
        <v>4</v>
      </c>
      <c r="S51" s="321">
        <v>4</v>
      </c>
      <c r="T51" s="321" t="s">
        <v>69</v>
      </c>
      <c r="U51" s="321" t="s">
        <v>69</v>
      </c>
      <c r="V51" s="333">
        <v>2</v>
      </c>
      <c r="W51" s="321" t="s">
        <v>69</v>
      </c>
      <c r="X51" s="321">
        <v>4</v>
      </c>
      <c r="Y51" s="321" t="s">
        <v>69</v>
      </c>
      <c r="Z51" s="321" t="s">
        <v>69</v>
      </c>
      <c r="AA51" s="333">
        <v>4</v>
      </c>
      <c r="AB51" s="321">
        <v>4</v>
      </c>
      <c r="AC51" s="321" t="s">
        <v>69</v>
      </c>
      <c r="AD51" s="333">
        <v>4</v>
      </c>
      <c r="AE51" s="323" t="s">
        <v>69</v>
      </c>
      <c r="AF51" s="323" t="s">
        <v>69</v>
      </c>
      <c r="AG51" s="323" t="s">
        <v>69</v>
      </c>
      <c r="AH51" s="323">
        <v>2</v>
      </c>
      <c r="AI51" s="323" t="s">
        <v>69</v>
      </c>
      <c r="AJ51" s="323" t="s">
        <v>69</v>
      </c>
      <c r="AK51" s="333" t="s">
        <v>69</v>
      </c>
      <c r="AL51" s="333" t="s">
        <v>69</v>
      </c>
      <c r="AM51" s="321" t="s">
        <v>69</v>
      </c>
      <c r="AN51" s="321">
        <v>4</v>
      </c>
      <c r="AO51" s="321" t="s">
        <v>69</v>
      </c>
      <c r="AP51" s="321">
        <v>4</v>
      </c>
      <c r="AQ51" s="334" t="s">
        <v>69</v>
      </c>
      <c r="AR51" s="333">
        <v>4</v>
      </c>
      <c r="AS51" s="321" t="s">
        <v>69</v>
      </c>
      <c r="AT51" s="321" t="s">
        <v>69</v>
      </c>
      <c r="AU51" s="321" t="s">
        <v>69</v>
      </c>
      <c r="AV51" s="321" t="s">
        <v>69</v>
      </c>
      <c r="AW51" s="321" t="s">
        <v>69</v>
      </c>
      <c r="AX51" s="321" t="s">
        <v>69</v>
      </c>
      <c r="AY51" s="321" t="s">
        <v>69</v>
      </c>
      <c r="AZ51" s="321" t="s">
        <v>69</v>
      </c>
      <c r="BA51" s="321" t="s">
        <v>69</v>
      </c>
      <c r="BB51" s="321" t="s">
        <v>69</v>
      </c>
      <c r="BC51" s="321" t="s">
        <v>69</v>
      </c>
      <c r="BD51" s="321" t="s">
        <v>69</v>
      </c>
      <c r="BE51" s="333" t="s">
        <v>69</v>
      </c>
      <c r="BF51" s="333" t="s">
        <v>69</v>
      </c>
      <c r="BG51" s="333" t="s">
        <v>69</v>
      </c>
      <c r="BH51" s="321" t="s">
        <v>69</v>
      </c>
      <c r="BI51" s="321" t="s">
        <v>69</v>
      </c>
      <c r="BJ51" s="321" t="s">
        <v>69</v>
      </c>
      <c r="BK51" s="333" t="s">
        <v>69</v>
      </c>
      <c r="BL51" s="333" t="s">
        <v>69</v>
      </c>
      <c r="BM51" s="321">
        <v>4</v>
      </c>
      <c r="BN51" s="321">
        <v>4</v>
      </c>
      <c r="BO51" s="321">
        <v>4</v>
      </c>
      <c r="BP51" s="321" t="s">
        <v>69</v>
      </c>
      <c r="BQ51" s="333">
        <v>4</v>
      </c>
      <c r="BR51" s="333" t="s">
        <v>69</v>
      </c>
      <c r="BS51" s="333">
        <v>4</v>
      </c>
      <c r="BT51" s="333" t="s">
        <v>69</v>
      </c>
      <c r="BU51" s="333">
        <v>4</v>
      </c>
      <c r="BV51" s="321" t="s">
        <v>69</v>
      </c>
      <c r="BW51" s="321" t="s">
        <v>69</v>
      </c>
      <c r="BX51" s="321">
        <v>4</v>
      </c>
      <c r="BY51" s="321">
        <v>4</v>
      </c>
      <c r="BZ51" s="334" t="s">
        <v>69</v>
      </c>
      <c r="CA51" s="334" t="s">
        <v>69</v>
      </c>
      <c r="CB51" s="334" t="s">
        <v>69</v>
      </c>
      <c r="CC51" s="334" t="s">
        <v>69</v>
      </c>
      <c r="CD51" s="321" t="s">
        <v>69</v>
      </c>
      <c r="CE51" s="321" t="s">
        <v>69</v>
      </c>
      <c r="CF51" s="321" t="s">
        <v>69</v>
      </c>
      <c r="CG51" s="334" t="s">
        <v>69</v>
      </c>
      <c r="CH51" s="334" t="s">
        <v>69</v>
      </c>
      <c r="CI51" s="334" t="s">
        <v>69</v>
      </c>
      <c r="CJ51" s="334" t="s">
        <v>69</v>
      </c>
      <c r="CK51" s="334" t="s">
        <v>69</v>
      </c>
      <c r="CL51" s="334" t="s">
        <v>69</v>
      </c>
      <c r="CM51" s="334" t="s">
        <v>69</v>
      </c>
      <c r="CN51" s="334" t="s">
        <v>69</v>
      </c>
      <c r="CO51" s="334" t="s">
        <v>69</v>
      </c>
      <c r="CP51" s="334" t="s">
        <v>69</v>
      </c>
      <c r="CQ51" s="334" t="s">
        <v>69</v>
      </c>
      <c r="CR51" s="334" t="s">
        <v>69</v>
      </c>
      <c r="CS51" s="334" t="s">
        <v>69</v>
      </c>
      <c r="CT51" s="334" t="s">
        <v>69</v>
      </c>
      <c r="CU51" s="334" t="s">
        <v>69</v>
      </c>
      <c r="CV51" s="334">
        <v>4</v>
      </c>
      <c r="CW51" s="334">
        <v>4</v>
      </c>
      <c r="CX51" s="334">
        <v>4</v>
      </c>
      <c r="CY51" s="334">
        <v>4</v>
      </c>
      <c r="CZ51" s="321" t="s">
        <v>69</v>
      </c>
      <c r="DA51" s="334">
        <v>4</v>
      </c>
      <c r="DB51" s="334">
        <v>4</v>
      </c>
      <c r="DC51" s="334">
        <v>4</v>
      </c>
      <c r="DD51" s="334">
        <v>4</v>
      </c>
      <c r="DE51" s="334">
        <v>4</v>
      </c>
      <c r="DF51" s="334">
        <v>4</v>
      </c>
      <c r="DG51" s="334">
        <v>4</v>
      </c>
      <c r="DH51" s="334" t="s">
        <v>69</v>
      </c>
      <c r="DI51" s="334" t="s">
        <v>69</v>
      </c>
      <c r="DJ51" s="321" t="s">
        <v>69</v>
      </c>
      <c r="DK51" s="321" t="s">
        <v>69</v>
      </c>
      <c r="DL51" s="323" t="s">
        <v>69</v>
      </c>
      <c r="DM51" s="323" t="s">
        <v>69</v>
      </c>
      <c r="DN51" s="323" t="s">
        <v>69</v>
      </c>
      <c r="DO51" s="323" t="s">
        <v>69</v>
      </c>
      <c r="DP51" s="323" t="s">
        <v>69</v>
      </c>
      <c r="DQ51" s="323" t="s">
        <v>69</v>
      </c>
      <c r="DR51" s="323" t="s">
        <v>69</v>
      </c>
      <c r="DS51" s="334" t="s">
        <v>69</v>
      </c>
      <c r="DT51" s="334" t="s">
        <v>69</v>
      </c>
      <c r="DU51" s="334">
        <v>4</v>
      </c>
      <c r="DV51" s="317">
        <f t="shared" si="1"/>
        <v>0.55555555555555558</v>
      </c>
      <c r="DW51" s="356">
        <f t="shared" si="0"/>
        <v>0.94285714285714284</v>
      </c>
      <c r="DX51" s="156" t="str">
        <f>VLOOKUP(B51,[1]Pointage!$A:$D,4,0)</f>
        <v>Mourad Saitali</v>
      </c>
    </row>
    <row r="52" spans="1:412" s="156" customFormat="1" ht="118.5" hidden="1" customHeight="1">
      <c r="A52" s="312">
        <v>36</v>
      </c>
      <c r="B52" s="348" t="s">
        <v>335</v>
      </c>
      <c r="C52" s="383" t="s">
        <v>1045</v>
      </c>
      <c r="D52" s="378">
        <v>43565</v>
      </c>
      <c r="E52" s="320" t="s">
        <v>217</v>
      </c>
      <c r="F52" s="381" t="s">
        <v>633</v>
      </c>
      <c r="G52" s="335" t="s">
        <v>69</v>
      </c>
      <c r="H52" s="344" t="s">
        <v>69</v>
      </c>
      <c r="I52" s="344" t="s">
        <v>69</v>
      </c>
      <c r="J52" s="344" t="s">
        <v>69</v>
      </c>
      <c r="K52" s="344" t="s">
        <v>69</v>
      </c>
      <c r="L52" s="344" t="s">
        <v>69</v>
      </c>
      <c r="M52" s="344" t="s">
        <v>69</v>
      </c>
      <c r="N52" s="344">
        <v>4</v>
      </c>
      <c r="O52" s="344">
        <v>4</v>
      </c>
      <c r="P52" s="344" t="s">
        <v>69</v>
      </c>
      <c r="Q52" s="344" t="s">
        <v>69</v>
      </c>
      <c r="R52" s="344" t="s">
        <v>69</v>
      </c>
      <c r="S52" s="344" t="s">
        <v>69</v>
      </c>
      <c r="T52" s="344" t="s">
        <v>69</v>
      </c>
      <c r="U52" s="349" t="s">
        <v>69</v>
      </c>
      <c r="V52" s="349" t="s">
        <v>69</v>
      </c>
      <c r="W52" s="344" t="s">
        <v>69</v>
      </c>
      <c r="X52" s="344" t="s">
        <v>69</v>
      </c>
      <c r="Y52" s="344" t="s">
        <v>69</v>
      </c>
      <c r="Z52" s="344" t="s">
        <v>69</v>
      </c>
      <c r="AA52" s="344" t="s">
        <v>69</v>
      </c>
      <c r="AB52" s="344" t="s">
        <v>69</v>
      </c>
      <c r="AC52" s="344" t="s">
        <v>69</v>
      </c>
      <c r="AD52" s="344">
        <v>4</v>
      </c>
      <c r="AE52" s="344" t="s">
        <v>69</v>
      </c>
      <c r="AF52" s="344" t="s">
        <v>69</v>
      </c>
      <c r="AG52" s="344" t="s">
        <v>69</v>
      </c>
      <c r="AH52" s="344" t="s">
        <v>69</v>
      </c>
      <c r="AI52" s="344" t="s">
        <v>69</v>
      </c>
      <c r="AJ52" s="344" t="s">
        <v>69</v>
      </c>
      <c r="AK52" s="344" t="s">
        <v>69</v>
      </c>
      <c r="AL52" s="344" t="s">
        <v>69</v>
      </c>
      <c r="AM52" s="344" t="s">
        <v>69</v>
      </c>
      <c r="AN52" s="344" t="s">
        <v>69</v>
      </c>
      <c r="AO52" s="344" t="s">
        <v>69</v>
      </c>
      <c r="AP52" s="344" t="s">
        <v>69</v>
      </c>
      <c r="AQ52" s="344" t="s">
        <v>69</v>
      </c>
      <c r="AR52" s="344" t="s">
        <v>69</v>
      </c>
      <c r="AS52" s="344" t="s">
        <v>69</v>
      </c>
      <c r="AT52" s="344" t="s">
        <v>69</v>
      </c>
      <c r="AU52" s="344" t="s">
        <v>69</v>
      </c>
      <c r="AV52" s="344" t="s">
        <v>69</v>
      </c>
      <c r="AW52" s="344" t="s">
        <v>69</v>
      </c>
      <c r="AX52" s="344" t="s">
        <v>69</v>
      </c>
      <c r="AY52" s="344" t="s">
        <v>69</v>
      </c>
      <c r="AZ52" s="344" t="s">
        <v>69</v>
      </c>
      <c r="BA52" s="344" t="s">
        <v>69</v>
      </c>
      <c r="BB52" s="344" t="s">
        <v>69</v>
      </c>
      <c r="BC52" s="344" t="s">
        <v>69</v>
      </c>
      <c r="BD52" s="344" t="s">
        <v>69</v>
      </c>
      <c r="BE52" s="344" t="s">
        <v>69</v>
      </c>
      <c r="BF52" s="344" t="s">
        <v>69</v>
      </c>
      <c r="BG52" s="344" t="s">
        <v>69</v>
      </c>
      <c r="BH52" s="344" t="s">
        <v>69</v>
      </c>
      <c r="BI52" s="344" t="s">
        <v>69</v>
      </c>
      <c r="BJ52" s="344">
        <v>4</v>
      </c>
      <c r="BK52" s="344" t="s">
        <v>69</v>
      </c>
      <c r="BL52" s="344" t="s">
        <v>69</v>
      </c>
      <c r="BM52" s="344" t="s">
        <v>69</v>
      </c>
      <c r="BN52" s="344" t="s">
        <v>69</v>
      </c>
      <c r="BO52" s="344" t="s">
        <v>69</v>
      </c>
      <c r="BP52" s="344">
        <v>2</v>
      </c>
      <c r="BQ52" s="344">
        <v>3</v>
      </c>
      <c r="BR52" s="344" t="s">
        <v>69</v>
      </c>
      <c r="BS52" s="344" t="s">
        <v>69</v>
      </c>
      <c r="BT52" s="344" t="s">
        <v>69</v>
      </c>
      <c r="BU52" s="344" t="s">
        <v>69</v>
      </c>
      <c r="BV52" s="344" t="s">
        <v>69</v>
      </c>
      <c r="BW52" s="344" t="s">
        <v>69</v>
      </c>
      <c r="BX52" s="344" t="s">
        <v>69</v>
      </c>
      <c r="BY52" s="344" t="s">
        <v>69</v>
      </c>
      <c r="BZ52" s="344" t="s">
        <v>69</v>
      </c>
      <c r="CA52" s="344" t="s">
        <v>69</v>
      </c>
      <c r="CB52" s="344" t="s">
        <v>69</v>
      </c>
      <c r="CC52" s="344" t="s">
        <v>69</v>
      </c>
      <c r="CD52" s="344" t="s">
        <v>69</v>
      </c>
      <c r="CE52" s="344" t="s">
        <v>69</v>
      </c>
      <c r="CF52" s="344" t="s">
        <v>69</v>
      </c>
      <c r="CG52" s="344" t="s">
        <v>69</v>
      </c>
      <c r="CH52" s="344" t="s">
        <v>69</v>
      </c>
      <c r="CI52" s="344" t="s">
        <v>69</v>
      </c>
      <c r="CJ52" s="344">
        <v>3</v>
      </c>
      <c r="CK52" s="344">
        <v>3</v>
      </c>
      <c r="CL52" s="344" t="s">
        <v>69</v>
      </c>
      <c r="CM52" s="344" t="s">
        <v>69</v>
      </c>
      <c r="CN52" s="344" t="s">
        <v>69</v>
      </c>
      <c r="CO52" s="344" t="s">
        <v>69</v>
      </c>
      <c r="CP52" s="344" t="s">
        <v>69</v>
      </c>
      <c r="CQ52" s="344" t="s">
        <v>69</v>
      </c>
      <c r="CR52" s="344" t="s">
        <v>69</v>
      </c>
      <c r="CS52" s="344" t="s">
        <v>69</v>
      </c>
      <c r="CT52" s="344" t="s">
        <v>69</v>
      </c>
      <c r="CU52" s="344" t="s">
        <v>69</v>
      </c>
      <c r="CV52" s="344" t="s">
        <v>69</v>
      </c>
      <c r="CW52" s="344">
        <v>4</v>
      </c>
      <c r="CX52" s="344">
        <v>4</v>
      </c>
      <c r="CY52" s="344">
        <v>4</v>
      </c>
      <c r="CZ52" s="344">
        <v>4</v>
      </c>
      <c r="DA52" s="344" t="s">
        <v>69</v>
      </c>
      <c r="DB52" s="344" t="s">
        <v>69</v>
      </c>
      <c r="DC52" s="344">
        <v>2</v>
      </c>
      <c r="DD52" s="344">
        <v>2</v>
      </c>
      <c r="DE52" s="344">
        <v>2</v>
      </c>
      <c r="DF52" s="344" t="s">
        <v>69</v>
      </c>
      <c r="DG52" s="344">
        <v>4</v>
      </c>
      <c r="DH52" s="344" t="s">
        <v>69</v>
      </c>
      <c r="DI52" s="344" t="s">
        <v>69</v>
      </c>
      <c r="DJ52" s="344">
        <v>4</v>
      </c>
      <c r="DK52" s="344" t="s">
        <v>69</v>
      </c>
      <c r="DL52" s="344" t="s">
        <v>69</v>
      </c>
      <c r="DM52" s="344" t="s">
        <v>69</v>
      </c>
      <c r="DN52" s="344" t="s">
        <v>69</v>
      </c>
      <c r="DO52" s="344" t="s">
        <v>69</v>
      </c>
      <c r="DP52" s="344" t="s">
        <v>69</v>
      </c>
      <c r="DQ52" s="344" t="s">
        <v>69</v>
      </c>
      <c r="DR52" s="344" t="s">
        <v>69</v>
      </c>
      <c r="DS52" s="344" t="s">
        <v>69</v>
      </c>
      <c r="DT52" s="344" t="s">
        <v>69</v>
      </c>
      <c r="DU52" s="350">
        <v>4</v>
      </c>
      <c r="DV52" s="317">
        <f t="shared" si="1"/>
        <v>0.2857142857142857</v>
      </c>
      <c r="DW52" s="356">
        <f t="shared" si="0"/>
        <v>0.77777777777777779</v>
      </c>
      <c r="DX52" s="156" t="str">
        <f>VLOOKUP(B52,[1]Pointage!$A:$D,4,0)</f>
        <v>Mourad Saitali</v>
      </c>
    </row>
    <row r="53" spans="1:412" s="156" customFormat="1" ht="118.5" hidden="1" customHeight="1">
      <c r="A53" s="312">
        <v>37</v>
      </c>
      <c r="B53" s="318" t="s">
        <v>519</v>
      </c>
      <c r="C53" s="383" t="s">
        <v>1046</v>
      </c>
      <c r="D53" s="376">
        <v>45331</v>
      </c>
      <c r="E53" s="320" t="s">
        <v>216</v>
      </c>
      <c r="F53" s="381" t="s">
        <v>633</v>
      </c>
      <c r="G53" s="333">
        <v>2</v>
      </c>
      <c r="H53" s="333" t="s">
        <v>69</v>
      </c>
      <c r="I53" s="323">
        <v>2</v>
      </c>
      <c r="J53" s="321" t="s">
        <v>69</v>
      </c>
      <c r="K53" s="333" t="s">
        <v>69</v>
      </c>
      <c r="L53" s="321" t="s">
        <v>69</v>
      </c>
      <c r="M53" s="321" t="s">
        <v>69</v>
      </c>
      <c r="N53" s="321">
        <v>2</v>
      </c>
      <c r="O53" s="321" t="s">
        <v>69</v>
      </c>
      <c r="P53" s="321" t="s">
        <v>69</v>
      </c>
      <c r="Q53" s="321" t="s">
        <v>69</v>
      </c>
      <c r="R53" s="321" t="s">
        <v>69</v>
      </c>
      <c r="S53" s="321" t="s">
        <v>69</v>
      </c>
      <c r="T53" s="321" t="s">
        <v>69</v>
      </c>
      <c r="U53" s="321" t="s">
        <v>69</v>
      </c>
      <c r="V53" s="333" t="s">
        <v>69</v>
      </c>
      <c r="W53" s="321" t="s">
        <v>69</v>
      </c>
      <c r="X53" s="321" t="s">
        <v>69</v>
      </c>
      <c r="Y53" s="321" t="s">
        <v>69</v>
      </c>
      <c r="Z53" s="321" t="s">
        <v>69</v>
      </c>
      <c r="AA53" s="333" t="s">
        <v>69</v>
      </c>
      <c r="AB53" s="321" t="s">
        <v>69</v>
      </c>
      <c r="AC53" s="321" t="s">
        <v>69</v>
      </c>
      <c r="AD53" s="333" t="s">
        <v>69</v>
      </c>
      <c r="AE53" s="323" t="s">
        <v>69</v>
      </c>
      <c r="AF53" s="323" t="s">
        <v>69</v>
      </c>
      <c r="AG53" s="323" t="s">
        <v>69</v>
      </c>
      <c r="AH53" s="323" t="s">
        <v>69</v>
      </c>
      <c r="AI53" s="323">
        <v>2</v>
      </c>
      <c r="AJ53" s="323" t="s">
        <v>69</v>
      </c>
      <c r="AK53" s="333" t="s">
        <v>69</v>
      </c>
      <c r="AL53" s="333" t="s">
        <v>69</v>
      </c>
      <c r="AM53" s="321" t="s">
        <v>69</v>
      </c>
      <c r="AN53" s="321" t="s">
        <v>69</v>
      </c>
      <c r="AO53" s="321" t="s">
        <v>69</v>
      </c>
      <c r="AP53" s="321" t="s">
        <v>69</v>
      </c>
      <c r="AQ53" s="333" t="s">
        <v>69</v>
      </c>
      <c r="AR53" s="333" t="s">
        <v>69</v>
      </c>
      <c r="AS53" s="321" t="s">
        <v>69</v>
      </c>
      <c r="AT53" s="321" t="s">
        <v>69</v>
      </c>
      <c r="AU53" s="321" t="s">
        <v>69</v>
      </c>
      <c r="AV53" s="321" t="s">
        <v>69</v>
      </c>
      <c r="AW53" s="321" t="s">
        <v>69</v>
      </c>
      <c r="AX53" s="321">
        <v>2</v>
      </c>
      <c r="AY53" s="321" t="s">
        <v>69</v>
      </c>
      <c r="AZ53" s="321" t="s">
        <v>69</v>
      </c>
      <c r="BA53" s="321" t="s">
        <v>69</v>
      </c>
      <c r="BB53" s="321" t="s">
        <v>69</v>
      </c>
      <c r="BC53" s="321" t="s">
        <v>69</v>
      </c>
      <c r="BD53" s="321" t="s">
        <v>69</v>
      </c>
      <c r="BE53" s="321" t="s">
        <v>69</v>
      </c>
      <c r="BF53" s="321" t="s">
        <v>69</v>
      </c>
      <c r="BG53" s="333" t="s">
        <v>69</v>
      </c>
      <c r="BH53" s="321" t="s">
        <v>69</v>
      </c>
      <c r="BI53" s="321" t="s">
        <v>69</v>
      </c>
      <c r="BJ53" s="333" t="s">
        <v>69</v>
      </c>
      <c r="BK53" s="333" t="s">
        <v>69</v>
      </c>
      <c r="BL53" s="333">
        <v>2</v>
      </c>
      <c r="BM53" s="321" t="s">
        <v>69</v>
      </c>
      <c r="BN53" s="321" t="s">
        <v>69</v>
      </c>
      <c r="BO53" s="333" t="s">
        <v>69</v>
      </c>
      <c r="BP53" s="321" t="s">
        <v>69</v>
      </c>
      <c r="BQ53" s="333" t="s">
        <v>69</v>
      </c>
      <c r="BR53" s="333" t="s">
        <v>69</v>
      </c>
      <c r="BS53" s="333">
        <v>4</v>
      </c>
      <c r="BT53" s="333" t="s">
        <v>69</v>
      </c>
      <c r="BU53" s="333" t="s">
        <v>69</v>
      </c>
      <c r="BV53" s="321" t="s">
        <v>69</v>
      </c>
      <c r="BW53" s="321" t="s">
        <v>69</v>
      </c>
      <c r="BX53" s="321"/>
      <c r="BY53" s="321" t="s">
        <v>69</v>
      </c>
      <c r="BZ53" s="333" t="s">
        <v>69</v>
      </c>
      <c r="CA53" s="333" t="s">
        <v>69</v>
      </c>
      <c r="CB53" s="333" t="s">
        <v>69</v>
      </c>
      <c r="CC53" s="333" t="s">
        <v>69</v>
      </c>
      <c r="CD53" s="333" t="s">
        <v>69</v>
      </c>
      <c r="CE53" s="321" t="s">
        <v>69</v>
      </c>
      <c r="CF53" s="333" t="s">
        <v>69</v>
      </c>
      <c r="CG53" s="333" t="s">
        <v>69</v>
      </c>
      <c r="CH53" s="333" t="s">
        <v>69</v>
      </c>
      <c r="CI53" s="333" t="s">
        <v>69</v>
      </c>
      <c r="CJ53" s="333" t="s">
        <v>69</v>
      </c>
      <c r="CK53" s="333" t="s">
        <v>69</v>
      </c>
      <c r="CL53" s="333" t="s">
        <v>69</v>
      </c>
      <c r="CM53" s="333" t="s">
        <v>69</v>
      </c>
      <c r="CN53" s="333" t="s">
        <v>69</v>
      </c>
      <c r="CO53" s="333">
        <v>3</v>
      </c>
      <c r="CP53" s="333">
        <v>3</v>
      </c>
      <c r="CQ53" s="333">
        <v>3</v>
      </c>
      <c r="CR53" s="333" t="s">
        <v>69</v>
      </c>
      <c r="CS53" s="333">
        <v>3</v>
      </c>
      <c r="CT53" s="333">
        <v>3</v>
      </c>
      <c r="CU53" s="333">
        <v>2</v>
      </c>
      <c r="CV53" s="333" t="s">
        <v>69</v>
      </c>
      <c r="CW53" s="333" t="s">
        <v>69</v>
      </c>
      <c r="CX53" s="333" t="s">
        <v>69</v>
      </c>
      <c r="CY53" s="333" t="s">
        <v>69</v>
      </c>
      <c r="CZ53" s="321" t="s">
        <v>69</v>
      </c>
      <c r="DA53" s="333">
        <v>2</v>
      </c>
      <c r="DB53" s="333" t="s">
        <v>69</v>
      </c>
      <c r="DC53" s="321">
        <v>2</v>
      </c>
      <c r="DD53" s="321" t="s">
        <v>69</v>
      </c>
      <c r="DE53" s="333" t="s">
        <v>69</v>
      </c>
      <c r="DF53" s="333" t="s">
        <v>69</v>
      </c>
      <c r="DG53" s="333" t="s">
        <v>69</v>
      </c>
      <c r="DH53" s="333" t="s">
        <v>69</v>
      </c>
      <c r="DI53" s="333" t="s">
        <v>69</v>
      </c>
      <c r="DJ53" s="321" t="s">
        <v>69</v>
      </c>
      <c r="DK53" s="333" t="s">
        <v>69</v>
      </c>
      <c r="DL53" s="323" t="s">
        <v>69</v>
      </c>
      <c r="DM53" s="323" t="s">
        <v>69</v>
      </c>
      <c r="DN53" s="323" t="s">
        <v>69</v>
      </c>
      <c r="DO53" s="323" t="s">
        <v>69</v>
      </c>
      <c r="DP53" s="323" t="s">
        <v>69</v>
      </c>
      <c r="DQ53" s="323" t="s">
        <v>69</v>
      </c>
      <c r="DR53" s="323" t="s">
        <v>69</v>
      </c>
      <c r="DS53" s="333" t="s">
        <v>69</v>
      </c>
      <c r="DT53" s="333" t="s">
        <v>69</v>
      </c>
      <c r="DU53" s="333" t="s">
        <v>69</v>
      </c>
      <c r="DV53" s="317">
        <f t="shared" si="1"/>
        <v>0.23809523809523808</v>
      </c>
      <c r="DW53" s="356">
        <f t="shared" si="0"/>
        <v>0.4</v>
      </c>
      <c r="DX53" s="156" t="str">
        <f>VLOOKUP(B53,[1]Pointage!$A:$D,4,0)</f>
        <v>Mourad Saitali</v>
      </c>
    </row>
    <row r="54" spans="1:412" s="156" customFormat="1" ht="118.5" hidden="1" customHeight="1">
      <c r="A54" s="312">
        <v>38</v>
      </c>
      <c r="B54" s="318" t="s">
        <v>520</v>
      </c>
      <c r="C54" s="383" t="s">
        <v>1149</v>
      </c>
      <c r="D54" s="377">
        <v>45537</v>
      </c>
      <c r="E54" s="320" t="s">
        <v>215</v>
      </c>
      <c r="F54" s="381" t="s">
        <v>633</v>
      </c>
      <c r="G54" s="333">
        <v>2</v>
      </c>
      <c r="H54" s="333" t="s">
        <v>69</v>
      </c>
      <c r="I54" s="333" t="s">
        <v>69</v>
      </c>
      <c r="J54" s="321" t="s">
        <v>69</v>
      </c>
      <c r="K54" s="333" t="s">
        <v>69</v>
      </c>
      <c r="L54" s="321" t="s">
        <v>69</v>
      </c>
      <c r="M54" s="321" t="s">
        <v>69</v>
      </c>
      <c r="N54" s="321" t="s">
        <v>69</v>
      </c>
      <c r="O54" s="321" t="s">
        <v>69</v>
      </c>
      <c r="P54" s="321" t="s">
        <v>69</v>
      </c>
      <c r="Q54" s="321" t="s">
        <v>69</v>
      </c>
      <c r="R54" s="321" t="s">
        <v>69</v>
      </c>
      <c r="S54" s="321" t="s">
        <v>69</v>
      </c>
      <c r="T54" s="321" t="s">
        <v>69</v>
      </c>
      <c r="U54" s="321" t="s">
        <v>69</v>
      </c>
      <c r="V54" s="333" t="s">
        <v>69</v>
      </c>
      <c r="W54" s="321" t="s">
        <v>69</v>
      </c>
      <c r="X54" s="321" t="s">
        <v>69</v>
      </c>
      <c r="Y54" s="321" t="s">
        <v>69</v>
      </c>
      <c r="Z54" s="321" t="s">
        <v>69</v>
      </c>
      <c r="AA54" s="333" t="s">
        <v>69</v>
      </c>
      <c r="AB54" s="321" t="s">
        <v>69</v>
      </c>
      <c r="AC54" s="321" t="s">
        <v>69</v>
      </c>
      <c r="AD54" s="333" t="s">
        <v>69</v>
      </c>
      <c r="AE54" s="323" t="s">
        <v>69</v>
      </c>
      <c r="AF54" s="323" t="s">
        <v>69</v>
      </c>
      <c r="AG54" s="323" t="s">
        <v>69</v>
      </c>
      <c r="AH54" s="323" t="s">
        <v>69</v>
      </c>
      <c r="AI54" s="323" t="s">
        <v>69</v>
      </c>
      <c r="AJ54" s="323" t="s">
        <v>69</v>
      </c>
      <c r="AK54" s="323" t="s">
        <v>69</v>
      </c>
      <c r="AL54" s="323" t="s">
        <v>69</v>
      </c>
      <c r="AM54" s="321">
        <v>2</v>
      </c>
      <c r="AN54" s="321" t="s">
        <v>69</v>
      </c>
      <c r="AO54" s="321">
        <v>2</v>
      </c>
      <c r="AP54" s="321" t="s">
        <v>69</v>
      </c>
      <c r="AQ54" s="333" t="s">
        <v>69</v>
      </c>
      <c r="AR54" s="333" t="s">
        <v>69</v>
      </c>
      <c r="AS54" s="321" t="s">
        <v>69</v>
      </c>
      <c r="AT54" s="321" t="s">
        <v>69</v>
      </c>
      <c r="AU54" s="321" t="s">
        <v>69</v>
      </c>
      <c r="AV54" s="321" t="s">
        <v>69</v>
      </c>
      <c r="AW54" s="321" t="s">
        <v>69</v>
      </c>
      <c r="AX54" s="321" t="s">
        <v>69</v>
      </c>
      <c r="AY54" s="321" t="s">
        <v>69</v>
      </c>
      <c r="AZ54" s="321" t="s">
        <v>69</v>
      </c>
      <c r="BA54" s="321" t="s">
        <v>69</v>
      </c>
      <c r="BB54" s="321" t="s">
        <v>69</v>
      </c>
      <c r="BC54" s="321" t="s">
        <v>69</v>
      </c>
      <c r="BD54" s="321" t="s">
        <v>69</v>
      </c>
      <c r="BE54" s="333" t="s">
        <v>69</v>
      </c>
      <c r="BF54" s="333" t="s">
        <v>69</v>
      </c>
      <c r="BG54" s="333" t="s">
        <v>69</v>
      </c>
      <c r="BH54" s="321" t="s">
        <v>69</v>
      </c>
      <c r="BI54" s="321" t="s">
        <v>69</v>
      </c>
      <c r="BJ54" s="333" t="s">
        <v>69</v>
      </c>
      <c r="BK54" s="333" t="s">
        <v>69</v>
      </c>
      <c r="BL54" s="333" t="s">
        <v>69</v>
      </c>
      <c r="BM54" s="321" t="s">
        <v>69</v>
      </c>
      <c r="BN54" s="321" t="s">
        <v>69</v>
      </c>
      <c r="BO54" s="333" t="s">
        <v>69</v>
      </c>
      <c r="BP54" s="321" t="s">
        <v>69</v>
      </c>
      <c r="BQ54" s="333" t="s">
        <v>69</v>
      </c>
      <c r="BR54" s="333" t="s">
        <v>69</v>
      </c>
      <c r="BS54" s="333" t="s">
        <v>69</v>
      </c>
      <c r="BT54" s="333" t="s">
        <v>69</v>
      </c>
      <c r="BU54" s="333" t="s">
        <v>69</v>
      </c>
      <c r="BV54" s="321" t="s">
        <v>69</v>
      </c>
      <c r="BW54" s="321" t="s">
        <v>69</v>
      </c>
      <c r="BX54" s="321"/>
      <c r="BY54" s="321" t="s">
        <v>69</v>
      </c>
      <c r="BZ54" s="333" t="s">
        <v>69</v>
      </c>
      <c r="CA54" s="333" t="s">
        <v>69</v>
      </c>
      <c r="CB54" s="333" t="s">
        <v>69</v>
      </c>
      <c r="CC54" s="333" t="s">
        <v>69</v>
      </c>
      <c r="CD54" s="333" t="s">
        <v>69</v>
      </c>
      <c r="CE54" s="321" t="s">
        <v>69</v>
      </c>
      <c r="CF54" s="333" t="s">
        <v>69</v>
      </c>
      <c r="CG54" s="333" t="s">
        <v>69</v>
      </c>
      <c r="CH54" s="333" t="s">
        <v>69</v>
      </c>
      <c r="CI54" s="333" t="s">
        <v>69</v>
      </c>
      <c r="CJ54" s="333" t="s">
        <v>69</v>
      </c>
      <c r="CK54" s="333" t="s">
        <v>69</v>
      </c>
      <c r="CL54" s="333" t="s">
        <v>69</v>
      </c>
      <c r="CM54" s="333" t="s">
        <v>69</v>
      </c>
      <c r="CN54" s="333" t="s">
        <v>69</v>
      </c>
      <c r="CO54" s="333" t="s">
        <v>69</v>
      </c>
      <c r="CP54" s="333" t="s">
        <v>69</v>
      </c>
      <c r="CQ54" s="333" t="s">
        <v>69</v>
      </c>
      <c r="CR54" s="333" t="s">
        <v>69</v>
      </c>
      <c r="CS54" s="333" t="s">
        <v>69</v>
      </c>
      <c r="CT54" s="333" t="s">
        <v>69</v>
      </c>
      <c r="CU54" s="333" t="s">
        <v>69</v>
      </c>
      <c r="CV54" s="333" t="s">
        <v>69</v>
      </c>
      <c r="CW54" s="333" t="s">
        <v>69</v>
      </c>
      <c r="CX54" s="333" t="s">
        <v>69</v>
      </c>
      <c r="CY54" s="333" t="s">
        <v>69</v>
      </c>
      <c r="CZ54" s="321" t="s">
        <v>69</v>
      </c>
      <c r="DA54" s="333">
        <v>4</v>
      </c>
      <c r="DB54" s="333" t="s">
        <v>69</v>
      </c>
      <c r="DC54" s="321">
        <v>4</v>
      </c>
      <c r="DD54" s="321" t="s">
        <v>69</v>
      </c>
      <c r="DE54" s="333" t="s">
        <v>69</v>
      </c>
      <c r="DF54" s="333" t="s">
        <v>69</v>
      </c>
      <c r="DG54" s="333" t="s">
        <v>69</v>
      </c>
      <c r="DH54" s="333" t="s">
        <v>69</v>
      </c>
      <c r="DI54" s="333" t="s">
        <v>69</v>
      </c>
      <c r="DJ54" s="321" t="s">
        <v>69</v>
      </c>
      <c r="DK54" s="333" t="s">
        <v>69</v>
      </c>
      <c r="DL54" s="333" t="s">
        <v>69</v>
      </c>
      <c r="DM54" s="333" t="s">
        <v>69</v>
      </c>
      <c r="DN54" s="333" t="s">
        <v>69</v>
      </c>
      <c r="DO54" s="333" t="s">
        <v>69</v>
      </c>
      <c r="DP54" s="333" t="s">
        <v>69</v>
      </c>
      <c r="DQ54" s="333" t="s">
        <v>69</v>
      </c>
      <c r="DR54" s="333" t="s">
        <v>69</v>
      </c>
      <c r="DS54" s="333" t="s">
        <v>69</v>
      </c>
      <c r="DT54" s="333" t="s">
        <v>69</v>
      </c>
      <c r="DU54" s="333" t="s">
        <v>69</v>
      </c>
      <c r="DV54" s="317">
        <f t="shared" si="1"/>
        <v>7.9365079365079361E-2</v>
      </c>
      <c r="DW54" s="356">
        <f t="shared" si="0"/>
        <v>0.4</v>
      </c>
      <c r="DX54" s="156" t="str">
        <f>VLOOKUP(B54,[1]Pointage!$A:$D,4,0)</f>
        <v>Mourad Saitali</v>
      </c>
    </row>
    <row r="55" spans="1:412" s="156" customFormat="1" ht="118.5" hidden="1" customHeight="1">
      <c r="A55" s="312">
        <v>39</v>
      </c>
      <c r="B55" s="318" t="s">
        <v>521</v>
      </c>
      <c r="C55" s="383" t="s">
        <v>1148</v>
      </c>
      <c r="D55" s="377">
        <v>45331</v>
      </c>
      <c r="E55" s="320" t="s">
        <v>217</v>
      </c>
      <c r="F55" s="381" t="s">
        <v>633</v>
      </c>
      <c r="G55" s="333" t="s">
        <v>69</v>
      </c>
      <c r="H55" s="333" t="s">
        <v>69</v>
      </c>
      <c r="I55" s="333">
        <v>4</v>
      </c>
      <c r="J55" s="321" t="s">
        <v>69</v>
      </c>
      <c r="K55" s="333" t="s">
        <v>69</v>
      </c>
      <c r="L55" s="321" t="s">
        <v>69</v>
      </c>
      <c r="M55" s="321" t="s">
        <v>69</v>
      </c>
      <c r="N55" s="321" t="s">
        <v>69</v>
      </c>
      <c r="O55" s="321" t="s">
        <v>69</v>
      </c>
      <c r="P55" s="321" t="s">
        <v>69</v>
      </c>
      <c r="Q55" s="321" t="s">
        <v>69</v>
      </c>
      <c r="R55" s="321">
        <v>2</v>
      </c>
      <c r="S55" s="321" t="s">
        <v>69</v>
      </c>
      <c r="T55" s="321" t="s">
        <v>69</v>
      </c>
      <c r="U55" s="321" t="s">
        <v>69</v>
      </c>
      <c r="V55" s="333" t="s">
        <v>69</v>
      </c>
      <c r="W55" s="321" t="s">
        <v>69</v>
      </c>
      <c r="X55" s="321" t="s">
        <v>69</v>
      </c>
      <c r="Y55" s="321" t="s">
        <v>69</v>
      </c>
      <c r="Z55" s="321" t="s">
        <v>69</v>
      </c>
      <c r="AA55" s="333" t="s">
        <v>69</v>
      </c>
      <c r="AB55" s="321">
        <v>2</v>
      </c>
      <c r="AC55" s="321" t="s">
        <v>69</v>
      </c>
      <c r="AD55" s="333" t="s">
        <v>69</v>
      </c>
      <c r="AE55" s="323" t="s">
        <v>69</v>
      </c>
      <c r="AF55" s="323" t="s">
        <v>69</v>
      </c>
      <c r="AG55" s="323">
        <v>4</v>
      </c>
      <c r="AH55" s="323" t="s">
        <v>69</v>
      </c>
      <c r="AI55" s="323">
        <v>4</v>
      </c>
      <c r="AJ55" s="323" t="s">
        <v>69</v>
      </c>
      <c r="AK55" s="333" t="s">
        <v>69</v>
      </c>
      <c r="AL55" s="333" t="s">
        <v>69</v>
      </c>
      <c r="AM55" s="321" t="s">
        <v>69</v>
      </c>
      <c r="AN55" s="321" t="s">
        <v>69</v>
      </c>
      <c r="AO55" s="321" t="s">
        <v>69</v>
      </c>
      <c r="AP55" s="321" t="s">
        <v>69</v>
      </c>
      <c r="AQ55" s="333" t="s">
        <v>69</v>
      </c>
      <c r="AR55" s="333" t="s">
        <v>69</v>
      </c>
      <c r="AS55" s="321" t="s">
        <v>69</v>
      </c>
      <c r="AT55" s="321" t="s">
        <v>69</v>
      </c>
      <c r="AU55" s="321" t="s">
        <v>69</v>
      </c>
      <c r="AV55" s="321" t="s">
        <v>69</v>
      </c>
      <c r="AW55" s="321" t="s">
        <v>69</v>
      </c>
      <c r="AX55" s="321" t="s">
        <v>69</v>
      </c>
      <c r="AY55" s="321" t="s">
        <v>69</v>
      </c>
      <c r="AZ55" s="321" t="s">
        <v>69</v>
      </c>
      <c r="BA55" s="321" t="s">
        <v>69</v>
      </c>
      <c r="BB55" s="321" t="s">
        <v>69</v>
      </c>
      <c r="BC55" s="321" t="s">
        <v>69</v>
      </c>
      <c r="BD55" s="321" t="s">
        <v>69</v>
      </c>
      <c r="BE55" s="333" t="s">
        <v>69</v>
      </c>
      <c r="BF55" s="333" t="s">
        <v>69</v>
      </c>
      <c r="BG55" s="333" t="s">
        <v>69</v>
      </c>
      <c r="BH55" s="321" t="s">
        <v>69</v>
      </c>
      <c r="BI55" s="321" t="s">
        <v>69</v>
      </c>
      <c r="BJ55" s="333">
        <v>4</v>
      </c>
      <c r="BK55" s="333" t="s">
        <v>69</v>
      </c>
      <c r="BL55" s="333" t="s">
        <v>69</v>
      </c>
      <c r="BM55" s="321" t="s">
        <v>69</v>
      </c>
      <c r="BN55" s="321" t="s">
        <v>69</v>
      </c>
      <c r="BO55" s="333">
        <v>4</v>
      </c>
      <c r="BP55" s="321" t="s">
        <v>69</v>
      </c>
      <c r="BQ55" s="333" t="s">
        <v>69</v>
      </c>
      <c r="BR55" s="333" t="s">
        <v>69</v>
      </c>
      <c r="BS55" s="333" t="s">
        <v>69</v>
      </c>
      <c r="BT55" s="333" t="s">
        <v>69</v>
      </c>
      <c r="BU55" s="333" t="s">
        <v>69</v>
      </c>
      <c r="BV55" s="321" t="s">
        <v>69</v>
      </c>
      <c r="BW55" s="321" t="s">
        <v>69</v>
      </c>
      <c r="BX55" s="321"/>
      <c r="BY55" s="321" t="s">
        <v>69</v>
      </c>
      <c r="BZ55" s="333" t="s">
        <v>69</v>
      </c>
      <c r="CA55" s="333">
        <v>2</v>
      </c>
      <c r="CB55" s="333" t="s">
        <v>69</v>
      </c>
      <c r="CC55" s="333" t="s">
        <v>69</v>
      </c>
      <c r="CD55" s="333" t="s">
        <v>69</v>
      </c>
      <c r="CE55" s="321" t="s">
        <v>69</v>
      </c>
      <c r="CF55" s="333" t="s">
        <v>69</v>
      </c>
      <c r="CG55" s="333">
        <v>2</v>
      </c>
      <c r="CH55" s="333" t="s">
        <v>69</v>
      </c>
      <c r="CI55" s="333" t="s">
        <v>69</v>
      </c>
      <c r="CJ55" s="333" t="s">
        <v>69</v>
      </c>
      <c r="CK55" s="333" t="s">
        <v>69</v>
      </c>
      <c r="CL55" s="333" t="s">
        <v>69</v>
      </c>
      <c r="CM55" s="333" t="s">
        <v>69</v>
      </c>
      <c r="CN55" s="333">
        <v>2</v>
      </c>
      <c r="CO55" s="333">
        <v>3</v>
      </c>
      <c r="CP55" s="333">
        <v>3</v>
      </c>
      <c r="CQ55" s="333" t="s">
        <v>69</v>
      </c>
      <c r="CR55" s="333">
        <v>2</v>
      </c>
      <c r="CS55" s="333">
        <v>3</v>
      </c>
      <c r="CT55" s="333">
        <v>3</v>
      </c>
      <c r="CU55" s="333" t="s">
        <v>69</v>
      </c>
      <c r="CV55" s="333">
        <v>2</v>
      </c>
      <c r="CW55" s="333" t="s">
        <v>69</v>
      </c>
      <c r="CX55" s="333">
        <v>3</v>
      </c>
      <c r="CY55" s="333" t="s">
        <v>69</v>
      </c>
      <c r="CZ55" s="321" t="s">
        <v>69</v>
      </c>
      <c r="DA55" s="333">
        <v>4</v>
      </c>
      <c r="DB55" s="333" t="s">
        <v>69</v>
      </c>
      <c r="DC55" s="321">
        <v>4</v>
      </c>
      <c r="DD55" s="321" t="s">
        <v>69</v>
      </c>
      <c r="DE55" s="333" t="s">
        <v>69</v>
      </c>
      <c r="DF55" s="333" t="s">
        <v>69</v>
      </c>
      <c r="DG55" s="333" t="s">
        <v>69</v>
      </c>
      <c r="DH55" s="333" t="s">
        <v>69</v>
      </c>
      <c r="DI55" s="333" t="s">
        <v>69</v>
      </c>
      <c r="DJ55" s="321" t="s">
        <v>69</v>
      </c>
      <c r="DK55" s="333" t="s">
        <v>69</v>
      </c>
      <c r="DL55" s="333" t="s">
        <v>69</v>
      </c>
      <c r="DM55" s="333" t="s">
        <v>69</v>
      </c>
      <c r="DN55" s="333" t="s">
        <v>69</v>
      </c>
      <c r="DO55" s="333" t="s">
        <v>69</v>
      </c>
      <c r="DP55" s="333" t="s">
        <v>69</v>
      </c>
      <c r="DQ55" s="333" t="s">
        <v>69</v>
      </c>
      <c r="DR55" s="333" t="s">
        <v>69</v>
      </c>
      <c r="DS55" s="333" t="s">
        <v>69</v>
      </c>
      <c r="DT55" s="333" t="s">
        <v>69</v>
      </c>
      <c r="DU55" s="333" t="s">
        <v>69</v>
      </c>
      <c r="DV55" s="317">
        <f t="shared" si="1"/>
        <v>0.30158730158730157</v>
      </c>
      <c r="DW55" s="356">
        <f t="shared" si="0"/>
        <v>0.63157894736842102</v>
      </c>
      <c r="DX55" s="156" t="str">
        <f>VLOOKUP(B55,[1]Pointage!$A:$D,4,0)</f>
        <v>Mourad Saitali</v>
      </c>
    </row>
    <row r="56" spans="1:412" s="156" customFormat="1" ht="118.5" hidden="1" customHeight="1">
      <c r="A56" s="312">
        <v>40</v>
      </c>
      <c r="B56" s="357" t="s">
        <v>1102</v>
      </c>
      <c r="C56" s="383" t="s">
        <v>1147</v>
      </c>
      <c r="D56" s="377">
        <v>45331</v>
      </c>
      <c r="E56" s="320" t="s">
        <v>214</v>
      </c>
      <c r="F56" s="381" t="s">
        <v>633</v>
      </c>
      <c r="G56" s="333">
        <v>4</v>
      </c>
      <c r="H56" s="333" t="s">
        <v>69</v>
      </c>
      <c r="I56" s="333">
        <v>3</v>
      </c>
      <c r="J56" s="321">
        <v>3</v>
      </c>
      <c r="K56" s="333" t="s">
        <v>69</v>
      </c>
      <c r="L56" s="321">
        <v>2</v>
      </c>
      <c r="M56" s="321" t="s">
        <v>69</v>
      </c>
      <c r="N56" s="321" t="s">
        <v>69</v>
      </c>
      <c r="O56" s="321" t="s">
        <v>69</v>
      </c>
      <c r="P56" s="321">
        <v>3</v>
      </c>
      <c r="Q56" s="321" t="s">
        <v>69</v>
      </c>
      <c r="R56" s="321" t="s">
        <v>69</v>
      </c>
      <c r="S56" s="321" t="s">
        <v>69</v>
      </c>
      <c r="T56" s="321" t="s">
        <v>69</v>
      </c>
      <c r="U56" s="321" t="s">
        <v>69</v>
      </c>
      <c r="V56" s="321" t="s">
        <v>69</v>
      </c>
      <c r="W56" s="321" t="s">
        <v>69</v>
      </c>
      <c r="X56" s="321" t="s">
        <v>69</v>
      </c>
      <c r="Y56" s="321" t="s">
        <v>69</v>
      </c>
      <c r="Z56" s="321" t="s">
        <v>69</v>
      </c>
      <c r="AA56" s="333" t="s">
        <v>69</v>
      </c>
      <c r="AB56" s="321" t="s">
        <v>69</v>
      </c>
      <c r="AC56" s="321" t="s">
        <v>69</v>
      </c>
      <c r="AD56" s="333" t="s">
        <v>69</v>
      </c>
      <c r="AE56" s="323" t="s">
        <v>69</v>
      </c>
      <c r="AF56" s="323" t="s">
        <v>69</v>
      </c>
      <c r="AG56" s="323" t="s">
        <v>69</v>
      </c>
      <c r="AH56" s="323" t="s">
        <v>69</v>
      </c>
      <c r="AI56" s="323" t="s">
        <v>69</v>
      </c>
      <c r="AJ56" s="323" t="s">
        <v>69</v>
      </c>
      <c r="AK56" s="333" t="s">
        <v>69</v>
      </c>
      <c r="AL56" s="333" t="s">
        <v>69</v>
      </c>
      <c r="AM56" s="321" t="s">
        <v>69</v>
      </c>
      <c r="AN56" s="321" t="s">
        <v>69</v>
      </c>
      <c r="AO56" s="321" t="s">
        <v>69</v>
      </c>
      <c r="AP56" s="321" t="s">
        <v>69</v>
      </c>
      <c r="AQ56" s="333" t="s">
        <v>69</v>
      </c>
      <c r="AR56" s="333" t="s">
        <v>69</v>
      </c>
      <c r="AS56" s="321">
        <v>4</v>
      </c>
      <c r="AT56" s="321" t="s">
        <v>69</v>
      </c>
      <c r="AU56" s="321" t="s">
        <v>69</v>
      </c>
      <c r="AV56" s="321">
        <v>3</v>
      </c>
      <c r="AW56" s="321" t="s">
        <v>69</v>
      </c>
      <c r="AX56" s="321" t="s">
        <v>69</v>
      </c>
      <c r="AY56" s="321">
        <v>4</v>
      </c>
      <c r="AZ56" s="321" t="s">
        <v>69</v>
      </c>
      <c r="BA56" s="321" t="s">
        <v>69</v>
      </c>
      <c r="BB56" s="321" t="s">
        <v>69</v>
      </c>
      <c r="BC56" s="321" t="s">
        <v>69</v>
      </c>
      <c r="BD56" s="321" t="s">
        <v>69</v>
      </c>
      <c r="BE56" s="321">
        <v>2</v>
      </c>
      <c r="BF56" s="321">
        <v>4</v>
      </c>
      <c r="BG56" s="333" t="s">
        <v>69</v>
      </c>
      <c r="BH56" s="321" t="s">
        <v>69</v>
      </c>
      <c r="BI56" s="321" t="s">
        <v>69</v>
      </c>
      <c r="BJ56" s="333" t="s">
        <v>69</v>
      </c>
      <c r="BK56" s="333" t="s">
        <v>69</v>
      </c>
      <c r="BL56" s="333" t="s">
        <v>69</v>
      </c>
      <c r="BM56" s="321" t="s">
        <v>69</v>
      </c>
      <c r="BN56" s="321" t="s">
        <v>69</v>
      </c>
      <c r="BO56" s="333" t="s">
        <v>69</v>
      </c>
      <c r="BP56" s="321" t="s">
        <v>69</v>
      </c>
      <c r="BQ56" s="333" t="s">
        <v>69</v>
      </c>
      <c r="BR56" s="333" t="s">
        <v>69</v>
      </c>
      <c r="BS56" s="333">
        <v>4</v>
      </c>
      <c r="BT56" s="333" t="s">
        <v>69</v>
      </c>
      <c r="BU56" s="333" t="s">
        <v>69</v>
      </c>
      <c r="BV56" s="321" t="s">
        <v>69</v>
      </c>
      <c r="BW56" s="321" t="s">
        <v>69</v>
      </c>
      <c r="BX56" s="321"/>
      <c r="BY56" s="321" t="s">
        <v>69</v>
      </c>
      <c r="BZ56" s="333" t="s">
        <v>69</v>
      </c>
      <c r="CA56" s="333" t="s">
        <v>69</v>
      </c>
      <c r="CB56" s="333" t="s">
        <v>69</v>
      </c>
      <c r="CC56" s="333" t="s">
        <v>69</v>
      </c>
      <c r="CD56" s="333" t="s">
        <v>69</v>
      </c>
      <c r="CE56" s="321" t="s">
        <v>69</v>
      </c>
      <c r="CF56" s="333" t="s">
        <v>69</v>
      </c>
      <c r="CG56" s="333">
        <v>1</v>
      </c>
      <c r="CH56" s="333" t="s">
        <v>69</v>
      </c>
      <c r="CI56" s="333" t="s">
        <v>69</v>
      </c>
      <c r="CJ56" s="333" t="s">
        <v>69</v>
      </c>
      <c r="CK56" s="333" t="s">
        <v>69</v>
      </c>
      <c r="CL56" s="333" t="s">
        <v>69</v>
      </c>
      <c r="CM56" s="333">
        <v>2</v>
      </c>
      <c r="CN56" s="333">
        <v>2</v>
      </c>
      <c r="CO56" s="333">
        <v>2</v>
      </c>
      <c r="CP56" s="333">
        <v>3</v>
      </c>
      <c r="CQ56" s="333" t="s">
        <v>69</v>
      </c>
      <c r="CR56" s="333">
        <v>2</v>
      </c>
      <c r="CS56" s="333">
        <v>2</v>
      </c>
      <c r="CT56" s="333">
        <v>3</v>
      </c>
      <c r="CU56" s="333" t="s">
        <v>69</v>
      </c>
      <c r="CV56" s="333" t="s">
        <v>69</v>
      </c>
      <c r="CW56" s="333" t="s">
        <v>69</v>
      </c>
      <c r="CX56" s="333" t="s">
        <v>69</v>
      </c>
      <c r="CY56" s="333" t="s">
        <v>69</v>
      </c>
      <c r="CZ56" s="321" t="s">
        <v>69</v>
      </c>
      <c r="DA56" s="333" t="s">
        <v>69</v>
      </c>
      <c r="DB56" s="333" t="s">
        <v>69</v>
      </c>
      <c r="DC56" s="321">
        <v>2</v>
      </c>
      <c r="DD56" s="321" t="s">
        <v>69</v>
      </c>
      <c r="DE56" s="333">
        <v>4</v>
      </c>
      <c r="DF56" s="333" t="s">
        <v>69</v>
      </c>
      <c r="DG56" s="333" t="s">
        <v>69</v>
      </c>
      <c r="DH56" s="333" t="s">
        <v>69</v>
      </c>
      <c r="DI56" s="333" t="s">
        <v>69</v>
      </c>
      <c r="DJ56" s="321" t="s">
        <v>69</v>
      </c>
      <c r="DK56" s="333" t="s">
        <v>69</v>
      </c>
      <c r="DL56" s="333" t="s">
        <v>69</v>
      </c>
      <c r="DM56" s="333" t="s">
        <v>69</v>
      </c>
      <c r="DN56" s="333" t="s">
        <v>69</v>
      </c>
      <c r="DO56" s="333" t="s">
        <v>69</v>
      </c>
      <c r="DP56" s="333" t="s">
        <v>69</v>
      </c>
      <c r="DQ56" s="333" t="s">
        <v>69</v>
      </c>
      <c r="DR56" s="333" t="s">
        <v>69</v>
      </c>
      <c r="DS56" s="333" t="s">
        <v>69</v>
      </c>
      <c r="DT56" s="333" t="s">
        <v>69</v>
      </c>
      <c r="DU56" s="333" t="s">
        <v>69</v>
      </c>
      <c r="DV56" s="317">
        <f t="shared" si="1"/>
        <v>0.33333333333333331</v>
      </c>
      <c r="DW56" s="356">
        <f t="shared" si="0"/>
        <v>0.6</v>
      </c>
      <c r="DX56" s="156" t="str">
        <f>VLOOKUP(B56,[1]Pointage!$A:$D,4,0)</f>
        <v>Mourad Saitali</v>
      </c>
    </row>
    <row r="57" spans="1:412" s="156" customFormat="1" ht="118.5" hidden="1" customHeight="1">
      <c r="A57" s="312">
        <v>41</v>
      </c>
      <c r="B57" s="318" t="s">
        <v>608</v>
      </c>
      <c r="C57" s="383" t="s">
        <v>1146</v>
      </c>
      <c r="D57" s="376">
        <v>45225</v>
      </c>
      <c r="E57" s="320" t="s">
        <v>216</v>
      </c>
      <c r="F57" s="381" t="s">
        <v>633</v>
      </c>
      <c r="G57" s="321" t="s">
        <v>69</v>
      </c>
      <c r="H57" s="321" t="s">
        <v>69</v>
      </c>
      <c r="I57" s="333">
        <v>4</v>
      </c>
      <c r="J57" s="321" t="s">
        <v>69</v>
      </c>
      <c r="K57" s="321" t="s">
        <v>69</v>
      </c>
      <c r="L57" s="321" t="s">
        <v>69</v>
      </c>
      <c r="M57" s="321" t="s">
        <v>69</v>
      </c>
      <c r="N57" s="321" t="s">
        <v>69</v>
      </c>
      <c r="O57" s="321" t="s">
        <v>69</v>
      </c>
      <c r="P57" s="321" t="s">
        <v>69</v>
      </c>
      <c r="Q57" s="321" t="s">
        <v>69</v>
      </c>
      <c r="R57" s="321">
        <v>4</v>
      </c>
      <c r="S57" s="321" t="s">
        <v>69</v>
      </c>
      <c r="T57" s="321" t="s">
        <v>69</v>
      </c>
      <c r="U57" s="321" t="s">
        <v>69</v>
      </c>
      <c r="V57" s="321" t="s">
        <v>69</v>
      </c>
      <c r="W57" s="321">
        <v>4</v>
      </c>
      <c r="X57" s="321" t="s">
        <v>69</v>
      </c>
      <c r="Y57" s="321" t="s">
        <v>69</v>
      </c>
      <c r="Z57" s="321" t="s">
        <v>69</v>
      </c>
      <c r="AA57" s="321" t="s">
        <v>69</v>
      </c>
      <c r="AB57" s="321">
        <v>4</v>
      </c>
      <c r="AC57" s="321" t="s">
        <v>69</v>
      </c>
      <c r="AD57" s="321" t="s">
        <v>69</v>
      </c>
      <c r="AE57" s="321">
        <v>4</v>
      </c>
      <c r="AF57" s="321" t="s">
        <v>69</v>
      </c>
      <c r="AG57" s="321" t="s">
        <v>69</v>
      </c>
      <c r="AH57" s="321" t="s">
        <v>69</v>
      </c>
      <c r="AI57" s="321">
        <v>3</v>
      </c>
      <c r="AJ57" s="321" t="s">
        <v>69</v>
      </c>
      <c r="AK57" s="321" t="s">
        <v>69</v>
      </c>
      <c r="AL57" s="321" t="s">
        <v>69</v>
      </c>
      <c r="AM57" s="321" t="s">
        <v>69</v>
      </c>
      <c r="AN57" s="321" t="s">
        <v>69</v>
      </c>
      <c r="AO57" s="321" t="s">
        <v>69</v>
      </c>
      <c r="AP57" s="321" t="s">
        <v>69</v>
      </c>
      <c r="AQ57" s="321" t="s">
        <v>69</v>
      </c>
      <c r="AR57" s="321" t="s">
        <v>69</v>
      </c>
      <c r="AS57" s="321" t="s">
        <v>69</v>
      </c>
      <c r="AT57" s="321" t="s">
        <v>69</v>
      </c>
      <c r="AU57" s="321" t="s">
        <v>69</v>
      </c>
      <c r="AV57" s="321" t="s">
        <v>69</v>
      </c>
      <c r="AW57" s="321" t="s">
        <v>69</v>
      </c>
      <c r="AX57" s="321" t="s">
        <v>69</v>
      </c>
      <c r="AY57" s="321" t="s">
        <v>69</v>
      </c>
      <c r="AZ57" s="321" t="s">
        <v>69</v>
      </c>
      <c r="BA57" s="321" t="s">
        <v>69</v>
      </c>
      <c r="BB57" s="321">
        <v>4</v>
      </c>
      <c r="BC57" s="321" t="s">
        <v>69</v>
      </c>
      <c r="BD57" s="321" t="s">
        <v>69</v>
      </c>
      <c r="BE57" s="321" t="s">
        <v>69</v>
      </c>
      <c r="BF57" s="321" t="s">
        <v>69</v>
      </c>
      <c r="BG57" s="321" t="s">
        <v>69</v>
      </c>
      <c r="BH57" s="321" t="s">
        <v>69</v>
      </c>
      <c r="BI57" s="321" t="s">
        <v>69</v>
      </c>
      <c r="BJ57" s="321" t="s">
        <v>69</v>
      </c>
      <c r="BK57" s="321" t="s">
        <v>69</v>
      </c>
      <c r="BL57" s="321" t="s">
        <v>69</v>
      </c>
      <c r="BM57" s="321" t="s">
        <v>69</v>
      </c>
      <c r="BN57" s="321" t="s">
        <v>69</v>
      </c>
      <c r="BO57" s="321" t="s">
        <v>69</v>
      </c>
      <c r="BP57" s="321" t="s">
        <v>69</v>
      </c>
      <c r="BQ57" s="321" t="s">
        <v>69</v>
      </c>
      <c r="BR57" s="321" t="s">
        <v>69</v>
      </c>
      <c r="BS57" s="321" t="s">
        <v>69</v>
      </c>
      <c r="BT57" s="321" t="s">
        <v>69</v>
      </c>
      <c r="BU57" s="321">
        <v>4</v>
      </c>
      <c r="BV57" s="321" t="s">
        <v>69</v>
      </c>
      <c r="BW57" s="321" t="s">
        <v>69</v>
      </c>
      <c r="BX57" s="321" t="s">
        <v>69</v>
      </c>
      <c r="BY57" s="321" t="s">
        <v>69</v>
      </c>
      <c r="BZ57" s="321" t="s">
        <v>69</v>
      </c>
      <c r="CA57" s="321" t="s">
        <v>69</v>
      </c>
      <c r="CB57" s="321" t="s">
        <v>69</v>
      </c>
      <c r="CC57" s="321" t="s">
        <v>69</v>
      </c>
      <c r="CD57" s="321" t="s">
        <v>69</v>
      </c>
      <c r="CE57" s="321" t="s">
        <v>69</v>
      </c>
      <c r="CF57" s="321" t="s">
        <v>69</v>
      </c>
      <c r="CG57" s="321">
        <v>4</v>
      </c>
      <c r="CH57" s="321" t="s">
        <v>69</v>
      </c>
      <c r="CI57" s="321" t="s">
        <v>69</v>
      </c>
      <c r="CJ57" s="321" t="s">
        <v>69</v>
      </c>
      <c r="CK57" s="321" t="s">
        <v>69</v>
      </c>
      <c r="CL57" s="321" t="s">
        <v>69</v>
      </c>
      <c r="CM57" s="321" t="s">
        <v>69</v>
      </c>
      <c r="CN57" s="321" t="s">
        <v>69</v>
      </c>
      <c r="CO57" s="321" t="s">
        <v>69</v>
      </c>
      <c r="CP57" s="321">
        <v>4</v>
      </c>
      <c r="CQ57" s="321" t="s">
        <v>69</v>
      </c>
      <c r="CR57" s="321" t="s">
        <v>69</v>
      </c>
      <c r="CS57" s="321" t="s">
        <v>69</v>
      </c>
      <c r="CT57" s="321">
        <v>4</v>
      </c>
      <c r="CU57" s="321" t="s">
        <v>69</v>
      </c>
      <c r="CV57" s="321">
        <v>4</v>
      </c>
      <c r="CW57" s="321" t="s">
        <v>69</v>
      </c>
      <c r="CX57" s="321">
        <v>4</v>
      </c>
      <c r="CY57" s="321" t="s">
        <v>69</v>
      </c>
      <c r="CZ57" s="321" t="s">
        <v>69</v>
      </c>
      <c r="DA57" s="321">
        <v>4</v>
      </c>
      <c r="DB57" s="321">
        <v>4</v>
      </c>
      <c r="DC57" s="321">
        <v>4</v>
      </c>
      <c r="DD57" s="321">
        <v>4</v>
      </c>
      <c r="DE57" s="321">
        <v>4</v>
      </c>
      <c r="DF57" s="321">
        <v>4</v>
      </c>
      <c r="DG57" s="321">
        <v>4</v>
      </c>
      <c r="DH57" s="321">
        <v>4</v>
      </c>
      <c r="DI57" s="321" t="s">
        <v>69</v>
      </c>
      <c r="DJ57" s="321">
        <v>4</v>
      </c>
      <c r="DK57" s="321">
        <v>4</v>
      </c>
      <c r="DL57" s="321" t="s">
        <v>69</v>
      </c>
      <c r="DM57" s="321" t="s">
        <v>69</v>
      </c>
      <c r="DN57" s="321" t="s">
        <v>69</v>
      </c>
      <c r="DO57" s="321" t="s">
        <v>69</v>
      </c>
      <c r="DP57" s="321" t="s">
        <v>69</v>
      </c>
      <c r="DQ57" s="321" t="s">
        <v>69</v>
      </c>
      <c r="DR57" s="321" t="s">
        <v>69</v>
      </c>
      <c r="DS57" s="321" t="s">
        <v>69</v>
      </c>
      <c r="DT57" s="321" t="s">
        <v>69</v>
      </c>
      <c r="DU57" s="321">
        <v>4</v>
      </c>
      <c r="DV57" s="317">
        <f t="shared" si="1"/>
        <v>0.38095238095238093</v>
      </c>
      <c r="DW57" s="356">
        <f t="shared" si="0"/>
        <v>1</v>
      </c>
      <c r="DX57" s="156" t="str">
        <f>VLOOKUP(B57,[1]Pointage!$A:$D,4,0)</f>
        <v>Mourad Saitali</v>
      </c>
    </row>
    <row r="58" spans="1:412" s="301" customFormat="1" ht="118.5" hidden="1" customHeight="1">
      <c r="A58" s="312">
        <v>42</v>
      </c>
      <c r="B58" s="318" t="s">
        <v>651</v>
      </c>
      <c r="C58" s="383" t="s">
        <v>1145</v>
      </c>
      <c r="D58" s="376">
        <v>45628</v>
      </c>
      <c r="E58" s="320" t="s">
        <v>217</v>
      </c>
      <c r="F58" s="381" t="s">
        <v>633</v>
      </c>
      <c r="G58" s="351">
        <v>4</v>
      </c>
      <c r="H58" s="321" t="s">
        <v>69</v>
      </c>
      <c r="I58" s="351">
        <v>4</v>
      </c>
      <c r="J58" s="321">
        <v>4</v>
      </c>
      <c r="K58" s="321" t="s">
        <v>69</v>
      </c>
      <c r="L58" s="321" t="s">
        <v>69</v>
      </c>
      <c r="M58" s="321" t="s">
        <v>69</v>
      </c>
      <c r="N58" s="321" t="s">
        <v>69</v>
      </c>
      <c r="O58" s="321" t="s">
        <v>69</v>
      </c>
      <c r="P58" s="351">
        <v>4</v>
      </c>
      <c r="Q58" s="321" t="s">
        <v>69</v>
      </c>
      <c r="R58" s="321" t="s">
        <v>69</v>
      </c>
      <c r="S58" s="321" t="s">
        <v>69</v>
      </c>
      <c r="T58" s="321" t="s">
        <v>69</v>
      </c>
      <c r="U58" s="321" t="s">
        <v>69</v>
      </c>
      <c r="V58" s="321" t="s">
        <v>69</v>
      </c>
      <c r="W58" s="321" t="s">
        <v>69</v>
      </c>
      <c r="X58" s="321" t="s">
        <v>69</v>
      </c>
      <c r="Y58" s="321" t="s">
        <v>69</v>
      </c>
      <c r="Z58" s="321" t="s">
        <v>69</v>
      </c>
      <c r="AA58" s="321" t="s">
        <v>69</v>
      </c>
      <c r="AB58" s="321" t="s">
        <v>69</v>
      </c>
      <c r="AC58" s="321" t="s">
        <v>69</v>
      </c>
      <c r="AD58" s="321" t="s">
        <v>69</v>
      </c>
      <c r="AE58" s="321" t="s">
        <v>69</v>
      </c>
      <c r="AF58" s="321" t="s">
        <v>69</v>
      </c>
      <c r="AG58" s="321" t="s">
        <v>69</v>
      </c>
      <c r="AH58" s="321" t="s">
        <v>69</v>
      </c>
      <c r="AI58" s="321" t="s">
        <v>69</v>
      </c>
      <c r="AJ58" s="321" t="s">
        <v>69</v>
      </c>
      <c r="AK58" s="321" t="s">
        <v>69</v>
      </c>
      <c r="AL58" s="321" t="s">
        <v>69</v>
      </c>
      <c r="AM58" s="321" t="s">
        <v>69</v>
      </c>
      <c r="AN58" s="321" t="s">
        <v>69</v>
      </c>
      <c r="AO58" s="321" t="s">
        <v>69</v>
      </c>
      <c r="AP58" s="321" t="s">
        <v>69</v>
      </c>
      <c r="AQ58" s="321" t="s">
        <v>69</v>
      </c>
      <c r="AR58" s="321" t="s">
        <v>69</v>
      </c>
      <c r="AS58" s="321">
        <v>3</v>
      </c>
      <c r="AT58" s="321">
        <v>3</v>
      </c>
      <c r="AU58" s="321" t="s">
        <v>69</v>
      </c>
      <c r="AV58" s="321">
        <v>2</v>
      </c>
      <c r="AW58" s="321">
        <v>2</v>
      </c>
      <c r="AX58" s="321" t="s">
        <v>69</v>
      </c>
      <c r="AY58" s="321">
        <v>3</v>
      </c>
      <c r="AZ58" s="321">
        <v>2</v>
      </c>
      <c r="BA58" s="321" t="s">
        <v>69</v>
      </c>
      <c r="BB58" s="321" t="s">
        <v>69</v>
      </c>
      <c r="BC58" s="321" t="s">
        <v>69</v>
      </c>
      <c r="BD58" s="321" t="s">
        <v>69</v>
      </c>
      <c r="BE58" s="321">
        <v>3</v>
      </c>
      <c r="BF58" s="321">
        <v>3</v>
      </c>
      <c r="BG58" s="321" t="s">
        <v>69</v>
      </c>
      <c r="BH58" s="321" t="s">
        <v>69</v>
      </c>
      <c r="BI58" s="321" t="s">
        <v>69</v>
      </c>
      <c r="BJ58" s="321" t="s">
        <v>69</v>
      </c>
      <c r="BK58" s="321" t="s">
        <v>69</v>
      </c>
      <c r="BL58" s="321" t="s">
        <v>69</v>
      </c>
      <c r="BM58" s="321" t="s">
        <v>69</v>
      </c>
      <c r="BN58" s="321" t="s">
        <v>69</v>
      </c>
      <c r="BO58" s="321" t="s">
        <v>69</v>
      </c>
      <c r="BP58" s="321" t="s">
        <v>69</v>
      </c>
      <c r="BQ58" s="321" t="s">
        <v>69</v>
      </c>
      <c r="BR58" s="321" t="s">
        <v>69</v>
      </c>
      <c r="BS58" s="321">
        <v>3</v>
      </c>
      <c r="BT58" s="321" t="s">
        <v>69</v>
      </c>
      <c r="BU58" s="321" t="s">
        <v>69</v>
      </c>
      <c r="BV58" s="321" t="s">
        <v>69</v>
      </c>
      <c r="BW58" s="321" t="s">
        <v>69</v>
      </c>
      <c r="BX58" s="321" t="s">
        <v>69</v>
      </c>
      <c r="BY58" s="321" t="s">
        <v>69</v>
      </c>
      <c r="BZ58" s="321" t="s">
        <v>69</v>
      </c>
      <c r="CA58" s="321" t="s">
        <v>69</v>
      </c>
      <c r="CB58" s="321" t="s">
        <v>69</v>
      </c>
      <c r="CC58" s="321" t="s">
        <v>69</v>
      </c>
      <c r="CD58" s="321" t="s">
        <v>69</v>
      </c>
      <c r="CE58" s="321" t="s">
        <v>69</v>
      </c>
      <c r="CF58" s="321" t="s">
        <v>69</v>
      </c>
      <c r="CG58" s="321" t="s">
        <v>69</v>
      </c>
      <c r="CH58" s="321" t="s">
        <v>69</v>
      </c>
      <c r="CI58" s="321" t="s">
        <v>69</v>
      </c>
      <c r="CJ58" s="321" t="s">
        <v>69</v>
      </c>
      <c r="CK58" s="321">
        <v>2</v>
      </c>
      <c r="CL58" s="321" t="s">
        <v>69</v>
      </c>
      <c r="CM58" s="321" t="s">
        <v>69</v>
      </c>
      <c r="CN58" s="321" t="s">
        <v>69</v>
      </c>
      <c r="CO58" s="321" t="s">
        <v>69</v>
      </c>
      <c r="CP58" s="321" t="s">
        <v>69</v>
      </c>
      <c r="CQ58" s="321" t="s">
        <v>69</v>
      </c>
      <c r="CR58" s="321" t="s">
        <v>69</v>
      </c>
      <c r="CS58" s="321" t="s">
        <v>69</v>
      </c>
      <c r="CT58" s="321" t="s">
        <v>69</v>
      </c>
      <c r="CU58" s="321" t="s">
        <v>69</v>
      </c>
      <c r="CV58" s="321" t="s">
        <v>69</v>
      </c>
      <c r="CW58" s="321" t="s">
        <v>69</v>
      </c>
      <c r="CX58" s="321" t="s">
        <v>69</v>
      </c>
      <c r="CY58" s="321" t="s">
        <v>69</v>
      </c>
      <c r="CZ58" s="321" t="s">
        <v>69</v>
      </c>
      <c r="DA58" s="321" t="s">
        <v>69</v>
      </c>
      <c r="DB58" s="321" t="s">
        <v>69</v>
      </c>
      <c r="DC58" s="321" t="s">
        <v>69</v>
      </c>
      <c r="DD58" s="321" t="s">
        <v>69</v>
      </c>
      <c r="DE58" s="321" t="s">
        <v>69</v>
      </c>
      <c r="DF58" s="321" t="s">
        <v>69</v>
      </c>
      <c r="DG58" s="321" t="s">
        <v>69</v>
      </c>
      <c r="DH58" s="321" t="s">
        <v>69</v>
      </c>
      <c r="DI58" s="321" t="s">
        <v>69</v>
      </c>
      <c r="DJ58" s="321" t="s">
        <v>69</v>
      </c>
      <c r="DK58" s="321" t="s">
        <v>69</v>
      </c>
      <c r="DL58" s="321">
        <v>3</v>
      </c>
      <c r="DM58" s="321">
        <v>3</v>
      </c>
      <c r="DN58" s="321" t="s">
        <v>69</v>
      </c>
      <c r="DO58" s="321" t="s">
        <v>69</v>
      </c>
      <c r="DP58" s="321" t="s">
        <v>69</v>
      </c>
      <c r="DQ58" s="321" t="s">
        <v>69</v>
      </c>
      <c r="DR58" s="321" t="s">
        <v>69</v>
      </c>
      <c r="DS58" s="321" t="s">
        <v>69</v>
      </c>
      <c r="DT58" s="321" t="s">
        <v>69</v>
      </c>
      <c r="DU58" s="321" t="s">
        <v>69</v>
      </c>
      <c r="DV58" s="317">
        <f t="shared" si="1"/>
        <v>0.25396825396825395</v>
      </c>
      <c r="DW58" s="356">
        <f t="shared" si="0"/>
        <v>0.75</v>
      </c>
      <c r="DX58" s="156" t="e">
        <f>VLOOKUP(B58,[1]Pointage!$A:$D,4,0)</f>
        <v>#N/A</v>
      </c>
      <c r="DY58" s="156"/>
      <c r="DZ58" s="156"/>
      <c r="EA58" s="156"/>
      <c r="EB58" s="156"/>
      <c r="EC58" s="156"/>
      <c r="ED58" s="156"/>
      <c r="EE58" s="156"/>
      <c r="EF58" s="156"/>
      <c r="EG58" s="156"/>
      <c r="EH58" s="156"/>
      <c r="EI58" s="156"/>
      <c r="EJ58" s="156"/>
      <c r="EK58" s="156"/>
      <c r="EL58" s="156"/>
      <c r="EM58" s="156"/>
      <c r="EN58" s="156"/>
      <c r="EO58" s="156"/>
      <c r="EP58" s="156"/>
      <c r="EQ58" s="156"/>
      <c r="ER58" s="156"/>
      <c r="ES58" s="156"/>
      <c r="ET58" s="156"/>
      <c r="EU58" s="156"/>
      <c r="EV58" s="156"/>
      <c r="EW58" s="156"/>
      <c r="EX58" s="156"/>
      <c r="EY58" s="156"/>
      <c r="EZ58" s="156"/>
      <c r="FA58" s="156"/>
      <c r="FB58" s="156"/>
      <c r="FC58" s="156"/>
      <c r="FD58" s="156"/>
      <c r="FE58" s="156"/>
      <c r="FF58" s="156"/>
      <c r="FG58" s="156"/>
      <c r="FH58" s="156"/>
      <c r="FI58" s="156"/>
      <c r="FJ58" s="156"/>
      <c r="FK58" s="156"/>
      <c r="FL58" s="156"/>
      <c r="FM58" s="156"/>
      <c r="FN58" s="156"/>
      <c r="FO58" s="156"/>
      <c r="FP58" s="156"/>
      <c r="FQ58" s="156"/>
      <c r="FR58" s="156"/>
      <c r="FS58" s="156"/>
      <c r="FT58" s="156"/>
      <c r="FU58" s="156"/>
      <c r="FV58" s="156"/>
      <c r="FW58" s="156"/>
      <c r="FX58" s="156"/>
      <c r="FY58" s="156"/>
      <c r="FZ58" s="156"/>
      <c r="GA58" s="156"/>
      <c r="GB58" s="156"/>
      <c r="GC58" s="156"/>
      <c r="GD58" s="156"/>
      <c r="GE58" s="156"/>
      <c r="GF58" s="156"/>
      <c r="GG58" s="156"/>
      <c r="GH58" s="156"/>
      <c r="GI58" s="156"/>
      <c r="GJ58" s="156"/>
      <c r="GK58" s="156"/>
      <c r="GL58" s="156"/>
      <c r="GM58" s="156"/>
      <c r="GN58" s="156"/>
      <c r="GO58" s="156"/>
      <c r="GP58" s="156"/>
      <c r="GQ58" s="156"/>
      <c r="GR58" s="156"/>
      <c r="GS58" s="156"/>
      <c r="GT58" s="156"/>
      <c r="GU58" s="156"/>
      <c r="GV58" s="156"/>
      <c r="GW58" s="156"/>
      <c r="GX58" s="156"/>
      <c r="GY58" s="156"/>
      <c r="GZ58" s="156"/>
      <c r="HA58" s="156"/>
      <c r="HB58" s="156"/>
      <c r="HC58" s="156"/>
      <c r="HD58" s="156"/>
      <c r="HE58" s="156"/>
      <c r="HF58" s="156"/>
      <c r="HG58" s="156"/>
      <c r="HH58" s="156"/>
      <c r="HI58" s="156"/>
      <c r="HJ58" s="156"/>
      <c r="HK58" s="156"/>
      <c r="HL58" s="156"/>
      <c r="HM58" s="156"/>
      <c r="HN58" s="156"/>
      <c r="HO58" s="156"/>
      <c r="HP58" s="156"/>
      <c r="HQ58" s="156"/>
      <c r="HR58" s="156"/>
      <c r="HS58" s="156"/>
      <c r="HT58" s="156"/>
      <c r="HU58" s="156"/>
      <c r="HV58" s="156"/>
      <c r="HW58" s="156"/>
      <c r="HX58" s="156"/>
      <c r="HY58" s="156"/>
      <c r="HZ58" s="156"/>
      <c r="IA58" s="156"/>
      <c r="IB58" s="156"/>
      <c r="IC58" s="156"/>
      <c r="ID58" s="156"/>
      <c r="IE58" s="156"/>
      <c r="IF58" s="156"/>
      <c r="IG58" s="156"/>
      <c r="IH58" s="156"/>
      <c r="II58" s="156"/>
      <c r="IJ58" s="156"/>
      <c r="IK58" s="156"/>
      <c r="IL58" s="156"/>
      <c r="IM58" s="156"/>
      <c r="IN58" s="156"/>
      <c r="IO58" s="156"/>
      <c r="IP58" s="156"/>
      <c r="IQ58" s="156"/>
      <c r="IR58" s="156"/>
      <c r="IS58" s="156"/>
      <c r="IT58" s="156"/>
      <c r="IU58" s="156"/>
      <c r="IV58" s="156"/>
      <c r="IW58" s="156"/>
      <c r="IX58" s="156"/>
      <c r="IY58" s="156"/>
      <c r="IZ58" s="156"/>
      <c r="JA58" s="156"/>
      <c r="JB58" s="156"/>
      <c r="JC58" s="156"/>
      <c r="JD58" s="156"/>
      <c r="JE58" s="156"/>
      <c r="JF58" s="156"/>
      <c r="JG58" s="156"/>
      <c r="JH58" s="156"/>
      <c r="JI58" s="156"/>
      <c r="JJ58" s="156"/>
      <c r="JK58" s="156"/>
      <c r="JL58" s="156"/>
      <c r="JM58" s="156"/>
      <c r="JN58" s="156"/>
      <c r="JO58" s="156"/>
      <c r="JP58" s="156"/>
      <c r="JQ58" s="156"/>
      <c r="JR58" s="156"/>
      <c r="JS58" s="156"/>
      <c r="JT58" s="156"/>
      <c r="JU58" s="156"/>
      <c r="JV58" s="156"/>
      <c r="JW58" s="156"/>
      <c r="JX58" s="156"/>
      <c r="JY58" s="156"/>
      <c r="JZ58" s="156"/>
      <c r="KA58" s="156"/>
      <c r="KB58" s="156"/>
      <c r="KC58" s="156"/>
      <c r="KD58" s="156"/>
      <c r="KE58" s="156"/>
      <c r="KF58" s="156"/>
      <c r="KG58" s="156"/>
      <c r="KH58" s="156"/>
      <c r="KI58" s="156"/>
      <c r="KJ58" s="156"/>
      <c r="KK58" s="156"/>
      <c r="KL58" s="156"/>
      <c r="KM58" s="156"/>
      <c r="KN58" s="156"/>
      <c r="KO58" s="156"/>
      <c r="KP58" s="156"/>
      <c r="KQ58" s="156"/>
      <c r="KR58" s="156"/>
      <c r="KS58" s="156"/>
      <c r="KT58" s="156"/>
      <c r="KU58" s="156"/>
      <c r="KV58" s="156"/>
      <c r="KW58" s="156"/>
      <c r="KX58" s="156"/>
      <c r="KY58" s="156"/>
      <c r="KZ58" s="156"/>
      <c r="LA58" s="156"/>
      <c r="LB58" s="156"/>
      <c r="LC58" s="156"/>
      <c r="LD58" s="156"/>
      <c r="LE58" s="156"/>
      <c r="LF58" s="156"/>
      <c r="LG58" s="156"/>
      <c r="LH58" s="156"/>
      <c r="LI58" s="156"/>
      <c r="LJ58" s="156"/>
      <c r="LK58" s="156"/>
      <c r="LL58" s="156"/>
      <c r="LM58" s="156"/>
      <c r="LN58" s="156"/>
      <c r="LO58" s="156"/>
      <c r="LP58" s="156"/>
      <c r="LQ58" s="156"/>
      <c r="LR58" s="156"/>
      <c r="LS58" s="156"/>
      <c r="LT58" s="156"/>
      <c r="LU58" s="156"/>
      <c r="LV58" s="156"/>
      <c r="LW58" s="156"/>
      <c r="LX58" s="156"/>
      <c r="LY58" s="156"/>
      <c r="LZ58" s="156"/>
      <c r="MA58" s="156"/>
      <c r="MB58" s="156"/>
      <c r="MC58" s="156"/>
      <c r="MD58" s="156"/>
      <c r="ME58" s="156"/>
      <c r="MF58" s="156"/>
      <c r="MG58" s="156"/>
      <c r="MH58" s="156"/>
      <c r="MI58" s="156"/>
      <c r="MJ58" s="156"/>
      <c r="MK58" s="156"/>
      <c r="ML58" s="156"/>
      <c r="MM58" s="156"/>
      <c r="MN58" s="156"/>
      <c r="MO58" s="156"/>
      <c r="MP58" s="156"/>
      <c r="MQ58" s="156"/>
      <c r="MR58" s="156"/>
      <c r="MS58" s="156"/>
      <c r="MT58" s="156"/>
      <c r="MU58" s="156"/>
      <c r="MV58" s="156"/>
      <c r="MW58" s="156"/>
      <c r="MX58" s="156"/>
      <c r="MY58" s="156"/>
      <c r="MZ58" s="156"/>
      <c r="NA58" s="156"/>
      <c r="NB58" s="156"/>
      <c r="NC58" s="156"/>
      <c r="ND58" s="156"/>
      <c r="NE58" s="156"/>
      <c r="NF58" s="156"/>
      <c r="NG58" s="156"/>
      <c r="NH58" s="156"/>
      <c r="NI58" s="156"/>
      <c r="NJ58" s="156"/>
      <c r="NK58" s="156"/>
      <c r="NL58" s="156"/>
      <c r="NM58" s="156"/>
      <c r="NN58" s="156"/>
      <c r="NO58" s="156"/>
      <c r="NP58" s="156"/>
      <c r="NQ58" s="156"/>
      <c r="NR58" s="156"/>
      <c r="NS58" s="156"/>
      <c r="NT58" s="156"/>
      <c r="NU58" s="156"/>
      <c r="NV58" s="156"/>
      <c r="NW58" s="156"/>
      <c r="NX58" s="156"/>
      <c r="NY58" s="156"/>
      <c r="NZ58" s="156"/>
      <c r="OA58" s="156"/>
      <c r="OB58" s="156"/>
      <c r="OC58" s="156"/>
      <c r="OD58" s="156"/>
      <c r="OE58" s="156"/>
      <c r="OF58" s="156"/>
      <c r="OG58" s="156"/>
      <c r="OH58" s="156"/>
      <c r="OI58" s="156"/>
      <c r="OJ58" s="156"/>
      <c r="OK58" s="156"/>
      <c r="OL58" s="156"/>
      <c r="OM58" s="156"/>
      <c r="ON58" s="156"/>
      <c r="OO58" s="156"/>
      <c r="OP58" s="156"/>
      <c r="OQ58" s="156"/>
      <c r="OR58" s="156"/>
      <c r="OS58" s="156"/>
      <c r="OT58" s="156"/>
      <c r="OU58" s="156"/>
      <c r="OV58" s="156"/>
    </row>
    <row r="59" spans="1:412" s="301" customFormat="1" ht="118.5" hidden="1" customHeight="1">
      <c r="A59" s="312">
        <v>43</v>
      </c>
      <c r="B59" s="318" t="s">
        <v>653</v>
      </c>
      <c r="C59" s="383" t="s">
        <v>1144</v>
      </c>
      <c r="D59" s="377">
        <v>45628</v>
      </c>
      <c r="E59" s="320" t="s">
        <v>217</v>
      </c>
      <c r="F59" s="381" t="s">
        <v>633</v>
      </c>
      <c r="G59" s="351">
        <v>3</v>
      </c>
      <c r="H59" s="351">
        <v>3</v>
      </c>
      <c r="I59" s="351">
        <v>3</v>
      </c>
      <c r="J59" s="321">
        <v>3</v>
      </c>
      <c r="K59" s="321" t="s">
        <v>69</v>
      </c>
      <c r="L59" s="321" t="s">
        <v>69</v>
      </c>
      <c r="M59" s="321" t="s">
        <v>69</v>
      </c>
      <c r="N59" s="321" t="s">
        <v>69</v>
      </c>
      <c r="O59" s="321" t="s">
        <v>69</v>
      </c>
      <c r="P59" s="351">
        <v>3</v>
      </c>
      <c r="Q59" s="321">
        <v>3</v>
      </c>
      <c r="R59" s="321" t="s">
        <v>69</v>
      </c>
      <c r="S59" s="321" t="s">
        <v>69</v>
      </c>
      <c r="T59" s="321" t="s">
        <v>69</v>
      </c>
      <c r="U59" s="321" t="s">
        <v>69</v>
      </c>
      <c r="V59" s="321" t="s">
        <v>69</v>
      </c>
      <c r="W59" s="321" t="s">
        <v>69</v>
      </c>
      <c r="X59" s="321" t="s">
        <v>69</v>
      </c>
      <c r="Y59" s="321" t="s">
        <v>69</v>
      </c>
      <c r="Z59" s="321" t="s">
        <v>69</v>
      </c>
      <c r="AA59" s="321" t="s">
        <v>69</v>
      </c>
      <c r="AB59" s="321" t="s">
        <v>69</v>
      </c>
      <c r="AC59" s="321" t="s">
        <v>69</v>
      </c>
      <c r="AD59" s="321" t="s">
        <v>69</v>
      </c>
      <c r="AE59" s="321" t="s">
        <v>69</v>
      </c>
      <c r="AF59" s="321" t="s">
        <v>69</v>
      </c>
      <c r="AG59" s="321" t="s">
        <v>69</v>
      </c>
      <c r="AH59" s="321" t="s">
        <v>69</v>
      </c>
      <c r="AI59" s="321" t="s">
        <v>69</v>
      </c>
      <c r="AJ59" s="321" t="s">
        <v>69</v>
      </c>
      <c r="AK59" s="321" t="s">
        <v>69</v>
      </c>
      <c r="AL59" s="321" t="s">
        <v>69</v>
      </c>
      <c r="AM59" s="321" t="s">
        <v>69</v>
      </c>
      <c r="AN59" s="321" t="s">
        <v>69</v>
      </c>
      <c r="AO59" s="321" t="s">
        <v>69</v>
      </c>
      <c r="AP59" s="321" t="s">
        <v>69</v>
      </c>
      <c r="AQ59" s="321" t="s">
        <v>69</v>
      </c>
      <c r="AR59" s="321" t="s">
        <v>69</v>
      </c>
      <c r="AS59" s="321">
        <v>3</v>
      </c>
      <c r="AT59" s="321">
        <v>3</v>
      </c>
      <c r="AU59" s="321">
        <v>2</v>
      </c>
      <c r="AV59" s="321">
        <v>3</v>
      </c>
      <c r="AW59" s="321">
        <v>3</v>
      </c>
      <c r="AX59" s="321">
        <v>2</v>
      </c>
      <c r="AY59" s="321">
        <v>3</v>
      </c>
      <c r="AZ59" s="321">
        <v>3</v>
      </c>
      <c r="BA59" s="321">
        <v>3</v>
      </c>
      <c r="BB59" s="321" t="s">
        <v>69</v>
      </c>
      <c r="BC59" s="321" t="s">
        <v>69</v>
      </c>
      <c r="BD59" s="321" t="s">
        <v>69</v>
      </c>
      <c r="BE59" s="321">
        <v>3</v>
      </c>
      <c r="BF59" s="321">
        <v>3</v>
      </c>
      <c r="BG59" s="321">
        <v>3</v>
      </c>
      <c r="BH59" s="321" t="s">
        <v>69</v>
      </c>
      <c r="BI59" s="321" t="s">
        <v>69</v>
      </c>
      <c r="BJ59" s="321" t="s">
        <v>69</v>
      </c>
      <c r="BK59" s="321" t="s">
        <v>69</v>
      </c>
      <c r="BL59" s="321" t="s">
        <v>69</v>
      </c>
      <c r="BM59" s="321" t="s">
        <v>69</v>
      </c>
      <c r="BN59" s="321" t="s">
        <v>69</v>
      </c>
      <c r="BO59" s="321" t="s">
        <v>69</v>
      </c>
      <c r="BP59" s="321" t="s">
        <v>69</v>
      </c>
      <c r="BQ59" s="321" t="s">
        <v>69</v>
      </c>
      <c r="BR59" s="321" t="s">
        <v>69</v>
      </c>
      <c r="BS59" s="321">
        <v>3</v>
      </c>
      <c r="BT59" s="321">
        <v>3</v>
      </c>
      <c r="BU59" s="321" t="s">
        <v>69</v>
      </c>
      <c r="BV59" s="321" t="s">
        <v>69</v>
      </c>
      <c r="BW59" s="321" t="s">
        <v>69</v>
      </c>
      <c r="BX59" s="321" t="s">
        <v>69</v>
      </c>
      <c r="BY59" s="321" t="s">
        <v>69</v>
      </c>
      <c r="BZ59" s="321" t="s">
        <v>69</v>
      </c>
      <c r="CA59" s="321" t="s">
        <v>69</v>
      </c>
      <c r="CB59" s="321" t="s">
        <v>69</v>
      </c>
      <c r="CC59" s="321" t="s">
        <v>69</v>
      </c>
      <c r="CD59" s="321" t="s">
        <v>69</v>
      </c>
      <c r="CE59" s="321" t="s">
        <v>69</v>
      </c>
      <c r="CF59" s="321" t="s">
        <v>69</v>
      </c>
      <c r="CG59" s="321" t="s">
        <v>69</v>
      </c>
      <c r="CH59" s="321" t="s">
        <v>69</v>
      </c>
      <c r="CI59" s="321" t="s">
        <v>69</v>
      </c>
      <c r="CJ59" s="321" t="s">
        <v>69</v>
      </c>
      <c r="CK59" s="351">
        <v>3</v>
      </c>
      <c r="CL59" s="321">
        <v>3</v>
      </c>
      <c r="CM59" s="321" t="s">
        <v>69</v>
      </c>
      <c r="CN59" s="321" t="s">
        <v>69</v>
      </c>
      <c r="CO59" s="321" t="s">
        <v>69</v>
      </c>
      <c r="CP59" s="321" t="s">
        <v>69</v>
      </c>
      <c r="CQ59" s="321" t="s">
        <v>69</v>
      </c>
      <c r="CR59" s="321" t="s">
        <v>69</v>
      </c>
      <c r="CS59" s="321" t="s">
        <v>69</v>
      </c>
      <c r="CT59" s="321" t="s">
        <v>69</v>
      </c>
      <c r="CU59" s="321" t="s">
        <v>69</v>
      </c>
      <c r="CV59" s="321" t="s">
        <v>69</v>
      </c>
      <c r="CW59" s="321" t="s">
        <v>69</v>
      </c>
      <c r="CX59" s="321" t="s">
        <v>69</v>
      </c>
      <c r="CY59" s="321" t="s">
        <v>69</v>
      </c>
      <c r="CZ59" s="321" t="s">
        <v>69</v>
      </c>
      <c r="DA59" s="321" t="s">
        <v>69</v>
      </c>
      <c r="DB59" s="321" t="s">
        <v>69</v>
      </c>
      <c r="DC59" s="321" t="s">
        <v>69</v>
      </c>
      <c r="DD59" s="321" t="s">
        <v>69</v>
      </c>
      <c r="DE59" s="321" t="s">
        <v>69</v>
      </c>
      <c r="DF59" s="321" t="s">
        <v>69</v>
      </c>
      <c r="DG59" s="321" t="s">
        <v>69</v>
      </c>
      <c r="DH59" s="321" t="s">
        <v>69</v>
      </c>
      <c r="DI59" s="321" t="s">
        <v>69</v>
      </c>
      <c r="DJ59" s="321" t="s">
        <v>69</v>
      </c>
      <c r="DK59" s="321" t="s">
        <v>69</v>
      </c>
      <c r="DL59" s="321">
        <v>4</v>
      </c>
      <c r="DM59" s="321">
        <v>4</v>
      </c>
      <c r="DN59" s="321" t="s">
        <v>69</v>
      </c>
      <c r="DO59" s="321" t="s">
        <v>69</v>
      </c>
      <c r="DP59" s="321" t="s">
        <v>69</v>
      </c>
      <c r="DQ59" s="321">
        <v>4</v>
      </c>
      <c r="DR59" s="321" t="s">
        <v>69</v>
      </c>
      <c r="DS59" s="321" t="s">
        <v>69</v>
      </c>
      <c r="DT59" s="321">
        <v>4</v>
      </c>
      <c r="DU59" s="321" t="s">
        <v>69</v>
      </c>
      <c r="DV59" s="317">
        <f t="shared" si="1"/>
        <v>0.41269841269841268</v>
      </c>
      <c r="DW59" s="356">
        <f t="shared" si="0"/>
        <v>0.92307692307692313</v>
      </c>
      <c r="DX59" s="156" t="str">
        <f>VLOOKUP(B59,[1]Pointage!$A:$D,4,0)</f>
        <v>Mourad Saitali</v>
      </c>
      <c r="DY59" s="156"/>
      <c r="DZ59" s="156"/>
      <c r="EA59" s="156"/>
      <c r="EB59" s="156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6"/>
      <c r="ER59" s="156"/>
      <c r="ES59" s="156"/>
      <c r="ET59" s="156"/>
      <c r="EU59" s="156"/>
      <c r="EV59" s="156"/>
      <c r="EW59" s="156"/>
      <c r="EX59" s="156"/>
      <c r="EY59" s="156"/>
      <c r="EZ59" s="156"/>
      <c r="FA59" s="156"/>
      <c r="FB59" s="156"/>
      <c r="FC59" s="156"/>
      <c r="FD59" s="156"/>
      <c r="FE59" s="156"/>
      <c r="FF59" s="156"/>
      <c r="FG59" s="156"/>
      <c r="FH59" s="156"/>
      <c r="FI59" s="156"/>
      <c r="FJ59" s="156"/>
      <c r="FK59" s="156"/>
      <c r="FL59" s="156"/>
      <c r="FM59" s="156"/>
      <c r="FN59" s="156"/>
      <c r="FO59" s="156"/>
      <c r="FP59" s="156"/>
      <c r="FQ59" s="156"/>
      <c r="FR59" s="156"/>
      <c r="FS59" s="156"/>
      <c r="FT59" s="156"/>
      <c r="FU59" s="156"/>
      <c r="FV59" s="156"/>
      <c r="FW59" s="156"/>
      <c r="FX59" s="156"/>
      <c r="FY59" s="156"/>
      <c r="FZ59" s="156"/>
      <c r="GA59" s="156"/>
      <c r="GB59" s="156"/>
      <c r="GC59" s="156"/>
      <c r="GD59" s="156"/>
      <c r="GE59" s="156"/>
      <c r="GF59" s="156"/>
      <c r="GG59" s="156"/>
      <c r="GH59" s="156"/>
      <c r="GI59" s="156"/>
      <c r="GJ59" s="156"/>
      <c r="GK59" s="156"/>
      <c r="GL59" s="156"/>
      <c r="GM59" s="156"/>
      <c r="GN59" s="156"/>
      <c r="GO59" s="156"/>
      <c r="GP59" s="156"/>
      <c r="GQ59" s="156"/>
      <c r="GR59" s="156"/>
      <c r="GS59" s="156"/>
      <c r="GT59" s="156"/>
      <c r="GU59" s="156"/>
      <c r="GV59" s="156"/>
      <c r="GW59" s="156"/>
      <c r="GX59" s="156"/>
      <c r="GY59" s="156"/>
      <c r="GZ59" s="156"/>
      <c r="HA59" s="156"/>
      <c r="HB59" s="156"/>
      <c r="HC59" s="156"/>
      <c r="HD59" s="156"/>
      <c r="HE59" s="156"/>
      <c r="HF59" s="156"/>
      <c r="HG59" s="156"/>
      <c r="HH59" s="156"/>
      <c r="HI59" s="156"/>
      <c r="HJ59" s="156"/>
      <c r="HK59" s="156"/>
      <c r="HL59" s="156"/>
      <c r="HM59" s="156"/>
      <c r="HN59" s="156"/>
      <c r="HO59" s="156"/>
      <c r="HP59" s="156"/>
      <c r="HQ59" s="156"/>
      <c r="HR59" s="156"/>
      <c r="HS59" s="156"/>
      <c r="HT59" s="156"/>
      <c r="HU59" s="156"/>
      <c r="HV59" s="156"/>
      <c r="HW59" s="156"/>
      <c r="HX59" s="156"/>
      <c r="HY59" s="156"/>
      <c r="HZ59" s="156"/>
      <c r="IA59" s="156"/>
      <c r="IB59" s="156"/>
      <c r="IC59" s="156"/>
      <c r="ID59" s="156"/>
      <c r="IE59" s="156"/>
      <c r="IF59" s="156"/>
      <c r="IG59" s="156"/>
      <c r="IH59" s="156"/>
      <c r="II59" s="156"/>
      <c r="IJ59" s="156"/>
      <c r="IK59" s="156"/>
      <c r="IL59" s="156"/>
      <c r="IM59" s="156"/>
      <c r="IN59" s="156"/>
      <c r="IO59" s="156"/>
      <c r="IP59" s="156"/>
      <c r="IQ59" s="156"/>
      <c r="IR59" s="156"/>
      <c r="IS59" s="156"/>
      <c r="IT59" s="156"/>
      <c r="IU59" s="156"/>
      <c r="IV59" s="156"/>
      <c r="IW59" s="156"/>
      <c r="IX59" s="156"/>
      <c r="IY59" s="156"/>
      <c r="IZ59" s="156"/>
      <c r="JA59" s="156"/>
      <c r="JB59" s="156"/>
      <c r="JC59" s="156"/>
      <c r="JD59" s="156"/>
      <c r="JE59" s="156"/>
      <c r="JF59" s="156"/>
      <c r="JG59" s="156"/>
      <c r="JH59" s="156"/>
      <c r="JI59" s="156"/>
      <c r="JJ59" s="156"/>
      <c r="JK59" s="156"/>
      <c r="JL59" s="156"/>
      <c r="JM59" s="156"/>
      <c r="JN59" s="156"/>
      <c r="JO59" s="156"/>
      <c r="JP59" s="156"/>
      <c r="JQ59" s="156"/>
      <c r="JR59" s="156"/>
      <c r="JS59" s="156"/>
      <c r="JT59" s="156"/>
      <c r="JU59" s="156"/>
      <c r="JV59" s="156"/>
      <c r="JW59" s="156"/>
      <c r="JX59" s="156"/>
      <c r="JY59" s="156"/>
      <c r="JZ59" s="156"/>
      <c r="KA59" s="156"/>
      <c r="KB59" s="156"/>
      <c r="KC59" s="156"/>
      <c r="KD59" s="156"/>
      <c r="KE59" s="156"/>
      <c r="KF59" s="156"/>
      <c r="KG59" s="156"/>
      <c r="KH59" s="156"/>
      <c r="KI59" s="156"/>
      <c r="KJ59" s="156"/>
      <c r="KK59" s="156"/>
      <c r="KL59" s="156"/>
      <c r="KM59" s="156"/>
      <c r="KN59" s="156"/>
      <c r="KO59" s="156"/>
      <c r="KP59" s="156"/>
      <c r="KQ59" s="156"/>
      <c r="KR59" s="156"/>
      <c r="KS59" s="156"/>
      <c r="KT59" s="156"/>
      <c r="KU59" s="156"/>
      <c r="KV59" s="156"/>
      <c r="KW59" s="156"/>
      <c r="KX59" s="156"/>
      <c r="KY59" s="156"/>
      <c r="KZ59" s="156"/>
      <c r="LA59" s="156"/>
      <c r="LB59" s="156"/>
      <c r="LC59" s="156"/>
      <c r="LD59" s="156"/>
      <c r="LE59" s="156"/>
      <c r="LF59" s="156"/>
      <c r="LG59" s="156"/>
      <c r="LH59" s="156"/>
      <c r="LI59" s="156"/>
      <c r="LJ59" s="156"/>
      <c r="LK59" s="156"/>
      <c r="LL59" s="156"/>
      <c r="LM59" s="156"/>
      <c r="LN59" s="156"/>
      <c r="LO59" s="156"/>
      <c r="LP59" s="156"/>
      <c r="LQ59" s="156"/>
      <c r="LR59" s="156"/>
      <c r="LS59" s="156"/>
      <c r="LT59" s="156"/>
      <c r="LU59" s="156"/>
      <c r="LV59" s="156"/>
      <c r="LW59" s="156"/>
      <c r="LX59" s="156"/>
      <c r="LY59" s="156"/>
      <c r="LZ59" s="156"/>
      <c r="MA59" s="156"/>
      <c r="MB59" s="156"/>
      <c r="MC59" s="156"/>
      <c r="MD59" s="156"/>
      <c r="ME59" s="156"/>
      <c r="MF59" s="156"/>
      <c r="MG59" s="156"/>
      <c r="MH59" s="156"/>
      <c r="MI59" s="156"/>
      <c r="MJ59" s="156"/>
      <c r="MK59" s="156"/>
      <c r="ML59" s="156"/>
      <c r="MM59" s="156"/>
      <c r="MN59" s="156"/>
      <c r="MO59" s="156"/>
      <c r="MP59" s="156"/>
      <c r="MQ59" s="156"/>
      <c r="MR59" s="156"/>
      <c r="MS59" s="156"/>
      <c r="MT59" s="156"/>
      <c r="MU59" s="156"/>
      <c r="MV59" s="156"/>
      <c r="MW59" s="156"/>
      <c r="MX59" s="156"/>
      <c r="MY59" s="156"/>
      <c r="MZ59" s="156"/>
      <c r="NA59" s="156"/>
      <c r="NB59" s="156"/>
      <c r="NC59" s="156"/>
      <c r="ND59" s="156"/>
      <c r="NE59" s="156"/>
      <c r="NF59" s="156"/>
      <c r="NG59" s="156"/>
      <c r="NH59" s="156"/>
      <c r="NI59" s="156"/>
      <c r="NJ59" s="156"/>
      <c r="NK59" s="156"/>
      <c r="NL59" s="156"/>
      <c r="NM59" s="156"/>
      <c r="NN59" s="156"/>
      <c r="NO59" s="156"/>
      <c r="NP59" s="156"/>
      <c r="NQ59" s="156"/>
      <c r="NR59" s="156"/>
      <c r="NS59" s="156"/>
      <c r="NT59" s="156"/>
      <c r="NU59" s="156"/>
      <c r="NV59" s="156"/>
      <c r="NW59" s="156"/>
      <c r="NX59" s="156"/>
      <c r="NY59" s="156"/>
      <c r="NZ59" s="156"/>
      <c r="OA59" s="156"/>
      <c r="OB59" s="156"/>
      <c r="OC59" s="156"/>
      <c r="OD59" s="156"/>
      <c r="OE59" s="156"/>
      <c r="OF59" s="156"/>
      <c r="OG59" s="156"/>
      <c r="OH59" s="156"/>
      <c r="OI59" s="156"/>
      <c r="OJ59" s="156"/>
      <c r="OK59" s="156"/>
      <c r="OL59" s="156"/>
      <c r="OM59" s="156"/>
      <c r="ON59" s="156"/>
      <c r="OO59" s="156"/>
      <c r="OP59" s="156"/>
      <c r="OQ59" s="156"/>
      <c r="OR59" s="156"/>
      <c r="OS59" s="156"/>
      <c r="OT59" s="156"/>
      <c r="OU59" s="156"/>
      <c r="OV59" s="156"/>
    </row>
    <row r="60" spans="1:412" s="156" customFormat="1" ht="118.5" hidden="1" customHeight="1">
      <c r="A60" s="312">
        <v>44</v>
      </c>
      <c r="B60" s="318" t="s">
        <v>666</v>
      </c>
      <c r="C60" s="383" t="s">
        <v>1143</v>
      </c>
      <c r="D60" s="376">
        <v>45628</v>
      </c>
      <c r="E60" s="320" t="s">
        <v>215</v>
      </c>
      <c r="F60" s="381" t="s">
        <v>633</v>
      </c>
      <c r="G60" s="321" t="s">
        <v>69</v>
      </c>
      <c r="H60" s="321" t="s">
        <v>69</v>
      </c>
      <c r="I60" s="321" t="s">
        <v>69</v>
      </c>
      <c r="J60" s="321" t="s">
        <v>69</v>
      </c>
      <c r="K60" s="321" t="s">
        <v>69</v>
      </c>
      <c r="L60" s="321" t="s">
        <v>69</v>
      </c>
      <c r="M60" s="321" t="s">
        <v>69</v>
      </c>
      <c r="N60" s="321" t="s">
        <v>69</v>
      </c>
      <c r="O60" s="321" t="s">
        <v>69</v>
      </c>
      <c r="P60" s="321" t="s">
        <v>69</v>
      </c>
      <c r="Q60" s="321" t="s">
        <v>69</v>
      </c>
      <c r="R60" s="321" t="s">
        <v>69</v>
      </c>
      <c r="S60" s="321" t="s">
        <v>69</v>
      </c>
      <c r="T60" s="321" t="s">
        <v>69</v>
      </c>
      <c r="U60" s="321" t="s">
        <v>69</v>
      </c>
      <c r="V60" s="321" t="s">
        <v>69</v>
      </c>
      <c r="W60" s="321" t="s">
        <v>69</v>
      </c>
      <c r="X60" s="321" t="s">
        <v>69</v>
      </c>
      <c r="Y60" s="321" t="s">
        <v>69</v>
      </c>
      <c r="Z60" s="321" t="s">
        <v>69</v>
      </c>
      <c r="AA60" s="321" t="s">
        <v>69</v>
      </c>
      <c r="AB60" s="321" t="s">
        <v>69</v>
      </c>
      <c r="AC60" s="321" t="s">
        <v>69</v>
      </c>
      <c r="AD60" s="321" t="s">
        <v>69</v>
      </c>
      <c r="AE60" s="321" t="s">
        <v>69</v>
      </c>
      <c r="AF60" s="321" t="s">
        <v>69</v>
      </c>
      <c r="AG60" s="321" t="s">
        <v>69</v>
      </c>
      <c r="AH60" s="321" t="s">
        <v>69</v>
      </c>
      <c r="AI60" s="321" t="s">
        <v>69</v>
      </c>
      <c r="AJ60" s="321" t="s">
        <v>69</v>
      </c>
      <c r="AK60" s="321" t="s">
        <v>69</v>
      </c>
      <c r="AL60" s="321" t="s">
        <v>69</v>
      </c>
      <c r="AM60" s="321">
        <v>2</v>
      </c>
      <c r="AN60" s="321" t="s">
        <v>69</v>
      </c>
      <c r="AO60" s="351">
        <v>3</v>
      </c>
      <c r="AP60" s="321" t="s">
        <v>69</v>
      </c>
      <c r="AQ60" s="321" t="s">
        <v>69</v>
      </c>
      <c r="AR60" s="321" t="s">
        <v>69</v>
      </c>
      <c r="AS60" s="321" t="s">
        <v>69</v>
      </c>
      <c r="AT60" s="321" t="s">
        <v>69</v>
      </c>
      <c r="AU60" s="321" t="s">
        <v>69</v>
      </c>
      <c r="AV60" s="321" t="s">
        <v>69</v>
      </c>
      <c r="AW60" s="321" t="s">
        <v>69</v>
      </c>
      <c r="AX60" s="321" t="s">
        <v>69</v>
      </c>
      <c r="AY60" s="321" t="s">
        <v>69</v>
      </c>
      <c r="AZ60" s="321" t="s">
        <v>69</v>
      </c>
      <c r="BA60" s="321" t="s">
        <v>69</v>
      </c>
      <c r="BB60" s="321" t="s">
        <v>69</v>
      </c>
      <c r="BC60" s="321" t="s">
        <v>69</v>
      </c>
      <c r="BD60" s="321" t="s">
        <v>69</v>
      </c>
      <c r="BE60" s="321" t="s">
        <v>69</v>
      </c>
      <c r="BF60" s="321" t="s">
        <v>69</v>
      </c>
      <c r="BG60" s="321" t="s">
        <v>69</v>
      </c>
      <c r="BH60" s="321" t="s">
        <v>69</v>
      </c>
      <c r="BI60" s="321" t="s">
        <v>69</v>
      </c>
      <c r="BJ60" s="321" t="s">
        <v>69</v>
      </c>
      <c r="BK60" s="321" t="s">
        <v>69</v>
      </c>
      <c r="BL60" s="321" t="s">
        <v>69</v>
      </c>
      <c r="BM60" s="321" t="s">
        <v>69</v>
      </c>
      <c r="BN60" s="321" t="s">
        <v>69</v>
      </c>
      <c r="BO60" s="321" t="s">
        <v>69</v>
      </c>
      <c r="BP60" s="321" t="s">
        <v>69</v>
      </c>
      <c r="BQ60" s="321" t="s">
        <v>69</v>
      </c>
      <c r="BR60" s="321" t="s">
        <v>69</v>
      </c>
      <c r="BS60" s="321" t="s">
        <v>69</v>
      </c>
      <c r="BT60" s="321" t="s">
        <v>69</v>
      </c>
      <c r="BU60" s="321" t="s">
        <v>69</v>
      </c>
      <c r="BV60" s="321" t="s">
        <v>69</v>
      </c>
      <c r="BW60" s="321" t="s">
        <v>69</v>
      </c>
      <c r="BX60" s="321" t="s">
        <v>69</v>
      </c>
      <c r="BY60" s="321" t="s">
        <v>69</v>
      </c>
      <c r="BZ60" s="321" t="s">
        <v>69</v>
      </c>
      <c r="CA60" s="321" t="s">
        <v>69</v>
      </c>
      <c r="CB60" s="321" t="s">
        <v>69</v>
      </c>
      <c r="CC60" s="321" t="s">
        <v>69</v>
      </c>
      <c r="CD60" s="321" t="s">
        <v>69</v>
      </c>
      <c r="CE60" s="321" t="s">
        <v>69</v>
      </c>
      <c r="CF60" s="321" t="s">
        <v>69</v>
      </c>
      <c r="CG60" s="321" t="s">
        <v>69</v>
      </c>
      <c r="CH60" s="321" t="s">
        <v>69</v>
      </c>
      <c r="CI60" s="321" t="s">
        <v>69</v>
      </c>
      <c r="CJ60" s="321" t="s">
        <v>69</v>
      </c>
      <c r="CK60" s="321" t="s">
        <v>69</v>
      </c>
      <c r="CL60" s="321" t="s">
        <v>69</v>
      </c>
      <c r="CM60" s="321" t="s">
        <v>69</v>
      </c>
      <c r="CN60" s="321" t="s">
        <v>69</v>
      </c>
      <c r="CO60" s="321" t="s">
        <v>69</v>
      </c>
      <c r="CP60" s="321" t="s">
        <v>69</v>
      </c>
      <c r="CQ60" s="321" t="s">
        <v>69</v>
      </c>
      <c r="CR60" s="321" t="s">
        <v>69</v>
      </c>
      <c r="CS60" s="321" t="s">
        <v>69</v>
      </c>
      <c r="CT60" s="321" t="s">
        <v>69</v>
      </c>
      <c r="CU60" s="321" t="s">
        <v>69</v>
      </c>
      <c r="CV60" s="321" t="s">
        <v>69</v>
      </c>
      <c r="CW60" s="321" t="s">
        <v>69</v>
      </c>
      <c r="CX60" s="321" t="s">
        <v>69</v>
      </c>
      <c r="CY60" s="321" t="s">
        <v>69</v>
      </c>
      <c r="CZ60" s="321" t="s">
        <v>69</v>
      </c>
      <c r="DA60" s="321" t="s">
        <v>69</v>
      </c>
      <c r="DB60" s="321" t="s">
        <v>69</v>
      </c>
      <c r="DC60" s="321" t="s">
        <v>69</v>
      </c>
      <c r="DD60" s="321" t="s">
        <v>69</v>
      </c>
      <c r="DE60" s="321" t="s">
        <v>69</v>
      </c>
      <c r="DF60" s="321">
        <v>2</v>
      </c>
      <c r="DG60" s="321" t="s">
        <v>69</v>
      </c>
      <c r="DH60" s="321" t="s">
        <v>69</v>
      </c>
      <c r="DI60" s="321" t="s">
        <v>69</v>
      </c>
      <c r="DJ60" s="321" t="s">
        <v>69</v>
      </c>
      <c r="DK60" s="321" t="s">
        <v>69</v>
      </c>
      <c r="DL60" s="321" t="s">
        <v>69</v>
      </c>
      <c r="DM60" s="321" t="s">
        <v>69</v>
      </c>
      <c r="DN60" s="321" t="s">
        <v>69</v>
      </c>
      <c r="DO60" s="321" t="s">
        <v>69</v>
      </c>
      <c r="DP60" s="321" t="s">
        <v>69</v>
      </c>
      <c r="DQ60" s="321" t="s">
        <v>69</v>
      </c>
      <c r="DR60" s="321" t="s">
        <v>69</v>
      </c>
      <c r="DS60" s="321" t="s">
        <v>69</v>
      </c>
      <c r="DT60" s="321" t="s">
        <v>69</v>
      </c>
      <c r="DU60" s="321" t="s">
        <v>69</v>
      </c>
      <c r="DV60" s="317">
        <f t="shared" si="1"/>
        <v>4.7619047619047616E-2</v>
      </c>
      <c r="DW60" s="356">
        <f t="shared" si="0"/>
        <v>0.33333333333333331</v>
      </c>
      <c r="DX60" s="156" t="str">
        <f>VLOOKUP(B60,[1]Pointage!$A:$D,4,0)</f>
        <v>Mourad Saitali</v>
      </c>
    </row>
    <row r="61" spans="1:412" s="156" customFormat="1" ht="118.5" hidden="1" customHeight="1">
      <c r="A61" s="312">
        <v>45</v>
      </c>
      <c r="B61" s="318" t="s">
        <v>684</v>
      </c>
      <c r="C61" s="383" t="s">
        <v>1142</v>
      </c>
      <c r="D61" s="376">
        <v>45691</v>
      </c>
      <c r="E61" s="320" t="s">
        <v>216</v>
      </c>
      <c r="F61" s="381" t="s">
        <v>633</v>
      </c>
      <c r="G61" s="321" t="s">
        <v>69</v>
      </c>
      <c r="H61" s="321" t="s">
        <v>69</v>
      </c>
      <c r="I61" s="321" t="s">
        <v>69</v>
      </c>
      <c r="J61" s="321" t="s">
        <v>69</v>
      </c>
      <c r="K61" s="321" t="s">
        <v>69</v>
      </c>
      <c r="L61" s="321" t="s">
        <v>69</v>
      </c>
      <c r="M61" s="321" t="s">
        <v>69</v>
      </c>
      <c r="N61" s="321" t="s">
        <v>69</v>
      </c>
      <c r="O61" s="321" t="s">
        <v>69</v>
      </c>
      <c r="P61" s="321" t="s">
        <v>69</v>
      </c>
      <c r="Q61" s="321" t="s">
        <v>69</v>
      </c>
      <c r="R61" s="321" t="s">
        <v>69</v>
      </c>
      <c r="S61" s="321" t="s">
        <v>69</v>
      </c>
      <c r="T61" s="321" t="s">
        <v>69</v>
      </c>
      <c r="U61" s="321" t="s">
        <v>69</v>
      </c>
      <c r="V61" s="321" t="s">
        <v>69</v>
      </c>
      <c r="W61" s="321" t="s">
        <v>69</v>
      </c>
      <c r="X61" s="321" t="s">
        <v>69</v>
      </c>
      <c r="Y61" s="321">
        <v>3</v>
      </c>
      <c r="Z61" s="321" t="s">
        <v>69</v>
      </c>
      <c r="AA61" s="321" t="s">
        <v>69</v>
      </c>
      <c r="AB61" s="321" t="s">
        <v>69</v>
      </c>
      <c r="AC61" s="321" t="s">
        <v>69</v>
      </c>
      <c r="AD61" s="321" t="s">
        <v>69</v>
      </c>
      <c r="AE61" s="321" t="s">
        <v>69</v>
      </c>
      <c r="AF61" s="321" t="s">
        <v>69</v>
      </c>
      <c r="AG61" s="321">
        <v>2</v>
      </c>
      <c r="AH61" s="321" t="s">
        <v>69</v>
      </c>
      <c r="AI61" s="321">
        <v>3</v>
      </c>
      <c r="AJ61" s="321" t="s">
        <v>69</v>
      </c>
      <c r="AK61" s="321" t="s">
        <v>69</v>
      </c>
      <c r="AL61" s="321" t="s">
        <v>69</v>
      </c>
      <c r="AM61" s="321" t="s">
        <v>69</v>
      </c>
      <c r="AN61" s="321" t="s">
        <v>69</v>
      </c>
      <c r="AO61" s="321" t="s">
        <v>69</v>
      </c>
      <c r="AP61" s="321" t="s">
        <v>69</v>
      </c>
      <c r="AQ61" s="321" t="s">
        <v>69</v>
      </c>
      <c r="AR61" s="321" t="s">
        <v>69</v>
      </c>
      <c r="AS61" s="321" t="s">
        <v>69</v>
      </c>
      <c r="AT61" s="321" t="s">
        <v>69</v>
      </c>
      <c r="AU61" s="321" t="s">
        <v>69</v>
      </c>
      <c r="AV61" s="321" t="s">
        <v>69</v>
      </c>
      <c r="AW61" s="321" t="s">
        <v>69</v>
      </c>
      <c r="AX61" s="321" t="s">
        <v>69</v>
      </c>
      <c r="AY61" s="321" t="s">
        <v>69</v>
      </c>
      <c r="AZ61" s="321" t="s">
        <v>69</v>
      </c>
      <c r="BA61" s="321" t="s">
        <v>69</v>
      </c>
      <c r="BB61" s="321" t="s">
        <v>69</v>
      </c>
      <c r="BC61" s="321" t="s">
        <v>69</v>
      </c>
      <c r="BD61" s="321" t="s">
        <v>69</v>
      </c>
      <c r="BE61" s="321">
        <v>2</v>
      </c>
      <c r="BF61" s="321" t="s">
        <v>69</v>
      </c>
      <c r="BG61" s="321" t="s">
        <v>69</v>
      </c>
      <c r="BH61" s="321" t="s">
        <v>69</v>
      </c>
      <c r="BI61" s="321" t="s">
        <v>69</v>
      </c>
      <c r="BJ61" s="321" t="s">
        <v>69</v>
      </c>
      <c r="BK61" s="321" t="s">
        <v>69</v>
      </c>
      <c r="BL61" s="321" t="s">
        <v>69</v>
      </c>
      <c r="BM61" s="321" t="s">
        <v>69</v>
      </c>
      <c r="BN61" s="321" t="s">
        <v>69</v>
      </c>
      <c r="BO61" s="321" t="s">
        <v>69</v>
      </c>
      <c r="BP61" s="321" t="s">
        <v>69</v>
      </c>
      <c r="BQ61" s="321" t="s">
        <v>69</v>
      </c>
      <c r="BR61" s="321" t="s">
        <v>69</v>
      </c>
      <c r="BS61" s="321" t="s">
        <v>69</v>
      </c>
      <c r="BT61" s="321" t="s">
        <v>69</v>
      </c>
      <c r="BU61" s="321" t="s">
        <v>69</v>
      </c>
      <c r="BV61" s="321" t="s">
        <v>69</v>
      </c>
      <c r="BW61" s="321" t="s">
        <v>69</v>
      </c>
      <c r="BX61" s="321" t="s">
        <v>69</v>
      </c>
      <c r="BY61" s="321" t="s">
        <v>69</v>
      </c>
      <c r="BZ61" s="321" t="s">
        <v>69</v>
      </c>
      <c r="CA61" s="321" t="s">
        <v>69</v>
      </c>
      <c r="CB61" s="321" t="s">
        <v>69</v>
      </c>
      <c r="CC61" s="321" t="s">
        <v>69</v>
      </c>
      <c r="CD61" s="321" t="s">
        <v>69</v>
      </c>
      <c r="CE61" s="321" t="s">
        <v>69</v>
      </c>
      <c r="CF61" s="321" t="s">
        <v>69</v>
      </c>
      <c r="CG61" s="321" t="s">
        <v>69</v>
      </c>
      <c r="CH61" s="321" t="s">
        <v>69</v>
      </c>
      <c r="CI61" s="321" t="s">
        <v>69</v>
      </c>
      <c r="CJ61" s="321" t="s">
        <v>69</v>
      </c>
      <c r="CK61" s="321" t="s">
        <v>69</v>
      </c>
      <c r="CL61" s="321" t="s">
        <v>69</v>
      </c>
      <c r="CM61" s="321">
        <v>1</v>
      </c>
      <c r="CN61" s="321">
        <v>3</v>
      </c>
      <c r="CO61" s="321">
        <v>3</v>
      </c>
      <c r="CP61" s="321">
        <v>3</v>
      </c>
      <c r="CQ61" s="321" t="s">
        <v>69</v>
      </c>
      <c r="CR61" s="321" t="s">
        <v>69</v>
      </c>
      <c r="CS61" s="321" t="s">
        <v>69</v>
      </c>
      <c r="CT61" s="321" t="s">
        <v>69</v>
      </c>
      <c r="CU61" s="321" t="s">
        <v>69</v>
      </c>
      <c r="CV61" s="321" t="s">
        <v>69</v>
      </c>
      <c r="CW61" s="321" t="s">
        <v>69</v>
      </c>
      <c r="CX61" s="321" t="s">
        <v>69</v>
      </c>
      <c r="CY61" s="321" t="s">
        <v>69</v>
      </c>
      <c r="CZ61" s="321" t="s">
        <v>69</v>
      </c>
      <c r="DA61" s="321">
        <v>2</v>
      </c>
      <c r="DB61" s="321" t="s">
        <v>69</v>
      </c>
      <c r="DC61" s="321">
        <v>2</v>
      </c>
      <c r="DD61" s="321" t="s">
        <v>69</v>
      </c>
      <c r="DE61" s="321" t="s">
        <v>69</v>
      </c>
      <c r="DF61" s="321" t="s">
        <v>69</v>
      </c>
      <c r="DG61" s="321" t="s">
        <v>69</v>
      </c>
      <c r="DH61" s="321" t="s">
        <v>69</v>
      </c>
      <c r="DI61" s="321" t="s">
        <v>69</v>
      </c>
      <c r="DJ61" s="321" t="s">
        <v>69</v>
      </c>
      <c r="DK61" s="321" t="s">
        <v>69</v>
      </c>
      <c r="DL61" s="321" t="s">
        <v>69</v>
      </c>
      <c r="DM61" s="321" t="s">
        <v>69</v>
      </c>
      <c r="DN61" s="321" t="s">
        <v>69</v>
      </c>
      <c r="DO61" s="321" t="s">
        <v>69</v>
      </c>
      <c r="DP61" s="321" t="s">
        <v>69</v>
      </c>
      <c r="DQ61" s="321" t="s">
        <v>69</v>
      </c>
      <c r="DR61" s="321" t="s">
        <v>69</v>
      </c>
      <c r="DS61" s="321" t="s">
        <v>69</v>
      </c>
      <c r="DT61" s="321" t="s">
        <v>69</v>
      </c>
      <c r="DU61" s="321" t="s">
        <v>69</v>
      </c>
      <c r="DV61" s="317">
        <f t="shared" si="1"/>
        <v>0.15873015873015872</v>
      </c>
      <c r="DW61" s="356">
        <f t="shared" si="0"/>
        <v>0.55555555555555558</v>
      </c>
      <c r="DX61" s="156" t="str">
        <f>VLOOKUP(B61,[1]Pointage!$A:$D,4,0)</f>
        <v>Mourad Saitali</v>
      </c>
    </row>
    <row r="62" spans="1:412" s="156" customFormat="1" ht="118.5" hidden="1" customHeight="1">
      <c r="A62" s="312">
        <v>46</v>
      </c>
      <c r="B62" s="318" t="s">
        <v>686</v>
      </c>
      <c r="C62" s="383" t="s">
        <v>687</v>
      </c>
      <c r="D62" s="376">
        <v>45691</v>
      </c>
      <c r="E62" s="320" t="s">
        <v>217</v>
      </c>
      <c r="F62" s="381" t="s">
        <v>633</v>
      </c>
      <c r="G62" s="321" t="s">
        <v>69</v>
      </c>
      <c r="H62" s="321" t="s">
        <v>69</v>
      </c>
      <c r="I62" s="321" t="s">
        <v>69</v>
      </c>
      <c r="J62" s="321" t="s">
        <v>69</v>
      </c>
      <c r="K62" s="321" t="s">
        <v>69</v>
      </c>
      <c r="L62" s="321" t="s">
        <v>69</v>
      </c>
      <c r="M62" s="321" t="s">
        <v>69</v>
      </c>
      <c r="N62" s="321" t="s">
        <v>69</v>
      </c>
      <c r="O62" s="321" t="s">
        <v>69</v>
      </c>
      <c r="P62" s="321" t="s">
        <v>69</v>
      </c>
      <c r="Q62" s="321" t="s">
        <v>69</v>
      </c>
      <c r="R62" s="321" t="s">
        <v>69</v>
      </c>
      <c r="S62" s="321" t="s">
        <v>69</v>
      </c>
      <c r="T62" s="321" t="s">
        <v>69</v>
      </c>
      <c r="U62" s="321" t="s">
        <v>69</v>
      </c>
      <c r="V62" s="321" t="s">
        <v>69</v>
      </c>
      <c r="W62" s="321">
        <v>4</v>
      </c>
      <c r="X62" s="321" t="s">
        <v>69</v>
      </c>
      <c r="Y62" s="321">
        <v>3</v>
      </c>
      <c r="Z62" s="321" t="s">
        <v>69</v>
      </c>
      <c r="AA62" s="321" t="s">
        <v>69</v>
      </c>
      <c r="AB62" s="321" t="s">
        <v>69</v>
      </c>
      <c r="AC62" s="321" t="s">
        <v>69</v>
      </c>
      <c r="AD62" s="321" t="s">
        <v>69</v>
      </c>
      <c r="AE62" s="321" t="s">
        <v>69</v>
      </c>
      <c r="AF62" s="321" t="s">
        <v>69</v>
      </c>
      <c r="AG62" s="321">
        <v>4</v>
      </c>
      <c r="AH62" s="321" t="s">
        <v>69</v>
      </c>
      <c r="AI62" s="321" t="s">
        <v>69</v>
      </c>
      <c r="AJ62" s="321">
        <v>4</v>
      </c>
      <c r="AK62" s="321" t="s">
        <v>69</v>
      </c>
      <c r="AL62" s="321" t="s">
        <v>69</v>
      </c>
      <c r="AM62" s="321" t="s">
        <v>69</v>
      </c>
      <c r="AN62" s="321" t="s">
        <v>69</v>
      </c>
      <c r="AO62" s="321" t="s">
        <v>69</v>
      </c>
      <c r="AP62" s="321" t="s">
        <v>69</v>
      </c>
      <c r="AQ62" s="321" t="s">
        <v>69</v>
      </c>
      <c r="AR62" s="321" t="s">
        <v>69</v>
      </c>
      <c r="AS62" s="321" t="s">
        <v>69</v>
      </c>
      <c r="AT62" s="321" t="s">
        <v>69</v>
      </c>
      <c r="AU62" s="321" t="s">
        <v>69</v>
      </c>
      <c r="AV62" s="321" t="s">
        <v>69</v>
      </c>
      <c r="AW62" s="321" t="s">
        <v>69</v>
      </c>
      <c r="AX62" s="321" t="s">
        <v>69</v>
      </c>
      <c r="AY62" s="321" t="s">
        <v>69</v>
      </c>
      <c r="AZ62" s="321" t="s">
        <v>69</v>
      </c>
      <c r="BA62" s="321" t="s">
        <v>69</v>
      </c>
      <c r="BB62" s="321" t="s">
        <v>69</v>
      </c>
      <c r="BC62" s="321" t="s">
        <v>69</v>
      </c>
      <c r="BD62" s="321" t="s">
        <v>69</v>
      </c>
      <c r="BE62" s="321" t="s">
        <v>69</v>
      </c>
      <c r="BF62" s="321" t="s">
        <v>69</v>
      </c>
      <c r="BG62" s="321" t="s">
        <v>69</v>
      </c>
      <c r="BH62" s="321">
        <v>3</v>
      </c>
      <c r="BI62" s="321" t="s">
        <v>69</v>
      </c>
      <c r="BJ62" s="321" t="s">
        <v>69</v>
      </c>
      <c r="BK62" s="321" t="s">
        <v>69</v>
      </c>
      <c r="BL62" s="321" t="s">
        <v>69</v>
      </c>
      <c r="BM62" s="321" t="s">
        <v>69</v>
      </c>
      <c r="BN62" s="321" t="s">
        <v>69</v>
      </c>
      <c r="BO62" s="321" t="s">
        <v>69</v>
      </c>
      <c r="BP62" s="321" t="s">
        <v>69</v>
      </c>
      <c r="BQ62" s="321" t="s">
        <v>69</v>
      </c>
      <c r="BR62" s="321" t="s">
        <v>69</v>
      </c>
      <c r="BS62" s="321" t="s">
        <v>69</v>
      </c>
      <c r="BT62" s="321" t="s">
        <v>69</v>
      </c>
      <c r="BU62" s="321" t="s">
        <v>69</v>
      </c>
      <c r="BV62" s="321" t="s">
        <v>69</v>
      </c>
      <c r="BW62" s="321" t="s">
        <v>69</v>
      </c>
      <c r="BX62" s="321">
        <v>4</v>
      </c>
      <c r="BY62" s="321">
        <v>3</v>
      </c>
      <c r="BZ62" s="321" t="s">
        <v>69</v>
      </c>
      <c r="CA62" s="321" t="s">
        <v>69</v>
      </c>
      <c r="CB62" s="321" t="s">
        <v>69</v>
      </c>
      <c r="CC62" s="321" t="s">
        <v>69</v>
      </c>
      <c r="CD62" s="321" t="s">
        <v>69</v>
      </c>
      <c r="CE62" s="321" t="s">
        <v>69</v>
      </c>
      <c r="CF62" s="321" t="s">
        <v>69</v>
      </c>
      <c r="CG62" s="321" t="s">
        <v>69</v>
      </c>
      <c r="CH62" s="321" t="s">
        <v>69</v>
      </c>
      <c r="CI62" s="321" t="s">
        <v>69</v>
      </c>
      <c r="CJ62" s="321" t="s">
        <v>69</v>
      </c>
      <c r="CK62" s="321" t="s">
        <v>69</v>
      </c>
      <c r="CL62" s="321" t="s">
        <v>69</v>
      </c>
      <c r="CM62" s="321">
        <v>3</v>
      </c>
      <c r="CN62" s="321" t="s">
        <v>69</v>
      </c>
      <c r="CO62" s="321">
        <v>3</v>
      </c>
      <c r="CP62" s="321">
        <v>3</v>
      </c>
      <c r="CQ62" s="321" t="s">
        <v>69</v>
      </c>
      <c r="CR62" s="321" t="s">
        <v>69</v>
      </c>
      <c r="CS62" s="321" t="s">
        <v>69</v>
      </c>
      <c r="CT62" s="321" t="s">
        <v>69</v>
      </c>
      <c r="CU62" s="321" t="s">
        <v>69</v>
      </c>
      <c r="CV62" s="321">
        <v>2</v>
      </c>
      <c r="CW62" s="321" t="s">
        <v>69</v>
      </c>
      <c r="CX62" s="321" t="s">
        <v>69</v>
      </c>
      <c r="CY62" s="321" t="s">
        <v>69</v>
      </c>
      <c r="CZ62" s="321" t="s">
        <v>69</v>
      </c>
      <c r="DA62" s="321">
        <v>4</v>
      </c>
      <c r="DB62" s="321" t="s">
        <v>69</v>
      </c>
      <c r="DC62" s="321">
        <v>4</v>
      </c>
      <c r="DD62" s="321" t="s">
        <v>69</v>
      </c>
      <c r="DE62" s="321" t="s">
        <v>69</v>
      </c>
      <c r="DF62" s="321">
        <v>4</v>
      </c>
      <c r="DG62" s="321">
        <v>3</v>
      </c>
      <c r="DH62" s="321" t="s">
        <v>69</v>
      </c>
      <c r="DI62" s="321" t="s">
        <v>69</v>
      </c>
      <c r="DJ62" s="321" t="s">
        <v>69</v>
      </c>
      <c r="DK62" s="321" t="s">
        <v>69</v>
      </c>
      <c r="DL62" s="321" t="s">
        <v>69</v>
      </c>
      <c r="DM62" s="321" t="s">
        <v>69</v>
      </c>
      <c r="DN62" s="321" t="s">
        <v>69</v>
      </c>
      <c r="DO62" s="321" t="s">
        <v>69</v>
      </c>
      <c r="DP62" s="321" t="s">
        <v>69</v>
      </c>
      <c r="DQ62" s="321" t="s">
        <v>69</v>
      </c>
      <c r="DR62" s="321">
        <v>4</v>
      </c>
      <c r="DS62" s="321" t="s">
        <v>69</v>
      </c>
      <c r="DT62" s="321" t="s">
        <v>69</v>
      </c>
      <c r="DU62" s="321" t="s">
        <v>69</v>
      </c>
      <c r="DV62" s="317">
        <f t="shared" si="1"/>
        <v>0.25396825396825395</v>
      </c>
      <c r="DW62" s="356">
        <f t="shared" si="0"/>
        <v>0.9375</v>
      </c>
      <c r="DX62" s="156" t="str">
        <f>VLOOKUP(B62,[1]Pointage!$A:$D,4,0)</f>
        <v>Mourad Saitali</v>
      </c>
    </row>
    <row r="63" spans="1:412" s="156" customFormat="1" ht="118.5" hidden="1" customHeight="1">
      <c r="A63" s="312">
        <v>47</v>
      </c>
      <c r="B63" s="318" t="s">
        <v>688</v>
      </c>
      <c r="C63" s="383" t="s">
        <v>1141</v>
      </c>
      <c r="D63" s="376">
        <v>45691</v>
      </c>
      <c r="E63" s="320" t="s">
        <v>216</v>
      </c>
      <c r="F63" s="381" t="s">
        <v>633</v>
      </c>
      <c r="G63" s="321">
        <v>3</v>
      </c>
      <c r="H63" s="321">
        <v>2</v>
      </c>
      <c r="I63" s="321">
        <v>3</v>
      </c>
      <c r="J63" s="321">
        <v>4</v>
      </c>
      <c r="K63" s="321" t="s">
        <v>69</v>
      </c>
      <c r="L63" s="321" t="s">
        <v>69</v>
      </c>
      <c r="M63" s="321" t="s">
        <v>69</v>
      </c>
      <c r="N63" s="321" t="s">
        <v>69</v>
      </c>
      <c r="O63" s="321" t="s">
        <v>69</v>
      </c>
      <c r="P63" s="321">
        <v>3</v>
      </c>
      <c r="Q63" s="321">
        <v>3</v>
      </c>
      <c r="R63" s="321" t="s">
        <v>69</v>
      </c>
      <c r="S63" s="321" t="s">
        <v>69</v>
      </c>
      <c r="T63" s="321" t="s">
        <v>69</v>
      </c>
      <c r="U63" s="321" t="s">
        <v>69</v>
      </c>
      <c r="V63" s="321" t="s">
        <v>69</v>
      </c>
      <c r="W63" s="321">
        <v>2</v>
      </c>
      <c r="X63" s="321" t="s">
        <v>69</v>
      </c>
      <c r="Y63" s="321">
        <v>2</v>
      </c>
      <c r="Z63" s="321" t="s">
        <v>69</v>
      </c>
      <c r="AA63" s="321" t="s">
        <v>69</v>
      </c>
      <c r="AB63" s="321" t="s">
        <v>69</v>
      </c>
      <c r="AC63" s="321" t="s">
        <v>69</v>
      </c>
      <c r="AD63" s="321" t="s">
        <v>69</v>
      </c>
      <c r="AE63" s="321" t="s">
        <v>69</v>
      </c>
      <c r="AF63" s="321" t="s">
        <v>69</v>
      </c>
      <c r="AG63" s="321" t="s">
        <v>69</v>
      </c>
      <c r="AH63" s="321" t="s">
        <v>69</v>
      </c>
      <c r="AI63" s="321" t="s">
        <v>69</v>
      </c>
      <c r="AJ63" s="321" t="s">
        <v>69</v>
      </c>
      <c r="AK63" s="321" t="s">
        <v>69</v>
      </c>
      <c r="AL63" s="321" t="s">
        <v>69</v>
      </c>
      <c r="AM63" s="321" t="s">
        <v>69</v>
      </c>
      <c r="AN63" s="321" t="s">
        <v>69</v>
      </c>
      <c r="AO63" s="321" t="s">
        <v>69</v>
      </c>
      <c r="AP63" s="321" t="s">
        <v>69</v>
      </c>
      <c r="AQ63" s="321" t="s">
        <v>69</v>
      </c>
      <c r="AR63" s="321" t="s">
        <v>69</v>
      </c>
      <c r="AS63" s="321">
        <v>3</v>
      </c>
      <c r="AT63" s="321">
        <v>3</v>
      </c>
      <c r="AU63" s="321">
        <v>3</v>
      </c>
      <c r="AV63" s="321">
        <v>3</v>
      </c>
      <c r="AW63" s="321">
        <v>3</v>
      </c>
      <c r="AX63" s="321">
        <v>3</v>
      </c>
      <c r="AY63" s="321">
        <v>3</v>
      </c>
      <c r="AZ63" s="321">
        <v>4</v>
      </c>
      <c r="BA63" s="321">
        <v>4</v>
      </c>
      <c r="BB63" s="321" t="s">
        <v>69</v>
      </c>
      <c r="BC63" s="321" t="s">
        <v>69</v>
      </c>
      <c r="BD63" s="321" t="s">
        <v>69</v>
      </c>
      <c r="BE63" s="321">
        <v>3</v>
      </c>
      <c r="BF63" s="321">
        <v>4</v>
      </c>
      <c r="BG63" s="321">
        <v>4</v>
      </c>
      <c r="BH63" s="321" t="s">
        <v>69</v>
      </c>
      <c r="BI63" s="321" t="s">
        <v>69</v>
      </c>
      <c r="BJ63" s="321" t="s">
        <v>69</v>
      </c>
      <c r="BK63" s="321" t="s">
        <v>69</v>
      </c>
      <c r="BL63" s="321" t="s">
        <v>69</v>
      </c>
      <c r="BM63" s="321" t="s">
        <v>69</v>
      </c>
      <c r="BN63" s="321" t="s">
        <v>69</v>
      </c>
      <c r="BO63" s="321" t="s">
        <v>69</v>
      </c>
      <c r="BP63" s="321" t="s">
        <v>69</v>
      </c>
      <c r="BQ63" s="321" t="s">
        <v>69</v>
      </c>
      <c r="BR63" s="321" t="s">
        <v>69</v>
      </c>
      <c r="BS63" s="321">
        <v>4</v>
      </c>
      <c r="BT63" s="321">
        <v>4</v>
      </c>
      <c r="BU63" s="321" t="s">
        <v>69</v>
      </c>
      <c r="BV63" s="321" t="s">
        <v>69</v>
      </c>
      <c r="BW63" s="321" t="s">
        <v>69</v>
      </c>
      <c r="BX63" s="321" t="s">
        <v>69</v>
      </c>
      <c r="BY63" s="321" t="s">
        <v>69</v>
      </c>
      <c r="BZ63" s="321" t="s">
        <v>69</v>
      </c>
      <c r="CA63" s="321" t="s">
        <v>69</v>
      </c>
      <c r="CB63" s="321" t="s">
        <v>69</v>
      </c>
      <c r="CC63" s="321" t="s">
        <v>69</v>
      </c>
      <c r="CD63" s="321" t="s">
        <v>69</v>
      </c>
      <c r="CE63" s="321" t="s">
        <v>69</v>
      </c>
      <c r="CF63" s="321" t="s">
        <v>69</v>
      </c>
      <c r="CG63" s="321">
        <v>2</v>
      </c>
      <c r="CH63" s="321" t="s">
        <v>69</v>
      </c>
      <c r="CI63" s="321" t="s">
        <v>69</v>
      </c>
      <c r="CJ63" s="321" t="s">
        <v>69</v>
      </c>
      <c r="CK63" s="321">
        <v>3</v>
      </c>
      <c r="CL63" s="321" t="s">
        <v>69</v>
      </c>
      <c r="CM63" s="321">
        <v>2</v>
      </c>
      <c r="CN63" s="321">
        <v>2</v>
      </c>
      <c r="CO63" s="321">
        <v>2</v>
      </c>
      <c r="CP63" s="321">
        <v>2</v>
      </c>
      <c r="CQ63" s="321" t="s">
        <v>69</v>
      </c>
      <c r="CR63" s="321" t="s">
        <v>69</v>
      </c>
      <c r="CS63" s="321" t="s">
        <v>69</v>
      </c>
      <c r="CT63" s="321" t="s">
        <v>69</v>
      </c>
      <c r="CU63" s="321" t="s">
        <v>69</v>
      </c>
      <c r="CV63" s="321" t="s">
        <v>69</v>
      </c>
      <c r="CW63" s="321" t="s">
        <v>69</v>
      </c>
      <c r="CX63" s="321" t="s">
        <v>69</v>
      </c>
      <c r="CY63" s="321" t="s">
        <v>69</v>
      </c>
      <c r="CZ63" s="321" t="s">
        <v>69</v>
      </c>
      <c r="DA63" s="321" t="s">
        <v>69</v>
      </c>
      <c r="DB63" s="321" t="s">
        <v>69</v>
      </c>
      <c r="DC63" s="321" t="s">
        <v>69</v>
      </c>
      <c r="DD63" s="321" t="s">
        <v>69</v>
      </c>
      <c r="DE63" s="321" t="s">
        <v>69</v>
      </c>
      <c r="DF63" s="321" t="s">
        <v>69</v>
      </c>
      <c r="DG63" s="321" t="s">
        <v>69</v>
      </c>
      <c r="DH63" s="321" t="s">
        <v>69</v>
      </c>
      <c r="DI63" s="321" t="s">
        <v>69</v>
      </c>
      <c r="DJ63" s="321" t="s">
        <v>69</v>
      </c>
      <c r="DK63" s="321" t="s">
        <v>69</v>
      </c>
      <c r="DL63" s="321" t="s">
        <v>69</v>
      </c>
      <c r="DM63" s="321" t="s">
        <v>69</v>
      </c>
      <c r="DN63" s="321" t="s">
        <v>69</v>
      </c>
      <c r="DO63" s="321" t="s">
        <v>69</v>
      </c>
      <c r="DP63" s="321" t="s">
        <v>69</v>
      </c>
      <c r="DQ63" s="321" t="s">
        <v>69</v>
      </c>
      <c r="DR63" s="321" t="s">
        <v>69</v>
      </c>
      <c r="DS63" s="321" t="s">
        <v>69</v>
      </c>
      <c r="DT63" s="321" t="s">
        <v>69</v>
      </c>
      <c r="DU63" s="321" t="s">
        <v>69</v>
      </c>
      <c r="DV63" s="317">
        <f t="shared" si="1"/>
        <v>0.44444444444444442</v>
      </c>
      <c r="DW63" s="356">
        <f t="shared" si="0"/>
        <v>0.7142857142857143</v>
      </c>
      <c r="DX63" s="156" t="str">
        <f>VLOOKUP(B63,[1]Pointage!$A:$D,4,0)</f>
        <v>Mourad Saitali</v>
      </c>
    </row>
    <row r="64" spans="1:412" s="156" customFormat="1" ht="118.5" hidden="1" customHeight="1">
      <c r="A64" s="312">
        <v>48</v>
      </c>
      <c r="B64" s="318" t="s">
        <v>690</v>
      </c>
      <c r="C64" s="383" t="s">
        <v>1140</v>
      </c>
      <c r="D64" s="376">
        <v>45691</v>
      </c>
      <c r="E64" s="320" t="s">
        <v>217</v>
      </c>
      <c r="F64" s="381" t="s">
        <v>633</v>
      </c>
      <c r="G64" s="321" t="s">
        <v>69</v>
      </c>
      <c r="H64" s="321" t="s">
        <v>69</v>
      </c>
      <c r="I64" s="321" t="s">
        <v>69</v>
      </c>
      <c r="J64" s="321" t="s">
        <v>69</v>
      </c>
      <c r="K64" s="321" t="s">
        <v>69</v>
      </c>
      <c r="L64" s="321" t="s">
        <v>69</v>
      </c>
      <c r="M64" s="321" t="s">
        <v>69</v>
      </c>
      <c r="N64" s="321" t="s">
        <v>69</v>
      </c>
      <c r="O64" s="321" t="s">
        <v>69</v>
      </c>
      <c r="P64" s="321" t="s">
        <v>69</v>
      </c>
      <c r="Q64" s="321" t="s">
        <v>69</v>
      </c>
      <c r="R64" s="321" t="s">
        <v>69</v>
      </c>
      <c r="S64" s="321" t="s">
        <v>69</v>
      </c>
      <c r="T64" s="321" t="s">
        <v>69</v>
      </c>
      <c r="U64" s="321" t="s">
        <v>69</v>
      </c>
      <c r="V64" s="321" t="s">
        <v>69</v>
      </c>
      <c r="W64" s="321" t="s">
        <v>69</v>
      </c>
      <c r="X64" s="321" t="s">
        <v>69</v>
      </c>
      <c r="Y64" s="321" t="s">
        <v>69</v>
      </c>
      <c r="Z64" s="321" t="s">
        <v>69</v>
      </c>
      <c r="AA64" s="321" t="s">
        <v>69</v>
      </c>
      <c r="AB64" s="321" t="s">
        <v>69</v>
      </c>
      <c r="AC64" s="321" t="s">
        <v>69</v>
      </c>
      <c r="AD64" s="321" t="s">
        <v>69</v>
      </c>
      <c r="AE64" s="321" t="s">
        <v>69</v>
      </c>
      <c r="AF64" s="321" t="s">
        <v>69</v>
      </c>
      <c r="AG64" s="321" t="s">
        <v>69</v>
      </c>
      <c r="AH64" s="321" t="s">
        <v>69</v>
      </c>
      <c r="AI64" s="321" t="s">
        <v>69</v>
      </c>
      <c r="AJ64" s="321" t="s">
        <v>69</v>
      </c>
      <c r="AK64" s="321" t="s">
        <v>69</v>
      </c>
      <c r="AL64" s="321" t="s">
        <v>69</v>
      </c>
      <c r="AM64" s="321">
        <v>4</v>
      </c>
      <c r="AN64" s="321">
        <v>4</v>
      </c>
      <c r="AO64" s="321">
        <v>4</v>
      </c>
      <c r="AP64" s="321">
        <v>4</v>
      </c>
      <c r="AQ64" s="321" t="s">
        <v>69</v>
      </c>
      <c r="AR64" s="321" t="s">
        <v>69</v>
      </c>
      <c r="AS64" s="321" t="s">
        <v>69</v>
      </c>
      <c r="AT64" s="321" t="s">
        <v>69</v>
      </c>
      <c r="AU64" s="321" t="s">
        <v>69</v>
      </c>
      <c r="AV64" s="321" t="s">
        <v>69</v>
      </c>
      <c r="AW64" s="321" t="s">
        <v>69</v>
      </c>
      <c r="AX64" s="321" t="s">
        <v>69</v>
      </c>
      <c r="AY64" s="321" t="s">
        <v>69</v>
      </c>
      <c r="AZ64" s="321" t="s">
        <v>69</v>
      </c>
      <c r="BA64" s="321" t="s">
        <v>69</v>
      </c>
      <c r="BB64" s="321" t="s">
        <v>69</v>
      </c>
      <c r="BC64" s="321" t="s">
        <v>69</v>
      </c>
      <c r="BD64" s="321" t="s">
        <v>69</v>
      </c>
      <c r="BE64" s="321" t="s">
        <v>69</v>
      </c>
      <c r="BF64" s="321" t="s">
        <v>69</v>
      </c>
      <c r="BG64" s="321" t="s">
        <v>69</v>
      </c>
      <c r="BH64" s="321">
        <v>4</v>
      </c>
      <c r="BI64" s="321" t="s">
        <v>69</v>
      </c>
      <c r="BJ64" s="321" t="s">
        <v>69</v>
      </c>
      <c r="BK64" s="321" t="s">
        <v>69</v>
      </c>
      <c r="BL64" s="321" t="s">
        <v>69</v>
      </c>
      <c r="BM64" s="321" t="s">
        <v>69</v>
      </c>
      <c r="BN64" s="321" t="s">
        <v>69</v>
      </c>
      <c r="BO64" s="321" t="s">
        <v>69</v>
      </c>
      <c r="BP64" s="321" t="s">
        <v>69</v>
      </c>
      <c r="BQ64" s="321" t="s">
        <v>69</v>
      </c>
      <c r="BR64" s="321" t="s">
        <v>69</v>
      </c>
      <c r="BS64" s="321" t="s">
        <v>69</v>
      </c>
      <c r="BT64" s="321" t="s">
        <v>69</v>
      </c>
      <c r="BU64" s="321">
        <v>3</v>
      </c>
      <c r="BV64" s="321" t="s">
        <v>69</v>
      </c>
      <c r="BW64" s="321" t="s">
        <v>69</v>
      </c>
      <c r="BX64" s="321" t="s">
        <v>69</v>
      </c>
      <c r="BY64" s="321" t="s">
        <v>69</v>
      </c>
      <c r="BZ64" s="321" t="s">
        <v>69</v>
      </c>
      <c r="CA64" s="321" t="s">
        <v>69</v>
      </c>
      <c r="CB64" s="321" t="s">
        <v>69</v>
      </c>
      <c r="CC64" s="321" t="s">
        <v>69</v>
      </c>
      <c r="CD64" s="321" t="s">
        <v>69</v>
      </c>
      <c r="CE64" s="321" t="s">
        <v>69</v>
      </c>
      <c r="CF64" s="321" t="s">
        <v>69</v>
      </c>
      <c r="CG64" s="321" t="s">
        <v>69</v>
      </c>
      <c r="CH64" s="321" t="s">
        <v>69</v>
      </c>
      <c r="CI64" s="321" t="s">
        <v>69</v>
      </c>
      <c r="CJ64" s="321" t="s">
        <v>69</v>
      </c>
      <c r="CK64" s="321" t="s">
        <v>69</v>
      </c>
      <c r="CL64" s="321" t="s">
        <v>69</v>
      </c>
      <c r="CM64" s="321" t="s">
        <v>69</v>
      </c>
      <c r="CN64" s="321" t="s">
        <v>69</v>
      </c>
      <c r="CO64" s="321" t="s">
        <v>69</v>
      </c>
      <c r="CP64" s="321" t="s">
        <v>69</v>
      </c>
      <c r="CQ64" s="321" t="s">
        <v>69</v>
      </c>
      <c r="CR64" s="321" t="s">
        <v>69</v>
      </c>
      <c r="CS64" s="321" t="s">
        <v>69</v>
      </c>
      <c r="CT64" s="321" t="s">
        <v>69</v>
      </c>
      <c r="CU64" s="321" t="s">
        <v>69</v>
      </c>
      <c r="CV64" s="321" t="s">
        <v>69</v>
      </c>
      <c r="CW64" s="321" t="s">
        <v>69</v>
      </c>
      <c r="CX64" s="321" t="s">
        <v>69</v>
      </c>
      <c r="CY64" s="321" t="s">
        <v>69</v>
      </c>
      <c r="CZ64" s="321" t="s">
        <v>69</v>
      </c>
      <c r="DA64" s="321">
        <v>2</v>
      </c>
      <c r="DB64" s="321" t="s">
        <v>69</v>
      </c>
      <c r="DC64" s="321">
        <v>1</v>
      </c>
      <c r="DD64" s="321" t="s">
        <v>69</v>
      </c>
      <c r="DE64" s="321" t="s">
        <v>69</v>
      </c>
      <c r="DF64" s="321" t="s">
        <v>69</v>
      </c>
      <c r="DG64" s="321" t="s">
        <v>69</v>
      </c>
      <c r="DH64" s="321" t="s">
        <v>69</v>
      </c>
      <c r="DI64" s="321" t="s">
        <v>69</v>
      </c>
      <c r="DJ64" s="321" t="s">
        <v>69</v>
      </c>
      <c r="DK64" s="321" t="s">
        <v>69</v>
      </c>
      <c r="DL64" s="321" t="s">
        <v>69</v>
      </c>
      <c r="DM64" s="321" t="s">
        <v>69</v>
      </c>
      <c r="DN64" s="321" t="s">
        <v>69</v>
      </c>
      <c r="DO64" s="321" t="s">
        <v>69</v>
      </c>
      <c r="DP64" s="321" t="s">
        <v>69</v>
      </c>
      <c r="DQ64" s="321" t="s">
        <v>69</v>
      </c>
      <c r="DR64" s="321" t="s">
        <v>69</v>
      </c>
      <c r="DS64" s="321" t="s">
        <v>69</v>
      </c>
      <c r="DT64" s="321" t="s">
        <v>69</v>
      </c>
      <c r="DU64" s="321" t="s">
        <v>69</v>
      </c>
      <c r="DV64" s="317">
        <f t="shared" si="1"/>
        <v>0.12698412698412698</v>
      </c>
      <c r="DW64" s="356">
        <f t="shared" si="0"/>
        <v>0.8571428571428571</v>
      </c>
      <c r="DX64" s="156" t="str">
        <f>VLOOKUP(B64,[1]Pointage!$A:$D,4,0)</f>
        <v>Mourad Saitali</v>
      </c>
    </row>
    <row r="65" spans="1:247" s="156" customFormat="1" ht="118.5" hidden="1" customHeight="1">
      <c r="A65" s="312">
        <v>49</v>
      </c>
      <c r="B65" s="318" t="s">
        <v>692</v>
      </c>
      <c r="C65" s="383" t="s">
        <v>693</v>
      </c>
      <c r="D65" s="377">
        <v>45691</v>
      </c>
      <c r="E65" s="320" t="s">
        <v>217</v>
      </c>
      <c r="F65" s="381" t="s">
        <v>633</v>
      </c>
      <c r="G65" s="321" t="s">
        <v>69</v>
      </c>
      <c r="H65" s="321" t="s">
        <v>69</v>
      </c>
      <c r="I65" s="321" t="s">
        <v>69</v>
      </c>
      <c r="J65" s="321" t="s">
        <v>69</v>
      </c>
      <c r="K65" s="321" t="s">
        <v>69</v>
      </c>
      <c r="L65" s="321" t="s">
        <v>69</v>
      </c>
      <c r="M65" s="321" t="s">
        <v>69</v>
      </c>
      <c r="N65" s="321" t="s">
        <v>69</v>
      </c>
      <c r="O65" s="321" t="s">
        <v>69</v>
      </c>
      <c r="P65" s="321" t="s">
        <v>69</v>
      </c>
      <c r="Q65" s="321" t="s">
        <v>69</v>
      </c>
      <c r="R65" s="321" t="s">
        <v>69</v>
      </c>
      <c r="S65" s="321" t="s">
        <v>69</v>
      </c>
      <c r="T65" s="321" t="s">
        <v>69</v>
      </c>
      <c r="U65" s="321" t="s">
        <v>69</v>
      </c>
      <c r="V65" s="321" t="s">
        <v>69</v>
      </c>
      <c r="W65" s="321" t="s">
        <v>69</v>
      </c>
      <c r="X65" s="321" t="s">
        <v>69</v>
      </c>
      <c r="Y65" s="321">
        <v>1</v>
      </c>
      <c r="Z65" s="321" t="s">
        <v>69</v>
      </c>
      <c r="AA65" s="321" t="s">
        <v>69</v>
      </c>
      <c r="AB65" s="321" t="s">
        <v>69</v>
      </c>
      <c r="AC65" s="321" t="s">
        <v>69</v>
      </c>
      <c r="AD65" s="321" t="s">
        <v>69</v>
      </c>
      <c r="AE65" s="321" t="s">
        <v>69</v>
      </c>
      <c r="AF65" s="321" t="s">
        <v>69</v>
      </c>
      <c r="AG65" s="321" t="s">
        <v>69</v>
      </c>
      <c r="AH65" s="321" t="s">
        <v>69</v>
      </c>
      <c r="AI65" s="321" t="s">
        <v>69</v>
      </c>
      <c r="AJ65" s="321" t="s">
        <v>69</v>
      </c>
      <c r="AK65" s="321" t="s">
        <v>69</v>
      </c>
      <c r="AL65" s="321" t="s">
        <v>69</v>
      </c>
      <c r="AM65" s="321" t="s">
        <v>69</v>
      </c>
      <c r="AN65" s="321" t="s">
        <v>69</v>
      </c>
      <c r="AO65" s="321" t="s">
        <v>69</v>
      </c>
      <c r="AP65" s="321" t="s">
        <v>69</v>
      </c>
      <c r="AQ65" s="321" t="s">
        <v>69</v>
      </c>
      <c r="AR65" s="321" t="s">
        <v>69</v>
      </c>
      <c r="AS65" s="321" t="s">
        <v>69</v>
      </c>
      <c r="AT65" s="321" t="s">
        <v>69</v>
      </c>
      <c r="AU65" s="321" t="s">
        <v>69</v>
      </c>
      <c r="AV65" s="321" t="s">
        <v>69</v>
      </c>
      <c r="AW65" s="321" t="s">
        <v>69</v>
      </c>
      <c r="AX65" s="321" t="s">
        <v>69</v>
      </c>
      <c r="AY65" s="321" t="s">
        <v>69</v>
      </c>
      <c r="AZ65" s="321" t="s">
        <v>69</v>
      </c>
      <c r="BA65" s="321" t="s">
        <v>69</v>
      </c>
      <c r="BB65" s="321" t="s">
        <v>69</v>
      </c>
      <c r="BC65" s="321" t="s">
        <v>69</v>
      </c>
      <c r="BD65" s="321" t="s">
        <v>69</v>
      </c>
      <c r="BE65" s="321" t="s">
        <v>69</v>
      </c>
      <c r="BF65" s="321" t="s">
        <v>69</v>
      </c>
      <c r="BG65" s="321" t="s">
        <v>69</v>
      </c>
      <c r="BH65" s="321" t="s">
        <v>69</v>
      </c>
      <c r="BI65" s="321" t="s">
        <v>69</v>
      </c>
      <c r="BJ65" s="321" t="s">
        <v>69</v>
      </c>
      <c r="BK65" s="321" t="s">
        <v>69</v>
      </c>
      <c r="BL65" s="321" t="s">
        <v>69</v>
      </c>
      <c r="BM65" s="321" t="s">
        <v>69</v>
      </c>
      <c r="BN65" s="321" t="s">
        <v>69</v>
      </c>
      <c r="BO65" s="321" t="s">
        <v>69</v>
      </c>
      <c r="BP65" s="321" t="s">
        <v>69</v>
      </c>
      <c r="BQ65" s="321" t="s">
        <v>69</v>
      </c>
      <c r="BR65" s="321" t="s">
        <v>69</v>
      </c>
      <c r="BS65" s="321" t="s">
        <v>69</v>
      </c>
      <c r="BT65" s="321" t="s">
        <v>69</v>
      </c>
      <c r="BU65" s="321" t="s">
        <v>69</v>
      </c>
      <c r="BV65" s="321" t="s">
        <v>69</v>
      </c>
      <c r="BW65" s="321" t="s">
        <v>69</v>
      </c>
      <c r="BX65" s="321" t="s">
        <v>69</v>
      </c>
      <c r="BY65" s="321" t="s">
        <v>69</v>
      </c>
      <c r="BZ65" s="321" t="s">
        <v>69</v>
      </c>
      <c r="CA65" s="321" t="s">
        <v>69</v>
      </c>
      <c r="CB65" s="321" t="s">
        <v>69</v>
      </c>
      <c r="CC65" s="321" t="s">
        <v>69</v>
      </c>
      <c r="CD65" s="321" t="s">
        <v>69</v>
      </c>
      <c r="CE65" s="321" t="s">
        <v>69</v>
      </c>
      <c r="CF65" s="321" t="s">
        <v>69</v>
      </c>
      <c r="CG65" s="321" t="s">
        <v>69</v>
      </c>
      <c r="CH65" s="321" t="s">
        <v>69</v>
      </c>
      <c r="CI65" s="321" t="s">
        <v>69</v>
      </c>
      <c r="CJ65" s="321" t="s">
        <v>69</v>
      </c>
      <c r="CK65" s="321" t="s">
        <v>69</v>
      </c>
      <c r="CL65" s="321" t="s">
        <v>69</v>
      </c>
      <c r="CM65" s="321">
        <v>3</v>
      </c>
      <c r="CN65" s="321">
        <v>3</v>
      </c>
      <c r="CO65" s="321">
        <v>3</v>
      </c>
      <c r="CP65" s="321">
        <v>3</v>
      </c>
      <c r="CQ65" s="321">
        <v>3</v>
      </c>
      <c r="CR65" s="321" t="s">
        <v>69</v>
      </c>
      <c r="CS65" s="321" t="s">
        <v>69</v>
      </c>
      <c r="CT65" s="321" t="s">
        <v>69</v>
      </c>
      <c r="CU65" s="321" t="s">
        <v>69</v>
      </c>
      <c r="CV65" s="321" t="s">
        <v>69</v>
      </c>
      <c r="CW65" s="321" t="s">
        <v>69</v>
      </c>
      <c r="CX65" s="321" t="s">
        <v>69</v>
      </c>
      <c r="CY65" s="321" t="s">
        <v>69</v>
      </c>
      <c r="CZ65" s="321" t="s">
        <v>69</v>
      </c>
      <c r="DA65" s="321" t="s">
        <v>69</v>
      </c>
      <c r="DB65" s="321" t="s">
        <v>69</v>
      </c>
      <c r="DC65" s="321" t="s">
        <v>69</v>
      </c>
      <c r="DD65" s="321" t="s">
        <v>69</v>
      </c>
      <c r="DE65" s="321" t="s">
        <v>69</v>
      </c>
      <c r="DF65" s="321" t="s">
        <v>69</v>
      </c>
      <c r="DG65" s="321" t="s">
        <v>69</v>
      </c>
      <c r="DH65" s="321" t="s">
        <v>69</v>
      </c>
      <c r="DI65" s="321" t="s">
        <v>69</v>
      </c>
      <c r="DJ65" s="321" t="s">
        <v>69</v>
      </c>
      <c r="DK65" s="321" t="s">
        <v>69</v>
      </c>
      <c r="DL65" s="321" t="s">
        <v>69</v>
      </c>
      <c r="DM65" s="321" t="s">
        <v>69</v>
      </c>
      <c r="DN65" s="321" t="s">
        <v>69</v>
      </c>
      <c r="DO65" s="321" t="s">
        <v>69</v>
      </c>
      <c r="DP65" s="321" t="s">
        <v>69</v>
      </c>
      <c r="DQ65" s="321" t="s">
        <v>69</v>
      </c>
      <c r="DR65" s="321" t="s">
        <v>69</v>
      </c>
      <c r="DS65" s="321" t="s">
        <v>69</v>
      </c>
      <c r="DT65" s="321" t="s">
        <v>69</v>
      </c>
      <c r="DU65" s="321" t="s">
        <v>69</v>
      </c>
      <c r="DV65" s="317">
        <f t="shared" si="1"/>
        <v>9.5238095238095233E-2</v>
      </c>
      <c r="DW65" s="356">
        <f>+COUNTIF(G65:DU65,"&gt;2")/COUNTIF(G65:DU65,"&gt;1")</f>
        <v>1</v>
      </c>
      <c r="DX65" s="156" t="str">
        <f>VLOOKUP(B65,[1]Pointage!$A:$D,4,0)</f>
        <v>Mourad Saitali</v>
      </c>
    </row>
    <row r="66" spans="1:247" s="300" customFormat="1" ht="128.25" hidden="1" customHeight="1">
      <c r="A66" s="312">
        <v>50</v>
      </c>
      <c r="B66" s="318" t="s">
        <v>732</v>
      </c>
      <c r="C66" s="319" t="s">
        <v>1050</v>
      </c>
      <c r="D66" s="377">
        <v>45692</v>
      </c>
      <c r="E66" s="320" t="s">
        <v>217</v>
      </c>
      <c r="F66" s="382" t="s">
        <v>633</v>
      </c>
      <c r="G66" s="352" t="s">
        <v>69</v>
      </c>
      <c r="H66" s="352" t="s">
        <v>69</v>
      </c>
      <c r="I66" s="352" t="s">
        <v>69</v>
      </c>
      <c r="J66" s="352" t="s">
        <v>69</v>
      </c>
      <c r="K66" s="352" t="s">
        <v>69</v>
      </c>
      <c r="L66" s="352" t="s">
        <v>69</v>
      </c>
      <c r="M66" s="352" t="s">
        <v>69</v>
      </c>
      <c r="N66" s="352" t="s">
        <v>69</v>
      </c>
      <c r="O66" s="352" t="s">
        <v>69</v>
      </c>
      <c r="P66" s="352" t="s">
        <v>69</v>
      </c>
      <c r="Q66" s="352" t="s">
        <v>69</v>
      </c>
      <c r="R66" s="352" t="s">
        <v>69</v>
      </c>
      <c r="S66" s="352" t="s">
        <v>69</v>
      </c>
      <c r="T66" s="352">
        <v>2</v>
      </c>
      <c r="U66" s="352">
        <v>2</v>
      </c>
      <c r="V66" s="352">
        <v>2</v>
      </c>
      <c r="W66" s="352" t="s">
        <v>69</v>
      </c>
      <c r="X66" s="352" t="s">
        <v>69</v>
      </c>
      <c r="Y66" s="352" t="s">
        <v>69</v>
      </c>
      <c r="Z66" s="352" t="s">
        <v>69</v>
      </c>
      <c r="AA66" s="352" t="s">
        <v>69</v>
      </c>
      <c r="AB66" s="352">
        <v>4</v>
      </c>
      <c r="AC66" s="352">
        <v>4</v>
      </c>
      <c r="AD66" s="352" t="s">
        <v>69</v>
      </c>
      <c r="AE66" s="352" t="s">
        <v>69</v>
      </c>
      <c r="AF66" s="352" t="s">
        <v>69</v>
      </c>
      <c r="AG66" s="352" t="s">
        <v>69</v>
      </c>
      <c r="AH66" s="352" t="s">
        <v>69</v>
      </c>
      <c r="AI66" s="352" t="s">
        <v>69</v>
      </c>
      <c r="AJ66" s="352" t="s">
        <v>69</v>
      </c>
      <c r="AK66" s="352" t="s">
        <v>69</v>
      </c>
      <c r="AL66" s="352" t="s">
        <v>69</v>
      </c>
      <c r="AM66" s="352" t="s">
        <v>69</v>
      </c>
      <c r="AN66" s="352" t="s">
        <v>69</v>
      </c>
      <c r="AO66" s="352">
        <v>4</v>
      </c>
      <c r="AP66" s="352">
        <v>4</v>
      </c>
      <c r="AQ66" s="352" t="s">
        <v>69</v>
      </c>
      <c r="AR66" s="352" t="s">
        <v>69</v>
      </c>
      <c r="AS66" s="352" t="s">
        <v>69</v>
      </c>
      <c r="AT66" s="352" t="s">
        <v>69</v>
      </c>
      <c r="AU66" s="352" t="s">
        <v>69</v>
      </c>
      <c r="AV66" s="352" t="s">
        <v>69</v>
      </c>
      <c r="AW66" s="352" t="s">
        <v>69</v>
      </c>
      <c r="AX66" s="352" t="s">
        <v>69</v>
      </c>
      <c r="AY66" s="352" t="s">
        <v>69</v>
      </c>
      <c r="AZ66" s="352" t="s">
        <v>69</v>
      </c>
      <c r="BA66" s="352" t="s">
        <v>69</v>
      </c>
      <c r="BB66" s="352" t="s">
        <v>69</v>
      </c>
      <c r="BC66" s="352">
        <v>4</v>
      </c>
      <c r="BD66" s="352" t="s">
        <v>69</v>
      </c>
      <c r="BE66" s="352" t="s">
        <v>69</v>
      </c>
      <c r="BF66" s="352" t="s">
        <v>69</v>
      </c>
      <c r="BG66" s="352" t="s">
        <v>69</v>
      </c>
      <c r="BH66" s="352" t="s">
        <v>69</v>
      </c>
      <c r="BI66" s="352" t="s">
        <v>69</v>
      </c>
      <c r="BJ66" s="352" t="s">
        <v>69</v>
      </c>
      <c r="BK66" s="352" t="s">
        <v>69</v>
      </c>
      <c r="BL66" s="352" t="s">
        <v>69</v>
      </c>
      <c r="BM66" s="352" t="s">
        <v>69</v>
      </c>
      <c r="BN66" s="352" t="s">
        <v>69</v>
      </c>
      <c r="BO66" s="352" t="s">
        <v>69</v>
      </c>
      <c r="BP66" s="352" t="s">
        <v>69</v>
      </c>
      <c r="BQ66" s="352" t="s">
        <v>69</v>
      </c>
      <c r="BR66" s="352" t="s">
        <v>69</v>
      </c>
      <c r="BS66" s="352" t="s">
        <v>69</v>
      </c>
      <c r="BT66" s="352" t="s">
        <v>69</v>
      </c>
      <c r="BU66" s="352" t="s">
        <v>69</v>
      </c>
      <c r="BV66" s="352" t="s">
        <v>69</v>
      </c>
      <c r="BW66" s="352" t="s">
        <v>69</v>
      </c>
      <c r="BX66" s="352">
        <v>4</v>
      </c>
      <c r="BY66" s="352">
        <v>3</v>
      </c>
      <c r="BZ66" s="352" t="s">
        <v>69</v>
      </c>
      <c r="CA66" s="352" t="s">
        <v>69</v>
      </c>
      <c r="CB66" s="352" t="s">
        <v>69</v>
      </c>
      <c r="CC66" s="352" t="s">
        <v>69</v>
      </c>
      <c r="CD66" s="352" t="s">
        <v>69</v>
      </c>
      <c r="CE66" s="352" t="s">
        <v>69</v>
      </c>
      <c r="CF66" s="352" t="s">
        <v>69</v>
      </c>
      <c r="CG66" s="352" t="s">
        <v>69</v>
      </c>
      <c r="CH66" s="352" t="s">
        <v>69</v>
      </c>
      <c r="CI66" s="352" t="s">
        <v>69</v>
      </c>
      <c r="CJ66" s="352" t="s">
        <v>69</v>
      </c>
      <c r="CK66" s="352" t="s">
        <v>69</v>
      </c>
      <c r="CL66" s="352" t="s">
        <v>69</v>
      </c>
      <c r="CM66" s="352" t="s">
        <v>69</v>
      </c>
      <c r="CN66" s="352" t="s">
        <v>69</v>
      </c>
      <c r="CO66" s="352" t="s">
        <v>69</v>
      </c>
      <c r="CP66" s="352" t="s">
        <v>69</v>
      </c>
      <c r="CQ66" s="352" t="s">
        <v>69</v>
      </c>
      <c r="CR66" s="352" t="s">
        <v>69</v>
      </c>
      <c r="CS66" s="352" t="s">
        <v>69</v>
      </c>
      <c r="CT66" s="352" t="s">
        <v>69</v>
      </c>
      <c r="CU66" s="352" t="s">
        <v>69</v>
      </c>
      <c r="CV66" s="352" t="s">
        <v>69</v>
      </c>
      <c r="CW66" s="352" t="s">
        <v>69</v>
      </c>
      <c r="CX66" s="352">
        <v>4</v>
      </c>
      <c r="CY66" s="352" t="s">
        <v>69</v>
      </c>
      <c r="CZ66" s="352" t="s">
        <v>69</v>
      </c>
      <c r="DA66" s="352" t="s">
        <v>69</v>
      </c>
      <c r="DB66" s="352" t="s">
        <v>69</v>
      </c>
      <c r="DC66" s="352" t="s">
        <v>69</v>
      </c>
      <c r="DD66" s="352" t="s">
        <v>69</v>
      </c>
      <c r="DE66" s="352" t="s">
        <v>69</v>
      </c>
      <c r="DF66" s="352" t="s">
        <v>69</v>
      </c>
      <c r="DG66" s="352" t="s">
        <v>69</v>
      </c>
      <c r="DH66" s="352" t="s">
        <v>69</v>
      </c>
      <c r="DI66" s="352" t="s">
        <v>69</v>
      </c>
      <c r="DJ66" s="352" t="s">
        <v>69</v>
      </c>
      <c r="DK66" s="352" t="s">
        <v>69</v>
      </c>
      <c r="DL66" s="352" t="s">
        <v>69</v>
      </c>
      <c r="DM66" s="352" t="s">
        <v>69</v>
      </c>
      <c r="DN66" s="352" t="s">
        <v>69</v>
      </c>
      <c r="DO66" s="352" t="s">
        <v>69</v>
      </c>
      <c r="DP66" s="352" t="s">
        <v>69</v>
      </c>
      <c r="DQ66" s="352" t="s">
        <v>69</v>
      </c>
      <c r="DR66" s="352" t="s">
        <v>69</v>
      </c>
      <c r="DS66" s="352" t="s">
        <v>69</v>
      </c>
      <c r="DT66" s="352" t="s">
        <v>69</v>
      </c>
      <c r="DU66" s="411" t="s">
        <v>69</v>
      </c>
      <c r="DV66" s="412">
        <f t="shared" si="1"/>
        <v>0.17460317460317459</v>
      </c>
      <c r="DW66" s="413">
        <f t="shared" si="0"/>
        <v>0.72727272727272729</v>
      </c>
      <c r="DX66" s="156" t="str">
        <f>VLOOKUP(B66,[1]Pointage!$A:$D,4,0)</f>
        <v>Mourad Saitali</v>
      </c>
    </row>
    <row r="67" spans="1:247" s="300" customFormat="1" ht="128.25" hidden="1" customHeight="1">
      <c r="A67" s="312">
        <v>51</v>
      </c>
      <c r="B67" s="318" t="s">
        <v>733</v>
      </c>
      <c r="C67" s="319" t="s">
        <v>1051</v>
      </c>
      <c r="D67" s="376">
        <v>45692</v>
      </c>
      <c r="E67" s="320" t="s">
        <v>217</v>
      </c>
      <c r="F67" s="382" t="s">
        <v>633</v>
      </c>
      <c r="G67" s="352" t="s">
        <v>69</v>
      </c>
      <c r="H67" s="352" t="s">
        <v>69</v>
      </c>
      <c r="I67" s="352" t="s">
        <v>69</v>
      </c>
      <c r="J67" s="352" t="s">
        <v>69</v>
      </c>
      <c r="K67" s="352" t="s">
        <v>69</v>
      </c>
      <c r="L67" s="352" t="s">
        <v>69</v>
      </c>
      <c r="M67" s="352" t="s">
        <v>69</v>
      </c>
      <c r="N67" s="352" t="s">
        <v>69</v>
      </c>
      <c r="O67" s="352" t="s">
        <v>69</v>
      </c>
      <c r="P67" s="352" t="s">
        <v>69</v>
      </c>
      <c r="Q67" s="352" t="s">
        <v>69</v>
      </c>
      <c r="R67" s="352" t="s">
        <v>69</v>
      </c>
      <c r="S67" s="352" t="s">
        <v>69</v>
      </c>
      <c r="T67" s="352" t="s">
        <v>69</v>
      </c>
      <c r="U67" s="352" t="s">
        <v>69</v>
      </c>
      <c r="V67" s="352" t="s">
        <v>69</v>
      </c>
      <c r="W67" s="352" t="s">
        <v>69</v>
      </c>
      <c r="X67" s="352" t="s">
        <v>69</v>
      </c>
      <c r="Y67" s="352" t="s">
        <v>69</v>
      </c>
      <c r="Z67" s="352">
        <v>2</v>
      </c>
      <c r="AA67" s="352" t="s">
        <v>69</v>
      </c>
      <c r="AB67" s="352" t="s">
        <v>69</v>
      </c>
      <c r="AC67" s="352" t="s">
        <v>69</v>
      </c>
      <c r="AD67" s="352" t="s">
        <v>69</v>
      </c>
      <c r="AE67" s="352" t="s">
        <v>69</v>
      </c>
      <c r="AF67" s="352" t="s">
        <v>69</v>
      </c>
      <c r="AG67" s="352" t="s">
        <v>69</v>
      </c>
      <c r="AH67" s="352" t="s">
        <v>69</v>
      </c>
      <c r="AI67" s="352" t="s">
        <v>69</v>
      </c>
      <c r="AJ67" s="352" t="s">
        <v>69</v>
      </c>
      <c r="AK67" s="352" t="s">
        <v>69</v>
      </c>
      <c r="AL67" s="352" t="s">
        <v>69</v>
      </c>
      <c r="AM67" s="352" t="s">
        <v>69</v>
      </c>
      <c r="AN67" s="352" t="s">
        <v>69</v>
      </c>
      <c r="AO67" s="352" t="s">
        <v>69</v>
      </c>
      <c r="AP67" s="352" t="s">
        <v>69</v>
      </c>
      <c r="AQ67" s="352" t="s">
        <v>69</v>
      </c>
      <c r="AR67" s="352" t="s">
        <v>69</v>
      </c>
      <c r="AS67" s="352" t="s">
        <v>69</v>
      </c>
      <c r="AT67" s="352" t="s">
        <v>69</v>
      </c>
      <c r="AU67" s="352" t="s">
        <v>69</v>
      </c>
      <c r="AV67" s="352" t="s">
        <v>69</v>
      </c>
      <c r="AW67" s="352" t="s">
        <v>69</v>
      </c>
      <c r="AX67" s="352" t="s">
        <v>69</v>
      </c>
      <c r="AY67" s="352" t="s">
        <v>69</v>
      </c>
      <c r="AZ67" s="352" t="s">
        <v>69</v>
      </c>
      <c r="BA67" s="352" t="s">
        <v>69</v>
      </c>
      <c r="BB67" s="352" t="s">
        <v>69</v>
      </c>
      <c r="BC67" s="352" t="s">
        <v>69</v>
      </c>
      <c r="BD67" s="352" t="s">
        <v>69</v>
      </c>
      <c r="BE67" s="352" t="s">
        <v>69</v>
      </c>
      <c r="BF67" s="352">
        <v>2</v>
      </c>
      <c r="BG67" s="352" t="s">
        <v>69</v>
      </c>
      <c r="BH67" s="352" t="s">
        <v>69</v>
      </c>
      <c r="BI67" s="352" t="s">
        <v>69</v>
      </c>
      <c r="BJ67" s="352" t="s">
        <v>69</v>
      </c>
      <c r="BK67" s="352" t="s">
        <v>69</v>
      </c>
      <c r="BL67" s="352" t="s">
        <v>69</v>
      </c>
      <c r="BM67" s="352" t="s">
        <v>69</v>
      </c>
      <c r="BN67" s="352" t="s">
        <v>69</v>
      </c>
      <c r="BO67" s="352" t="s">
        <v>69</v>
      </c>
      <c r="BP67" s="352" t="s">
        <v>69</v>
      </c>
      <c r="BQ67" s="352" t="s">
        <v>69</v>
      </c>
      <c r="BR67" s="352" t="s">
        <v>69</v>
      </c>
      <c r="BS67" s="352" t="s">
        <v>69</v>
      </c>
      <c r="BT67" s="352" t="s">
        <v>69</v>
      </c>
      <c r="BU67" s="352" t="s">
        <v>69</v>
      </c>
      <c r="BV67" s="352" t="s">
        <v>69</v>
      </c>
      <c r="BW67" s="352" t="s">
        <v>69</v>
      </c>
      <c r="BX67" s="352" t="s">
        <v>69</v>
      </c>
      <c r="BY67" s="352" t="s">
        <v>69</v>
      </c>
      <c r="BZ67" s="352" t="s">
        <v>69</v>
      </c>
      <c r="CA67" s="352" t="s">
        <v>69</v>
      </c>
      <c r="CB67" s="352" t="s">
        <v>69</v>
      </c>
      <c r="CC67" s="352" t="s">
        <v>69</v>
      </c>
      <c r="CD67" s="352" t="s">
        <v>69</v>
      </c>
      <c r="CE67" s="352" t="s">
        <v>69</v>
      </c>
      <c r="CF67" s="352" t="s">
        <v>69</v>
      </c>
      <c r="CG67" s="352">
        <v>3</v>
      </c>
      <c r="CH67" s="352" t="s">
        <v>69</v>
      </c>
      <c r="CI67" s="352" t="s">
        <v>69</v>
      </c>
      <c r="CJ67" s="352" t="s">
        <v>69</v>
      </c>
      <c r="CK67" s="352" t="s">
        <v>69</v>
      </c>
      <c r="CL67" s="352" t="s">
        <v>69</v>
      </c>
      <c r="CM67" s="352" t="s">
        <v>69</v>
      </c>
      <c r="CN67" s="352" t="s">
        <v>69</v>
      </c>
      <c r="CO67" s="352">
        <v>3</v>
      </c>
      <c r="CP67" s="352">
        <v>3</v>
      </c>
      <c r="CQ67" s="352" t="s">
        <v>69</v>
      </c>
      <c r="CR67" s="352" t="s">
        <v>69</v>
      </c>
      <c r="CS67" s="352">
        <v>2</v>
      </c>
      <c r="CT67" s="352">
        <v>2</v>
      </c>
      <c r="CU67" s="352" t="s">
        <v>69</v>
      </c>
      <c r="CV67" s="352" t="s">
        <v>69</v>
      </c>
      <c r="CW67" s="352" t="s">
        <v>69</v>
      </c>
      <c r="CX67" s="352" t="s">
        <v>69</v>
      </c>
      <c r="CY67" s="352" t="s">
        <v>69</v>
      </c>
      <c r="CZ67" s="352" t="s">
        <v>69</v>
      </c>
      <c r="DA67" s="352" t="s">
        <v>69</v>
      </c>
      <c r="DB67" s="352" t="s">
        <v>69</v>
      </c>
      <c r="DC67" s="352" t="s">
        <v>69</v>
      </c>
      <c r="DD67" s="352" t="s">
        <v>69</v>
      </c>
      <c r="DE67" s="352" t="s">
        <v>69</v>
      </c>
      <c r="DF67" s="352" t="s">
        <v>69</v>
      </c>
      <c r="DG67" s="352" t="s">
        <v>69</v>
      </c>
      <c r="DH67" s="352" t="s">
        <v>69</v>
      </c>
      <c r="DI67" s="352" t="s">
        <v>69</v>
      </c>
      <c r="DJ67" s="352" t="s">
        <v>69</v>
      </c>
      <c r="DK67" s="352" t="s">
        <v>69</v>
      </c>
      <c r="DL67" s="352" t="s">
        <v>69</v>
      </c>
      <c r="DM67" s="352" t="s">
        <v>69</v>
      </c>
      <c r="DN67" s="352" t="s">
        <v>69</v>
      </c>
      <c r="DO67" s="352" t="s">
        <v>69</v>
      </c>
      <c r="DP67" s="352" t="s">
        <v>69</v>
      </c>
      <c r="DQ67" s="352" t="s">
        <v>69</v>
      </c>
      <c r="DR67" s="352" t="s">
        <v>69</v>
      </c>
      <c r="DS67" s="352" t="s">
        <v>69</v>
      </c>
      <c r="DT67" s="352" t="s">
        <v>69</v>
      </c>
      <c r="DU67" s="352" t="s">
        <v>69</v>
      </c>
      <c r="DV67" s="387">
        <f t="shared" si="1"/>
        <v>0.1111111111111111</v>
      </c>
      <c r="DW67" s="388">
        <f t="shared" si="0"/>
        <v>0.42857142857142855</v>
      </c>
      <c r="DX67" s="156" t="str">
        <f>VLOOKUP(B67,[1]Pointage!$A:$D,4,0)</f>
        <v>Mourad Saitali</v>
      </c>
    </row>
    <row r="68" spans="1:247" s="300" customFormat="1" ht="128.25" hidden="1" customHeight="1">
      <c r="A68" s="312">
        <v>52</v>
      </c>
      <c r="B68" s="318" t="s">
        <v>745</v>
      </c>
      <c r="C68" s="319" t="s">
        <v>746</v>
      </c>
      <c r="D68" s="377">
        <v>45692</v>
      </c>
      <c r="E68" s="320" t="s">
        <v>217</v>
      </c>
      <c r="F68" s="382" t="s">
        <v>633</v>
      </c>
      <c r="G68" s="352" t="s">
        <v>69</v>
      </c>
      <c r="H68" s="352" t="s">
        <v>69</v>
      </c>
      <c r="I68" s="352" t="s">
        <v>69</v>
      </c>
      <c r="J68" s="352" t="s">
        <v>69</v>
      </c>
      <c r="K68" s="352" t="s">
        <v>69</v>
      </c>
      <c r="L68" s="352" t="s">
        <v>69</v>
      </c>
      <c r="M68" s="352" t="s">
        <v>69</v>
      </c>
      <c r="N68" s="352" t="s">
        <v>69</v>
      </c>
      <c r="O68" s="352" t="s">
        <v>69</v>
      </c>
      <c r="P68" s="352" t="s">
        <v>69</v>
      </c>
      <c r="Q68" s="352" t="s">
        <v>69</v>
      </c>
      <c r="R68" s="352" t="s">
        <v>69</v>
      </c>
      <c r="S68" s="352" t="s">
        <v>69</v>
      </c>
      <c r="T68" s="352" t="s">
        <v>69</v>
      </c>
      <c r="U68" s="352" t="s">
        <v>69</v>
      </c>
      <c r="V68" s="352" t="s">
        <v>69</v>
      </c>
      <c r="W68" s="352" t="s">
        <v>69</v>
      </c>
      <c r="X68" s="352" t="s">
        <v>69</v>
      </c>
      <c r="Y68" s="352" t="s">
        <v>69</v>
      </c>
      <c r="Z68" s="352" t="s">
        <v>69</v>
      </c>
      <c r="AA68" s="352" t="s">
        <v>69</v>
      </c>
      <c r="AB68" s="352">
        <v>2</v>
      </c>
      <c r="AC68" s="352" t="s">
        <v>69</v>
      </c>
      <c r="AD68" s="352" t="s">
        <v>69</v>
      </c>
      <c r="AE68" s="352" t="s">
        <v>69</v>
      </c>
      <c r="AF68" s="352" t="s">
        <v>69</v>
      </c>
      <c r="AG68" s="352">
        <v>2</v>
      </c>
      <c r="AH68" s="352" t="s">
        <v>69</v>
      </c>
      <c r="AI68" s="352" t="s">
        <v>69</v>
      </c>
      <c r="AJ68" s="352" t="s">
        <v>69</v>
      </c>
      <c r="AK68" s="352" t="s">
        <v>69</v>
      </c>
      <c r="AL68" s="352" t="s">
        <v>69</v>
      </c>
      <c r="AM68" s="352">
        <v>3</v>
      </c>
      <c r="AN68" s="352" t="s">
        <v>69</v>
      </c>
      <c r="AO68" s="352">
        <v>3</v>
      </c>
      <c r="AP68" s="352" t="s">
        <v>69</v>
      </c>
      <c r="AQ68" s="352" t="s">
        <v>69</v>
      </c>
      <c r="AR68" s="352" t="s">
        <v>69</v>
      </c>
      <c r="AS68" s="352" t="s">
        <v>69</v>
      </c>
      <c r="AT68" s="352" t="s">
        <v>69</v>
      </c>
      <c r="AU68" s="352" t="s">
        <v>69</v>
      </c>
      <c r="AV68" s="352" t="s">
        <v>69</v>
      </c>
      <c r="AW68" s="352" t="s">
        <v>69</v>
      </c>
      <c r="AX68" s="352" t="s">
        <v>69</v>
      </c>
      <c r="AY68" s="352" t="s">
        <v>69</v>
      </c>
      <c r="AZ68" s="352" t="s">
        <v>69</v>
      </c>
      <c r="BA68" s="352" t="s">
        <v>69</v>
      </c>
      <c r="BB68" s="352" t="s">
        <v>69</v>
      </c>
      <c r="BC68" s="352" t="s">
        <v>69</v>
      </c>
      <c r="BD68" s="352" t="s">
        <v>69</v>
      </c>
      <c r="BE68" s="352" t="s">
        <v>69</v>
      </c>
      <c r="BF68" s="352" t="s">
        <v>69</v>
      </c>
      <c r="BG68" s="352" t="s">
        <v>69</v>
      </c>
      <c r="BH68" s="352" t="s">
        <v>69</v>
      </c>
      <c r="BI68" s="352">
        <v>4</v>
      </c>
      <c r="BJ68" s="352" t="s">
        <v>69</v>
      </c>
      <c r="BK68" s="352" t="s">
        <v>69</v>
      </c>
      <c r="BL68" s="352" t="s">
        <v>69</v>
      </c>
      <c r="BM68" s="352" t="s">
        <v>69</v>
      </c>
      <c r="BN68" s="352" t="s">
        <v>69</v>
      </c>
      <c r="BO68" s="352">
        <v>4</v>
      </c>
      <c r="BP68" s="352" t="s">
        <v>69</v>
      </c>
      <c r="BQ68" s="352" t="s">
        <v>69</v>
      </c>
      <c r="BR68" s="352" t="s">
        <v>69</v>
      </c>
      <c r="BS68" s="352" t="s">
        <v>69</v>
      </c>
      <c r="BT68" s="352" t="s">
        <v>69</v>
      </c>
      <c r="BU68" s="352">
        <v>4</v>
      </c>
      <c r="BV68" s="352" t="s">
        <v>69</v>
      </c>
      <c r="BW68" s="352" t="s">
        <v>69</v>
      </c>
      <c r="BX68" s="352" t="s">
        <v>69</v>
      </c>
      <c r="BY68" s="352" t="s">
        <v>69</v>
      </c>
      <c r="BZ68" s="352" t="s">
        <v>69</v>
      </c>
      <c r="CA68" s="352" t="s">
        <v>69</v>
      </c>
      <c r="CB68" s="352" t="s">
        <v>69</v>
      </c>
      <c r="CC68" s="352" t="s">
        <v>69</v>
      </c>
      <c r="CD68" s="352" t="s">
        <v>69</v>
      </c>
      <c r="CE68" s="352" t="s">
        <v>69</v>
      </c>
      <c r="CF68" s="352" t="s">
        <v>69</v>
      </c>
      <c r="CG68" s="352" t="s">
        <v>69</v>
      </c>
      <c r="CH68" s="352" t="s">
        <v>69</v>
      </c>
      <c r="CI68" s="352" t="s">
        <v>69</v>
      </c>
      <c r="CJ68" s="352" t="s">
        <v>69</v>
      </c>
      <c r="CK68" s="352" t="s">
        <v>69</v>
      </c>
      <c r="CL68" s="352" t="s">
        <v>69</v>
      </c>
      <c r="CM68" s="352" t="s">
        <v>69</v>
      </c>
      <c r="CN68" s="352" t="s">
        <v>69</v>
      </c>
      <c r="CO68" s="352" t="s">
        <v>69</v>
      </c>
      <c r="CP68" s="352" t="s">
        <v>69</v>
      </c>
      <c r="CQ68" s="352" t="s">
        <v>69</v>
      </c>
      <c r="CR68" s="352" t="s">
        <v>69</v>
      </c>
      <c r="CS68" s="352" t="s">
        <v>69</v>
      </c>
      <c r="CT68" s="352" t="s">
        <v>69</v>
      </c>
      <c r="CU68" s="352" t="s">
        <v>69</v>
      </c>
      <c r="CV68" s="352">
        <v>2</v>
      </c>
      <c r="CW68" s="352" t="s">
        <v>69</v>
      </c>
      <c r="CX68" s="352">
        <v>2</v>
      </c>
      <c r="CY68" s="352" t="s">
        <v>69</v>
      </c>
      <c r="CZ68" s="352" t="s">
        <v>69</v>
      </c>
      <c r="DA68" s="352">
        <v>2</v>
      </c>
      <c r="DB68" s="352" t="s">
        <v>69</v>
      </c>
      <c r="DC68" s="352">
        <v>2</v>
      </c>
      <c r="DD68" s="352" t="s">
        <v>69</v>
      </c>
      <c r="DE68" s="352" t="s">
        <v>69</v>
      </c>
      <c r="DF68" s="352" t="s">
        <v>69</v>
      </c>
      <c r="DG68" s="352" t="s">
        <v>69</v>
      </c>
      <c r="DH68" s="352" t="s">
        <v>69</v>
      </c>
      <c r="DI68" s="352" t="s">
        <v>69</v>
      </c>
      <c r="DJ68" s="352" t="s">
        <v>69</v>
      </c>
      <c r="DK68" s="352" t="s">
        <v>69</v>
      </c>
      <c r="DL68" s="352" t="s">
        <v>69</v>
      </c>
      <c r="DM68" s="352" t="s">
        <v>69</v>
      </c>
      <c r="DN68" s="352" t="s">
        <v>69</v>
      </c>
      <c r="DO68" s="352">
        <v>3</v>
      </c>
      <c r="DP68" s="352">
        <v>4</v>
      </c>
      <c r="DQ68" s="352">
        <v>2</v>
      </c>
      <c r="DR68" s="352">
        <v>3</v>
      </c>
      <c r="DS68" s="352" t="s">
        <v>69</v>
      </c>
      <c r="DT68" s="352" t="s">
        <v>69</v>
      </c>
      <c r="DU68" s="352" t="s">
        <v>69</v>
      </c>
      <c r="DV68" s="387">
        <f t="shared" si="1"/>
        <v>0.23809523809523808</v>
      </c>
      <c r="DW68" s="388">
        <f t="shared" si="0"/>
        <v>0.53333333333333333</v>
      </c>
      <c r="DX68" s="156" t="str">
        <f>VLOOKUP(B68,[1]Pointage!$A:$D,4,0)</f>
        <v>Mourad Saitali</v>
      </c>
    </row>
    <row r="69" spans="1:247" s="300" customFormat="1" ht="128.25" hidden="1" customHeight="1">
      <c r="A69" s="312">
        <v>53</v>
      </c>
      <c r="B69" s="318" t="s">
        <v>751</v>
      </c>
      <c r="C69" s="319" t="s">
        <v>1052</v>
      </c>
      <c r="D69" s="376">
        <v>45692</v>
      </c>
      <c r="E69" s="320" t="s">
        <v>217</v>
      </c>
      <c r="F69" s="382" t="s">
        <v>633</v>
      </c>
      <c r="G69" s="352">
        <v>3</v>
      </c>
      <c r="H69" s="352" t="s">
        <v>69</v>
      </c>
      <c r="I69" s="352">
        <v>3</v>
      </c>
      <c r="J69" s="352">
        <v>3</v>
      </c>
      <c r="K69" s="352" t="s">
        <v>69</v>
      </c>
      <c r="L69" s="352" t="s">
        <v>69</v>
      </c>
      <c r="M69" s="352" t="s">
        <v>69</v>
      </c>
      <c r="N69" s="352" t="s">
        <v>69</v>
      </c>
      <c r="O69" s="352" t="s">
        <v>69</v>
      </c>
      <c r="P69" s="352">
        <v>3</v>
      </c>
      <c r="Q69" s="352" t="s">
        <v>69</v>
      </c>
      <c r="R69" s="352" t="s">
        <v>69</v>
      </c>
      <c r="S69" s="352" t="s">
        <v>69</v>
      </c>
      <c r="T69" s="352" t="s">
        <v>69</v>
      </c>
      <c r="U69" s="352" t="s">
        <v>69</v>
      </c>
      <c r="V69" s="352" t="s">
        <v>69</v>
      </c>
      <c r="W69" s="352" t="s">
        <v>69</v>
      </c>
      <c r="X69" s="352" t="s">
        <v>69</v>
      </c>
      <c r="Y69" s="352" t="s">
        <v>69</v>
      </c>
      <c r="Z69" s="352" t="s">
        <v>69</v>
      </c>
      <c r="AA69" s="352" t="s">
        <v>69</v>
      </c>
      <c r="AB69" s="352">
        <v>2</v>
      </c>
      <c r="AC69" s="352" t="s">
        <v>69</v>
      </c>
      <c r="AD69" s="352" t="s">
        <v>69</v>
      </c>
      <c r="AE69" s="352" t="s">
        <v>69</v>
      </c>
      <c r="AF69" s="352" t="s">
        <v>69</v>
      </c>
      <c r="AG69" s="352" t="s">
        <v>69</v>
      </c>
      <c r="AH69" s="352" t="s">
        <v>69</v>
      </c>
      <c r="AI69" s="352" t="s">
        <v>69</v>
      </c>
      <c r="AJ69" s="352" t="s">
        <v>69</v>
      </c>
      <c r="AK69" s="352" t="s">
        <v>69</v>
      </c>
      <c r="AL69" s="352" t="s">
        <v>69</v>
      </c>
      <c r="AM69" s="352" t="s">
        <v>69</v>
      </c>
      <c r="AN69" s="352" t="s">
        <v>69</v>
      </c>
      <c r="AO69" s="352" t="s">
        <v>69</v>
      </c>
      <c r="AP69" s="352" t="s">
        <v>69</v>
      </c>
      <c r="AQ69" s="352" t="s">
        <v>69</v>
      </c>
      <c r="AR69" s="352" t="s">
        <v>69</v>
      </c>
      <c r="AS69" s="352">
        <v>3</v>
      </c>
      <c r="AT69" s="352">
        <v>3</v>
      </c>
      <c r="AU69" s="352" t="s">
        <v>69</v>
      </c>
      <c r="AV69" s="352" t="s">
        <v>69</v>
      </c>
      <c r="AW69" s="352" t="s">
        <v>69</v>
      </c>
      <c r="AX69" s="352" t="s">
        <v>69</v>
      </c>
      <c r="AY69" s="352">
        <v>3</v>
      </c>
      <c r="AZ69" s="352">
        <v>3</v>
      </c>
      <c r="BA69" s="352" t="s">
        <v>69</v>
      </c>
      <c r="BB69" s="352" t="s">
        <v>69</v>
      </c>
      <c r="BC69" s="352" t="s">
        <v>69</v>
      </c>
      <c r="BD69" s="352" t="s">
        <v>69</v>
      </c>
      <c r="BE69" s="352">
        <v>3</v>
      </c>
      <c r="BF69" s="352">
        <v>3</v>
      </c>
      <c r="BG69" s="352" t="s">
        <v>69</v>
      </c>
      <c r="BH69" s="352" t="s">
        <v>69</v>
      </c>
      <c r="BI69" s="352" t="s">
        <v>69</v>
      </c>
      <c r="BJ69" s="352" t="s">
        <v>69</v>
      </c>
      <c r="BK69" s="352" t="s">
        <v>69</v>
      </c>
      <c r="BL69" s="352" t="s">
        <v>69</v>
      </c>
      <c r="BM69" s="352" t="s">
        <v>69</v>
      </c>
      <c r="BN69" s="352" t="s">
        <v>69</v>
      </c>
      <c r="BO69" s="352" t="s">
        <v>69</v>
      </c>
      <c r="BP69" s="352" t="s">
        <v>69</v>
      </c>
      <c r="BQ69" s="352" t="s">
        <v>69</v>
      </c>
      <c r="BR69" s="352" t="s">
        <v>69</v>
      </c>
      <c r="BS69" s="352">
        <v>3</v>
      </c>
      <c r="BT69" s="352">
        <v>2</v>
      </c>
      <c r="BU69" s="352" t="s">
        <v>69</v>
      </c>
      <c r="BV69" s="352" t="s">
        <v>69</v>
      </c>
      <c r="BW69" s="352" t="s">
        <v>69</v>
      </c>
      <c r="BX69" s="352" t="s">
        <v>69</v>
      </c>
      <c r="BY69" s="352" t="s">
        <v>69</v>
      </c>
      <c r="BZ69" s="352" t="s">
        <v>69</v>
      </c>
      <c r="CA69" s="352" t="s">
        <v>69</v>
      </c>
      <c r="CB69" s="352" t="s">
        <v>69</v>
      </c>
      <c r="CC69" s="352" t="s">
        <v>69</v>
      </c>
      <c r="CD69" s="352" t="s">
        <v>69</v>
      </c>
      <c r="CE69" s="352" t="s">
        <v>69</v>
      </c>
      <c r="CF69" s="352" t="s">
        <v>69</v>
      </c>
      <c r="CG69" s="352" t="s">
        <v>69</v>
      </c>
      <c r="CH69" s="352" t="s">
        <v>69</v>
      </c>
      <c r="CI69" s="352" t="s">
        <v>69</v>
      </c>
      <c r="CJ69" s="352" t="s">
        <v>69</v>
      </c>
      <c r="CK69" s="352">
        <v>3</v>
      </c>
      <c r="CL69" s="352" t="s">
        <v>69</v>
      </c>
      <c r="CM69" s="352" t="s">
        <v>69</v>
      </c>
      <c r="CN69" s="352" t="s">
        <v>69</v>
      </c>
      <c r="CO69" s="352" t="s">
        <v>69</v>
      </c>
      <c r="CP69" s="352" t="s">
        <v>69</v>
      </c>
      <c r="CQ69" s="352" t="s">
        <v>69</v>
      </c>
      <c r="CR69" s="352" t="s">
        <v>69</v>
      </c>
      <c r="CS69" s="352" t="s">
        <v>69</v>
      </c>
      <c r="CT69" s="352" t="s">
        <v>69</v>
      </c>
      <c r="CU69" s="352" t="s">
        <v>69</v>
      </c>
      <c r="CV69" s="352" t="s">
        <v>69</v>
      </c>
      <c r="CW69" s="352" t="s">
        <v>69</v>
      </c>
      <c r="CX69" s="352" t="s">
        <v>69</v>
      </c>
      <c r="CY69" s="352" t="s">
        <v>69</v>
      </c>
      <c r="CZ69" s="352" t="s">
        <v>69</v>
      </c>
      <c r="DA69" s="352" t="s">
        <v>69</v>
      </c>
      <c r="DB69" s="352" t="s">
        <v>69</v>
      </c>
      <c r="DC69" s="352" t="s">
        <v>69</v>
      </c>
      <c r="DD69" s="352" t="s">
        <v>69</v>
      </c>
      <c r="DE69" s="352" t="s">
        <v>69</v>
      </c>
      <c r="DF69" s="352" t="s">
        <v>69</v>
      </c>
      <c r="DG69" s="352" t="s">
        <v>69</v>
      </c>
      <c r="DH69" s="352" t="s">
        <v>69</v>
      </c>
      <c r="DI69" s="352" t="s">
        <v>69</v>
      </c>
      <c r="DJ69" s="352" t="s">
        <v>69</v>
      </c>
      <c r="DK69" s="352" t="s">
        <v>69</v>
      </c>
      <c r="DL69" s="352" t="s">
        <v>69</v>
      </c>
      <c r="DM69" s="352" t="s">
        <v>69</v>
      </c>
      <c r="DN69" s="352" t="s">
        <v>69</v>
      </c>
      <c r="DO69" s="352" t="s">
        <v>69</v>
      </c>
      <c r="DP69" s="352" t="s">
        <v>69</v>
      </c>
      <c r="DQ69" s="352" t="s">
        <v>69</v>
      </c>
      <c r="DR69" s="352" t="s">
        <v>69</v>
      </c>
      <c r="DS69" s="352" t="s">
        <v>69</v>
      </c>
      <c r="DT69" s="352">
        <v>4</v>
      </c>
      <c r="DU69" s="352" t="s">
        <v>69</v>
      </c>
      <c r="DV69" s="387">
        <f t="shared" si="1"/>
        <v>0.23809523809523808</v>
      </c>
      <c r="DW69" s="388">
        <f t="shared" si="0"/>
        <v>0.8666666666666667</v>
      </c>
      <c r="DX69" s="156" t="str">
        <f>VLOOKUP(B69,[1]Pointage!$A:$D,4,0)</f>
        <v>Mourad Saitali</v>
      </c>
    </row>
    <row r="70" spans="1:247" s="300" customFormat="1" ht="128.25" hidden="1" customHeight="1">
      <c r="A70" s="312">
        <v>54</v>
      </c>
      <c r="B70" s="318" t="s">
        <v>758</v>
      </c>
      <c r="C70" s="354" t="s">
        <v>759</v>
      </c>
      <c r="D70" s="376">
        <v>45751</v>
      </c>
      <c r="E70" s="320" t="s">
        <v>217</v>
      </c>
      <c r="F70" s="382" t="s">
        <v>633</v>
      </c>
      <c r="G70" s="352">
        <v>4</v>
      </c>
      <c r="H70" s="352" t="s">
        <v>69</v>
      </c>
      <c r="I70" s="352">
        <v>4</v>
      </c>
      <c r="J70" s="352" t="s">
        <v>69</v>
      </c>
      <c r="K70" s="352" t="s">
        <v>69</v>
      </c>
      <c r="L70" s="352" t="s">
        <v>69</v>
      </c>
      <c r="M70" s="352" t="s">
        <v>69</v>
      </c>
      <c r="N70" s="352" t="s">
        <v>69</v>
      </c>
      <c r="O70" s="352" t="s">
        <v>69</v>
      </c>
      <c r="P70" s="352">
        <v>4</v>
      </c>
      <c r="Q70" s="352">
        <v>3</v>
      </c>
      <c r="R70" s="352" t="s">
        <v>69</v>
      </c>
      <c r="S70" s="352" t="s">
        <v>69</v>
      </c>
      <c r="T70" s="352" t="s">
        <v>69</v>
      </c>
      <c r="U70" s="352" t="s">
        <v>69</v>
      </c>
      <c r="V70" s="352" t="s">
        <v>69</v>
      </c>
      <c r="W70" s="352" t="s">
        <v>69</v>
      </c>
      <c r="X70" s="352" t="s">
        <v>69</v>
      </c>
      <c r="Y70" s="352" t="s">
        <v>69</v>
      </c>
      <c r="Z70" s="352" t="s">
        <v>69</v>
      </c>
      <c r="AA70" s="352" t="s">
        <v>69</v>
      </c>
      <c r="AB70" s="352" t="s">
        <v>69</v>
      </c>
      <c r="AC70" s="352" t="s">
        <v>69</v>
      </c>
      <c r="AD70" s="352" t="s">
        <v>69</v>
      </c>
      <c r="AE70" s="352" t="s">
        <v>69</v>
      </c>
      <c r="AF70" s="352" t="s">
        <v>69</v>
      </c>
      <c r="AG70" s="352" t="s">
        <v>69</v>
      </c>
      <c r="AH70" s="352" t="s">
        <v>69</v>
      </c>
      <c r="AI70" s="352" t="s">
        <v>69</v>
      </c>
      <c r="AJ70" s="352" t="s">
        <v>69</v>
      </c>
      <c r="AK70" s="352" t="s">
        <v>69</v>
      </c>
      <c r="AL70" s="352" t="s">
        <v>69</v>
      </c>
      <c r="AM70" s="352" t="s">
        <v>69</v>
      </c>
      <c r="AN70" s="352" t="s">
        <v>69</v>
      </c>
      <c r="AO70" s="352" t="s">
        <v>69</v>
      </c>
      <c r="AP70" s="352" t="s">
        <v>69</v>
      </c>
      <c r="AQ70" s="352" t="s">
        <v>69</v>
      </c>
      <c r="AR70" s="352" t="s">
        <v>69</v>
      </c>
      <c r="AS70" s="352">
        <v>4</v>
      </c>
      <c r="AT70" s="352" t="s">
        <v>69</v>
      </c>
      <c r="AU70" s="352">
        <v>3</v>
      </c>
      <c r="AV70" s="352">
        <v>3</v>
      </c>
      <c r="AW70" s="352" t="s">
        <v>69</v>
      </c>
      <c r="AX70" s="352">
        <v>2</v>
      </c>
      <c r="AY70" s="352">
        <v>4</v>
      </c>
      <c r="AZ70" s="352" t="s">
        <v>69</v>
      </c>
      <c r="BA70" s="352" t="s">
        <v>69</v>
      </c>
      <c r="BB70" s="352" t="s">
        <v>69</v>
      </c>
      <c r="BC70" s="352" t="s">
        <v>69</v>
      </c>
      <c r="BD70" s="352" t="s">
        <v>69</v>
      </c>
      <c r="BE70" s="352" t="s">
        <v>69</v>
      </c>
      <c r="BF70" s="352" t="s">
        <v>69</v>
      </c>
      <c r="BG70" s="352" t="s">
        <v>69</v>
      </c>
      <c r="BH70" s="352" t="s">
        <v>69</v>
      </c>
      <c r="BI70" s="352" t="s">
        <v>69</v>
      </c>
      <c r="BJ70" s="352" t="s">
        <v>69</v>
      </c>
      <c r="BK70" s="352" t="s">
        <v>69</v>
      </c>
      <c r="BL70" s="352" t="s">
        <v>69</v>
      </c>
      <c r="BM70" s="352" t="s">
        <v>69</v>
      </c>
      <c r="BN70" s="352" t="s">
        <v>69</v>
      </c>
      <c r="BO70" s="352" t="s">
        <v>69</v>
      </c>
      <c r="BP70" s="352" t="s">
        <v>69</v>
      </c>
      <c r="BQ70" s="352" t="s">
        <v>69</v>
      </c>
      <c r="BR70" s="352" t="s">
        <v>69</v>
      </c>
      <c r="BS70" s="352">
        <v>3</v>
      </c>
      <c r="BT70" s="352" t="s">
        <v>69</v>
      </c>
      <c r="BU70" s="352" t="s">
        <v>69</v>
      </c>
      <c r="BV70" s="352" t="s">
        <v>69</v>
      </c>
      <c r="BW70" s="352" t="s">
        <v>69</v>
      </c>
      <c r="BX70" s="352" t="s">
        <v>69</v>
      </c>
      <c r="BY70" s="352" t="s">
        <v>69</v>
      </c>
      <c r="BZ70" s="352" t="s">
        <v>69</v>
      </c>
      <c r="CA70" s="352" t="s">
        <v>69</v>
      </c>
      <c r="CB70" s="352" t="s">
        <v>69</v>
      </c>
      <c r="CC70" s="352" t="s">
        <v>69</v>
      </c>
      <c r="CD70" s="352" t="s">
        <v>69</v>
      </c>
      <c r="CE70" s="352" t="s">
        <v>69</v>
      </c>
      <c r="CF70" s="352" t="s">
        <v>69</v>
      </c>
      <c r="CG70" s="352" t="s">
        <v>69</v>
      </c>
      <c r="CH70" s="352" t="s">
        <v>69</v>
      </c>
      <c r="CI70" s="352">
        <v>3</v>
      </c>
      <c r="CJ70" s="352">
        <v>3</v>
      </c>
      <c r="CK70" s="352">
        <v>3</v>
      </c>
      <c r="CL70" s="352">
        <v>3</v>
      </c>
      <c r="CM70" s="352" t="s">
        <v>69</v>
      </c>
      <c r="CN70" s="352" t="s">
        <v>69</v>
      </c>
      <c r="CO70" s="352" t="s">
        <v>69</v>
      </c>
      <c r="CP70" s="352" t="s">
        <v>69</v>
      </c>
      <c r="CQ70" s="352" t="s">
        <v>69</v>
      </c>
      <c r="CR70" s="352" t="s">
        <v>69</v>
      </c>
      <c r="CS70" s="352" t="s">
        <v>69</v>
      </c>
      <c r="CT70" s="352" t="s">
        <v>69</v>
      </c>
      <c r="CU70" s="352" t="s">
        <v>69</v>
      </c>
      <c r="CV70" s="352" t="s">
        <v>69</v>
      </c>
      <c r="CW70" s="352" t="s">
        <v>69</v>
      </c>
      <c r="CX70" s="352" t="s">
        <v>69</v>
      </c>
      <c r="CY70" s="352" t="s">
        <v>69</v>
      </c>
      <c r="CZ70" s="352" t="s">
        <v>69</v>
      </c>
      <c r="DA70" s="352" t="s">
        <v>69</v>
      </c>
      <c r="DB70" s="352" t="s">
        <v>69</v>
      </c>
      <c r="DC70" s="352" t="s">
        <v>69</v>
      </c>
      <c r="DD70" s="352" t="s">
        <v>69</v>
      </c>
      <c r="DE70" s="352" t="s">
        <v>69</v>
      </c>
      <c r="DF70" s="352" t="s">
        <v>69</v>
      </c>
      <c r="DG70" s="352" t="s">
        <v>69</v>
      </c>
      <c r="DH70" s="352" t="s">
        <v>69</v>
      </c>
      <c r="DI70" s="352" t="s">
        <v>69</v>
      </c>
      <c r="DJ70" s="352" t="s">
        <v>69</v>
      </c>
      <c r="DK70" s="352" t="s">
        <v>69</v>
      </c>
      <c r="DL70" s="352" t="s">
        <v>69</v>
      </c>
      <c r="DM70" s="352">
        <v>3</v>
      </c>
      <c r="DN70" s="352">
        <v>3</v>
      </c>
      <c r="DO70" s="352" t="s">
        <v>69</v>
      </c>
      <c r="DP70" s="352" t="s">
        <v>69</v>
      </c>
      <c r="DQ70" s="352">
        <v>4</v>
      </c>
      <c r="DR70" s="352" t="s">
        <v>69</v>
      </c>
      <c r="DS70" s="352" t="s">
        <v>69</v>
      </c>
      <c r="DT70" s="352" t="s">
        <v>69</v>
      </c>
      <c r="DU70" s="352" t="s">
        <v>69</v>
      </c>
      <c r="DV70" s="387">
        <f t="shared" si="1"/>
        <v>0.26984126984126983</v>
      </c>
      <c r="DW70" s="388">
        <f t="shared" si="0"/>
        <v>0.94117647058823528</v>
      </c>
      <c r="DX70" s="156" t="str">
        <f>VLOOKUP(B70,[1]Pointage!$A:$D,4,0)</f>
        <v>Mourad Saitali</v>
      </c>
    </row>
    <row r="71" spans="1:247" s="300" customFormat="1" ht="128.25" hidden="1" customHeight="1">
      <c r="A71" s="312">
        <v>55</v>
      </c>
      <c r="B71" s="318" t="s">
        <v>760</v>
      </c>
      <c r="C71" s="354" t="s">
        <v>761</v>
      </c>
      <c r="D71" s="376">
        <v>45751</v>
      </c>
      <c r="E71" s="320" t="s">
        <v>217</v>
      </c>
      <c r="F71" s="382" t="s">
        <v>633</v>
      </c>
      <c r="G71" s="352" t="s">
        <v>69</v>
      </c>
      <c r="H71" s="352" t="s">
        <v>69</v>
      </c>
      <c r="I71" s="352" t="s">
        <v>69</v>
      </c>
      <c r="J71" s="352" t="s">
        <v>69</v>
      </c>
      <c r="K71" s="352" t="s">
        <v>69</v>
      </c>
      <c r="L71" s="352" t="s">
        <v>69</v>
      </c>
      <c r="M71" s="352" t="s">
        <v>69</v>
      </c>
      <c r="N71" s="352" t="s">
        <v>69</v>
      </c>
      <c r="O71" s="352" t="s">
        <v>69</v>
      </c>
      <c r="P71" s="352" t="s">
        <v>69</v>
      </c>
      <c r="Q71" s="352" t="s">
        <v>69</v>
      </c>
      <c r="R71" s="352" t="s">
        <v>69</v>
      </c>
      <c r="S71" s="352" t="s">
        <v>69</v>
      </c>
      <c r="T71" s="352" t="s">
        <v>69</v>
      </c>
      <c r="U71" s="352" t="s">
        <v>69</v>
      </c>
      <c r="V71" s="352" t="s">
        <v>69</v>
      </c>
      <c r="W71" s="352" t="s">
        <v>69</v>
      </c>
      <c r="X71" s="352" t="s">
        <v>69</v>
      </c>
      <c r="Y71" s="352" t="s">
        <v>69</v>
      </c>
      <c r="Z71" s="352" t="s">
        <v>69</v>
      </c>
      <c r="AA71" s="352" t="s">
        <v>69</v>
      </c>
      <c r="AB71" s="352" t="s">
        <v>69</v>
      </c>
      <c r="AC71" s="352" t="s">
        <v>69</v>
      </c>
      <c r="AD71" s="352" t="s">
        <v>69</v>
      </c>
      <c r="AE71" s="352" t="s">
        <v>69</v>
      </c>
      <c r="AF71" s="352" t="s">
        <v>69</v>
      </c>
      <c r="AG71" s="352">
        <v>2</v>
      </c>
      <c r="AH71" s="352" t="s">
        <v>69</v>
      </c>
      <c r="AI71" s="352">
        <v>2</v>
      </c>
      <c r="AJ71" s="352" t="s">
        <v>69</v>
      </c>
      <c r="AK71" s="352" t="s">
        <v>69</v>
      </c>
      <c r="AL71" s="352" t="s">
        <v>69</v>
      </c>
      <c r="AM71" s="352" t="s">
        <v>69</v>
      </c>
      <c r="AN71" s="352" t="s">
        <v>69</v>
      </c>
      <c r="AO71" s="352" t="s">
        <v>69</v>
      </c>
      <c r="AP71" s="352" t="s">
        <v>69</v>
      </c>
      <c r="AQ71" s="352" t="s">
        <v>69</v>
      </c>
      <c r="AR71" s="352" t="s">
        <v>69</v>
      </c>
      <c r="AS71" s="352" t="s">
        <v>69</v>
      </c>
      <c r="AT71" s="352" t="s">
        <v>69</v>
      </c>
      <c r="AU71" s="352" t="s">
        <v>69</v>
      </c>
      <c r="AV71" s="352">
        <v>3</v>
      </c>
      <c r="AW71" s="352" t="s">
        <v>69</v>
      </c>
      <c r="AX71" s="352" t="s">
        <v>69</v>
      </c>
      <c r="AY71" s="352" t="s">
        <v>69</v>
      </c>
      <c r="AZ71" s="352" t="s">
        <v>69</v>
      </c>
      <c r="BA71" s="352" t="s">
        <v>69</v>
      </c>
      <c r="BB71" s="352" t="s">
        <v>69</v>
      </c>
      <c r="BC71" s="352" t="s">
        <v>69</v>
      </c>
      <c r="BD71" s="352" t="s">
        <v>69</v>
      </c>
      <c r="BE71" s="352" t="s">
        <v>69</v>
      </c>
      <c r="BF71" s="352" t="s">
        <v>69</v>
      </c>
      <c r="BG71" s="352" t="s">
        <v>69</v>
      </c>
      <c r="BH71" s="352" t="s">
        <v>69</v>
      </c>
      <c r="BI71" s="352" t="s">
        <v>69</v>
      </c>
      <c r="BJ71" s="352" t="s">
        <v>69</v>
      </c>
      <c r="BK71" s="352" t="s">
        <v>69</v>
      </c>
      <c r="BL71" s="352" t="s">
        <v>69</v>
      </c>
      <c r="BM71" s="352" t="s">
        <v>69</v>
      </c>
      <c r="BN71" s="352" t="s">
        <v>69</v>
      </c>
      <c r="BO71" s="352" t="s">
        <v>69</v>
      </c>
      <c r="BP71" s="352" t="s">
        <v>69</v>
      </c>
      <c r="BQ71" s="352" t="s">
        <v>69</v>
      </c>
      <c r="BR71" s="352" t="s">
        <v>69</v>
      </c>
      <c r="BS71" s="352" t="s">
        <v>69</v>
      </c>
      <c r="BT71" s="352" t="s">
        <v>69</v>
      </c>
      <c r="BU71" s="352" t="s">
        <v>69</v>
      </c>
      <c r="BV71" s="352" t="s">
        <v>69</v>
      </c>
      <c r="BW71" s="352" t="s">
        <v>69</v>
      </c>
      <c r="BX71" s="352" t="s">
        <v>69</v>
      </c>
      <c r="BY71" s="352" t="s">
        <v>69</v>
      </c>
      <c r="BZ71" s="352" t="s">
        <v>69</v>
      </c>
      <c r="CA71" s="352" t="s">
        <v>69</v>
      </c>
      <c r="CB71" s="352" t="s">
        <v>69</v>
      </c>
      <c r="CC71" s="352" t="s">
        <v>69</v>
      </c>
      <c r="CD71" s="352" t="s">
        <v>69</v>
      </c>
      <c r="CE71" s="352" t="s">
        <v>69</v>
      </c>
      <c r="CF71" s="352" t="s">
        <v>69</v>
      </c>
      <c r="CG71" s="352" t="s">
        <v>69</v>
      </c>
      <c r="CH71" s="352" t="s">
        <v>69</v>
      </c>
      <c r="CI71" s="352" t="s">
        <v>69</v>
      </c>
      <c r="CJ71" s="352" t="s">
        <v>69</v>
      </c>
      <c r="CK71" s="352" t="s">
        <v>69</v>
      </c>
      <c r="CL71" s="352" t="s">
        <v>69</v>
      </c>
      <c r="CM71" s="352" t="s">
        <v>69</v>
      </c>
      <c r="CN71" s="352" t="s">
        <v>69</v>
      </c>
      <c r="CO71" s="352" t="s">
        <v>69</v>
      </c>
      <c r="CP71" s="352">
        <v>3</v>
      </c>
      <c r="CQ71" s="352" t="s">
        <v>69</v>
      </c>
      <c r="CR71" s="352" t="s">
        <v>69</v>
      </c>
      <c r="CS71" s="352" t="s">
        <v>69</v>
      </c>
      <c r="CT71" s="352" t="s">
        <v>69</v>
      </c>
      <c r="CU71" s="352" t="s">
        <v>69</v>
      </c>
      <c r="CV71" s="352" t="s">
        <v>69</v>
      </c>
      <c r="CW71" s="352" t="s">
        <v>69</v>
      </c>
      <c r="CX71" s="352">
        <v>1</v>
      </c>
      <c r="CY71" s="352" t="s">
        <v>69</v>
      </c>
      <c r="CZ71" s="352" t="s">
        <v>69</v>
      </c>
      <c r="DA71" s="352">
        <v>2</v>
      </c>
      <c r="DB71" s="352" t="s">
        <v>69</v>
      </c>
      <c r="DC71" s="352">
        <v>2</v>
      </c>
      <c r="DD71" s="352" t="s">
        <v>69</v>
      </c>
      <c r="DE71" s="352" t="s">
        <v>69</v>
      </c>
      <c r="DF71" s="352" t="s">
        <v>69</v>
      </c>
      <c r="DG71" s="352" t="s">
        <v>69</v>
      </c>
      <c r="DH71" s="352" t="s">
        <v>69</v>
      </c>
      <c r="DI71" s="352" t="s">
        <v>69</v>
      </c>
      <c r="DJ71" s="352" t="s">
        <v>69</v>
      </c>
      <c r="DK71" s="352" t="s">
        <v>69</v>
      </c>
      <c r="DL71" s="352" t="s">
        <v>69</v>
      </c>
      <c r="DM71" s="352" t="s">
        <v>69</v>
      </c>
      <c r="DN71" s="352" t="s">
        <v>69</v>
      </c>
      <c r="DO71" s="352" t="s">
        <v>69</v>
      </c>
      <c r="DP71" s="352" t="s">
        <v>69</v>
      </c>
      <c r="DQ71" s="352" t="s">
        <v>69</v>
      </c>
      <c r="DR71" s="352" t="s">
        <v>69</v>
      </c>
      <c r="DS71" s="352" t="s">
        <v>69</v>
      </c>
      <c r="DT71" s="352" t="s">
        <v>69</v>
      </c>
      <c r="DU71" s="352" t="s">
        <v>69</v>
      </c>
      <c r="DV71" s="387">
        <f t="shared" si="1"/>
        <v>0.1111111111111111</v>
      </c>
      <c r="DW71" s="388">
        <f t="shared" si="0"/>
        <v>0.33333333333333331</v>
      </c>
      <c r="DX71" s="156" t="str">
        <f>VLOOKUP(B71,[1]Pointage!$A:$D,4,0)</f>
        <v>Mourad Saitali</v>
      </c>
    </row>
    <row r="72" spans="1:247" s="300" customFormat="1" ht="128.25" hidden="1" customHeight="1">
      <c r="A72" s="312">
        <v>56</v>
      </c>
      <c r="B72" s="318" t="s">
        <v>782</v>
      </c>
      <c r="C72" s="354" t="s">
        <v>783</v>
      </c>
      <c r="D72" s="376">
        <v>45693</v>
      </c>
      <c r="E72" s="320" t="s">
        <v>784</v>
      </c>
      <c r="F72" s="382" t="s">
        <v>633</v>
      </c>
      <c r="G72" s="352">
        <v>4</v>
      </c>
      <c r="H72" s="352">
        <v>4</v>
      </c>
      <c r="I72" s="352">
        <v>4</v>
      </c>
      <c r="J72" s="352" t="s">
        <v>69</v>
      </c>
      <c r="K72" s="352">
        <v>4</v>
      </c>
      <c r="L72" s="352" t="s">
        <v>69</v>
      </c>
      <c r="M72" s="352" t="s">
        <v>69</v>
      </c>
      <c r="N72" s="352" t="s">
        <v>69</v>
      </c>
      <c r="O72" s="352" t="s">
        <v>69</v>
      </c>
      <c r="P72" s="352">
        <v>4</v>
      </c>
      <c r="Q72" s="352">
        <v>4</v>
      </c>
      <c r="R72" s="352" t="s">
        <v>69</v>
      </c>
      <c r="S72" s="352" t="s">
        <v>69</v>
      </c>
      <c r="T72" s="352" t="s">
        <v>69</v>
      </c>
      <c r="U72" s="352" t="s">
        <v>69</v>
      </c>
      <c r="V72" s="352" t="s">
        <v>69</v>
      </c>
      <c r="W72" s="352" t="s">
        <v>69</v>
      </c>
      <c r="X72" s="352" t="s">
        <v>69</v>
      </c>
      <c r="Y72" s="352" t="s">
        <v>69</v>
      </c>
      <c r="Z72" s="352" t="s">
        <v>69</v>
      </c>
      <c r="AA72" s="352" t="s">
        <v>69</v>
      </c>
      <c r="AB72" s="352" t="s">
        <v>69</v>
      </c>
      <c r="AC72" s="352" t="s">
        <v>69</v>
      </c>
      <c r="AD72" s="352" t="s">
        <v>69</v>
      </c>
      <c r="AE72" s="352" t="s">
        <v>69</v>
      </c>
      <c r="AF72" s="352" t="s">
        <v>69</v>
      </c>
      <c r="AG72" s="352" t="s">
        <v>69</v>
      </c>
      <c r="AH72" s="352" t="s">
        <v>69</v>
      </c>
      <c r="AI72" s="352" t="s">
        <v>69</v>
      </c>
      <c r="AJ72" s="352" t="s">
        <v>69</v>
      </c>
      <c r="AK72" s="352" t="s">
        <v>69</v>
      </c>
      <c r="AL72" s="352" t="s">
        <v>69</v>
      </c>
      <c r="AM72" s="352" t="s">
        <v>69</v>
      </c>
      <c r="AN72" s="352" t="s">
        <v>69</v>
      </c>
      <c r="AO72" s="352" t="s">
        <v>69</v>
      </c>
      <c r="AP72" s="352" t="s">
        <v>69</v>
      </c>
      <c r="AQ72" s="352" t="s">
        <v>69</v>
      </c>
      <c r="AR72" s="352" t="s">
        <v>69</v>
      </c>
      <c r="AS72" s="352">
        <v>3</v>
      </c>
      <c r="AT72" s="352" t="s">
        <v>69</v>
      </c>
      <c r="AU72" s="352">
        <v>3</v>
      </c>
      <c r="AV72" s="352">
        <v>3</v>
      </c>
      <c r="AW72" s="352" t="s">
        <v>69</v>
      </c>
      <c r="AX72" s="352">
        <v>3</v>
      </c>
      <c r="AY72" s="352">
        <v>3</v>
      </c>
      <c r="AZ72" s="352" t="s">
        <v>69</v>
      </c>
      <c r="BA72" s="352">
        <v>3</v>
      </c>
      <c r="BB72" s="352" t="s">
        <v>69</v>
      </c>
      <c r="BC72" s="352" t="s">
        <v>69</v>
      </c>
      <c r="BD72" s="352" t="s">
        <v>69</v>
      </c>
      <c r="BE72" s="352">
        <v>2</v>
      </c>
      <c r="BF72" s="352" t="s">
        <v>69</v>
      </c>
      <c r="BG72" s="352">
        <v>3</v>
      </c>
      <c r="BH72" s="352" t="s">
        <v>69</v>
      </c>
      <c r="BI72" s="352" t="s">
        <v>69</v>
      </c>
      <c r="BJ72" s="352" t="s">
        <v>69</v>
      </c>
      <c r="BK72" s="352" t="s">
        <v>69</v>
      </c>
      <c r="BL72" s="352" t="s">
        <v>69</v>
      </c>
      <c r="BM72" s="352" t="s">
        <v>69</v>
      </c>
      <c r="BN72" s="352" t="s">
        <v>69</v>
      </c>
      <c r="BO72" s="352" t="s">
        <v>69</v>
      </c>
      <c r="BP72" s="352" t="s">
        <v>69</v>
      </c>
      <c r="BQ72" s="352" t="s">
        <v>69</v>
      </c>
      <c r="BR72" s="352" t="s">
        <v>69</v>
      </c>
      <c r="BS72" s="352">
        <v>4</v>
      </c>
      <c r="BT72" s="352" t="s">
        <v>69</v>
      </c>
      <c r="BU72" s="352" t="s">
        <v>69</v>
      </c>
      <c r="BV72" s="352" t="s">
        <v>69</v>
      </c>
      <c r="BW72" s="352" t="s">
        <v>69</v>
      </c>
      <c r="BX72" s="352" t="s">
        <v>69</v>
      </c>
      <c r="BY72" s="352" t="s">
        <v>69</v>
      </c>
      <c r="BZ72" s="352" t="s">
        <v>69</v>
      </c>
      <c r="CA72" s="352" t="s">
        <v>69</v>
      </c>
      <c r="CB72" s="352" t="s">
        <v>69</v>
      </c>
      <c r="CC72" s="352" t="s">
        <v>69</v>
      </c>
      <c r="CD72" s="352" t="s">
        <v>69</v>
      </c>
      <c r="CE72" s="352" t="s">
        <v>69</v>
      </c>
      <c r="CF72" s="352" t="s">
        <v>69</v>
      </c>
      <c r="CG72" s="352" t="s">
        <v>69</v>
      </c>
      <c r="CH72" s="352" t="s">
        <v>69</v>
      </c>
      <c r="CI72" s="352">
        <v>4</v>
      </c>
      <c r="CJ72" s="352">
        <v>4</v>
      </c>
      <c r="CK72" s="352">
        <v>3</v>
      </c>
      <c r="CL72" s="352">
        <v>3</v>
      </c>
      <c r="CM72" s="352" t="s">
        <v>69</v>
      </c>
      <c r="CN72" s="352">
        <v>2</v>
      </c>
      <c r="CO72" s="352">
        <v>2</v>
      </c>
      <c r="CP72" s="352" t="s">
        <v>69</v>
      </c>
      <c r="CQ72" s="352" t="s">
        <v>69</v>
      </c>
      <c r="CR72" s="352" t="s">
        <v>69</v>
      </c>
      <c r="CS72" s="352" t="s">
        <v>69</v>
      </c>
      <c r="CT72" s="352" t="s">
        <v>69</v>
      </c>
      <c r="CU72" s="352" t="s">
        <v>69</v>
      </c>
      <c r="CV72" s="352" t="s">
        <v>69</v>
      </c>
      <c r="CW72" s="352" t="s">
        <v>69</v>
      </c>
      <c r="CX72" s="352" t="s">
        <v>69</v>
      </c>
      <c r="CY72" s="352" t="s">
        <v>69</v>
      </c>
      <c r="CZ72" s="352" t="s">
        <v>69</v>
      </c>
      <c r="DA72" s="352" t="s">
        <v>69</v>
      </c>
      <c r="DB72" s="352" t="s">
        <v>69</v>
      </c>
      <c r="DC72" s="352" t="s">
        <v>69</v>
      </c>
      <c r="DD72" s="352" t="s">
        <v>69</v>
      </c>
      <c r="DE72" s="352" t="s">
        <v>69</v>
      </c>
      <c r="DF72" s="352" t="s">
        <v>69</v>
      </c>
      <c r="DG72" s="352" t="s">
        <v>69</v>
      </c>
      <c r="DH72" s="352" t="s">
        <v>69</v>
      </c>
      <c r="DI72" s="352" t="s">
        <v>69</v>
      </c>
      <c r="DJ72" s="352" t="s">
        <v>69</v>
      </c>
      <c r="DK72" s="352" t="s">
        <v>69</v>
      </c>
      <c r="DL72" s="352" t="s">
        <v>69</v>
      </c>
      <c r="DM72" s="352">
        <v>2</v>
      </c>
      <c r="DN72" s="352" t="s">
        <v>69</v>
      </c>
      <c r="DO72" s="352" t="s">
        <v>69</v>
      </c>
      <c r="DP72" s="352" t="s">
        <v>69</v>
      </c>
      <c r="DQ72" s="352" t="s">
        <v>69</v>
      </c>
      <c r="DR72" s="352" t="s">
        <v>69</v>
      </c>
      <c r="DS72" s="352" t="s">
        <v>69</v>
      </c>
      <c r="DT72" s="352" t="s">
        <v>69</v>
      </c>
      <c r="DU72" s="352" t="s">
        <v>69</v>
      </c>
      <c r="DV72" s="387">
        <f t="shared" ref="DV72:DV110" si="2">COUNTIF(G72:DU72,"&gt;0")/63</f>
        <v>0.34920634920634919</v>
      </c>
      <c r="DW72" s="388">
        <f t="shared" si="0"/>
        <v>0.81818181818181823</v>
      </c>
      <c r="DX72" s="156" t="str">
        <f>VLOOKUP(B72,[1]Pointage!$A:$D,4,0)</f>
        <v>Mourad Saitali</v>
      </c>
    </row>
    <row r="73" spans="1:247" s="300" customFormat="1" ht="128.25" hidden="1" customHeight="1">
      <c r="A73" s="312">
        <v>57</v>
      </c>
      <c r="B73" s="318" t="s">
        <v>785</v>
      </c>
      <c r="C73" s="354" t="s">
        <v>1005</v>
      </c>
      <c r="D73" s="376">
        <v>45719</v>
      </c>
      <c r="E73" s="320" t="s">
        <v>215</v>
      </c>
      <c r="F73" s="382" t="s">
        <v>633</v>
      </c>
      <c r="G73" s="352" t="s">
        <v>69</v>
      </c>
      <c r="H73" s="352" t="s">
        <v>69</v>
      </c>
      <c r="I73" s="352" t="s">
        <v>69</v>
      </c>
      <c r="J73" s="352" t="s">
        <v>69</v>
      </c>
      <c r="K73" s="352" t="s">
        <v>69</v>
      </c>
      <c r="L73" s="352" t="s">
        <v>69</v>
      </c>
      <c r="M73" s="352" t="s">
        <v>69</v>
      </c>
      <c r="N73" s="352" t="s">
        <v>69</v>
      </c>
      <c r="O73" s="352" t="s">
        <v>69</v>
      </c>
      <c r="P73" s="352" t="s">
        <v>69</v>
      </c>
      <c r="Q73" s="352" t="s">
        <v>69</v>
      </c>
      <c r="R73" s="352" t="s">
        <v>69</v>
      </c>
      <c r="S73" s="352" t="s">
        <v>69</v>
      </c>
      <c r="T73" s="352" t="s">
        <v>69</v>
      </c>
      <c r="U73" s="352" t="s">
        <v>69</v>
      </c>
      <c r="V73" s="352" t="s">
        <v>69</v>
      </c>
      <c r="W73" s="352" t="s">
        <v>69</v>
      </c>
      <c r="X73" s="352" t="s">
        <v>69</v>
      </c>
      <c r="Y73" s="352">
        <v>2</v>
      </c>
      <c r="Z73" s="352">
        <v>2</v>
      </c>
      <c r="AA73" s="352" t="s">
        <v>69</v>
      </c>
      <c r="AB73" s="352" t="s">
        <v>69</v>
      </c>
      <c r="AC73" s="352" t="s">
        <v>69</v>
      </c>
      <c r="AD73" s="352" t="s">
        <v>69</v>
      </c>
      <c r="AE73" s="352" t="s">
        <v>69</v>
      </c>
      <c r="AF73" s="352" t="s">
        <v>69</v>
      </c>
      <c r="AG73" s="352" t="s">
        <v>69</v>
      </c>
      <c r="AH73" s="352" t="s">
        <v>69</v>
      </c>
      <c r="AI73" s="352" t="s">
        <v>69</v>
      </c>
      <c r="AJ73" s="352" t="s">
        <v>69</v>
      </c>
      <c r="AK73" s="352" t="s">
        <v>69</v>
      </c>
      <c r="AL73" s="352" t="s">
        <v>69</v>
      </c>
      <c r="AM73" s="352" t="s">
        <v>69</v>
      </c>
      <c r="AN73" s="352" t="s">
        <v>69</v>
      </c>
      <c r="AO73" s="352" t="s">
        <v>69</v>
      </c>
      <c r="AP73" s="352" t="s">
        <v>69</v>
      </c>
      <c r="AQ73" s="352" t="s">
        <v>69</v>
      </c>
      <c r="AR73" s="352" t="s">
        <v>69</v>
      </c>
      <c r="AS73" s="352" t="s">
        <v>69</v>
      </c>
      <c r="AT73" s="352" t="s">
        <v>69</v>
      </c>
      <c r="AU73" s="352" t="s">
        <v>69</v>
      </c>
      <c r="AV73" s="352" t="s">
        <v>69</v>
      </c>
      <c r="AW73" s="352" t="s">
        <v>69</v>
      </c>
      <c r="AX73" s="352" t="s">
        <v>69</v>
      </c>
      <c r="AY73" s="352" t="s">
        <v>69</v>
      </c>
      <c r="AZ73" s="352" t="s">
        <v>69</v>
      </c>
      <c r="BA73" s="352" t="s">
        <v>69</v>
      </c>
      <c r="BB73" s="352" t="s">
        <v>69</v>
      </c>
      <c r="BC73" s="352" t="s">
        <v>69</v>
      </c>
      <c r="BD73" s="352" t="s">
        <v>69</v>
      </c>
      <c r="BE73" s="352" t="s">
        <v>69</v>
      </c>
      <c r="BF73" s="352" t="s">
        <v>69</v>
      </c>
      <c r="BG73" s="352" t="s">
        <v>69</v>
      </c>
      <c r="BH73" s="352" t="s">
        <v>69</v>
      </c>
      <c r="BI73" s="352" t="s">
        <v>69</v>
      </c>
      <c r="BJ73" s="352" t="s">
        <v>69</v>
      </c>
      <c r="BK73" s="352" t="s">
        <v>69</v>
      </c>
      <c r="BL73" s="352" t="s">
        <v>69</v>
      </c>
      <c r="BM73" s="352" t="s">
        <v>69</v>
      </c>
      <c r="BN73" s="352" t="s">
        <v>69</v>
      </c>
      <c r="BO73" s="352" t="s">
        <v>69</v>
      </c>
      <c r="BP73" s="352" t="s">
        <v>69</v>
      </c>
      <c r="BQ73" s="352" t="s">
        <v>69</v>
      </c>
      <c r="BR73" s="352" t="s">
        <v>69</v>
      </c>
      <c r="BS73" s="352" t="s">
        <v>69</v>
      </c>
      <c r="BT73" s="352" t="s">
        <v>69</v>
      </c>
      <c r="BU73" s="352" t="s">
        <v>69</v>
      </c>
      <c r="BV73" s="352" t="s">
        <v>69</v>
      </c>
      <c r="BW73" s="352" t="s">
        <v>69</v>
      </c>
      <c r="BX73" s="352" t="s">
        <v>69</v>
      </c>
      <c r="BY73" s="352" t="s">
        <v>69</v>
      </c>
      <c r="BZ73" s="352" t="s">
        <v>69</v>
      </c>
      <c r="CA73" s="352" t="s">
        <v>69</v>
      </c>
      <c r="CB73" s="352" t="s">
        <v>69</v>
      </c>
      <c r="CC73" s="352" t="s">
        <v>69</v>
      </c>
      <c r="CD73" s="352" t="s">
        <v>69</v>
      </c>
      <c r="CE73" s="352" t="s">
        <v>69</v>
      </c>
      <c r="CF73" s="352" t="s">
        <v>69</v>
      </c>
      <c r="CG73" s="352" t="s">
        <v>69</v>
      </c>
      <c r="CH73" s="352" t="s">
        <v>69</v>
      </c>
      <c r="CI73" s="352" t="s">
        <v>69</v>
      </c>
      <c r="CJ73" s="352" t="s">
        <v>69</v>
      </c>
      <c r="CK73" s="352" t="s">
        <v>69</v>
      </c>
      <c r="CL73" s="352" t="s">
        <v>69</v>
      </c>
      <c r="CM73" s="352">
        <v>3</v>
      </c>
      <c r="CN73" s="352">
        <v>3</v>
      </c>
      <c r="CO73" s="352">
        <v>3</v>
      </c>
      <c r="CP73" s="352">
        <v>3</v>
      </c>
      <c r="CQ73" s="352" t="s">
        <v>69</v>
      </c>
      <c r="CR73" s="352" t="s">
        <v>69</v>
      </c>
      <c r="CS73" s="352" t="s">
        <v>69</v>
      </c>
      <c r="CT73" s="352" t="s">
        <v>69</v>
      </c>
      <c r="CU73" s="352" t="s">
        <v>69</v>
      </c>
      <c r="CV73" s="352" t="s">
        <v>69</v>
      </c>
      <c r="CW73" s="352" t="s">
        <v>69</v>
      </c>
      <c r="CX73" s="352" t="s">
        <v>69</v>
      </c>
      <c r="CY73" s="352" t="s">
        <v>69</v>
      </c>
      <c r="CZ73" s="352" t="s">
        <v>69</v>
      </c>
      <c r="DA73" s="352" t="s">
        <v>69</v>
      </c>
      <c r="DB73" s="352" t="s">
        <v>69</v>
      </c>
      <c r="DC73" s="352" t="s">
        <v>69</v>
      </c>
      <c r="DD73" s="352" t="s">
        <v>69</v>
      </c>
      <c r="DE73" s="352" t="s">
        <v>69</v>
      </c>
      <c r="DF73" s="352" t="s">
        <v>69</v>
      </c>
      <c r="DG73" s="352" t="s">
        <v>69</v>
      </c>
      <c r="DH73" s="352" t="s">
        <v>69</v>
      </c>
      <c r="DI73" s="352" t="s">
        <v>69</v>
      </c>
      <c r="DJ73" s="352" t="s">
        <v>69</v>
      </c>
      <c r="DK73" s="352" t="s">
        <v>69</v>
      </c>
      <c r="DL73" s="352" t="s">
        <v>69</v>
      </c>
      <c r="DM73" s="352" t="s">
        <v>69</v>
      </c>
      <c r="DN73" s="352" t="s">
        <v>69</v>
      </c>
      <c r="DO73" s="352" t="s">
        <v>69</v>
      </c>
      <c r="DP73" s="352" t="s">
        <v>69</v>
      </c>
      <c r="DQ73" s="352" t="s">
        <v>69</v>
      </c>
      <c r="DR73" s="352" t="s">
        <v>69</v>
      </c>
      <c r="DS73" s="352" t="s">
        <v>69</v>
      </c>
      <c r="DT73" s="352">
        <v>4</v>
      </c>
      <c r="DU73" s="352" t="s">
        <v>69</v>
      </c>
      <c r="DV73" s="387">
        <f t="shared" si="2"/>
        <v>0.1111111111111111</v>
      </c>
      <c r="DW73" s="388">
        <f t="shared" si="0"/>
        <v>0.7142857142857143</v>
      </c>
      <c r="DX73" s="156" t="str">
        <f>VLOOKUP(B73,[1]Pointage!$A:$D,4,0)</f>
        <v>Mourad Saitali</v>
      </c>
    </row>
    <row r="74" spans="1:247" s="300" customFormat="1" ht="128.25" hidden="1" customHeight="1">
      <c r="A74" s="312">
        <v>58</v>
      </c>
      <c r="B74" s="318" t="s">
        <v>829</v>
      </c>
      <c r="C74" s="354" t="s">
        <v>1053</v>
      </c>
      <c r="D74" s="376">
        <v>45945</v>
      </c>
      <c r="E74" s="320" t="s">
        <v>217</v>
      </c>
      <c r="F74" s="382" t="s">
        <v>633</v>
      </c>
      <c r="G74" s="352" t="s">
        <v>69</v>
      </c>
      <c r="H74" s="352" t="s">
        <v>69</v>
      </c>
      <c r="I74" s="352" t="s">
        <v>69</v>
      </c>
      <c r="J74" s="352" t="s">
        <v>69</v>
      </c>
      <c r="K74" s="352" t="s">
        <v>69</v>
      </c>
      <c r="L74" s="352" t="s">
        <v>69</v>
      </c>
      <c r="M74" s="352" t="s">
        <v>69</v>
      </c>
      <c r="N74" s="352" t="s">
        <v>69</v>
      </c>
      <c r="O74" s="352" t="s">
        <v>69</v>
      </c>
      <c r="P74" s="352" t="s">
        <v>69</v>
      </c>
      <c r="Q74" s="352" t="s">
        <v>69</v>
      </c>
      <c r="R74" s="352" t="s">
        <v>69</v>
      </c>
      <c r="S74" s="352" t="s">
        <v>69</v>
      </c>
      <c r="T74" s="352" t="s">
        <v>69</v>
      </c>
      <c r="U74" s="352" t="s">
        <v>69</v>
      </c>
      <c r="V74" s="352" t="s">
        <v>69</v>
      </c>
      <c r="W74" s="352" t="s">
        <v>69</v>
      </c>
      <c r="X74" s="352" t="s">
        <v>69</v>
      </c>
      <c r="Y74" s="352" t="s">
        <v>69</v>
      </c>
      <c r="Z74" s="352" t="s">
        <v>69</v>
      </c>
      <c r="AA74" s="352" t="s">
        <v>69</v>
      </c>
      <c r="AB74" s="352">
        <v>2</v>
      </c>
      <c r="AC74" s="352" t="s">
        <v>69</v>
      </c>
      <c r="AD74" s="352" t="s">
        <v>69</v>
      </c>
      <c r="AE74" s="352" t="s">
        <v>69</v>
      </c>
      <c r="AF74" s="352" t="s">
        <v>69</v>
      </c>
      <c r="AG74" s="352">
        <v>2</v>
      </c>
      <c r="AH74" s="352" t="s">
        <v>69</v>
      </c>
      <c r="AI74" s="352">
        <v>2</v>
      </c>
      <c r="AJ74" s="352" t="s">
        <v>69</v>
      </c>
      <c r="AK74" s="352" t="s">
        <v>69</v>
      </c>
      <c r="AL74" s="352" t="s">
        <v>69</v>
      </c>
      <c r="AM74" s="352" t="s">
        <v>69</v>
      </c>
      <c r="AN74" s="352" t="s">
        <v>69</v>
      </c>
      <c r="AO74" s="352" t="s">
        <v>69</v>
      </c>
      <c r="AP74" s="352" t="s">
        <v>69</v>
      </c>
      <c r="AQ74" s="352" t="s">
        <v>69</v>
      </c>
      <c r="AR74" s="352" t="s">
        <v>69</v>
      </c>
      <c r="AS74" s="352" t="s">
        <v>69</v>
      </c>
      <c r="AT74" s="352" t="s">
        <v>69</v>
      </c>
      <c r="AU74" s="352" t="s">
        <v>69</v>
      </c>
      <c r="AV74" s="352" t="s">
        <v>69</v>
      </c>
      <c r="AW74" s="352" t="s">
        <v>69</v>
      </c>
      <c r="AX74" s="352" t="s">
        <v>69</v>
      </c>
      <c r="AY74" s="352" t="s">
        <v>69</v>
      </c>
      <c r="AZ74" s="352" t="s">
        <v>69</v>
      </c>
      <c r="BA74" s="352" t="s">
        <v>69</v>
      </c>
      <c r="BB74" s="352" t="s">
        <v>69</v>
      </c>
      <c r="BC74" s="352" t="s">
        <v>69</v>
      </c>
      <c r="BD74" s="352" t="s">
        <v>69</v>
      </c>
      <c r="BE74" s="352" t="s">
        <v>69</v>
      </c>
      <c r="BF74" s="352" t="s">
        <v>69</v>
      </c>
      <c r="BG74" s="352" t="s">
        <v>69</v>
      </c>
      <c r="BH74" s="352" t="s">
        <v>69</v>
      </c>
      <c r="BI74" s="352" t="s">
        <v>69</v>
      </c>
      <c r="BJ74" s="352" t="s">
        <v>69</v>
      </c>
      <c r="BK74" s="352" t="s">
        <v>69</v>
      </c>
      <c r="BL74" s="352" t="s">
        <v>69</v>
      </c>
      <c r="BM74" s="352" t="s">
        <v>69</v>
      </c>
      <c r="BN74" s="352" t="s">
        <v>69</v>
      </c>
      <c r="BO74" s="352">
        <v>4</v>
      </c>
      <c r="BP74" s="352" t="s">
        <v>69</v>
      </c>
      <c r="BQ74" s="352" t="s">
        <v>69</v>
      </c>
      <c r="BR74" s="352" t="s">
        <v>69</v>
      </c>
      <c r="BS74" s="352" t="s">
        <v>69</v>
      </c>
      <c r="BT74" s="352" t="s">
        <v>69</v>
      </c>
      <c r="BU74" s="352">
        <v>2</v>
      </c>
      <c r="BV74" s="352" t="s">
        <v>69</v>
      </c>
      <c r="BW74" s="352" t="s">
        <v>69</v>
      </c>
      <c r="BX74" s="352" t="s">
        <v>69</v>
      </c>
      <c r="BY74" s="352" t="s">
        <v>69</v>
      </c>
      <c r="BZ74" s="352" t="s">
        <v>69</v>
      </c>
      <c r="CA74" s="352" t="s">
        <v>69</v>
      </c>
      <c r="CB74" s="352" t="s">
        <v>69</v>
      </c>
      <c r="CC74" s="352" t="s">
        <v>69</v>
      </c>
      <c r="CD74" s="352" t="s">
        <v>69</v>
      </c>
      <c r="CE74" s="352" t="s">
        <v>69</v>
      </c>
      <c r="CF74" s="352" t="s">
        <v>69</v>
      </c>
      <c r="CG74" s="352">
        <v>2</v>
      </c>
      <c r="CH74" s="352" t="s">
        <v>69</v>
      </c>
      <c r="CI74" s="352" t="s">
        <v>69</v>
      </c>
      <c r="CJ74" s="352" t="s">
        <v>69</v>
      </c>
      <c r="CK74" s="352" t="s">
        <v>69</v>
      </c>
      <c r="CL74" s="352" t="s">
        <v>69</v>
      </c>
      <c r="CM74" s="352" t="s">
        <v>69</v>
      </c>
      <c r="CN74" s="352" t="s">
        <v>69</v>
      </c>
      <c r="CO74" s="352" t="s">
        <v>69</v>
      </c>
      <c r="CP74" s="352" t="s">
        <v>69</v>
      </c>
      <c r="CQ74" s="352" t="s">
        <v>69</v>
      </c>
      <c r="CR74" s="352" t="s">
        <v>69</v>
      </c>
      <c r="CS74" s="352" t="s">
        <v>69</v>
      </c>
      <c r="CT74" s="352" t="s">
        <v>69</v>
      </c>
      <c r="CU74" s="352" t="s">
        <v>69</v>
      </c>
      <c r="CV74" s="352" t="s">
        <v>69</v>
      </c>
      <c r="CW74" s="352" t="s">
        <v>69</v>
      </c>
      <c r="CX74" s="352" t="s">
        <v>69</v>
      </c>
      <c r="CY74" s="352" t="s">
        <v>69</v>
      </c>
      <c r="CZ74" s="352">
        <v>3</v>
      </c>
      <c r="DA74" s="352" t="s">
        <v>69</v>
      </c>
      <c r="DB74" s="352" t="s">
        <v>69</v>
      </c>
      <c r="DC74" s="352">
        <v>4</v>
      </c>
      <c r="DD74" s="352" t="s">
        <v>69</v>
      </c>
      <c r="DE74" s="352" t="s">
        <v>69</v>
      </c>
      <c r="DF74" s="352" t="s">
        <v>69</v>
      </c>
      <c r="DG74" s="352" t="s">
        <v>69</v>
      </c>
      <c r="DH74" s="352" t="s">
        <v>69</v>
      </c>
      <c r="DI74" s="352" t="s">
        <v>69</v>
      </c>
      <c r="DJ74" s="352" t="s">
        <v>69</v>
      </c>
      <c r="DK74" s="352" t="s">
        <v>69</v>
      </c>
      <c r="DL74" s="352" t="s">
        <v>69</v>
      </c>
      <c r="DM74" s="352" t="s">
        <v>69</v>
      </c>
      <c r="DN74" s="352" t="s">
        <v>69</v>
      </c>
      <c r="DO74" s="352">
        <v>4</v>
      </c>
      <c r="DP74" s="352" t="s">
        <v>69</v>
      </c>
      <c r="DQ74" s="352">
        <v>4</v>
      </c>
      <c r="DR74" s="352" t="s">
        <v>69</v>
      </c>
      <c r="DS74" s="352" t="s">
        <v>69</v>
      </c>
      <c r="DT74" s="352" t="s">
        <v>69</v>
      </c>
      <c r="DU74" s="352" t="s">
        <v>69</v>
      </c>
      <c r="DV74" s="387">
        <f t="shared" si="2"/>
        <v>0.15873015873015872</v>
      </c>
      <c r="DW74" s="388">
        <f t="shared" si="0"/>
        <v>0.5</v>
      </c>
      <c r="DX74" s="156" t="e">
        <f>VLOOKUP(B74,[1]Pointage!$A:$D,4,0)</f>
        <v>#N/A</v>
      </c>
    </row>
    <row r="75" spans="1:247" s="300" customFormat="1" ht="128.25" hidden="1" customHeight="1">
      <c r="A75" s="312">
        <v>59</v>
      </c>
      <c r="B75" s="318" t="s">
        <v>830</v>
      </c>
      <c r="C75" s="385" t="s">
        <v>1139</v>
      </c>
      <c r="D75" s="376">
        <v>45945</v>
      </c>
      <c r="E75" s="320" t="s">
        <v>217</v>
      </c>
      <c r="F75" s="382" t="s">
        <v>633</v>
      </c>
      <c r="G75" s="352" t="s">
        <v>69</v>
      </c>
      <c r="H75" s="352" t="s">
        <v>69</v>
      </c>
      <c r="I75" s="352" t="s">
        <v>69</v>
      </c>
      <c r="J75" s="352" t="s">
        <v>69</v>
      </c>
      <c r="K75" s="352" t="s">
        <v>69</v>
      </c>
      <c r="L75" s="352" t="s">
        <v>69</v>
      </c>
      <c r="M75" s="352" t="s">
        <v>69</v>
      </c>
      <c r="N75" s="352" t="s">
        <v>69</v>
      </c>
      <c r="O75" s="352" t="s">
        <v>69</v>
      </c>
      <c r="P75" s="352" t="s">
        <v>69</v>
      </c>
      <c r="Q75" s="352" t="s">
        <v>69</v>
      </c>
      <c r="R75" s="352" t="s">
        <v>69</v>
      </c>
      <c r="S75" s="352" t="s">
        <v>69</v>
      </c>
      <c r="T75" s="352" t="s">
        <v>69</v>
      </c>
      <c r="U75" s="352" t="s">
        <v>69</v>
      </c>
      <c r="V75" s="352" t="s">
        <v>69</v>
      </c>
      <c r="W75" s="352" t="s">
        <v>69</v>
      </c>
      <c r="X75" s="352" t="s">
        <v>69</v>
      </c>
      <c r="Y75" s="352" t="s">
        <v>69</v>
      </c>
      <c r="Z75" s="352" t="s">
        <v>69</v>
      </c>
      <c r="AA75" s="352" t="s">
        <v>69</v>
      </c>
      <c r="AB75" s="352" t="s">
        <v>69</v>
      </c>
      <c r="AC75" s="352" t="s">
        <v>69</v>
      </c>
      <c r="AD75" s="352" t="s">
        <v>69</v>
      </c>
      <c r="AE75" s="352" t="s">
        <v>69</v>
      </c>
      <c r="AF75" s="352" t="s">
        <v>69</v>
      </c>
      <c r="AG75" s="352">
        <v>2</v>
      </c>
      <c r="AH75" s="352" t="s">
        <v>69</v>
      </c>
      <c r="AI75" s="352">
        <v>2</v>
      </c>
      <c r="AJ75" s="352" t="s">
        <v>69</v>
      </c>
      <c r="AK75" s="352" t="s">
        <v>69</v>
      </c>
      <c r="AL75" s="352" t="s">
        <v>69</v>
      </c>
      <c r="AM75" s="352">
        <v>2</v>
      </c>
      <c r="AN75" s="352" t="s">
        <v>69</v>
      </c>
      <c r="AO75" s="352" t="s">
        <v>69</v>
      </c>
      <c r="AP75" s="352" t="s">
        <v>69</v>
      </c>
      <c r="AQ75" s="352" t="s">
        <v>69</v>
      </c>
      <c r="AR75" s="352" t="s">
        <v>69</v>
      </c>
      <c r="AS75" s="352" t="s">
        <v>69</v>
      </c>
      <c r="AT75" s="352" t="s">
        <v>69</v>
      </c>
      <c r="AU75" s="352" t="s">
        <v>69</v>
      </c>
      <c r="AV75" s="352" t="s">
        <v>69</v>
      </c>
      <c r="AW75" s="352" t="s">
        <v>69</v>
      </c>
      <c r="AX75" s="352" t="s">
        <v>69</v>
      </c>
      <c r="AY75" s="352" t="s">
        <v>69</v>
      </c>
      <c r="AZ75" s="352" t="s">
        <v>69</v>
      </c>
      <c r="BA75" s="352" t="s">
        <v>69</v>
      </c>
      <c r="BB75" s="352" t="s">
        <v>69</v>
      </c>
      <c r="BC75" s="352" t="s">
        <v>69</v>
      </c>
      <c r="BD75" s="352" t="s">
        <v>69</v>
      </c>
      <c r="BE75" s="352" t="s">
        <v>69</v>
      </c>
      <c r="BF75" s="352" t="s">
        <v>69</v>
      </c>
      <c r="BG75" s="352" t="s">
        <v>69</v>
      </c>
      <c r="BH75" s="352" t="s">
        <v>69</v>
      </c>
      <c r="BI75" s="352" t="s">
        <v>69</v>
      </c>
      <c r="BJ75" s="352" t="s">
        <v>69</v>
      </c>
      <c r="BK75" s="352" t="s">
        <v>69</v>
      </c>
      <c r="BL75" s="352" t="s">
        <v>69</v>
      </c>
      <c r="BM75" s="352" t="s">
        <v>69</v>
      </c>
      <c r="BN75" s="352" t="s">
        <v>69</v>
      </c>
      <c r="BO75" s="352" t="s">
        <v>69</v>
      </c>
      <c r="BP75" s="352" t="s">
        <v>69</v>
      </c>
      <c r="BQ75" s="352" t="s">
        <v>69</v>
      </c>
      <c r="BR75" s="352">
        <v>1</v>
      </c>
      <c r="BS75" s="352" t="s">
        <v>69</v>
      </c>
      <c r="BT75" s="352" t="s">
        <v>69</v>
      </c>
      <c r="BU75" s="352" t="s">
        <v>69</v>
      </c>
      <c r="BV75" s="352" t="s">
        <v>69</v>
      </c>
      <c r="BW75" s="352" t="s">
        <v>69</v>
      </c>
      <c r="BX75" s="352">
        <v>2</v>
      </c>
      <c r="BY75" s="352" t="s">
        <v>69</v>
      </c>
      <c r="BZ75" s="352" t="s">
        <v>69</v>
      </c>
      <c r="CA75" s="352" t="s">
        <v>69</v>
      </c>
      <c r="CB75" s="352" t="s">
        <v>69</v>
      </c>
      <c r="CC75" s="352" t="s">
        <v>69</v>
      </c>
      <c r="CD75" s="352" t="s">
        <v>69</v>
      </c>
      <c r="CE75" s="352" t="s">
        <v>69</v>
      </c>
      <c r="CF75" s="352" t="s">
        <v>69</v>
      </c>
      <c r="CG75" s="352">
        <v>2</v>
      </c>
      <c r="CH75" s="352" t="s">
        <v>69</v>
      </c>
      <c r="CI75" s="352" t="s">
        <v>69</v>
      </c>
      <c r="CJ75" s="352" t="s">
        <v>69</v>
      </c>
      <c r="CK75" s="352" t="s">
        <v>69</v>
      </c>
      <c r="CL75" s="352" t="s">
        <v>69</v>
      </c>
      <c r="CM75" s="352" t="s">
        <v>69</v>
      </c>
      <c r="CN75" s="352" t="s">
        <v>69</v>
      </c>
      <c r="CO75" s="352" t="s">
        <v>69</v>
      </c>
      <c r="CP75" s="352" t="s">
        <v>69</v>
      </c>
      <c r="CQ75" s="352" t="s">
        <v>69</v>
      </c>
      <c r="CR75" s="352" t="s">
        <v>69</v>
      </c>
      <c r="CS75" s="352" t="s">
        <v>69</v>
      </c>
      <c r="CT75" s="352" t="s">
        <v>69</v>
      </c>
      <c r="CU75" s="352" t="s">
        <v>69</v>
      </c>
      <c r="CV75" s="352" t="s">
        <v>69</v>
      </c>
      <c r="CW75" s="352" t="s">
        <v>69</v>
      </c>
      <c r="CX75" s="352" t="s">
        <v>69</v>
      </c>
      <c r="CY75" s="352" t="s">
        <v>69</v>
      </c>
      <c r="CZ75" s="352" t="s">
        <v>69</v>
      </c>
      <c r="DA75" s="352" t="s">
        <v>69</v>
      </c>
      <c r="DB75" s="352" t="s">
        <v>69</v>
      </c>
      <c r="DC75" s="352">
        <v>2</v>
      </c>
      <c r="DD75" s="352" t="s">
        <v>69</v>
      </c>
      <c r="DE75" s="352" t="s">
        <v>69</v>
      </c>
      <c r="DF75" s="352" t="s">
        <v>69</v>
      </c>
      <c r="DG75" s="352" t="s">
        <v>69</v>
      </c>
      <c r="DH75" s="352" t="s">
        <v>69</v>
      </c>
      <c r="DI75" s="352" t="s">
        <v>69</v>
      </c>
      <c r="DJ75" s="352" t="s">
        <v>69</v>
      </c>
      <c r="DK75" s="352" t="s">
        <v>69</v>
      </c>
      <c r="DL75" s="352" t="s">
        <v>69</v>
      </c>
      <c r="DM75" s="352" t="s">
        <v>69</v>
      </c>
      <c r="DN75" s="352" t="s">
        <v>69</v>
      </c>
      <c r="DO75" s="352" t="s">
        <v>69</v>
      </c>
      <c r="DP75" s="352" t="s">
        <v>69</v>
      </c>
      <c r="DQ75" s="352" t="s">
        <v>69</v>
      </c>
      <c r="DR75" s="352" t="s">
        <v>69</v>
      </c>
      <c r="DS75" s="352" t="s">
        <v>69</v>
      </c>
      <c r="DT75" s="352" t="s">
        <v>69</v>
      </c>
      <c r="DU75" s="352" t="s">
        <v>69</v>
      </c>
      <c r="DV75" s="387">
        <f t="shared" si="2"/>
        <v>0.1111111111111111</v>
      </c>
      <c r="DW75" s="388">
        <f t="shared" si="0"/>
        <v>0</v>
      </c>
      <c r="DX75" s="156" t="str">
        <f>VLOOKUP(B75,[1]Pointage!$A:$D,4,0)</f>
        <v>Mourad Saitali</v>
      </c>
    </row>
    <row r="76" spans="1:247" s="302" customFormat="1" ht="128.25" hidden="1" customHeight="1">
      <c r="A76" s="312">
        <v>60</v>
      </c>
      <c r="B76" s="318" t="s">
        <v>752</v>
      </c>
      <c r="C76" s="354" t="s">
        <v>753</v>
      </c>
      <c r="D76" s="376">
        <v>45692</v>
      </c>
      <c r="E76" s="320" t="s">
        <v>217</v>
      </c>
      <c r="F76" s="382" t="s">
        <v>633</v>
      </c>
      <c r="G76" s="352">
        <v>3</v>
      </c>
      <c r="H76" s="352">
        <v>3</v>
      </c>
      <c r="I76" s="352">
        <v>3</v>
      </c>
      <c r="J76" s="352" t="s">
        <v>69</v>
      </c>
      <c r="K76" s="352">
        <v>3</v>
      </c>
      <c r="L76" s="352" t="s">
        <v>69</v>
      </c>
      <c r="M76" s="352" t="s">
        <v>69</v>
      </c>
      <c r="N76" s="352" t="s">
        <v>69</v>
      </c>
      <c r="O76" s="352" t="s">
        <v>69</v>
      </c>
      <c r="P76" s="352">
        <v>3</v>
      </c>
      <c r="Q76" s="352">
        <v>3</v>
      </c>
      <c r="R76" s="352" t="s">
        <v>69</v>
      </c>
      <c r="S76" s="352" t="s">
        <v>69</v>
      </c>
      <c r="T76" s="352" t="s">
        <v>69</v>
      </c>
      <c r="U76" s="352" t="s">
        <v>69</v>
      </c>
      <c r="V76" s="352" t="s">
        <v>69</v>
      </c>
      <c r="W76" s="352" t="s">
        <v>69</v>
      </c>
      <c r="X76" s="352" t="s">
        <v>69</v>
      </c>
      <c r="Y76" s="352" t="s">
        <v>69</v>
      </c>
      <c r="Z76" s="352" t="s">
        <v>69</v>
      </c>
      <c r="AA76" s="352" t="s">
        <v>69</v>
      </c>
      <c r="AB76" s="352" t="s">
        <v>69</v>
      </c>
      <c r="AC76" s="352" t="s">
        <v>69</v>
      </c>
      <c r="AD76" s="352" t="s">
        <v>69</v>
      </c>
      <c r="AE76" s="352" t="s">
        <v>69</v>
      </c>
      <c r="AF76" s="352" t="s">
        <v>69</v>
      </c>
      <c r="AG76" s="352">
        <v>2</v>
      </c>
      <c r="AH76" s="352" t="s">
        <v>69</v>
      </c>
      <c r="AI76" s="352">
        <v>2</v>
      </c>
      <c r="AJ76" s="352">
        <v>4</v>
      </c>
      <c r="AK76" s="352" t="s">
        <v>69</v>
      </c>
      <c r="AL76" s="352" t="s">
        <v>69</v>
      </c>
      <c r="AM76" s="352" t="s">
        <v>69</v>
      </c>
      <c r="AN76" s="352" t="s">
        <v>69</v>
      </c>
      <c r="AO76" s="352" t="s">
        <v>69</v>
      </c>
      <c r="AP76" s="352" t="s">
        <v>69</v>
      </c>
      <c r="AQ76" s="352" t="s">
        <v>69</v>
      </c>
      <c r="AR76" s="352" t="s">
        <v>69</v>
      </c>
      <c r="AS76" s="352">
        <v>3</v>
      </c>
      <c r="AT76" s="352" t="s">
        <v>69</v>
      </c>
      <c r="AU76" s="352">
        <v>3</v>
      </c>
      <c r="AV76" s="352">
        <v>2</v>
      </c>
      <c r="AW76" s="352" t="s">
        <v>69</v>
      </c>
      <c r="AX76" s="352" t="s">
        <v>69</v>
      </c>
      <c r="AY76" s="352">
        <v>3</v>
      </c>
      <c r="AZ76" s="352" t="s">
        <v>69</v>
      </c>
      <c r="BA76" s="352" t="s">
        <v>69</v>
      </c>
      <c r="BB76" s="352" t="s">
        <v>69</v>
      </c>
      <c r="BC76" s="352" t="s">
        <v>69</v>
      </c>
      <c r="BD76" s="352" t="s">
        <v>69</v>
      </c>
      <c r="BE76" s="352" t="s">
        <v>69</v>
      </c>
      <c r="BF76" s="352" t="s">
        <v>69</v>
      </c>
      <c r="BG76" s="352" t="s">
        <v>69</v>
      </c>
      <c r="BH76" s="352" t="s">
        <v>69</v>
      </c>
      <c r="BI76" s="352" t="s">
        <v>69</v>
      </c>
      <c r="BJ76" s="352" t="s">
        <v>69</v>
      </c>
      <c r="BK76" s="352" t="s">
        <v>69</v>
      </c>
      <c r="BL76" s="352" t="s">
        <v>69</v>
      </c>
      <c r="BM76" s="352" t="s">
        <v>69</v>
      </c>
      <c r="BN76" s="352" t="s">
        <v>69</v>
      </c>
      <c r="BO76" s="352" t="s">
        <v>69</v>
      </c>
      <c r="BP76" s="352" t="s">
        <v>69</v>
      </c>
      <c r="BQ76" s="352" t="s">
        <v>69</v>
      </c>
      <c r="BR76" s="352" t="s">
        <v>69</v>
      </c>
      <c r="BS76" s="352">
        <v>3</v>
      </c>
      <c r="BT76" s="352" t="s">
        <v>69</v>
      </c>
      <c r="BU76" s="352" t="s">
        <v>69</v>
      </c>
      <c r="BV76" s="352" t="s">
        <v>69</v>
      </c>
      <c r="BW76" s="352" t="s">
        <v>69</v>
      </c>
      <c r="BX76" s="352" t="s">
        <v>69</v>
      </c>
      <c r="BY76" s="352" t="s">
        <v>69</v>
      </c>
      <c r="BZ76" s="352" t="s">
        <v>69</v>
      </c>
      <c r="CA76" s="352" t="s">
        <v>69</v>
      </c>
      <c r="CB76" s="352" t="s">
        <v>69</v>
      </c>
      <c r="CC76" s="352" t="s">
        <v>69</v>
      </c>
      <c r="CD76" s="352" t="s">
        <v>69</v>
      </c>
      <c r="CE76" s="352" t="s">
        <v>69</v>
      </c>
      <c r="CF76" s="352" t="s">
        <v>69</v>
      </c>
      <c r="CG76" s="352" t="s">
        <v>69</v>
      </c>
      <c r="CH76" s="352" t="s">
        <v>69</v>
      </c>
      <c r="CI76" s="352">
        <v>3</v>
      </c>
      <c r="CJ76" s="352">
        <v>3</v>
      </c>
      <c r="CK76" s="352">
        <v>3</v>
      </c>
      <c r="CL76" s="352">
        <v>3</v>
      </c>
      <c r="CM76" s="352" t="s">
        <v>69</v>
      </c>
      <c r="CN76" s="352" t="s">
        <v>69</v>
      </c>
      <c r="CO76" s="352" t="s">
        <v>69</v>
      </c>
      <c r="CP76" s="352" t="s">
        <v>69</v>
      </c>
      <c r="CQ76" s="352" t="s">
        <v>69</v>
      </c>
      <c r="CR76" s="352" t="s">
        <v>69</v>
      </c>
      <c r="CS76" s="352" t="s">
        <v>69</v>
      </c>
      <c r="CT76" s="352" t="s">
        <v>69</v>
      </c>
      <c r="CU76" s="352" t="s">
        <v>69</v>
      </c>
      <c r="CV76" s="352" t="s">
        <v>69</v>
      </c>
      <c r="CW76" s="352" t="s">
        <v>69</v>
      </c>
      <c r="CX76" s="352" t="s">
        <v>69</v>
      </c>
      <c r="CY76" s="352" t="s">
        <v>69</v>
      </c>
      <c r="CZ76" s="352" t="s">
        <v>69</v>
      </c>
      <c r="DA76" s="352" t="s">
        <v>69</v>
      </c>
      <c r="DB76" s="352" t="s">
        <v>69</v>
      </c>
      <c r="DC76" s="352" t="s">
        <v>69</v>
      </c>
      <c r="DD76" s="352" t="s">
        <v>69</v>
      </c>
      <c r="DE76" s="352" t="s">
        <v>69</v>
      </c>
      <c r="DF76" s="352" t="s">
        <v>69</v>
      </c>
      <c r="DG76" s="352" t="s">
        <v>69</v>
      </c>
      <c r="DH76" s="352" t="s">
        <v>69</v>
      </c>
      <c r="DI76" s="352" t="s">
        <v>69</v>
      </c>
      <c r="DJ76" s="352" t="s">
        <v>69</v>
      </c>
      <c r="DK76" s="352" t="s">
        <v>69</v>
      </c>
      <c r="DL76" s="352" t="s">
        <v>69</v>
      </c>
      <c r="DM76" s="352">
        <v>2</v>
      </c>
      <c r="DN76" s="352" t="s">
        <v>69</v>
      </c>
      <c r="DO76" s="352" t="s">
        <v>69</v>
      </c>
      <c r="DP76" s="352" t="s">
        <v>69</v>
      </c>
      <c r="DQ76" s="352" t="s">
        <v>69</v>
      </c>
      <c r="DR76" s="352" t="s">
        <v>69</v>
      </c>
      <c r="DS76" s="352" t="s">
        <v>69</v>
      </c>
      <c r="DT76" s="352" t="s">
        <v>69</v>
      </c>
      <c r="DU76" s="352" t="s">
        <v>69</v>
      </c>
      <c r="DV76" s="387">
        <f t="shared" si="2"/>
        <v>0.30158730158730157</v>
      </c>
      <c r="DW76" s="388">
        <f t="shared" si="0"/>
        <v>0.78947368421052633</v>
      </c>
      <c r="DX76" s="156" t="e">
        <f>VLOOKUP(B76,[1]Pointage!$A:$D,4,0)</f>
        <v>#N/A</v>
      </c>
      <c r="DY76" s="300"/>
      <c r="DZ76" s="300"/>
      <c r="EA76" s="300"/>
      <c r="EB76" s="300"/>
      <c r="EC76" s="300"/>
      <c r="ED76" s="300"/>
      <c r="EE76" s="300"/>
      <c r="EF76" s="300"/>
      <c r="EG76" s="300"/>
      <c r="EH76" s="300"/>
      <c r="EI76" s="300"/>
      <c r="EJ76" s="300"/>
      <c r="EK76" s="300"/>
      <c r="EL76" s="300"/>
      <c r="EM76" s="300"/>
      <c r="EN76" s="300"/>
      <c r="EO76" s="300"/>
      <c r="EP76" s="300"/>
      <c r="EQ76" s="300"/>
      <c r="ER76" s="300"/>
      <c r="ES76" s="300"/>
      <c r="ET76" s="300"/>
      <c r="EU76" s="300"/>
      <c r="EV76" s="300"/>
      <c r="EW76" s="300"/>
      <c r="EX76" s="300"/>
      <c r="EY76" s="300"/>
      <c r="EZ76" s="300"/>
      <c r="FA76" s="300"/>
      <c r="FB76" s="300"/>
      <c r="FC76" s="300"/>
      <c r="FD76" s="300"/>
      <c r="FE76" s="300"/>
      <c r="FF76" s="300"/>
      <c r="FG76" s="300"/>
      <c r="FH76" s="300"/>
      <c r="FI76" s="300"/>
      <c r="FJ76" s="300"/>
      <c r="FK76" s="300"/>
      <c r="FL76" s="300"/>
      <c r="FM76" s="300"/>
      <c r="FN76" s="300"/>
      <c r="FO76" s="300"/>
      <c r="FP76" s="300"/>
      <c r="FQ76" s="300"/>
      <c r="FR76" s="300"/>
      <c r="FS76" s="300"/>
      <c r="FT76" s="300"/>
      <c r="FU76" s="300"/>
      <c r="FV76" s="300"/>
      <c r="FW76" s="300"/>
      <c r="FX76" s="300"/>
      <c r="FY76" s="300"/>
      <c r="FZ76" s="300"/>
      <c r="GA76" s="300"/>
      <c r="GB76" s="300"/>
      <c r="GC76" s="300"/>
      <c r="GD76" s="300"/>
      <c r="GE76" s="300"/>
      <c r="GF76" s="300"/>
      <c r="GG76" s="300"/>
      <c r="GH76" s="300"/>
      <c r="GI76" s="300"/>
      <c r="GJ76" s="300"/>
      <c r="GK76" s="300"/>
      <c r="GL76" s="300"/>
      <c r="GM76" s="300"/>
      <c r="GN76" s="300"/>
      <c r="GO76" s="300"/>
      <c r="GP76" s="300"/>
      <c r="GQ76" s="300"/>
      <c r="GR76" s="300"/>
      <c r="GS76" s="300"/>
      <c r="GT76" s="300"/>
      <c r="GU76" s="300"/>
      <c r="GV76" s="300"/>
      <c r="GW76" s="300"/>
      <c r="GX76" s="300"/>
      <c r="GY76" s="300"/>
      <c r="GZ76" s="300"/>
      <c r="HA76" s="300"/>
      <c r="HB76" s="300"/>
      <c r="HC76" s="300"/>
      <c r="HD76" s="300"/>
      <c r="HE76" s="300"/>
      <c r="HF76" s="300"/>
      <c r="HG76" s="300"/>
      <c r="HH76" s="300"/>
      <c r="HI76" s="300"/>
      <c r="HJ76" s="300"/>
      <c r="HK76" s="300"/>
      <c r="HL76" s="300"/>
      <c r="HM76" s="300"/>
      <c r="HN76" s="300"/>
      <c r="HO76" s="300"/>
      <c r="HP76" s="300"/>
      <c r="HQ76" s="300"/>
      <c r="HR76" s="300"/>
      <c r="HS76" s="300"/>
      <c r="HT76" s="300"/>
      <c r="HU76" s="300"/>
      <c r="HV76" s="300"/>
      <c r="HW76" s="300"/>
      <c r="HX76" s="300"/>
      <c r="HY76" s="300"/>
      <c r="HZ76" s="300"/>
      <c r="IA76" s="300"/>
      <c r="IB76" s="300"/>
      <c r="IC76" s="300"/>
      <c r="ID76" s="300"/>
      <c r="IE76" s="300"/>
      <c r="IF76" s="300"/>
      <c r="IG76" s="300"/>
      <c r="IH76" s="300"/>
      <c r="II76" s="300"/>
      <c r="IJ76" s="300"/>
      <c r="IK76" s="300"/>
      <c r="IL76" s="300"/>
      <c r="IM76" s="300"/>
    </row>
    <row r="77" spans="1:247" s="300" customFormat="1" ht="128.25" hidden="1" customHeight="1">
      <c r="A77" s="312">
        <v>61</v>
      </c>
      <c r="B77" s="318" t="s">
        <v>832</v>
      </c>
      <c r="C77" s="385" t="s">
        <v>1136</v>
      </c>
      <c r="D77" s="376">
        <v>45945</v>
      </c>
      <c r="E77" s="320" t="s">
        <v>784</v>
      </c>
      <c r="F77" s="382" t="s">
        <v>633</v>
      </c>
      <c r="G77" s="352">
        <v>3</v>
      </c>
      <c r="H77" s="352" t="s">
        <v>69</v>
      </c>
      <c r="I77" s="352">
        <v>3</v>
      </c>
      <c r="J77" s="352">
        <v>3</v>
      </c>
      <c r="K77" s="352" t="s">
        <v>69</v>
      </c>
      <c r="L77" s="352" t="s">
        <v>69</v>
      </c>
      <c r="M77" s="352" t="s">
        <v>69</v>
      </c>
      <c r="N77" s="352" t="s">
        <v>69</v>
      </c>
      <c r="O77" s="352" t="s">
        <v>69</v>
      </c>
      <c r="P77" s="352">
        <v>3</v>
      </c>
      <c r="Q77" s="352" t="s">
        <v>69</v>
      </c>
      <c r="R77" s="352" t="s">
        <v>69</v>
      </c>
      <c r="S77" s="352" t="s">
        <v>69</v>
      </c>
      <c r="T77" s="352" t="s">
        <v>69</v>
      </c>
      <c r="U77" s="352" t="s">
        <v>69</v>
      </c>
      <c r="V77" s="352" t="s">
        <v>69</v>
      </c>
      <c r="W77" s="352" t="s">
        <v>69</v>
      </c>
      <c r="X77" s="352" t="s">
        <v>69</v>
      </c>
      <c r="Y77" s="352" t="s">
        <v>69</v>
      </c>
      <c r="Z77" s="352" t="s">
        <v>69</v>
      </c>
      <c r="AA77" s="352" t="s">
        <v>69</v>
      </c>
      <c r="AB77" s="352" t="s">
        <v>69</v>
      </c>
      <c r="AC77" s="352" t="s">
        <v>69</v>
      </c>
      <c r="AD77" s="352" t="s">
        <v>69</v>
      </c>
      <c r="AE77" s="352" t="s">
        <v>69</v>
      </c>
      <c r="AF77" s="352" t="s">
        <v>69</v>
      </c>
      <c r="AG77" s="352" t="s">
        <v>69</v>
      </c>
      <c r="AH77" s="352" t="s">
        <v>69</v>
      </c>
      <c r="AI77" s="352" t="s">
        <v>69</v>
      </c>
      <c r="AJ77" s="352" t="s">
        <v>69</v>
      </c>
      <c r="AK77" s="352" t="s">
        <v>69</v>
      </c>
      <c r="AL77" s="352" t="s">
        <v>69</v>
      </c>
      <c r="AM77" s="352" t="s">
        <v>69</v>
      </c>
      <c r="AN77" s="352" t="s">
        <v>69</v>
      </c>
      <c r="AO77" s="352" t="s">
        <v>69</v>
      </c>
      <c r="AP77" s="352" t="s">
        <v>69</v>
      </c>
      <c r="AQ77" s="352" t="s">
        <v>69</v>
      </c>
      <c r="AR77" s="352" t="s">
        <v>69</v>
      </c>
      <c r="AS77" s="352">
        <v>3</v>
      </c>
      <c r="AT77" s="352">
        <v>3</v>
      </c>
      <c r="AU77" s="352" t="s">
        <v>69</v>
      </c>
      <c r="AV77" s="352">
        <v>3</v>
      </c>
      <c r="AW77" s="352">
        <v>3</v>
      </c>
      <c r="AX77" s="352" t="s">
        <v>69</v>
      </c>
      <c r="AY77" s="352">
        <v>3</v>
      </c>
      <c r="AZ77" s="352">
        <v>3</v>
      </c>
      <c r="BA77" s="352" t="s">
        <v>69</v>
      </c>
      <c r="BB77" s="352" t="s">
        <v>69</v>
      </c>
      <c r="BC77" s="352" t="s">
        <v>69</v>
      </c>
      <c r="BD77" s="352" t="s">
        <v>69</v>
      </c>
      <c r="BE77" s="352">
        <v>3</v>
      </c>
      <c r="BF77" s="352">
        <v>3</v>
      </c>
      <c r="BG77" s="352" t="s">
        <v>69</v>
      </c>
      <c r="BH77" s="352" t="s">
        <v>69</v>
      </c>
      <c r="BI77" s="352" t="s">
        <v>69</v>
      </c>
      <c r="BJ77" s="352" t="s">
        <v>69</v>
      </c>
      <c r="BK77" s="352" t="s">
        <v>69</v>
      </c>
      <c r="BL77" s="352" t="s">
        <v>69</v>
      </c>
      <c r="BM77" s="352" t="s">
        <v>69</v>
      </c>
      <c r="BN77" s="352" t="s">
        <v>69</v>
      </c>
      <c r="BO77" s="352" t="s">
        <v>69</v>
      </c>
      <c r="BP77" s="352" t="s">
        <v>69</v>
      </c>
      <c r="BQ77" s="352" t="s">
        <v>69</v>
      </c>
      <c r="BR77" s="352" t="s">
        <v>69</v>
      </c>
      <c r="BS77" s="352">
        <v>3</v>
      </c>
      <c r="BT77" s="352" t="s">
        <v>69</v>
      </c>
      <c r="BU77" s="352" t="s">
        <v>69</v>
      </c>
      <c r="BV77" s="352" t="s">
        <v>69</v>
      </c>
      <c r="BW77" s="352" t="s">
        <v>69</v>
      </c>
      <c r="BX77" s="352" t="s">
        <v>69</v>
      </c>
      <c r="BY77" s="352" t="s">
        <v>69</v>
      </c>
      <c r="BZ77" s="352" t="s">
        <v>69</v>
      </c>
      <c r="CA77" s="352" t="s">
        <v>69</v>
      </c>
      <c r="CB77" s="352" t="s">
        <v>69</v>
      </c>
      <c r="CC77" s="352" t="s">
        <v>69</v>
      </c>
      <c r="CD77" s="352" t="s">
        <v>69</v>
      </c>
      <c r="CE77" s="352" t="s">
        <v>69</v>
      </c>
      <c r="CF77" s="352" t="s">
        <v>69</v>
      </c>
      <c r="CG77" s="352" t="s">
        <v>69</v>
      </c>
      <c r="CH77" s="352" t="s">
        <v>69</v>
      </c>
      <c r="CI77" s="352" t="s">
        <v>69</v>
      </c>
      <c r="CJ77" s="352" t="s">
        <v>69</v>
      </c>
      <c r="CK77" s="352" t="s">
        <v>69</v>
      </c>
      <c r="CL77" s="352" t="s">
        <v>69</v>
      </c>
      <c r="CM77" s="352" t="s">
        <v>69</v>
      </c>
      <c r="CN77" s="352" t="s">
        <v>69</v>
      </c>
      <c r="CO77" s="352" t="s">
        <v>69</v>
      </c>
      <c r="CP77" s="352" t="s">
        <v>69</v>
      </c>
      <c r="CQ77" s="352" t="s">
        <v>69</v>
      </c>
      <c r="CR77" s="352" t="s">
        <v>69</v>
      </c>
      <c r="CS77" s="352" t="s">
        <v>69</v>
      </c>
      <c r="CT77" s="352" t="s">
        <v>69</v>
      </c>
      <c r="CU77" s="352" t="s">
        <v>69</v>
      </c>
      <c r="CV77" s="352" t="s">
        <v>69</v>
      </c>
      <c r="CW77" s="352" t="s">
        <v>69</v>
      </c>
      <c r="CX77" s="352" t="s">
        <v>69</v>
      </c>
      <c r="CY77" s="352" t="s">
        <v>69</v>
      </c>
      <c r="CZ77" s="352" t="s">
        <v>69</v>
      </c>
      <c r="DA77" s="352" t="s">
        <v>69</v>
      </c>
      <c r="DB77" s="352" t="s">
        <v>69</v>
      </c>
      <c r="DC77" s="352" t="s">
        <v>69</v>
      </c>
      <c r="DD77" s="352" t="s">
        <v>69</v>
      </c>
      <c r="DE77" s="352" t="s">
        <v>69</v>
      </c>
      <c r="DF77" s="352" t="s">
        <v>69</v>
      </c>
      <c r="DG77" s="352" t="s">
        <v>69</v>
      </c>
      <c r="DH77" s="352" t="s">
        <v>69</v>
      </c>
      <c r="DI77" s="352" t="s">
        <v>69</v>
      </c>
      <c r="DJ77" s="352" t="s">
        <v>69</v>
      </c>
      <c r="DK77" s="352" t="s">
        <v>69</v>
      </c>
      <c r="DL77" s="352">
        <v>3</v>
      </c>
      <c r="DM77" s="352">
        <v>3</v>
      </c>
      <c r="DN77" s="352" t="s">
        <v>69</v>
      </c>
      <c r="DO77" s="352" t="s">
        <v>69</v>
      </c>
      <c r="DP77" s="352" t="s">
        <v>69</v>
      </c>
      <c r="DQ77" s="352" t="s">
        <v>69</v>
      </c>
      <c r="DR77" s="352" t="s">
        <v>69</v>
      </c>
      <c r="DS77" s="352" t="s">
        <v>69</v>
      </c>
      <c r="DT77" s="352" t="s">
        <v>69</v>
      </c>
      <c r="DU77" s="352" t="s">
        <v>69</v>
      </c>
      <c r="DV77" s="387">
        <f t="shared" si="2"/>
        <v>0.23809523809523808</v>
      </c>
      <c r="DW77" s="388">
        <f t="shared" si="0"/>
        <v>1</v>
      </c>
      <c r="DX77" s="156" t="str">
        <f>VLOOKUP(B77,[1]Pointage!$A:$D,4,0)</f>
        <v>Mourad Saitali</v>
      </c>
    </row>
    <row r="78" spans="1:247" s="300" customFormat="1" ht="128.25" hidden="1" customHeight="1">
      <c r="A78" s="312">
        <v>62</v>
      </c>
      <c r="B78" s="318" t="s">
        <v>834</v>
      </c>
      <c r="C78" s="354" t="s">
        <v>835</v>
      </c>
      <c r="D78" s="376">
        <v>45945</v>
      </c>
      <c r="E78" s="320" t="s">
        <v>784</v>
      </c>
      <c r="F78" s="382" t="s">
        <v>633</v>
      </c>
      <c r="G78" s="352">
        <v>3</v>
      </c>
      <c r="H78" s="352" t="s">
        <v>69</v>
      </c>
      <c r="I78" s="352">
        <v>3</v>
      </c>
      <c r="J78" s="352">
        <v>3</v>
      </c>
      <c r="K78" s="352" t="s">
        <v>69</v>
      </c>
      <c r="L78" s="352" t="s">
        <v>69</v>
      </c>
      <c r="M78" s="352" t="s">
        <v>69</v>
      </c>
      <c r="N78" s="352" t="s">
        <v>69</v>
      </c>
      <c r="O78" s="352" t="s">
        <v>69</v>
      </c>
      <c r="P78" s="352">
        <v>3</v>
      </c>
      <c r="Q78" s="352">
        <v>3</v>
      </c>
      <c r="R78" s="352" t="s">
        <v>69</v>
      </c>
      <c r="S78" s="352" t="s">
        <v>69</v>
      </c>
      <c r="T78" s="352" t="s">
        <v>69</v>
      </c>
      <c r="U78" s="352" t="s">
        <v>69</v>
      </c>
      <c r="V78" s="352" t="s">
        <v>69</v>
      </c>
      <c r="W78" s="352" t="s">
        <v>69</v>
      </c>
      <c r="X78" s="352" t="s">
        <v>69</v>
      </c>
      <c r="Y78" s="352" t="s">
        <v>69</v>
      </c>
      <c r="Z78" s="352" t="s">
        <v>69</v>
      </c>
      <c r="AA78" s="352" t="s">
        <v>69</v>
      </c>
      <c r="AB78" s="352" t="s">
        <v>69</v>
      </c>
      <c r="AC78" s="352" t="s">
        <v>69</v>
      </c>
      <c r="AD78" s="352" t="s">
        <v>69</v>
      </c>
      <c r="AE78" s="352" t="s">
        <v>69</v>
      </c>
      <c r="AF78" s="352" t="s">
        <v>69</v>
      </c>
      <c r="AG78" s="352" t="s">
        <v>69</v>
      </c>
      <c r="AH78" s="352" t="s">
        <v>69</v>
      </c>
      <c r="AI78" s="352" t="s">
        <v>69</v>
      </c>
      <c r="AJ78" s="352" t="s">
        <v>69</v>
      </c>
      <c r="AK78" s="352" t="s">
        <v>69</v>
      </c>
      <c r="AL78" s="352" t="s">
        <v>69</v>
      </c>
      <c r="AM78" s="352" t="s">
        <v>69</v>
      </c>
      <c r="AN78" s="352" t="s">
        <v>69</v>
      </c>
      <c r="AO78" s="352" t="s">
        <v>69</v>
      </c>
      <c r="AP78" s="352" t="s">
        <v>69</v>
      </c>
      <c r="AQ78" s="352" t="s">
        <v>69</v>
      </c>
      <c r="AR78" s="352" t="s">
        <v>69</v>
      </c>
      <c r="AS78" s="352">
        <v>3</v>
      </c>
      <c r="AT78" s="352">
        <v>3</v>
      </c>
      <c r="AU78" s="352">
        <v>3</v>
      </c>
      <c r="AV78" s="352">
        <v>3</v>
      </c>
      <c r="AW78" s="352">
        <v>3</v>
      </c>
      <c r="AX78" s="352">
        <v>3</v>
      </c>
      <c r="AY78" s="352">
        <v>4</v>
      </c>
      <c r="AZ78" s="352">
        <v>4</v>
      </c>
      <c r="BA78" s="352">
        <v>3</v>
      </c>
      <c r="BB78" s="352" t="s">
        <v>69</v>
      </c>
      <c r="BC78" s="352" t="s">
        <v>69</v>
      </c>
      <c r="BD78" s="352" t="s">
        <v>69</v>
      </c>
      <c r="BE78" s="352">
        <v>3</v>
      </c>
      <c r="BF78" s="352">
        <v>2</v>
      </c>
      <c r="BG78" s="352">
        <v>3</v>
      </c>
      <c r="BH78" s="352" t="s">
        <v>69</v>
      </c>
      <c r="BI78" s="352" t="s">
        <v>69</v>
      </c>
      <c r="BJ78" s="352" t="s">
        <v>69</v>
      </c>
      <c r="BK78" s="352" t="s">
        <v>69</v>
      </c>
      <c r="BL78" s="352" t="s">
        <v>69</v>
      </c>
      <c r="BM78" s="352" t="s">
        <v>69</v>
      </c>
      <c r="BN78" s="352" t="s">
        <v>69</v>
      </c>
      <c r="BO78" s="352" t="s">
        <v>69</v>
      </c>
      <c r="BP78" s="352" t="s">
        <v>69</v>
      </c>
      <c r="BQ78" s="352" t="s">
        <v>69</v>
      </c>
      <c r="BR78" s="352" t="s">
        <v>69</v>
      </c>
      <c r="BS78" s="352">
        <v>3</v>
      </c>
      <c r="BT78" s="352">
        <v>3</v>
      </c>
      <c r="BU78" s="352" t="s">
        <v>69</v>
      </c>
      <c r="BV78" s="352" t="s">
        <v>69</v>
      </c>
      <c r="BW78" s="352" t="s">
        <v>69</v>
      </c>
      <c r="BX78" s="352" t="s">
        <v>69</v>
      </c>
      <c r="BY78" s="352" t="s">
        <v>69</v>
      </c>
      <c r="BZ78" s="352" t="s">
        <v>69</v>
      </c>
      <c r="CA78" s="352" t="s">
        <v>69</v>
      </c>
      <c r="CB78" s="352" t="s">
        <v>69</v>
      </c>
      <c r="CC78" s="352" t="s">
        <v>69</v>
      </c>
      <c r="CD78" s="352" t="s">
        <v>69</v>
      </c>
      <c r="CE78" s="352" t="s">
        <v>69</v>
      </c>
      <c r="CF78" s="352" t="s">
        <v>69</v>
      </c>
      <c r="CG78" s="352" t="s">
        <v>69</v>
      </c>
      <c r="CH78" s="352" t="s">
        <v>69</v>
      </c>
      <c r="CI78" s="352" t="s">
        <v>69</v>
      </c>
      <c r="CJ78" s="352" t="s">
        <v>69</v>
      </c>
      <c r="CK78" s="352" t="s">
        <v>69</v>
      </c>
      <c r="CL78" s="352" t="s">
        <v>69</v>
      </c>
      <c r="CM78" s="352" t="s">
        <v>69</v>
      </c>
      <c r="CN78" s="352" t="s">
        <v>69</v>
      </c>
      <c r="CO78" s="352" t="s">
        <v>69</v>
      </c>
      <c r="CP78" s="352" t="s">
        <v>69</v>
      </c>
      <c r="CQ78" s="352" t="s">
        <v>69</v>
      </c>
      <c r="CR78" s="352" t="s">
        <v>69</v>
      </c>
      <c r="CS78" s="352" t="s">
        <v>69</v>
      </c>
      <c r="CT78" s="352" t="s">
        <v>69</v>
      </c>
      <c r="CU78" s="352" t="s">
        <v>69</v>
      </c>
      <c r="CV78" s="352" t="s">
        <v>69</v>
      </c>
      <c r="CW78" s="352" t="s">
        <v>69</v>
      </c>
      <c r="CX78" s="352" t="s">
        <v>69</v>
      </c>
      <c r="CY78" s="352" t="s">
        <v>69</v>
      </c>
      <c r="CZ78" s="352" t="s">
        <v>69</v>
      </c>
      <c r="DA78" s="352" t="s">
        <v>69</v>
      </c>
      <c r="DB78" s="352" t="s">
        <v>69</v>
      </c>
      <c r="DC78" s="352" t="s">
        <v>69</v>
      </c>
      <c r="DD78" s="352" t="s">
        <v>69</v>
      </c>
      <c r="DE78" s="352" t="s">
        <v>69</v>
      </c>
      <c r="DF78" s="352" t="s">
        <v>69</v>
      </c>
      <c r="DG78" s="352" t="s">
        <v>69</v>
      </c>
      <c r="DH78" s="352" t="s">
        <v>69</v>
      </c>
      <c r="DI78" s="352" t="s">
        <v>69</v>
      </c>
      <c r="DJ78" s="352" t="s">
        <v>69</v>
      </c>
      <c r="DK78" s="352" t="s">
        <v>69</v>
      </c>
      <c r="DL78" s="352">
        <v>3</v>
      </c>
      <c r="DM78" s="352">
        <v>3</v>
      </c>
      <c r="DN78" s="352" t="s">
        <v>69</v>
      </c>
      <c r="DO78" s="352" t="s">
        <v>69</v>
      </c>
      <c r="DP78" s="352" t="s">
        <v>69</v>
      </c>
      <c r="DQ78" s="352" t="s">
        <v>69</v>
      </c>
      <c r="DR78" s="352" t="s">
        <v>69</v>
      </c>
      <c r="DS78" s="352" t="s">
        <v>69</v>
      </c>
      <c r="DT78" s="352" t="s">
        <v>69</v>
      </c>
      <c r="DU78" s="352" t="s">
        <v>69</v>
      </c>
      <c r="DV78" s="387">
        <f t="shared" si="2"/>
        <v>0.33333333333333331</v>
      </c>
      <c r="DW78" s="388">
        <f t="shared" si="0"/>
        <v>0.95238095238095233</v>
      </c>
      <c r="DX78" s="156" t="str">
        <f>VLOOKUP(B78,[1]Pointage!$A:$D,4,0)</f>
        <v>Mourad Saitali</v>
      </c>
    </row>
    <row r="79" spans="1:247" s="300" customFormat="1" ht="128.25" hidden="1" customHeight="1">
      <c r="A79" s="312">
        <v>63</v>
      </c>
      <c r="B79" s="318" t="s">
        <v>838</v>
      </c>
      <c r="C79" s="385" t="s">
        <v>1135</v>
      </c>
      <c r="D79" s="376">
        <v>45945</v>
      </c>
      <c r="E79" s="320" t="s">
        <v>217</v>
      </c>
      <c r="F79" s="382" t="s">
        <v>633</v>
      </c>
      <c r="G79" s="352">
        <v>3</v>
      </c>
      <c r="H79" s="352" t="s">
        <v>69</v>
      </c>
      <c r="I79" s="352">
        <v>3</v>
      </c>
      <c r="J79" s="352">
        <v>3</v>
      </c>
      <c r="K79" s="352" t="s">
        <v>69</v>
      </c>
      <c r="L79" s="352" t="s">
        <v>69</v>
      </c>
      <c r="M79" s="352" t="s">
        <v>69</v>
      </c>
      <c r="N79" s="352" t="s">
        <v>69</v>
      </c>
      <c r="O79" s="352" t="s">
        <v>69</v>
      </c>
      <c r="P79" s="352">
        <v>3</v>
      </c>
      <c r="Q79" s="352" t="s">
        <v>69</v>
      </c>
      <c r="R79" s="352" t="s">
        <v>69</v>
      </c>
      <c r="S79" s="352" t="s">
        <v>69</v>
      </c>
      <c r="T79" s="352" t="s">
        <v>69</v>
      </c>
      <c r="U79" s="352" t="s">
        <v>69</v>
      </c>
      <c r="V79" s="352" t="s">
        <v>69</v>
      </c>
      <c r="W79" s="352" t="s">
        <v>69</v>
      </c>
      <c r="X79" s="352" t="s">
        <v>69</v>
      </c>
      <c r="Y79" s="352" t="s">
        <v>69</v>
      </c>
      <c r="Z79" s="352" t="s">
        <v>69</v>
      </c>
      <c r="AA79" s="352" t="s">
        <v>69</v>
      </c>
      <c r="AB79" s="352" t="s">
        <v>69</v>
      </c>
      <c r="AC79" s="352" t="s">
        <v>69</v>
      </c>
      <c r="AD79" s="352" t="s">
        <v>69</v>
      </c>
      <c r="AE79" s="352" t="s">
        <v>69</v>
      </c>
      <c r="AF79" s="352" t="s">
        <v>69</v>
      </c>
      <c r="AG79" s="352" t="s">
        <v>69</v>
      </c>
      <c r="AH79" s="352" t="s">
        <v>69</v>
      </c>
      <c r="AI79" s="352" t="s">
        <v>69</v>
      </c>
      <c r="AJ79" s="352" t="s">
        <v>69</v>
      </c>
      <c r="AK79" s="352" t="s">
        <v>69</v>
      </c>
      <c r="AL79" s="352" t="s">
        <v>69</v>
      </c>
      <c r="AM79" s="352" t="s">
        <v>69</v>
      </c>
      <c r="AN79" s="352" t="s">
        <v>69</v>
      </c>
      <c r="AO79" s="352" t="s">
        <v>69</v>
      </c>
      <c r="AP79" s="352" t="s">
        <v>69</v>
      </c>
      <c r="AQ79" s="352" t="s">
        <v>69</v>
      </c>
      <c r="AR79" s="352" t="s">
        <v>69</v>
      </c>
      <c r="AS79" s="352">
        <v>3</v>
      </c>
      <c r="AT79" s="352">
        <v>3</v>
      </c>
      <c r="AU79" s="352" t="s">
        <v>69</v>
      </c>
      <c r="AV79" s="352">
        <v>3</v>
      </c>
      <c r="AW79" s="352">
        <v>3</v>
      </c>
      <c r="AX79" s="352" t="s">
        <v>69</v>
      </c>
      <c r="AY79" s="352">
        <v>3</v>
      </c>
      <c r="AZ79" s="352">
        <v>3</v>
      </c>
      <c r="BA79" s="352" t="s">
        <v>69</v>
      </c>
      <c r="BB79" s="352" t="s">
        <v>69</v>
      </c>
      <c r="BC79" s="352" t="s">
        <v>69</v>
      </c>
      <c r="BD79" s="352" t="s">
        <v>69</v>
      </c>
      <c r="BE79" s="352" t="s">
        <v>69</v>
      </c>
      <c r="BF79" s="352">
        <v>3</v>
      </c>
      <c r="BG79" s="352" t="s">
        <v>69</v>
      </c>
      <c r="BH79" s="352" t="s">
        <v>69</v>
      </c>
      <c r="BI79" s="352" t="s">
        <v>69</v>
      </c>
      <c r="BJ79" s="352" t="s">
        <v>69</v>
      </c>
      <c r="BK79" s="352" t="s">
        <v>69</v>
      </c>
      <c r="BL79" s="352" t="s">
        <v>69</v>
      </c>
      <c r="BM79" s="352" t="s">
        <v>69</v>
      </c>
      <c r="BN79" s="352" t="s">
        <v>69</v>
      </c>
      <c r="BO79" s="352" t="s">
        <v>69</v>
      </c>
      <c r="BP79" s="352" t="s">
        <v>69</v>
      </c>
      <c r="BQ79" s="352" t="s">
        <v>69</v>
      </c>
      <c r="BR79" s="352" t="s">
        <v>69</v>
      </c>
      <c r="BS79" s="352" t="s">
        <v>69</v>
      </c>
      <c r="BT79" s="352" t="s">
        <v>69</v>
      </c>
      <c r="BU79" s="352" t="s">
        <v>69</v>
      </c>
      <c r="BV79" s="352" t="s">
        <v>69</v>
      </c>
      <c r="BW79" s="352" t="s">
        <v>69</v>
      </c>
      <c r="BX79" s="352" t="s">
        <v>69</v>
      </c>
      <c r="BY79" s="352" t="s">
        <v>69</v>
      </c>
      <c r="BZ79" s="352" t="s">
        <v>69</v>
      </c>
      <c r="CA79" s="352" t="s">
        <v>69</v>
      </c>
      <c r="CB79" s="352" t="s">
        <v>69</v>
      </c>
      <c r="CC79" s="352" t="s">
        <v>69</v>
      </c>
      <c r="CD79" s="352" t="s">
        <v>69</v>
      </c>
      <c r="CE79" s="352" t="s">
        <v>69</v>
      </c>
      <c r="CF79" s="352" t="s">
        <v>69</v>
      </c>
      <c r="CG79" s="352">
        <v>2</v>
      </c>
      <c r="CH79" s="352" t="s">
        <v>69</v>
      </c>
      <c r="CI79" s="352" t="s">
        <v>69</v>
      </c>
      <c r="CJ79" s="352" t="s">
        <v>69</v>
      </c>
      <c r="CK79" s="352">
        <v>2</v>
      </c>
      <c r="CL79" s="352" t="s">
        <v>69</v>
      </c>
      <c r="CM79" s="352" t="s">
        <v>69</v>
      </c>
      <c r="CN79" s="352" t="s">
        <v>69</v>
      </c>
      <c r="CO79" s="352" t="s">
        <v>69</v>
      </c>
      <c r="CP79" s="352" t="s">
        <v>69</v>
      </c>
      <c r="CQ79" s="352" t="s">
        <v>69</v>
      </c>
      <c r="CR79" s="352" t="s">
        <v>69</v>
      </c>
      <c r="CS79" s="352" t="s">
        <v>69</v>
      </c>
      <c r="CT79" s="352" t="s">
        <v>69</v>
      </c>
      <c r="CU79" s="352" t="s">
        <v>69</v>
      </c>
      <c r="CV79" s="352" t="s">
        <v>69</v>
      </c>
      <c r="CW79" s="352" t="s">
        <v>69</v>
      </c>
      <c r="CX79" s="352" t="s">
        <v>69</v>
      </c>
      <c r="CY79" s="352" t="s">
        <v>69</v>
      </c>
      <c r="CZ79" s="352" t="s">
        <v>69</v>
      </c>
      <c r="DA79" s="352" t="s">
        <v>69</v>
      </c>
      <c r="DB79" s="352" t="s">
        <v>69</v>
      </c>
      <c r="DC79" s="352" t="s">
        <v>69</v>
      </c>
      <c r="DD79" s="352" t="s">
        <v>69</v>
      </c>
      <c r="DE79" s="352" t="s">
        <v>69</v>
      </c>
      <c r="DF79" s="352" t="s">
        <v>69</v>
      </c>
      <c r="DG79" s="352" t="s">
        <v>69</v>
      </c>
      <c r="DH79" s="352" t="s">
        <v>69</v>
      </c>
      <c r="DI79" s="352" t="s">
        <v>69</v>
      </c>
      <c r="DJ79" s="352" t="s">
        <v>69</v>
      </c>
      <c r="DK79" s="352" t="s">
        <v>69</v>
      </c>
      <c r="DL79" s="352">
        <v>3</v>
      </c>
      <c r="DM79" s="352">
        <v>3</v>
      </c>
      <c r="DN79" s="352" t="s">
        <v>69</v>
      </c>
      <c r="DO79" s="352" t="s">
        <v>69</v>
      </c>
      <c r="DP79" s="352" t="s">
        <v>69</v>
      </c>
      <c r="DQ79" s="352" t="s">
        <v>69</v>
      </c>
      <c r="DR79" s="352" t="s">
        <v>69</v>
      </c>
      <c r="DS79" s="352" t="s">
        <v>69</v>
      </c>
      <c r="DT79" s="352" t="s">
        <v>69</v>
      </c>
      <c r="DU79" s="352" t="s">
        <v>69</v>
      </c>
      <c r="DV79" s="387">
        <f t="shared" si="2"/>
        <v>0.23809523809523808</v>
      </c>
      <c r="DW79" s="388">
        <f t="shared" si="0"/>
        <v>0.8666666666666667</v>
      </c>
      <c r="DX79" s="156" t="str">
        <f>VLOOKUP(B79,[1]Pointage!$A:$D,4,0)</f>
        <v>Mourad Saitali</v>
      </c>
    </row>
    <row r="80" spans="1:247" s="300" customFormat="1" ht="128.25" hidden="1" customHeight="1">
      <c r="A80" s="312">
        <v>64</v>
      </c>
      <c r="B80" s="318" t="s">
        <v>851</v>
      </c>
      <c r="C80" s="353" t="s">
        <v>839</v>
      </c>
      <c r="D80" s="376">
        <v>45964</v>
      </c>
      <c r="E80" s="320" t="s">
        <v>784</v>
      </c>
      <c r="F80" s="382" t="s">
        <v>633</v>
      </c>
      <c r="G80" s="352">
        <v>2</v>
      </c>
      <c r="H80" s="352" t="s">
        <v>69</v>
      </c>
      <c r="I80" s="352">
        <v>2</v>
      </c>
      <c r="J80" s="352" t="s">
        <v>69</v>
      </c>
      <c r="K80" s="352" t="s">
        <v>69</v>
      </c>
      <c r="L80" s="352" t="s">
        <v>69</v>
      </c>
      <c r="M80" s="352" t="s">
        <v>69</v>
      </c>
      <c r="N80" s="352" t="s">
        <v>69</v>
      </c>
      <c r="O80" s="352" t="s">
        <v>69</v>
      </c>
      <c r="P80" s="352">
        <v>2</v>
      </c>
      <c r="Q80" s="352" t="s">
        <v>69</v>
      </c>
      <c r="R80" s="352" t="s">
        <v>69</v>
      </c>
      <c r="S80" s="352" t="s">
        <v>69</v>
      </c>
      <c r="T80" s="352" t="s">
        <v>69</v>
      </c>
      <c r="U80" s="352" t="s">
        <v>69</v>
      </c>
      <c r="V80" s="352" t="s">
        <v>69</v>
      </c>
      <c r="W80" s="352" t="s">
        <v>69</v>
      </c>
      <c r="X80" s="352" t="s">
        <v>69</v>
      </c>
      <c r="Y80" s="352" t="s">
        <v>69</v>
      </c>
      <c r="Z80" s="352" t="s">
        <v>69</v>
      </c>
      <c r="AA80" s="352" t="s">
        <v>69</v>
      </c>
      <c r="AB80" s="352" t="s">
        <v>69</v>
      </c>
      <c r="AC80" s="352" t="s">
        <v>69</v>
      </c>
      <c r="AD80" s="352" t="s">
        <v>69</v>
      </c>
      <c r="AE80" s="352" t="s">
        <v>69</v>
      </c>
      <c r="AF80" s="352" t="s">
        <v>69</v>
      </c>
      <c r="AG80" s="352" t="s">
        <v>69</v>
      </c>
      <c r="AH80" s="352" t="s">
        <v>69</v>
      </c>
      <c r="AI80" s="352" t="s">
        <v>69</v>
      </c>
      <c r="AJ80" s="352" t="s">
        <v>69</v>
      </c>
      <c r="AK80" s="352" t="s">
        <v>69</v>
      </c>
      <c r="AL80" s="352" t="s">
        <v>69</v>
      </c>
      <c r="AM80" s="352" t="s">
        <v>69</v>
      </c>
      <c r="AN80" s="352" t="s">
        <v>69</v>
      </c>
      <c r="AO80" s="352" t="s">
        <v>69</v>
      </c>
      <c r="AP80" s="352" t="s">
        <v>69</v>
      </c>
      <c r="AQ80" s="352" t="s">
        <v>69</v>
      </c>
      <c r="AR80" s="352" t="s">
        <v>69</v>
      </c>
      <c r="AS80" s="352">
        <v>2</v>
      </c>
      <c r="AT80" s="352" t="s">
        <v>69</v>
      </c>
      <c r="AU80" s="352" t="s">
        <v>69</v>
      </c>
      <c r="AV80" s="352">
        <v>2</v>
      </c>
      <c r="AW80" s="352" t="s">
        <v>69</v>
      </c>
      <c r="AX80" s="352" t="s">
        <v>69</v>
      </c>
      <c r="AY80" s="352">
        <v>2</v>
      </c>
      <c r="AZ80" s="352" t="s">
        <v>69</v>
      </c>
      <c r="BA80" s="352" t="s">
        <v>69</v>
      </c>
      <c r="BB80" s="352" t="s">
        <v>69</v>
      </c>
      <c r="BC80" s="352" t="s">
        <v>69</v>
      </c>
      <c r="BD80" s="352" t="s">
        <v>69</v>
      </c>
      <c r="BE80" s="352" t="s">
        <v>69</v>
      </c>
      <c r="BF80" s="352" t="s">
        <v>69</v>
      </c>
      <c r="BG80" s="352" t="s">
        <v>69</v>
      </c>
      <c r="BH80" s="352" t="s">
        <v>69</v>
      </c>
      <c r="BI80" s="352" t="s">
        <v>69</v>
      </c>
      <c r="BJ80" s="352" t="s">
        <v>69</v>
      </c>
      <c r="BK80" s="352" t="s">
        <v>69</v>
      </c>
      <c r="BL80" s="352" t="s">
        <v>69</v>
      </c>
      <c r="BM80" s="352" t="s">
        <v>69</v>
      </c>
      <c r="BN80" s="352" t="s">
        <v>69</v>
      </c>
      <c r="BO80" s="352" t="s">
        <v>69</v>
      </c>
      <c r="BP80" s="352" t="s">
        <v>69</v>
      </c>
      <c r="BQ80" s="352" t="s">
        <v>69</v>
      </c>
      <c r="BR80" s="352" t="s">
        <v>69</v>
      </c>
      <c r="BS80" s="352" t="s">
        <v>69</v>
      </c>
      <c r="BT80" s="352" t="s">
        <v>69</v>
      </c>
      <c r="BU80" s="352" t="s">
        <v>69</v>
      </c>
      <c r="BV80" s="352" t="s">
        <v>69</v>
      </c>
      <c r="BW80" s="352" t="s">
        <v>69</v>
      </c>
      <c r="BX80" s="352" t="s">
        <v>69</v>
      </c>
      <c r="BY80" s="352" t="s">
        <v>69</v>
      </c>
      <c r="BZ80" s="352" t="s">
        <v>69</v>
      </c>
      <c r="CA80" s="352" t="s">
        <v>69</v>
      </c>
      <c r="CB80" s="352" t="s">
        <v>69</v>
      </c>
      <c r="CC80" s="352" t="s">
        <v>69</v>
      </c>
      <c r="CD80" s="352" t="s">
        <v>69</v>
      </c>
      <c r="CE80" s="352" t="s">
        <v>69</v>
      </c>
      <c r="CF80" s="352" t="s">
        <v>69</v>
      </c>
      <c r="CG80" s="352" t="s">
        <v>69</v>
      </c>
      <c r="CH80" s="352" t="s">
        <v>69</v>
      </c>
      <c r="CI80" s="352" t="s">
        <v>69</v>
      </c>
      <c r="CJ80" s="352" t="s">
        <v>69</v>
      </c>
      <c r="CK80" s="352" t="s">
        <v>69</v>
      </c>
      <c r="CL80" s="352" t="s">
        <v>69</v>
      </c>
      <c r="CM80" s="352" t="s">
        <v>69</v>
      </c>
      <c r="CN80" s="352" t="s">
        <v>69</v>
      </c>
      <c r="CO80" s="352" t="s">
        <v>69</v>
      </c>
      <c r="CP80" s="352" t="s">
        <v>69</v>
      </c>
      <c r="CQ80" s="352" t="s">
        <v>69</v>
      </c>
      <c r="CR80" s="352" t="s">
        <v>69</v>
      </c>
      <c r="CS80" s="352" t="s">
        <v>69</v>
      </c>
      <c r="CT80" s="352" t="s">
        <v>69</v>
      </c>
      <c r="CU80" s="352" t="s">
        <v>69</v>
      </c>
      <c r="CV80" s="352">
        <v>2</v>
      </c>
      <c r="CW80" s="352" t="s">
        <v>69</v>
      </c>
      <c r="CX80" s="352" t="s">
        <v>69</v>
      </c>
      <c r="CY80" s="352" t="s">
        <v>69</v>
      </c>
      <c r="CZ80" s="352" t="s">
        <v>69</v>
      </c>
      <c r="DA80" s="352" t="s">
        <v>69</v>
      </c>
      <c r="DB80" s="352" t="s">
        <v>69</v>
      </c>
      <c r="DC80" s="352" t="s">
        <v>69</v>
      </c>
      <c r="DD80" s="352" t="s">
        <v>69</v>
      </c>
      <c r="DE80" s="352" t="s">
        <v>69</v>
      </c>
      <c r="DF80" s="352" t="s">
        <v>69</v>
      </c>
      <c r="DG80" s="352" t="s">
        <v>69</v>
      </c>
      <c r="DH80" s="352" t="s">
        <v>69</v>
      </c>
      <c r="DI80" s="352" t="s">
        <v>69</v>
      </c>
      <c r="DJ80" s="352" t="s">
        <v>69</v>
      </c>
      <c r="DK80" s="352" t="s">
        <v>69</v>
      </c>
      <c r="DL80" s="352" t="s">
        <v>69</v>
      </c>
      <c r="DM80" s="352" t="s">
        <v>69</v>
      </c>
      <c r="DN80" s="352" t="s">
        <v>69</v>
      </c>
      <c r="DO80" s="352" t="s">
        <v>69</v>
      </c>
      <c r="DP80" s="352" t="s">
        <v>69</v>
      </c>
      <c r="DQ80" s="352" t="s">
        <v>69</v>
      </c>
      <c r="DR80" s="352" t="s">
        <v>69</v>
      </c>
      <c r="DS80" s="352" t="s">
        <v>69</v>
      </c>
      <c r="DT80" s="352" t="s">
        <v>69</v>
      </c>
      <c r="DU80" s="352" t="s">
        <v>69</v>
      </c>
      <c r="DV80" s="387">
        <f t="shared" si="2"/>
        <v>0.1111111111111111</v>
      </c>
      <c r="DW80" s="388">
        <f t="shared" si="0"/>
        <v>0</v>
      </c>
      <c r="DX80" s="156" t="str">
        <f>VLOOKUP(B80,[1]Pointage!$A:$D,4,0)</f>
        <v>Mourad Saitali</v>
      </c>
    </row>
    <row r="81" spans="1:128" s="300" customFormat="1" ht="128.25" hidden="1" customHeight="1">
      <c r="A81" s="312">
        <v>65</v>
      </c>
      <c r="B81" s="318" t="s">
        <v>854</v>
      </c>
      <c r="C81" s="354" t="s">
        <v>842</v>
      </c>
      <c r="D81" s="376">
        <v>45964</v>
      </c>
      <c r="E81" s="320" t="s">
        <v>215</v>
      </c>
      <c r="F81" s="382" t="s">
        <v>633</v>
      </c>
      <c r="G81" s="352" t="s">
        <v>69</v>
      </c>
      <c r="H81" s="352" t="s">
        <v>69</v>
      </c>
      <c r="I81" s="352" t="s">
        <v>69</v>
      </c>
      <c r="J81" s="352">
        <v>2</v>
      </c>
      <c r="K81" s="352" t="s">
        <v>69</v>
      </c>
      <c r="L81" s="352" t="s">
        <v>69</v>
      </c>
      <c r="M81" s="352" t="s">
        <v>69</v>
      </c>
      <c r="N81" s="352" t="s">
        <v>69</v>
      </c>
      <c r="O81" s="352" t="s">
        <v>69</v>
      </c>
      <c r="P81" s="352" t="s">
        <v>69</v>
      </c>
      <c r="Q81" s="352" t="s">
        <v>69</v>
      </c>
      <c r="R81" s="352" t="s">
        <v>69</v>
      </c>
      <c r="S81" s="352" t="s">
        <v>69</v>
      </c>
      <c r="T81" s="352" t="s">
        <v>69</v>
      </c>
      <c r="U81" s="352" t="s">
        <v>69</v>
      </c>
      <c r="V81" s="352" t="s">
        <v>69</v>
      </c>
      <c r="W81" s="352" t="s">
        <v>69</v>
      </c>
      <c r="X81" s="352" t="s">
        <v>69</v>
      </c>
      <c r="Y81" s="352" t="s">
        <v>69</v>
      </c>
      <c r="Z81" s="352" t="s">
        <v>69</v>
      </c>
      <c r="AA81" s="352" t="s">
        <v>69</v>
      </c>
      <c r="AB81" s="352" t="s">
        <v>69</v>
      </c>
      <c r="AC81" s="352" t="s">
        <v>69</v>
      </c>
      <c r="AD81" s="352" t="s">
        <v>69</v>
      </c>
      <c r="AE81" s="352" t="s">
        <v>69</v>
      </c>
      <c r="AF81" s="352" t="s">
        <v>69</v>
      </c>
      <c r="AG81" s="352" t="s">
        <v>69</v>
      </c>
      <c r="AH81" s="352" t="s">
        <v>69</v>
      </c>
      <c r="AI81" s="352">
        <v>2</v>
      </c>
      <c r="AJ81" s="352" t="s">
        <v>69</v>
      </c>
      <c r="AK81" s="352" t="s">
        <v>69</v>
      </c>
      <c r="AL81" s="352" t="s">
        <v>69</v>
      </c>
      <c r="AM81" s="352" t="s">
        <v>69</v>
      </c>
      <c r="AN81" s="352" t="s">
        <v>69</v>
      </c>
      <c r="AO81" s="352" t="s">
        <v>69</v>
      </c>
      <c r="AP81" s="352" t="s">
        <v>69</v>
      </c>
      <c r="AQ81" s="352" t="s">
        <v>69</v>
      </c>
      <c r="AR81" s="352" t="s">
        <v>69</v>
      </c>
      <c r="AS81" s="352" t="s">
        <v>69</v>
      </c>
      <c r="AT81" s="352" t="s">
        <v>69</v>
      </c>
      <c r="AU81" s="352" t="s">
        <v>69</v>
      </c>
      <c r="AV81" s="352" t="s">
        <v>69</v>
      </c>
      <c r="AW81" s="352" t="s">
        <v>69</v>
      </c>
      <c r="AX81" s="352" t="s">
        <v>69</v>
      </c>
      <c r="AY81" s="352" t="s">
        <v>69</v>
      </c>
      <c r="AZ81" s="352" t="s">
        <v>69</v>
      </c>
      <c r="BA81" s="352" t="s">
        <v>69</v>
      </c>
      <c r="BB81" s="352" t="s">
        <v>69</v>
      </c>
      <c r="BC81" s="352" t="s">
        <v>69</v>
      </c>
      <c r="BD81" s="352" t="s">
        <v>69</v>
      </c>
      <c r="BE81" s="352" t="s">
        <v>69</v>
      </c>
      <c r="BF81" s="352" t="s">
        <v>69</v>
      </c>
      <c r="BG81" s="352" t="s">
        <v>69</v>
      </c>
      <c r="BH81" s="352" t="s">
        <v>69</v>
      </c>
      <c r="BI81" s="352" t="s">
        <v>69</v>
      </c>
      <c r="BJ81" s="352" t="s">
        <v>69</v>
      </c>
      <c r="BK81" s="352" t="s">
        <v>69</v>
      </c>
      <c r="BL81" s="352" t="s">
        <v>69</v>
      </c>
      <c r="BM81" s="352" t="s">
        <v>69</v>
      </c>
      <c r="BN81" s="352" t="s">
        <v>69</v>
      </c>
      <c r="BO81" s="352" t="s">
        <v>69</v>
      </c>
      <c r="BP81" s="352" t="s">
        <v>69</v>
      </c>
      <c r="BQ81" s="352" t="s">
        <v>69</v>
      </c>
      <c r="BR81" s="352" t="s">
        <v>69</v>
      </c>
      <c r="BS81" s="352" t="s">
        <v>69</v>
      </c>
      <c r="BT81" s="352" t="s">
        <v>69</v>
      </c>
      <c r="BU81" s="352" t="s">
        <v>69</v>
      </c>
      <c r="BV81" s="352" t="s">
        <v>69</v>
      </c>
      <c r="BW81" s="352" t="s">
        <v>69</v>
      </c>
      <c r="BX81" s="352" t="s">
        <v>69</v>
      </c>
      <c r="BY81" s="352" t="s">
        <v>69</v>
      </c>
      <c r="BZ81" s="352" t="s">
        <v>69</v>
      </c>
      <c r="CA81" s="352" t="s">
        <v>69</v>
      </c>
      <c r="CB81" s="352" t="s">
        <v>69</v>
      </c>
      <c r="CC81" s="352" t="s">
        <v>69</v>
      </c>
      <c r="CD81" s="352" t="s">
        <v>69</v>
      </c>
      <c r="CE81" s="352" t="s">
        <v>69</v>
      </c>
      <c r="CF81" s="352" t="s">
        <v>69</v>
      </c>
      <c r="CG81" s="352" t="s">
        <v>69</v>
      </c>
      <c r="CH81" s="352" t="s">
        <v>69</v>
      </c>
      <c r="CI81" s="352" t="s">
        <v>69</v>
      </c>
      <c r="CJ81" s="352" t="s">
        <v>69</v>
      </c>
      <c r="CK81" s="352" t="s">
        <v>69</v>
      </c>
      <c r="CL81" s="352" t="s">
        <v>69</v>
      </c>
      <c r="CM81" s="352" t="s">
        <v>69</v>
      </c>
      <c r="CN81" s="352">
        <v>2</v>
      </c>
      <c r="CO81" s="352" t="s">
        <v>69</v>
      </c>
      <c r="CP81" s="352" t="s">
        <v>69</v>
      </c>
      <c r="CQ81" s="352" t="s">
        <v>69</v>
      </c>
      <c r="CR81" s="352" t="s">
        <v>69</v>
      </c>
      <c r="CS81" s="352" t="s">
        <v>69</v>
      </c>
      <c r="CT81" s="352" t="s">
        <v>69</v>
      </c>
      <c r="CU81" s="352" t="s">
        <v>69</v>
      </c>
      <c r="CV81" s="352" t="s">
        <v>69</v>
      </c>
      <c r="CW81" s="352" t="s">
        <v>69</v>
      </c>
      <c r="CX81" s="352" t="s">
        <v>69</v>
      </c>
      <c r="CY81" s="352" t="s">
        <v>69</v>
      </c>
      <c r="CZ81" s="352" t="s">
        <v>69</v>
      </c>
      <c r="DA81" s="352" t="s">
        <v>69</v>
      </c>
      <c r="DB81" s="352" t="s">
        <v>69</v>
      </c>
      <c r="DC81" s="352">
        <v>2</v>
      </c>
      <c r="DD81" s="352" t="s">
        <v>69</v>
      </c>
      <c r="DE81" s="352" t="s">
        <v>69</v>
      </c>
      <c r="DF81" s="352" t="s">
        <v>69</v>
      </c>
      <c r="DG81" s="352" t="s">
        <v>69</v>
      </c>
      <c r="DH81" s="352" t="s">
        <v>69</v>
      </c>
      <c r="DI81" s="352" t="s">
        <v>69</v>
      </c>
      <c r="DJ81" s="352" t="s">
        <v>69</v>
      </c>
      <c r="DK81" s="352" t="s">
        <v>69</v>
      </c>
      <c r="DL81" s="352" t="s">
        <v>69</v>
      </c>
      <c r="DM81" s="352" t="s">
        <v>69</v>
      </c>
      <c r="DN81" s="352" t="s">
        <v>69</v>
      </c>
      <c r="DO81" s="352" t="s">
        <v>69</v>
      </c>
      <c r="DP81" s="352" t="s">
        <v>69</v>
      </c>
      <c r="DQ81" s="352" t="s">
        <v>69</v>
      </c>
      <c r="DR81" s="352" t="s">
        <v>69</v>
      </c>
      <c r="DS81" s="352" t="s">
        <v>69</v>
      </c>
      <c r="DT81" s="352" t="s">
        <v>69</v>
      </c>
      <c r="DU81" s="352" t="s">
        <v>69</v>
      </c>
      <c r="DV81" s="387">
        <f t="shared" si="2"/>
        <v>6.3492063492063489E-2</v>
      </c>
      <c r="DW81" s="388">
        <f t="shared" ref="DW81:DW110" si="3">+COUNTIF(G81:DU81,"&gt;2")/COUNTIF(G81:DU81,"&gt;1")</f>
        <v>0</v>
      </c>
      <c r="DX81" s="156" t="str">
        <f>VLOOKUP(B81,[1]Pointage!$A:$D,4,0)</f>
        <v>Mourad Saitali</v>
      </c>
    </row>
    <row r="82" spans="1:128" s="300" customFormat="1" ht="128.25" hidden="1" customHeight="1">
      <c r="A82" s="312">
        <v>66</v>
      </c>
      <c r="B82" s="318" t="s">
        <v>855</v>
      </c>
      <c r="C82" s="353" t="s">
        <v>843</v>
      </c>
      <c r="D82" s="376">
        <v>45964</v>
      </c>
      <c r="E82" s="320" t="s">
        <v>217</v>
      </c>
      <c r="F82" s="382" t="s">
        <v>633</v>
      </c>
      <c r="G82" s="352">
        <v>3</v>
      </c>
      <c r="H82" s="352" t="s">
        <v>69</v>
      </c>
      <c r="I82" s="352">
        <v>3</v>
      </c>
      <c r="J82" s="352">
        <v>3</v>
      </c>
      <c r="K82" s="352" t="s">
        <v>69</v>
      </c>
      <c r="L82" s="352" t="s">
        <v>69</v>
      </c>
      <c r="M82" s="352">
        <v>1</v>
      </c>
      <c r="N82" s="352" t="s">
        <v>69</v>
      </c>
      <c r="O82" s="352" t="s">
        <v>69</v>
      </c>
      <c r="P82" s="352">
        <v>3</v>
      </c>
      <c r="Q82" s="352" t="s">
        <v>69</v>
      </c>
      <c r="R82" s="352" t="s">
        <v>69</v>
      </c>
      <c r="S82" s="352" t="s">
        <v>69</v>
      </c>
      <c r="T82" s="352" t="s">
        <v>69</v>
      </c>
      <c r="U82" s="352" t="s">
        <v>69</v>
      </c>
      <c r="V82" s="352" t="s">
        <v>69</v>
      </c>
      <c r="W82" s="352" t="s">
        <v>69</v>
      </c>
      <c r="X82" s="352" t="s">
        <v>69</v>
      </c>
      <c r="Y82" s="352" t="s">
        <v>69</v>
      </c>
      <c r="Z82" s="352" t="s">
        <v>69</v>
      </c>
      <c r="AA82" s="352" t="s">
        <v>69</v>
      </c>
      <c r="AB82" s="352">
        <v>1</v>
      </c>
      <c r="AC82" s="352" t="s">
        <v>69</v>
      </c>
      <c r="AD82" s="352" t="s">
        <v>69</v>
      </c>
      <c r="AE82" s="352" t="s">
        <v>69</v>
      </c>
      <c r="AF82" s="352" t="s">
        <v>69</v>
      </c>
      <c r="AG82" s="352" t="s">
        <v>69</v>
      </c>
      <c r="AH82" s="352" t="s">
        <v>69</v>
      </c>
      <c r="AI82" s="352" t="s">
        <v>69</v>
      </c>
      <c r="AJ82" s="352" t="s">
        <v>69</v>
      </c>
      <c r="AK82" s="352" t="s">
        <v>69</v>
      </c>
      <c r="AL82" s="352" t="s">
        <v>69</v>
      </c>
      <c r="AM82" s="352" t="s">
        <v>69</v>
      </c>
      <c r="AN82" s="352" t="s">
        <v>69</v>
      </c>
      <c r="AO82" s="352" t="s">
        <v>69</v>
      </c>
      <c r="AP82" s="352" t="s">
        <v>69</v>
      </c>
      <c r="AQ82" s="352" t="s">
        <v>69</v>
      </c>
      <c r="AR82" s="352" t="s">
        <v>69</v>
      </c>
      <c r="AS82" s="352">
        <v>3</v>
      </c>
      <c r="AT82" s="352">
        <v>3</v>
      </c>
      <c r="AU82" s="352" t="s">
        <v>69</v>
      </c>
      <c r="AV82" s="352">
        <v>3</v>
      </c>
      <c r="AW82" s="352">
        <v>3</v>
      </c>
      <c r="AX82" s="352" t="s">
        <v>69</v>
      </c>
      <c r="AY82" s="352">
        <v>3</v>
      </c>
      <c r="AZ82" s="352">
        <v>3</v>
      </c>
      <c r="BA82" s="352" t="s">
        <v>69</v>
      </c>
      <c r="BB82" s="352" t="s">
        <v>69</v>
      </c>
      <c r="BC82" s="352" t="s">
        <v>69</v>
      </c>
      <c r="BD82" s="352" t="s">
        <v>69</v>
      </c>
      <c r="BE82" s="352">
        <v>3</v>
      </c>
      <c r="BF82" s="352">
        <v>3</v>
      </c>
      <c r="BG82" s="352" t="s">
        <v>69</v>
      </c>
      <c r="BH82" s="352" t="s">
        <v>69</v>
      </c>
      <c r="BI82" s="352" t="s">
        <v>69</v>
      </c>
      <c r="BJ82" s="352" t="s">
        <v>69</v>
      </c>
      <c r="BK82" s="352" t="s">
        <v>69</v>
      </c>
      <c r="BL82" s="352" t="s">
        <v>69</v>
      </c>
      <c r="BM82" s="352" t="s">
        <v>69</v>
      </c>
      <c r="BN82" s="352" t="s">
        <v>69</v>
      </c>
      <c r="BO82" s="352" t="s">
        <v>69</v>
      </c>
      <c r="BP82" s="352" t="s">
        <v>69</v>
      </c>
      <c r="BQ82" s="352" t="s">
        <v>69</v>
      </c>
      <c r="BR82" s="352" t="s">
        <v>69</v>
      </c>
      <c r="BS82" s="352">
        <v>3</v>
      </c>
      <c r="BT82" s="352" t="s">
        <v>69</v>
      </c>
      <c r="BU82" s="352" t="s">
        <v>69</v>
      </c>
      <c r="BV82" s="352" t="s">
        <v>69</v>
      </c>
      <c r="BW82" s="352" t="s">
        <v>69</v>
      </c>
      <c r="BX82" s="352" t="s">
        <v>69</v>
      </c>
      <c r="BY82" s="352" t="s">
        <v>69</v>
      </c>
      <c r="BZ82" s="352" t="s">
        <v>69</v>
      </c>
      <c r="CA82" s="352" t="s">
        <v>69</v>
      </c>
      <c r="CB82" s="352" t="s">
        <v>69</v>
      </c>
      <c r="CC82" s="352" t="s">
        <v>69</v>
      </c>
      <c r="CD82" s="352" t="s">
        <v>69</v>
      </c>
      <c r="CE82" s="352" t="s">
        <v>69</v>
      </c>
      <c r="CF82" s="352" t="s">
        <v>69</v>
      </c>
      <c r="CG82" s="352" t="s">
        <v>69</v>
      </c>
      <c r="CH82" s="352" t="s">
        <v>69</v>
      </c>
      <c r="CI82" s="352" t="s">
        <v>69</v>
      </c>
      <c r="CJ82" s="352" t="s">
        <v>69</v>
      </c>
      <c r="CK82" s="352">
        <v>3</v>
      </c>
      <c r="CL82" s="352" t="s">
        <v>69</v>
      </c>
      <c r="CM82" s="352" t="s">
        <v>69</v>
      </c>
      <c r="CN82" s="352" t="s">
        <v>69</v>
      </c>
      <c r="CO82" s="352" t="s">
        <v>69</v>
      </c>
      <c r="CP82" s="352" t="s">
        <v>69</v>
      </c>
      <c r="CQ82" s="352" t="s">
        <v>69</v>
      </c>
      <c r="CR82" s="352" t="s">
        <v>69</v>
      </c>
      <c r="CS82" s="352" t="s">
        <v>69</v>
      </c>
      <c r="CT82" s="352" t="s">
        <v>69</v>
      </c>
      <c r="CU82" s="352" t="s">
        <v>69</v>
      </c>
      <c r="CV82" s="352" t="s">
        <v>69</v>
      </c>
      <c r="CW82" s="352" t="s">
        <v>69</v>
      </c>
      <c r="CX82" s="352" t="s">
        <v>69</v>
      </c>
      <c r="CY82" s="352" t="s">
        <v>69</v>
      </c>
      <c r="CZ82" s="352" t="s">
        <v>69</v>
      </c>
      <c r="DA82" s="352" t="s">
        <v>69</v>
      </c>
      <c r="DB82" s="352" t="s">
        <v>69</v>
      </c>
      <c r="DC82" s="352" t="s">
        <v>69</v>
      </c>
      <c r="DD82" s="352" t="s">
        <v>69</v>
      </c>
      <c r="DE82" s="352" t="s">
        <v>69</v>
      </c>
      <c r="DF82" s="352" t="s">
        <v>69</v>
      </c>
      <c r="DG82" s="352" t="s">
        <v>69</v>
      </c>
      <c r="DH82" s="352" t="s">
        <v>69</v>
      </c>
      <c r="DI82" s="352" t="s">
        <v>69</v>
      </c>
      <c r="DJ82" s="352" t="s">
        <v>69</v>
      </c>
      <c r="DK82" s="352" t="s">
        <v>69</v>
      </c>
      <c r="DL82" s="352" t="s">
        <v>69</v>
      </c>
      <c r="DM82" s="352" t="s">
        <v>69</v>
      </c>
      <c r="DN82" s="352" t="s">
        <v>69</v>
      </c>
      <c r="DO82" s="352" t="s">
        <v>69</v>
      </c>
      <c r="DP82" s="352" t="s">
        <v>69</v>
      </c>
      <c r="DQ82" s="352" t="s">
        <v>69</v>
      </c>
      <c r="DR82" s="352" t="s">
        <v>69</v>
      </c>
      <c r="DS82" s="352" t="s">
        <v>69</v>
      </c>
      <c r="DT82" s="352" t="s">
        <v>69</v>
      </c>
      <c r="DU82" s="352" t="s">
        <v>69</v>
      </c>
      <c r="DV82" s="387">
        <f t="shared" si="2"/>
        <v>0.25396825396825395</v>
      </c>
      <c r="DW82" s="388">
        <f t="shared" si="3"/>
        <v>1</v>
      </c>
      <c r="DX82" s="156" t="str">
        <f>VLOOKUP(B82,[1]Pointage!$A:$D,4,0)</f>
        <v>Mourad Saitali</v>
      </c>
    </row>
    <row r="83" spans="1:128" s="300" customFormat="1" ht="128.25" hidden="1" customHeight="1">
      <c r="A83" s="312">
        <v>67</v>
      </c>
      <c r="B83" s="318" t="s">
        <v>856</v>
      </c>
      <c r="C83" s="353" t="s">
        <v>844</v>
      </c>
      <c r="D83" s="376">
        <v>45964</v>
      </c>
      <c r="E83" s="320" t="s">
        <v>215</v>
      </c>
      <c r="F83" s="382" t="s">
        <v>633</v>
      </c>
      <c r="G83" s="352" t="s">
        <v>69</v>
      </c>
      <c r="H83" s="352" t="s">
        <v>69</v>
      </c>
      <c r="I83" s="352" t="s">
        <v>69</v>
      </c>
      <c r="J83" s="352" t="s">
        <v>69</v>
      </c>
      <c r="K83" s="352" t="s">
        <v>69</v>
      </c>
      <c r="L83" s="352" t="s">
        <v>69</v>
      </c>
      <c r="M83" s="352" t="s">
        <v>69</v>
      </c>
      <c r="N83" s="352" t="s">
        <v>69</v>
      </c>
      <c r="O83" s="352" t="s">
        <v>69</v>
      </c>
      <c r="P83" s="352" t="s">
        <v>69</v>
      </c>
      <c r="Q83" s="352" t="s">
        <v>69</v>
      </c>
      <c r="R83" s="352" t="s">
        <v>69</v>
      </c>
      <c r="S83" s="352" t="s">
        <v>69</v>
      </c>
      <c r="T83" s="352" t="s">
        <v>69</v>
      </c>
      <c r="U83" s="352" t="s">
        <v>69</v>
      </c>
      <c r="V83" s="352" t="s">
        <v>69</v>
      </c>
      <c r="W83" s="352" t="s">
        <v>69</v>
      </c>
      <c r="X83" s="352" t="s">
        <v>69</v>
      </c>
      <c r="Y83" s="352">
        <v>1</v>
      </c>
      <c r="Z83" s="352" t="s">
        <v>69</v>
      </c>
      <c r="AA83" s="352" t="s">
        <v>69</v>
      </c>
      <c r="AB83" s="352" t="s">
        <v>69</v>
      </c>
      <c r="AC83" s="352" t="s">
        <v>69</v>
      </c>
      <c r="AD83" s="352" t="s">
        <v>69</v>
      </c>
      <c r="AE83" s="352" t="s">
        <v>69</v>
      </c>
      <c r="AF83" s="352" t="s">
        <v>69</v>
      </c>
      <c r="AG83" s="352" t="s">
        <v>69</v>
      </c>
      <c r="AH83" s="352" t="s">
        <v>69</v>
      </c>
      <c r="AI83" s="352" t="s">
        <v>69</v>
      </c>
      <c r="AJ83" s="352" t="s">
        <v>69</v>
      </c>
      <c r="AK83" s="352" t="s">
        <v>69</v>
      </c>
      <c r="AL83" s="352" t="s">
        <v>69</v>
      </c>
      <c r="AM83" s="352">
        <v>2</v>
      </c>
      <c r="AN83" s="352" t="s">
        <v>69</v>
      </c>
      <c r="AO83" s="352" t="s">
        <v>69</v>
      </c>
      <c r="AP83" s="352" t="s">
        <v>69</v>
      </c>
      <c r="AQ83" s="352" t="s">
        <v>69</v>
      </c>
      <c r="AR83" s="352" t="s">
        <v>69</v>
      </c>
      <c r="AS83" s="352" t="s">
        <v>69</v>
      </c>
      <c r="AT83" s="352" t="s">
        <v>69</v>
      </c>
      <c r="AU83" s="352" t="s">
        <v>69</v>
      </c>
      <c r="AV83" s="352">
        <v>2</v>
      </c>
      <c r="AW83" s="352" t="s">
        <v>69</v>
      </c>
      <c r="AX83" s="352" t="s">
        <v>69</v>
      </c>
      <c r="AY83" s="352" t="s">
        <v>69</v>
      </c>
      <c r="AZ83" s="352" t="s">
        <v>69</v>
      </c>
      <c r="BA83" s="352" t="s">
        <v>69</v>
      </c>
      <c r="BB83" s="352" t="s">
        <v>69</v>
      </c>
      <c r="BC83" s="352" t="s">
        <v>69</v>
      </c>
      <c r="BD83" s="352" t="s">
        <v>69</v>
      </c>
      <c r="BE83" s="352" t="s">
        <v>69</v>
      </c>
      <c r="BF83" s="352" t="s">
        <v>69</v>
      </c>
      <c r="BG83" s="352" t="s">
        <v>69</v>
      </c>
      <c r="BH83" s="352" t="s">
        <v>69</v>
      </c>
      <c r="BI83" s="352" t="s">
        <v>69</v>
      </c>
      <c r="BJ83" s="352" t="s">
        <v>69</v>
      </c>
      <c r="BK83" s="352" t="s">
        <v>69</v>
      </c>
      <c r="BL83" s="352" t="s">
        <v>69</v>
      </c>
      <c r="BM83" s="352" t="s">
        <v>69</v>
      </c>
      <c r="BN83" s="352" t="s">
        <v>69</v>
      </c>
      <c r="BO83" s="352" t="s">
        <v>69</v>
      </c>
      <c r="BP83" s="352" t="s">
        <v>69</v>
      </c>
      <c r="BQ83" s="352" t="s">
        <v>69</v>
      </c>
      <c r="BR83" s="352" t="s">
        <v>69</v>
      </c>
      <c r="BS83" s="352" t="s">
        <v>69</v>
      </c>
      <c r="BT83" s="352" t="s">
        <v>69</v>
      </c>
      <c r="BU83" s="352" t="s">
        <v>69</v>
      </c>
      <c r="BV83" s="352" t="s">
        <v>69</v>
      </c>
      <c r="BW83" s="352" t="s">
        <v>69</v>
      </c>
      <c r="BX83" s="352" t="s">
        <v>69</v>
      </c>
      <c r="BY83" s="352" t="s">
        <v>69</v>
      </c>
      <c r="BZ83" s="352" t="s">
        <v>69</v>
      </c>
      <c r="CA83" s="352" t="s">
        <v>69</v>
      </c>
      <c r="CB83" s="352" t="s">
        <v>69</v>
      </c>
      <c r="CC83" s="352" t="s">
        <v>69</v>
      </c>
      <c r="CD83" s="352" t="s">
        <v>69</v>
      </c>
      <c r="CE83" s="352" t="s">
        <v>69</v>
      </c>
      <c r="CF83" s="352" t="s">
        <v>69</v>
      </c>
      <c r="CG83" s="352" t="s">
        <v>69</v>
      </c>
      <c r="CH83" s="352" t="s">
        <v>69</v>
      </c>
      <c r="CI83" s="352" t="s">
        <v>69</v>
      </c>
      <c r="CJ83" s="352" t="s">
        <v>69</v>
      </c>
      <c r="CK83" s="352" t="s">
        <v>69</v>
      </c>
      <c r="CL83" s="352" t="s">
        <v>69</v>
      </c>
      <c r="CM83" s="352" t="s">
        <v>69</v>
      </c>
      <c r="CN83" s="352" t="s">
        <v>69</v>
      </c>
      <c r="CO83" s="352" t="s">
        <v>69</v>
      </c>
      <c r="CP83" s="352" t="s">
        <v>69</v>
      </c>
      <c r="CQ83" s="352" t="s">
        <v>69</v>
      </c>
      <c r="CR83" s="352" t="s">
        <v>69</v>
      </c>
      <c r="CS83" s="352" t="s">
        <v>69</v>
      </c>
      <c r="CT83" s="352" t="s">
        <v>69</v>
      </c>
      <c r="CU83" s="352" t="s">
        <v>69</v>
      </c>
      <c r="CV83" s="352" t="s">
        <v>69</v>
      </c>
      <c r="CW83" s="352" t="s">
        <v>69</v>
      </c>
      <c r="CX83" s="352" t="s">
        <v>69</v>
      </c>
      <c r="CY83" s="352" t="s">
        <v>69</v>
      </c>
      <c r="CZ83" s="352" t="s">
        <v>69</v>
      </c>
      <c r="DA83" s="352" t="s">
        <v>69</v>
      </c>
      <c r="DB83" s="352" t="s">
        <v>69</v>
      </c>
      <c r="DC83" s="352" t="s">
        <v>69</v>
      </c>
      <c r="DD83" s="352" t="s">
        <v>69</v>
      </c>
      <c r="DE83" s="352" t="s">
        <v>69</v>
      </c>
      <c r="DF83" s="352" t="s">
        <v>69</v>
      </c>
      <c r="DG83" s="352" t="s">
        <v>69</v>
      </c>
      <c r="DH83" s="352" t="s">
        <v>69</v>
      </c>
      <c r="DI83" s="352" t="s">
        <v>69</v>
      </c>
      <c r="DJ83" s="352" t="s">
        <v>69</v>
      </c>
      <c r="DK83" s="352" t="s">
        <v>69</v>
      </c>
      <c r="DL83" s="352" t="s">
        <v>69</v>
      </c>
      <c r="DM83" s="352" t="s">
        <v>69</v>
      </c>
      <c r="DN83" s="352" t="s">
        <v>69</v>
      </c>
      <c r="DO83" s="352" t="s">
        <v>69</v>
      </c>
      <c r="DP83" s="352" t="s">
        <v>69</v>
      </c>
      <c r="DQ83" s="352">
        <v>2</v>
      </c>
      <c r="DR83" s="352" t="s">
        <v>69</v>
      </c>
      <c r="DS83" s="352" t="s">
        <v>69</v>
      </c>
      <c r="DT83" s="352" t="s">
        <v>69</v>
      </c>
      <c r="DU83" s="352" t="s">
        <v>69</v>
      </c>
      <c r="DV83" s="387">
        <f t="shared" si="2"/>
        <v>6.3492063492063489E-2</v>
      </c>
      <c r="DW83" s="388">
        <f t="shared" si="3"/>
        <v>0</v>
      </c>
      <c r="DX83" s="156" t="str">
        <f>VLOOKUP(B83,[1]Pointage!$A:$D,4,0)</f>
        <v>Mourad Saitali</v>
      </c>
    </row>
    <row r="84" spans="1:128" s="300" customFormat="1" ht="128.25" hidden="1" customHeight="1">
      <c r="A84" s="312">
        <v>68</v>
      </c>
      <c r="B84" s="318" t="s">
        <v>825</v>
      </c>
      <c r="C84" s="355" t="s">
        <v>826</v>
      </c>
      <c r="D84" s="379">
        <v>45945</v>
      </c>
      <c r="E84" s="320" t="s">
        <v>784</v>
      </c>
      <c r="F84" s="382" t="s">
        <v>633</v>
      </c>
      <c r="G84" s="352" t="s">
        <v>69</v>
      </c>
      <c r="H84" s="352" t="s">
        <v>69</v>
      </c>
      <c r="I84" s="352" t="s">
        <v>69</v>
      </c>
      <c r="J84" s="352" t="s">
        <v>69</v>
      </c>
      <c r="K84" s="352" t="s">
        <v>69</v>
      </c>
      <c r="L84" s="352" t="s">
        <v>69</v>
      </c>
      <c r="M84" s="352" t="s">
        <v>69</v>
      </c>
      <c r="N84" s="352" t="s">
        <v>69</v>
      </c>
      <c r="O84" s="352" t="s">
        <v>69</v>
      </c>
      <c r="P84" s="352" t="s">
        <v>69</v>
      </c>
      <c r="Q84" s="352" t="s">
        <v>69</v>
      </c>
      <c r="R84" s="352" t="s">
        <v>69</v>
      </c>
      <c r="S84" s="352" t="s">
        <v>69</v>
      </c>
      <c r="T84" s="352" t="s">
        <v>69</v>
      </c>
      <c r="U84" s="352" t="s">
        <v>69</v>
      </c>
      <c r="V84" s="352" t="s">
        <v>69</v>
      </c>
      <c r="W84" s="352" t="s">
        <v>69</v>
      </c>
      <c r="X84" s="352" t="s">
        <v>69</v>
      </c>
      <c r="Y84" s="352" t="s">
        <v>69</v>
      </c>
      <c r="Z84" s="352" t="s">
        <v>69</v>
      </c>
      <c r="AA84" s="352" t="s">
        <v>69</v>
      </c>
      <c r="AB84" s="352" t="s">
        <v>69</v>
      </c>
      <c r="AC84" s="352" t="s">
        <v>69</v>
      </c>
      <c r="AD84" s="352" t="s">
        <v>69</v>
      </c>
      <c r="AE84" s="352" t="s">
        <v>69</v>
      </c>
      <c r="AF84" s="352" t="s">
        <v>69</v>
      </c>
      <c r="AG84" s="352" t="s">
        <v>69</v>
      </c>
      <c r="AH84" s="352" t="s">
        <v>69</v>
      </c>
      <c r="AI84" s="352" t="s">
        <v>69</v>
      </c>
      <c r="AJ84" s="352" t="s">
        <v>69</v>
      </c>
      <c r="AK84" s="352" t="s">
        <v>69</v>
      </c>
      <c r="AL84" s="352" t="s">
        <v>69</v>
      </c>
      <c r="AM84" s="352" t="s">
        <v>69</v>
      </c>
      <c r="AN84" s="352" t="s">
        <v>69</v>
      </c>
      <c r="AO84" s="352" t="s">
        <v>69</v>
      </c>
      <c r="AP84" s="352" t="s">
        <v>69</v>
      </c>
      <c r="AQ84" s="352" t="s">
        <v>69</v>
      </c>
      <c r="AR84" s="352" t="s">
        <v>69</v>
      </c>
      <c r="AS84" s="352">
        <v>3</v>
      </c>
      <c r="AT84" s="352">
        <v>3</v>
      </c>
      <c r="AU84" s="352" t="s">
        <v>69</v>
      </c>
      <c r="AV84" s="352" t="s">
        <v>69</v>
      </c>
      <c r="AW84" s="352" t="s">
        <v>69</v>
      </c>
      <c r="AX84" s="352" t="s">
        <v>69</v>
      </c>
      <c r="AY84" s="352">
        <v>3</v>
      </c>
      <c r="AZ84" s="352" t="s">
        <v>69</v>
      </c>
      <c r="BA84" s="352" t="s">
        <v>69</v>
      </c>
      <c r="BB84" s="352" t="s">
        <v>69</v>
      </c>
      <c r="BC84" s="352" t="s">
        <v>69</v>
      </c>
      <c r="BD84" s="352" t="s">
        <v>69</v>
      </c>
      <c r="BE84" s="352" t="s">
        <v>69</v>
      </c>
      <c r="BF84" s="352" t="s">
        <v>69</v>
      </c>
      <c r="BG84" s="352" t="s">
        <v>69</v>
      </c>
      <c r="BH84" s="352" t="s">
        <v>69</v>
      </c>
      <c r="BI84" s="352" t="s">
        <v>69</v>
      </c>
      <c r="BJ84" s="352" t="s">
        <v>69</v>
      </c>
      <c r="BK84" s="352" t="s">
        <v>69</v>
      </c>
      <c r="BL84" s="352" t="s">
        <v>69</v>
      </c>
      <c r="BM84" s="352" t="s">
        <v>69</v>
      </c>
      <c r="BN84" s="352" t="s">
        <v>69</v>
      </c>
      <c r="BO84" s="352" t="s">
        <v>69</v>
      </c>
      <c r="BP84" s="352" t="s">
        <v>69</v>
      </c>
      <c r="BQ84" s="352" t="s">
        <v>69</v>
      </c>
      <c r="BR84" s="352" t="s">
        <v>69</v>
      </c>
      <c r="BS84" s="352">
        <v>3</v>
      </c>
      <c r="BT84" s="352" t="s">
        <v>69</v>
      </c>
      <c r="BU84" s="352" t="s">
        <v>69</v>
      </c>
      <c r="BV84" s="352" t="s">
        <v>69</v>
      </c>
      <c r="BW84" s="352" t="s">
        <v>69</v>
      </c>
      <c r="BX84" s="352" t="s">
        <v>69</v>
      </c>
      <c r="BY84" s="352" t="s">
        <v>69</v>
      </c>
      <c r="BZ84" s="352" t="s">
        <v>69</v>
      </c>
      <c r="CA84" s="352" t="s">
        <v>69</v>
      </c>
      <c r="CB84" s="352" t="s">
        <v>69</v>
      </c>
      <c r="CC84" s="352" t="s">
        <v>69</v>
      </c>
      <c r="CD84" s="352" t="s">
        <v>69</v>
      </c>
      <c r="CE84" s="352" t="s">
        <v>69</v>
      </c>
      <c r="CF84" s="352" t="s">
        <v>69</v>
      </c>
      <c r="CG84" s="352" t="s">
        <v>69</v>
      </c>
      <c r="CH84" s="352" t="s">
        <v>69</v>
      </c>
      <c r="CI84" s="352">
        <v>3</v>
      </c>
      <c r="CJ84" s="352">
        <v>3</v>
      </c>
      <c r="CK84" s="352">
        <v>3</v>
      </c>
      <c r="CL84" s="352">
        <v>3</v>
      </c>
      <c r="CM84" s="352" t="s">
        <v>69</v>
      </c>
      <c r="CN84" s="352">
        <v>2</v>
      </c>
      <c r="CO84" s="352">
        <v>2</v>
      </c>
      <c r="CP84" s="352">
        <v>2</v>
      </c>
      <c r="CQ84" s="352">
        <v>2</v>
      </c>
      <c r="CR84" s="352" t="s">
        <v>69</v>
      </c>
      <c r="CS84" s="352" t="s">
        <v>69</v>
      </c>
      <c r="CT84" s="352" t="s">
        <v>69</v>
      </c>
      <c r="CU84" s="352" t="s">
        <v>69</v>
      </c>
      <c r="CV84" s="352" t="s">
        <v>69</v>
      </c>
      <c r="CW84" s="352" t="s">
        <v>69</v>
      </c>
      <c r="CX84" s="352" t="s">
        <v>69</v>
      </c>
      <c r="CY84" s="352" t="s">
        <v>69</v>
      </c>
      <c r="CZ84" s="352" t="s">
        <v>69</v>
      </c>
      <c r="DA84" s="352" t="s">
        <v>69</v>
      </c>
      <c r="DB84" s="352" t="s">
        <v>69</v>
      </c>
      <c r="DC84" s="352" t="s">
        <v>69</v>
      </c>
      <c r="DD84" s="352" t="s">
        <v>69</v>
      </c>
      <c r="DE84" s="352" t="s">
        <v>69</v>
      </c>
      <c r="DF84" s="352" t="s">
        <v>69</v>
      </c>
      <c r="DG84" s="352" t="s">
        <v>69</v>
      </c>
      <c r="DH84" s="352" t="s">
        <v>69</v>
      </c>
      <c r="DI84" s="352" t="s">
        <v>69</v>
      </c>
      <c r="DJ84" s="352" t="s">
        <v>69</v>
      </c>
      <c r="DK84" s="352" t="s">
        <v>69</v>
      </c>
      <c r="DL84" s="352" t="s">
        <v>69</v>
      </c>
      <c r="DM84" s="352" t="s">
        <v>69</v>
      </c>
      <c r="DN84" s="352" t="s">
        <v>69</v>
      </c>
      <c r="DO84" s="352" t="s">
        <v>69</v>
      </c>
      <c r="DP84" s="352" t="s">
        <v>69</v>
      </c>
      <c r="DQ84" s="352" t="s">
        <v>69</v>
      </c>
      <c r="DR84" s="352" t="s">
        <v>69</v>
      </c>
      <c r="DS84" s="352" t="s">
        <v>69</v>
      </c>
      <c r="DT84" s="352" t="s">
        <v>69</v>
      </c>
      <c r="DU84" s="352" t="s">
        <v>69</v>
      </c>
      <c r="DV84" s="387">
        <f t="shared" si="2"/>
        <v>0.19047619047619047</v>
      </c>
      <c r="DW84" s="388">
        <f t="shared" si="3"/>
        <v>0.66666666666666663</v>
      </c>
      <c r="DX84" s="156" t="str">
        <f>VLOOKUP(B84,[1]Pointage!$A:$D,4,0)</f>
        <v>Mourad Saitali</v>
      </c>
    </row>
    <row r="85" spans="1:128" s="300" customFormat="1" ht="128.25" hidden="1" customHeight="1">
      <c r="A85" s="312">
        <v>70</v>
      </c>
      <c r="B85" s="318" t="s">
        <v>858</v>
      </c>
      <c r="C85" s="353" t="s">
        <v>846</v>
      </c>
      <c r="D85" s="376">
        <v>45964</v>
      </c>
      <c r="E85" s="320" t="s">
        <v>784</v>
      </c>
      <c r="F85" s="382" t="s">
        <v>633</v>
      </c>
      <c r="G85" s="352" t="s">
        <v>69</v>
      </c>
      <c r="H85" s="352" t="s">
        <v>69</v>
      </c>
      <c r="I85" s="352" t="s">
        <v>69</v>
      </c>
      <c r="J85" s="352" t="s">
        <v>69</v>
      </c>
      <c r="K85" s="352" t="s">
        <v>69</v>
      </c>
      <c r="L85" s="352" t="s">
        <v>69</v>
      </c>
      <c r="M85" s="352" t="s">
        <v>69</v>
      </c>
      <c r="N85" s="352" t="s">
        <v>69</v>
      </c>
      <c r="O85" s="352" t="s">
        <v>69</v>
      </c>
      <c r="P85" s="352" t="s">
        <v>69</v>
      </c>
      <c r="Q85" s="352" t="s">
        <v>69</v>
      </c>
      <c r="R85" s="352" t="s">
        <v>69</v>
      </c>
      <c r="S85" s="352" t="s">
        <v>69</v>
      </c>
      <c r="T85" s="352">
        <v>1</v>
      </c>
      <c r="U85" s="352" t="s">
        <v>69</v>
      </c>
      <c r="V85" s="352" t="s">
        <v>69</v>
      </c>
      <c r="W85" s="352" t="s">
        <v>69</v>
      </c>
      <c r="X85" s="352" t="s">
        <v>69</v>
      </c>
      <c r="Y85" s="352" t="s">
        <v>69</v>
      </c>
      <c r="Z85" s="352" t="s">
        <v>69</v>
      </c>
      <c r="AA85" s="352" t="s">
        <v>69</v>
      </c>
      <c r="AB85" s="352" t="s">
        <v>69</v>
      </c>
      <c r="AC85" s="352" t="s">
        <v>69</v>
      </c>
      <c r="AD85" s="352" t="s">
        <v>69</v>
      </c>
      <c r="AE85" s="352" t="s">
        <v>69</v>
      </c>
      <c r="AF85" s="352" t="s">
        <v>69</v>
      </c>
      <c r="AG85" s="352">
        <v>2</v>
      </c>
      <c r="AH85" s="352" t="s">
        <v>69</v>
      </c>
      <c r="AI85" s="352">
        <v>2</v>
      </c>
      <c r="AJ85" s="352" t="s">
        <v>69</v>
      </c>
      <c r="AK85" s="352" t="s">
        <v>69</v>
      </c>
      <c r="AL85" s="352" t="s">
        <v>69</v>
      </c>
      <c r="AM85" s="352" t="s">
        <v>69</v>
      </c>
      <c r="AN85" s="352" t="s">
        <v>69</v>
      </c>
      <c r="AO85" s="352">
        <v>2</v>
      </c>
      <c r="AP85" s="352" t="s">
        <v>69</v>
      </c>
      <c r="AQ85" s="352" t="s">
        <v>69</v>
      </c>
      <c r="AR85" s="352" t="s">
        <v>69</v>
      </c>
      <c r="AS85" s="352" t="s">
        <v>69</v>
      </c>
      <c r="AT85" s="352" t="s">
        <v>69</v>
      </c>
      <c r="AU85" s="352" t="s">
        <v>69</v>
      </c>
      <c r="AV85" s="352" t="s">
        <v>69</v>
      </c>
      <c r="AW85" s="352" t="s">
        <v>69</v>
      </c>
      <c r="AX85" s="352" t="s">
        <v>69</v>
      </c>
      <c r="AY85" s="352" t="s">
        <v>69</v>
      </c>
      <c r="AZ85" s="352" t="s">
        <v>69</v>
      </c>
      <c r="BA85" s="352" t="s">
        <v>69</v>
      </c>
      <c r="BB85" s="352" t="s">
        <v>69</v>
      </c>
      <c r="BC85" s="352" t="s">
        <v>69</v>
      </c>
      <c r="BD85" s="352" t="s">
        <v>69</v>
      </c>
      <c r="BE85" s="352" t="s">
        <v>69</v>
      </c>
      <c r="BF85" s="352" t="s">
        <v>69</v>
      </c>
      <c r="BG85" s="352" t="s">
        <v>69</v>
      </c>
      <c r="BH85" s="352" t="s">
        <v>69</v>
      </c>
      <c r="BI85" s="352" t="s">
        <v>69</v>
      </c>
      <c r="BJ85" s="352" t="s">
        <v>69</v>
      </c>
      <c r="BK85" s="352" t="s">
        <v>69</v>
      </c>
      <c r="BL85" s="352">
        <v>3</v>
      </c>
      <c r="BM85" s="352" t="s">
        <v>69</v>
      </c>
      <c r="BN85" s="352" t="s">
        <v>69</v>
      </c>
      <c r="BO85" s="352" t="s">
        <v>69</v>
      </c>
      <c r="BP85" s="352" t="s">
        <v>69</v>
      </c>
      <c r="BQ85" s="352" t="s">
        <v>69</v>
      </c>
      <c r="BR85" s="352" t="s">
        <v>69</v>
      </c>
      <c r="BS85" s="352" t="s">
        <v>69</v>
      </c>
      <c r="BT85" s="352" t="s">
        <v>69</v>
      </c>
      <c r="BU85" s="352" t="s">
        <v>69</v>
      </c>
      <c r="BV85" s="352" t="s">
        <v>69</v>
      </c>
      <c r="BW85" s="352" t="s">
        <v>69</v>
      </c>
      <c r="BX85" s="352" t="s">
        <v>69</v>
      </c>
      <c r="BY85" s="352" t="s">
        <v>69</v>
      </c>
      <c r="BZ85" s="352" t="s">
        <v>69</v>
      </c>
      <c r="CA85" s="352" t="s">
        <v>69</v>
      </c>
      <c r="CB85" s="352" t="s">
        <v>69</v>
      </c>
      <c r="CC85" s="352" t="s">
        <v>69</v>
      </c>
      <c r="CD85" s="352" t="s">
        <v>69</v>
      </c>
      <c r="CE85" s="352" t="s">
        <v>69</v>
      </c>
      <c r="CF85" s="352" t="s">
        <v>69</v>
      </c>
      <c r="CG85" s="352" t="s">
        <v>69</v>
      </c>
      <c r="CH85" s="352" t="s">
        <v>69</v>
      </c>
      <c r="CI85" s="352" t="s">
        <v>69</v>
      </c>
      <c r="CJ85" s="352" t="s">
        <v>69</v>
      </c>
      <c r="CK85" s="352" t="s">
        <v>69</v>
      </c>
      <c r="CL85" s="352" t="s">
        <v>69</v>
      </c>
      <c r="CM85" s="352" t="s">
        <v>69</v>
      </c>
      <c r="CN85" s="352" t="s">
        <v>69</v>
      </c>
      <c r="CO85" s="352" t="s">
        <v>69</v>
      </c>
      <c r="CP85" s="352" t="s">
        <v>69</v>
      </c>
      <c r="CQ85" s="352" t="s">
        <v>69</v>
      </c>
      <c r="CR85" s="352" t="s">
        <v>69</v>
      </c>
      <c r="CS85" s="352" t="s">
        <v>69</v>
      </c>
      <c r="CT85" s="352" t="s">
        <v>69</v>
      </c>
      <c r="CU85" s="352" t="s">
        <v>69</v>
      </c>
      <c r="CV85" s="352">
        <v>2</v>
      </c>
      <c r="CW85" s="352" t="s">
        <v>69</v>
      </c>
      <c r="CX85" s="352" t="s">
        <v>69</v>
      </c>
      <c r="CY85" s="352" t="s">
        <v>69</v>
      </c>
      <c r="CZ85" s="352" t="s">
        <v>69</v>
      </c>
      <c r="DA85" s="352">
        <v>2</v>
      </c>
      <c r="DB85" s="352" t="s">
        <v>69</v>
      </c>
      <c r="DC85" s="352">
        <v>2</v>
      </c>
      <c r="DD85" s="352">
        <v>4</v>
      </c>
      <c r="DE85" s="352">
        <v>3</v>
      </c>
      <c r="DF85" s="352" t="s">
        <v>69</v>
      </c>
      <c r="DG85" s="352">
        <v>4</v>
      </c>
      <c r="DH85" s="352" t="s">
        <v>69</v>
      </c>
      <c r="DI85" s="352" t="s">
        <v>69</v>
      </c>
      <c r="DJ85" s="352" t="s">
        <v>69</v>
      </c>
      <c r="DK85" s="352" t="s">
        <v>69</v>
      </c>
      <c r="DL85" s="352" t="s">
        <v>69</v>
      </c>
      <c r="DM85" s="352" t="s">
        <v>69</v>
      </c>
      <c r="DN85" s="352" t="s">
        <v>69</v>
      </c>
      <c r="DO85" s="352">
        <v>3</v>
      </c>
      <c r="DP85" s="352">
        <v>4</v>
      </c>
      <c r="DQ85" s="352">
        <v>2</v>
      </c>
      <c r="DR85" s="352" t="s">
        <v>69</v>
      </c>
      <c r="DS85" s="352" t="s">
        <v>69</v>
      </c>
      <c r="DT85" s="352" t="s">
        <v>69</v>
      </c>
      <c r="DU85" s="352" t="s">
        <v>69</v>
      </c>
      <c r="DV85" s="387">
        <f t="shared" si="2"/>
        <v>0.22222222222222221</v>
      </c>
      <c r="DW85" s="388">
        <f t="shared" si="3"/>
        <v>0.46153846153846156</v>
      </c>
      <c r="DX85" s="156" t="str">
        <f>VLOOKUP(B85,[1]Pointage!$A:$D,4,0)</f>
        <v>Mourad Saitali</v>
      </c>
    </row>
    <row r="86" spans="1:128" s="300" customFormat="1" ht="128.25" hidden="1" customHeight="1">
      <c r="A86" s="312">
        <v>71</v>
      </c>
      <c r="B86" s="318" t="s">
        <v>859</v>
      </c>
      <c r="C86" s="353" t="s">
        <v>847</v>
      </c>
      <c r="D86" s="376">
        <v>45964</v>
      </c>
      <c r="E86" s="320" t="s">
        <v>216</v>
      </c>
      <c r="F86" s="382" t="s">
        <v>633</v>
      </c>
      <c r="G86" s="352" t="s">
        <v>69</v>
      </c>
      <c r="H86" s="352" t="s">
        <v>69</v>
      </c>
      <c r="I86" s="352" t="s">
        <v>69</v>
      </c>
      <c r="J86" s="352" t="s">
        <v>69</v>
      </c>
      <c r="K86" s="352" t="s">
        <v>69</v>
      </c>
      <c r="L86" s="352" t="s">
        <v>69</v>
      </c>
      <c r="M86" s="352" t="s">
        <v>69</v>
      </c>
      <c r="N86" s="352" t="s">
        <v>69</v>
      </c>
      <c r="O86" s="352" t="s">
        <v>69</v>
      </c>
      <c r="P86" s="352" t="s">
        <v>69</v>
      </c>
      <c r="Q86" s="352" t="s">
        <v>69</v>
      </c>
      <c r="R86" s="352" t="s">
        <v>69</v>
      </c>
      <c r="S86" s="352" t="s">
        <v>69</v>
      </c>
      <c r="T86" s="352" t="s">
        <v>69</v>
      </c>
      <c r="U86" s="352" t="s">
        <v>69</v>
      </c>
      <c r="V86" s="352" t="s">
        <v>69</v>
      </c>
      <c r="W86" s="352" t="s">
        <v>69</v>
      </c>
      <c r="X86" s="352" t="s">
        <v>69</v>
      </c>
      <c r="Y86" s="352" t="s">
        <v>69</v>
      </c>
      <c r="Z86" s="352" t="s">
        <v>69</v>
      </c>
      <c r="AA86" s="352" t="s">
        <v>69</v>
      </c>
      <c r="AB86" s="352" t="s">
        <v>69</v>
      </c>
      <c r="AC86" s="352" t="s">
        <v>69</v>
      </c>
      <c r="AD86" s="352" t="s">
        <v>69</v>
      </c>
      <c r="AE86" s="352">
        <v>1</v>
      </c>
      <c r="AF86" s="352" t="s">
        <v>69</v>
      </c>
      <c r="AG86" s="352" t="s">
        <v>69</v>
      </c>
      <c r="AH86" s="352" t="s">
        <v>69</v>
      </c>
      <c r="AI86" s="352" t="s">
        <v>69</v>
      </c>
      <c r="AJ86" s="352" t="s">
        <v>69</v>
      </c>
      <c r="AK86" s="352" t="s">
        <v>69</v>
      </c>
      <c r="AL86" s="352" t="s">
        <v>69</v>
      </c>
      <c r="AM86" s="352" t="s">
        <v>69</v>
      </c>
      <c r="AN86" s="352" t="s">
        <v>69</v>
      </c>
      <c r="AO86" s="352" t="s">
        <v>69</v>
      </c>
      <c r="AP86" s="352" t="s">
        <v>69</v>
      </c>
      <c r="AQ86" s="352" t="s">
        <v>69</v>
      </c>
      <c r="AR86" s="352" t="s">
        <v>69</v>
      </c>
      <c r="AS86" s="352" t="s">
        <v>69</v>
      </c>
      <c r="AT86" s="352" t="s">
        <v>69</v>
      </c>
      <c r="AU86" s="352" t="s">
        <v>69</v>
      </c>
      <c r="AV86" s="352" t="s">
        <v>69</v>
      </c>
      <c r="AW86" s="352" t="s">
        <v>69</v>
      </c>
      <c r="AX86" s="352" t="s">
        <v>69</v>
      </c>
      <c r="AY86" s="352" t="s">
        <v>69</v>
      </c>
      <c r="AZ86" s="352" t="s">
        <v>69</v>
      </c>
      <c r="BA86" s="352" t="s">
        <v>69</v>
      </c>
      <c r="BB86" s="352" t="s">
        <v>69</v>
      </c>
      <c r="BC86" s="352" t="s">
        <v>69</v>
      </c>
      <c r="BD86" s="352" t="s">
        <v>69</v>
      </c>
      <c r="BE86" s="352" t="s">
        <v>69</v>
      </c>
      <c r="BF86" s="352" t="s">
        <v>69</v>
      </c>
      <c r="BG86" s="352" t="s">
        <v>69</v>
      </c>
      <c r="BH86" s="352" t="s">
        <v>69</v>
      </c>
      <c r="BI86" s="352" t="s">
        <v>69</v>
      </c>
      <c r="BJ86" s="352" t="s">
        <v>69</v>
      </c>
      <c r="BK86" s="352" t="s">
        <v>69</v>
      </c>
      <c r="BL86" s="352" t="s">
        <v>69</v>
      </c>
      <c r="BM86" s="352" t="s">
        <v>69</v>
      </c>
      <c r="BN86" s="352" t="s">
        <v>69</v>
      </c>
      <c r="BO86" s="352" t="s">
        <v>69</v>
      </c>
      <c r="BP86" s="352" t="s">
        <v>69</v>
      </c>
      <c r="BQ86" s="352" t="s">
        <v>69</v>
      </c>
      <c r="BR86" s="352" t="s">
        <v>69</v>
      </c>
      <c r="BS86" s="352" t="s">
        <v>69</v>
      </c>
      <c r="BT86" s="352" t="s">
        <v>69</v>
      </c>
      <c r="BU86" s="352" t="s">
        <v>69</v>
      </c>
      <c r="BV86" s="352" t="s">
        <v>69</v>
      </c>
      <c r="BW86" s="352" t="s">
        <v>69</v>
      </c>
      <c r="BX86" s="352" t="s">
        <v>69</v>
      </c>
      <c r="BY86" s="352" t="s">
        <v>69</v>
      </c>
      <c r="BZ86" s="352" t="s">
        <v>69</v>
      </c>
      <c r="CA86" s="352" t="s">
        <v>69</v>
      </c>
      <c r="CB86" s="352" t="s">
        <v>69</v>
      </c>
      <c r="CC86" s="352" t="s">
        <v>69</v>
      </c>
      <c r="CD86" s="352" t="s">
        <v>69</v>
      </c>
      <c r="CE86" s="352" t="s">
        <v>69</v>
      </c>
      <c r="CF86" s="352" t="s">
        <v>69</v>
      </c>
      <c r="CG86" s="352" t="s">
        <v>69</v>
      </c>
      <c r="CH86" s="352" t="s">
        <v>69</v>
      </c>
      <c r="CI86" s="352" t="s">
        <v>69</v>
      </c>
      <c r="CJ86" s="352" t="s">
        <v>69</v>
      </c>
      <c r="CK86" s="352" t="s">
        <v>69</v>
      </c>
      <c r="CL86" s="352" t="s">
        <v>69</v>
      </c>
      <c r="CM86" s="352" t="s">
        <v>69</v>
      </c>
      <c r="CN86" s="352" t="s">
        <v>69</v>
      </c>
      <c r="CO86" s="352" t="s">
        <v>69</v>
      </c>
      <c r="CP86" s="352">
        <v>2</v>
      </c>
      <c r="CQ86" s="352" t="s">
        <v>69</v>
      </c>
      <c r="CR86" s="352" t="s">
        <v>69</v>
      </c>
      <c r="CS86" s="352" t="s">
        <v>69</v>
      </c>
      <c r="CT86" s="352" t="s">
        <v>69</v>
      </c>
      <c r="CU86" s="352" t="s">
        <v>69</v>
      </c>
      <c r="CV86" s="352" t="s">
        <v>69</v>
      </c>
      <c r="CW86" s="352" t="s">
        <v>69</v>
      </c>
      <c r="CX86" s="352" t="s">
        <v>69</v>
      </c>
      <c r="CY86" s="352" t="s">
        <v>69</v>
      </c>
      <c r="CZ86" s="352" t="s">
        <v>69</v>
      </c>
      <c r="DA86" s="352" t="s">
        <v>69</v>
      </c>
      <c r="DB86" s="352" t="s">
        <v>69</v>
      </c>
      <c r="DC86" s="352" t="s">
        <v>69</v>
      </c>
      <c r="DD86" s="352" t="s">
        <v>69</v>
      </c>
      <c r="DE86" s="352" t="s">
        <v>69</v>
      </c>
      <c r="DF86" s="352" t="s">
        <v>69</v>
      </c>
      <c r="DG86" s="352" t="s">
        <v>69</v>
      </c>
      <c r="DH86" s="352" t="s">
        <v>69</v>
      </c>
      <c r="DI86" s="352" t="s">
        <v>69</v>
      </c>
      <c r="DJ86" s="352" t="s">
        <v>69</v>
      </c>
      <c r="DK86" s="352" t="s">
        <v>69</v>
      </c>
      <c r="DL86" s="352" t="s">
        <v>69</v>
      </c>
      <c r="DM86" s="352" t="s">
        <v>69</v>
      </c>
      <c r="DN86" s="352" t="s">
        <v>69</v>
      </c>
      <c r="DO86" s="352" t="s">
        <v>69</v>
      </c>
      <c r="DP86" s="352" t="s">
        <v>69</v>
      </c>
      <c r="DQ86" s="352" t="s">
        <v>69</v>
      </c>
      <c r="DR86" s="352" t="s">
        <v>69</v>
      </c>
      <c r="DS86" s="352" t="s">
        <v>69</v>
      </c>
      <c r="DT86" s="352" t="s">
        <v>69</v>
      </c>
      <c r="DU86" s="352" t="s">
        <v>69</v>
      </c>
      <c r="DV86" s="387">
        <f t="shared" si="2"/>
        <v>3.1746031746031744E-2</v>
      </c>
      <c r="DW86" s="388">
        <f t="shared" si="3"/>
        <v>0</v>
      </c>
      <c r="DX86" s="156" t="str">
        <f>VLOOKUP(B86,[1]Pointage!$A:$D,4,0)</f>
        <v>Mourad Saitali</v>
      </c>
    </row>
    <row r="87" spans="1:128" s="300" customFormat="1" ht="128.25" hidden="1" customHeight="1">
      <c r="A87" s="312">
        <v>72</v>
      </c>
      <c r="B87" s="318" t="s">
        <v>860</v>
      </c>
      <c r="C87" s="353" t="s">
        <v>848</v>
      </c>
      <c r="D87" s="376">
        <v>45964</v>
      </c>
      <c r="E87" s="320" t="s">
        <v>215</v>
      </c>
      <c r="F87" s="382" t="s">
        <v>633</v>
      </c>
      <c r="G87" s="352" t="s">
        <v>69</v>
      </c>
      <c r="H87" s="352" t="s">
        <v>69</v>
      </c>
      <c r="I87" s="352" t="s">
        <v>69</v>
      </c>
      <c r="J87" s="352" t="s">
        <v>69</v>
      </c>
      <c r="K87" s="352" t="s">
        <v>69</v>
      </c>
      <c r="L87" s="352" t="s">
        <v>69</v>
      </c>
      <c r="M87" s="352" t="s">
        <v>69</v>
      </c>
      <c r="N87" s="352" t="s">
        <v>69</v>
      </c>
      <c r="O87" s="352" t="s">
        <v>69</v>
      </c>
      <c r="P87" s="352" t="s">
        <v>69</v>
      </c>
      <c r="Q87" s="352" t="s">
        <v>69</v>
      </c>
      <c r="R87" s="352" t="s">
        <v>69</v>
      </c>
      <c r="S87" s="352" t="s">
        <v>69</v>
      </c>
      <c r="T87" s="352" t="s">
        <v>69</v>
      </c>
      <c r="U87" s="352" t="s">
        <v>69</v>
      </c>
      <c r="V87" s="352" t="s">
        <v>69</v>
      </c>
      <c r="W87" s="352" t="s">
        <v>69</v>
      </c>
      <c r="X87" s="352" t="s">
        <v>69</v>
      </c>
      <c r="Y87" s="352" t="s">
        <v>69</v>
      </c>
      <c r="Z87" s="352" t="s">
        <v>69</v>
      </c>
      <c r="AA87" s="352" t="s">
        <v>69</v>
      </c>
      <c r="AB87" s="352" t="s">
        <v>69</v>
      </c>
      <c r="AC87" s="352" t="s">
        <v>69</v>
      </c>
      <c r="AD87" s="352" t="s">
        <v>69</v>
      </c>
      <c r="AE87" s="352" t="s">
        <v>69</v>
      </c>
      <c r="AF87" s="352" t="s">
        <v>69</v>
      </c>
      <c r="AG87" s="352" t="s">
        <v>69</v>
      </c>
      <c r="AH87" s="352" t="s">
        <v>69</v>
      </c>
      <c r="AI87" s="352" t="s">
        <v>69</v>
      </c>
      <c r="AJ87" s="352" t="s">
        <v>69</v>
      </c>
      <c r="AK87" s="352" t="s">
        <v>69</v>
      </c>
      <c r="AL87" s="352" t="s">
        <v>69</v>
      </c>
      <c r="AM87" s="352">
        <v>2</v>
      </c>
      <c r="AN87" s="352" t="s">
        <v>69</v>
      </c>
      <c r="AO87" s="352">
        <v>2</v>
      </c>
      <c r="AP87" s="352" t="s">
        <v>69</v>
      </c>
      <c r="AQ87" s="352" t="s">
        <v>69</v>
      </c>
      <c r="AR87" s="352" t="s">
        <v>69</v>
      </c>
      <c r="AS87" s="352" t="s">
        <v>69</v>
      </c>
      <c r="AT87" s="352" t="s">
        <v>69</v>
      </c>
      <c r="AU87" s="352" t="s">
        <v>69</v>
      </c>
      <c r="AV87" s="352" t="s">
        <v>69</v>
      </c>
      <c r="AW87" s="352" t="s">
        <v>69</v>
      </c>
      <c r="AX87" s="352" t="s">
        <v>69</v>
      </c>
      <c r="AY87" s="352" t="s">
        <v>69</v>
      </c>
      <c r="AZ87" s="352" t="s">
        <v>69</v>
      </c>
      <c r="BA87" s="352" t="s">
        <v>69</v>
      </c>
      <c r="BB87" s="352" t="s">
        <v>69</v>
      </c>
      <c r="BC87" s="352" t="s">
        <v>69</v>
      </c>
      <c r="BD87" s="352" t="s">
        <v>69</v>
      </c>
      <c r="BE87" s="352" t="s">
        <v>69</v>
      </c>
      <c r="BF87" s="352" t="s">
        <v>69</v>
      </c>
      <c r="BG87" s="352" t="s">
        <v>69</v>
      </c>
      <c r="BH87" s="352" t="s">
        <v>69</v>
      </c>
      <c r="BI87" s="352" t="s">
        <v>69</v>
      </c>
      <c r="BJ87" s="352" t="s">
        <v>69</v>
      </c>
      <c r="BK87" s="352" t="s">
        <v>69</v>
      </c>
      <c r="BL87" s="352" t="s">
        <v>69</v>
      </c>
      <c r="BM87" s="352" t="s">
        <v>69</v>
      </c>
      <c r="BN87" s="352" t="s">
        <v>69</v>
      </c>
      <c r="BO87" s="352" t="s">
        <v>69</v>
      </c>
      <c r="BP87" s="352" t="s">
        <v>69</v>
      </c>
      <c r="BQ87" s="352" t="s">
        <v>69</v>
      </c>
      <c r="BR87" s="352" t="s">
        <v>69</v>
      </c>
      <c r="BS87" s="352" t="s">
        <v>69</v>
      </c>
      <c r="BT87" s="352" t="s">
        <v>69</v>
      </c>
      <c r="BU87" s="352" t="s">
        <v>69</v>
      </c>
      <c r="BV87" s="352" t="s">
        <v>69</v>
      </c>
      <c r="BW87" s="352" t="s">
        <v>69</v>
      </c>
      <c r="BX87" s="352" t="s">
        <v>69</v>
      </c>
      <c r="BY87" s="352" t="s">
        <v>69</v>
      </c>
      <c r="BZ87" s="352">
        <v>1</v>
      </c>
      <c r="CA87" s="352" t="s">
        <v>69</v>
      </c>
      <c r="CB87" s="352" t="s">
        <v>69</v>
      </c>
      <c r="CC87" s="352" t="s">
        <v>69</v>
      </c>
      <c r="CD87" s="352" t="s">
        <v>69</v>
      </c>
      <c r="CE87" s="352" t="s">
        <v>69</v>
      </c>
      <c r="CF87" s="352" t="s">
        <v>69</v>
      </c>
      <c r="CG87" s="352" t="s">
        <v>69</v>
      </c>
      <c r="CH87" s="352" t="s">
        <v>69</v>
      </c>
      <c r="CI87" s="352" t="s">
        <v>69</v>
      </c>
      <c r="CJ87" s="352" t="s">
        <v>69</v>
      </c>
      <c r="CK87" s="352" t="s">
        <v>69</v>
      </c>
      <c r="CL87" s="352" t="s">
        <v>69</v>
      </c>
      <c r="CM87" s="352">
        <v>2</v>
      </c>
      <c r="CN87" s="352" t="s">
        <v>69</v>
      </c>
      <c r="CO87" s="352" t="s">
        <v>69</v>
      </c>
      <c r="CP87" s="352" t="s">
        <v>69</v>
      </c>
      <c r="CQ87" s="352" t="s">
        <v>69</v>
      </c>
      <c r="CR87" s="352" t="s">
        <v>69</v>
      </c>
      <c r="CS87" s="352" t="s">
        <v>69</v>
      </c>
      <c r="CT87" s="352" t="s">
        <v>69</v>
      </c>
      <c r="CU87" s="352" t="s">
        <v>69</v>
      </c>
      <c r="CV87" s="352" t="s">
        <v>69</v>
      </c>
      <c r="CW87" s="352" t="s">
        <v>69</v>
      </c>
      <c r="CX87" s="352" t="s">
        <v>69</v>
      </c>
      <c r="CY87" s="352" t="s">
        <v>69</v>
      </c>
      <c r="CZ87" s="352" t="s">
        <v>69</v>
      </c>
      <c r="DA87" s="352" t="s">
        <v>69</v>
      </c>
      <c r="DB87" s="352" t="s">
        <v>69</v>
      </c>
      <c r="DC87" s="352" t="s">
        <v>69</v>
      </c>
      <c r="DD87" s="352" t="s">
        <v>69</v>
      </c>
      <c r="DE87" s="352" t="s">
        <v>69</v>
      </c>
      <c r="DF87" s="352" t="s">
        <v>69</v>
      </c>
      <c r="DG87" s="352" t="s">
        <v>69</v>
      </c>
      <c r="DH87" s="352" t="s">
        <v>69</v>
      </c>
      <c r="DI87" s="352" t="s">
        <v>69</v>
      </c>
      <c r="DJ87" s="352" t="s">
        <v>69</v>
      </c>
      <c r="DK87" s="352" t="s">
        <v>69</v>
      </c>
      <c r="DL87" s="352" t="s">
        <v>69</v>
      </c>
      <c r="DM87" s="352" t="s">
        <v>69</v>
      </c>
      <c r="DN87" s="352" t="s">
        <v>69</v>
      </c>
      <c r="DO87" s="352" t="s">
        <v>69</v>
      </c>
      <c r="DP87" s="352" t="s">
        <v>69</v>
      </c>
      <c r="DQ87" s="352" t="s">
        <v>69</v>
      </c>
      <c r="DR87" s="352" t="s">
        <v>69</v>
      </c>
      <c r="DS87" s="352" t="s">
        <v>69</v>
      </c>
      <c r="DT87" s="352" t="s">
        <v>69</v>
      </c>
      <c r="DU87" s="352" t="s">
        <v>69</v>
      </c>
      <c r="DV87" s="387">
        <f t="shared" si="2"/>
        <v>6.3492063492063489E-2</v>
      </c>
      <c r="DW87" s="388">
        <f t="shared" si="3"/>
        <v>0</v>
      </c>
      <c r="DX87" s="156" t="str">
        <f>VLOOKUP(B87,[1]Pointage!$A:$D,4,0)</f>
        <v>Mourad Saitali</v>
      </c>
    </row>
    <row r="88" spans="1:128" s="300" customFormat="1" ht="128.25" hidden="1" customHeight="1">
      <c r="A88" s="312">
        <v>73</v>
      </c>
      <c r="B88" s="318" t="s">
        <v>861</v>
      </c>
      <c r="C88" s="384" t="s">
        <v>1137</v>
      </c>
      <c r="D88" s="376">
        <v>45964</v>
      </c>
      <c r="E88" s="320" t="s">
        <v>216</v>
      </c>
      <c r="F88" s="382" t="s">
        <v>633</v>
      </c>
      <c r="G88" s="352" t="s">
        <v>69</v>
      </c>
      <c r="H88" s="352" t="s">
        <v>69</v>
      </c>
      <c r="I88" s="352" t="s">
        <v>69</v>
      </c>
      <c r="J88" s="352" t="s">
        <v>69</v>
      </c>
      <c r="K88" s="352" t="s">
        <v>69</v>
      </c>
      <c r="L88" s="352" t="s">
        <v>69</v>
      </c>
      <c r="M88" s="352" t="s">
        <v>69</v>
      </c>
      <c r="N88" s="352" t="s">
        <v>69</v>
      </c>
      <c r="O88" s="352" t="s">
        <v>69</v>
      </c>
      <c r="P88" s="352" t="s">
        <v>69</v>
      </c>
      <c r="Q88" s="352" t="s">
        <v>69</v>
      </c>
      <c r="R88" s="352" t="s">
        <v>69</v>
      </c>
      <c r="S88" s="352" t="s">
        <v>69</v>
      </c>
      <c r="T88" s="352" t="s">
        <v>69</v>
      </c>
      <c r="U88" s="352" t="s">
        <v>69</v>
      </c>
      <c r="V88" s="352" t="s">
        <v>69</v>
      </c>
      <c r="W88" s="352" t="s">
        <v>69</v>
      </c>
      <c r="X88" s="352" t="s">
        <v>69</v>
      </c>
      <c r="Y88" s="352" t="s">
        <v>69</v>
      </c>
      <c r="Z88" s="352" t="s">
        <v>69</v>
      </c>
      <c r="AA88" s="352" t="s">
        <v>69</v>
      </c>
      <c r="AB88" s="352" t="s">
        <v>69</v>
      </c>
      <c r="AC88" s="352" t="s">
        <v>69</v>
      </c>
      <c r="AD88" s="352" t="s">
        <v>69</v>
      </c>
      <c r="AE88" s="352" t="s">
        <v>69</v>
      </c>
      <c r="AF88" s="352" t="s">
        <v>69</v>
      </c>
      <c r="AG88" s="352" t="s">
        <v>69</v>
      </c>
      <c r="AH88" s="352" t="s">
        <v>69</v>
      </c>
      <c r="AI88" s="352" t="s">
        <v>69</v>
      </c>
      <c r="AJ88" s="352" t="s">
        <v>69</v>
      </c>
      <c r="AK88" s="352" t="s">
        <v>69</v>
      </c>
      <c r="AL88" s="352" t="s">
        <v>69</v>
      </c>
      <c r="AM88" s="352" t="s">
        <v>69</v>
      </c>
      <c r="AN88" s="352" t="s">
        <v>69</v>
      </c>
      <c r="AO88" s="352" t="s">
        <v>69</v>
      </c>
      <c r="AP88" s="352" t="s">
        <v>69</v>
      </c>
      <c r="AQ88" s="352" t="s">
        <v>69</v>
      </c>
      <c r="AR88" s="352" t="s">
        <v>69</v>
      </c>
      <c r="AS88" s="352" t="s">
        <v>69</v>
      </c>
      <c r="AT88" s="352" t="s">
        <v>69</v>
      </c>
      <c r="AU88" s="352" t="s">
        <v>69</v>
      </c>
      <c r="AV88" s="352" t="s">
        <v>69</v>
      </c>
      <c r="AW88" s="352" t="s">
        <v>69</v>
      </c>
      <c r="AX88" s="352" t="s">
        <v>69</v>
      </c>
      <c r="AY88" s="352" t="s">
        <v>69</v>
      </c>
      <c r="AZ88" s="352" t="s">
        <v>69</v>
      </c>
      <c r="BA88" s="352" t="s">
        <v>69</v>
      </c>
      <c r="BB88" s="352" t="s">
        <v>69</v>
      </c>
      <c r="BC88" s="352" t="s">
        <v>69</v>
      </c>
      <c r="BD88" s="352" t="s">
        <v>69</v>
      </c>
      <c r="BE88" s="352" t="s">
        <v>69</v>
      </c>
      <c r="BF88" s="352" t="s">
        <v>69</v>
      </c>
      <c r="BG88" s="352" t="s">
        <v>69</v>
      </c>
      <c r="BH88" s="352" t="s">
        <v>69</v>
      </c>
      <c r="BI88" s="352" t="s">
        <v>69</v>
      </c>
      <c r="BJ88" s="352" t="s">
        <v>69</v>
      </c>
      <c r="BK88" s="352" t="s">
        <v>69</v>
      </c>
      <c r="BL88" s="352" t="s">
        <v>69</v>
      </c>
      <c r="BM88" s="352" t="s">
        <v>69</v>
      </c>
      <c r="BN88" s="352" t="s">
        <v>69</v>
      </c>
      <c r="BO88" s="352" t="s">
        <v>69</v>
      </c>
      <c r="BP88" s="352" t="s">
        <v>69</v>
      </c>
      <c r="BQ88" s="352" t="s">
        <v>69</v>
      </c>
      <c r="BR88" s="352" t="s">
        <v>69</v>
      </c>
      <c r="BS88" s="352" t="s">
        <v>69</v>
      </c>
      <c r="BT88" s="352" t="s">
        <v>69</v>
      </c>
      <c r="BU88" s="352" t="s">
        <v>69</v>
      </c>
      <c r="BV88" s="352" t="s">
        <v>69</v>
      </c>
      <c r="BW88" s="352" t="s">
        <v>69</v>
      </c>
      <c r="BX88" s="352" t="s">
        <v>69</v>
      </c>
      <c r="BY88" s="352" t="s">
        <v>69</v>
      </c>
      <c r="BZ88" s="352" t="s">
        <v>69</v>
      </c>
      <c r="CA88" s="352" t="s">
        <v>69</v>
      </c>
      <c r="CB88" s="352" t="s">
        <v>69</v>
      </c>
      <c r="CC88" s="352" t="s">
        <v>69</v>
      </c>
      <c r="CD88" s="352" t="s">
        <v>69</v>
      </c>
      <c r="CE88" s="352" t="s">
        <v>69</v>
      </c>
      <c r="CF88" s="352" t="s">
        <v>69</v>
      </c>
      <c r="CG88" s="352" t="s">
        <v>69</v>
      </c>
      <c r="CH88" s="352" t="s">
        <v>69</v>
      </c>
      <c r="CI88" s="352" t="s">
        <v>69</v>
      </c>
      <c r="CJ88" s="352" t="s">
        <v>69</v>
      </c>
      <c r="CK88" s="352" t="s">
        <v>69</v>
      </c>
      <c r="CL88" s="352" t="s">
        <v>69</v>
      </c>
      <c r="CM88" s="352">
        <v>2</v>
      </c>
      <c r="CN88" s="352" t="s">
        <v>69</v>
      </c>
      <c r="CO88" s="352" t="s">
        <v>69</v>
      </c>
      <c r="CP88" s="352" t="s">
        <v>69</v>
      </c>
      <c r="CQ88" s="352" t="s">
        <v>69</v>
      </c>
      <c r="CR88" s="352" t="s">
        <v>69</v>
      </c>
      <c r="CS88" s="352" t="s">
        <v>69</v>
      </c>
      <c r="CT88" s="352" t="s">
        <v>69</v>
      </c>
      <c r="CU88" s="352" t="s">
        <v>69</v>
      </c>
      <c r="CV88" s="352" t="s">
        <v>69</v>
      </c>
      <c r="CW88" s="352" t="s">
        <v>69</v>
      </c>
      <c r="CX88" s="352" t="s">
        <v>69</v>
      </c>
      <c r="CY88" s="352" t="s">
        <v>69</v>
      </c>
      <c r="CZ88" s="352" t="s">
        <v>69</v>
      </c>
      <c r="DA88" s="352" t="s">
        <v>69</v>
      </c>
      <c r="DB88" s="352" t="s">
        <v>69</v>
      </c>
      <c r="DC88" s="352" t="s">
        <v>69</v>
      </c>
      <c r="DD88" s="352" t="s">
        <v>69</v>
      </c>
      <c r="DE88" s="352" t="s">
        <v>69</v>
      </c>
      <c r="DF88" s="352" t="s">
        <v>69</v>
      </c>
      <c r="DG88" s="352" t="s">
        <v>69</v>
      </c>
      <c r="DH88" s="352" t="s">
        <v>69</v>
      </c>
      <c r="DI88" s="352" t="s">
        <v>69</v>
      </c>
      <c r="DJ88" s="352" t="s">
        <v>69</v>
      </c>
      <c r="DK88" s="352" t="s">
        <v>69</v>
      </c>
      <c r="DL88" s="352" t="s">
        <v>69</v>
      </c>
      <c r="DM88" s="352" t="s">
        <v>69</v>
      </c>
      <c r="DN88" s="352" t="s">
        <v>69</v>
      </c>
      <c r="DO88" s="352" t="s">
        <v>69</v>
      </c>
      <c r="DP88" s="352" t="s">
        <v>69</v>
      </c>
      <c r="DQ88" s="352" t="s">
        <v>69</v>
      </c>
      <c r="DR88" s="352" t="s">
        <v>69</v>
      </c>
      <c r="DS88" s="352" t="s">
        <v>69</v>
      </c>
      <c r="DT88" s="352" t="s">
        <v>69</v>
      </c>
      <c r="DU88" s="352" t="s">
        <v>69</v>
      </c>
      <c r="DV88" s="387">
        <f t="shared" si="2"/>
        <v>1.5873015873015872E-2</v>
      </c>
      <c r="DW88" s="388">
        <f t="shared" si="3"/>
        <v>0</v>
      </c>
      <c r="DX88" s="156" t="str">
        <f>VLOOKUP(B88,[1]Pointage!$A:$D,4,0)</f>
        <v>Mourad Saitali</v>
      </c>
    </row>
    <row r="89" spans="1:128" s="300" customFormat="1" ht="128.25" hidden="1" customHeight="1">
      <c r="A89" s="312">
        <v>74</v>
      </c>
      <c r="B89" s="318" t="s">
        <v>917</v>
      </c>
      <c r="C89" s="353" t="s">
        <v>1055</v>
      </c>
      <c r="D89" s="380">
        <v>45992</v>
      </c>
      <c r="E89" s="320" t="s">
        <v>217</v>
      </c>
      <c r="F89" s="382" t="s">
        <v>633</v>
      </c>
      <c r="G89" s="352" t="s">
        <v>69</v>
      </c>
      <c r="H89" s="352" t="s">
        <v>69</v>
      </c>
      <c r="I89" s="352" t="s">
        <v>69</v>
      </c>
      <c r="J89" s="352" t="s">
        <v>69</v>
      </c>
      <c r="K89" s="352" t="s">
        <v>69</v>
      </c>
      <c r="L89" s="352">
        <v>4</v>
      </c>
      <c r="M89" s="352" t="s">
        <v>69</v>
      </c>
      <c r="N89" s="352" t="s">
        <v>69</v>
      </c>
      <c r="O89" s="352" t="s">
        <v>69</v>
      </c>
      <c r="P89" s="352" t="s">
        <v>69</v>
      </c>
      <c r="Q89" s="352" t="s">
        <v>69</v>
      </c>
      <c r="R89" s="352" t="s">
        <v>69</v>
      </c>
      <c r="S89" s="352" t="s">
        <v>69</v>
      </c>
      <c r="T89" s="352">
        <v>2</v>
      </c>
      <c r="U89" s="352">
        <v>2</v>
      </c>
      <c r="V89" s="352">
        <v>2</v>
      </c>
      <c r="W89" s="352" t="s">
        <v>69</v>
      </c>
      <c r="X89" s="352" t="s">
        <v>69</v>
      </c>
      <c r="Y89" s="352" t="s">
        <v>69</v>
      </c>
      <c r="Z89" s="352" t="s">
        <v>69</v>
      </c>
      <c r="AA89" s="352" t="s">
        <v>69</v>
      </c>
      <c r="AB89" s="352" t="s">
        <v>69</v>
      </c>
      <c r="AC89" s="352" t="s">
        <v>69</v>
      </c>
      <c r="AD89" s="352" t="s">
        <v>69</v>
      </c>
      <c r="AE89" s="352" t="s">
        <v>69</v>
      </c>
      <c r="AF89" s="352" t="s">
        <v>69</v>
      </c>
      <c r="AG89" s="352" t="s">
        <v>69</v>
      </c>
      <c r="AH89" s="352" t="s">
        <v>69</v>
      </c>
      <c r="AI89" s="352" t="s">
        <v>69</v>
      </c>
      <c r="AJ89" s="352" t="s">
        <v>69</v>
      </c>
      <c r="AK89" s="352" t="s">
        <v>69</v>
      </c>
      <c r="AL89" s="352" t="s">
        <v>69</v>
      </c>
      <c r="AM89" s="352" t="s">
        <v>69</v>
      </c>
      <c r="AN89" s="352" t="s">
        <v>69</v>
      </c>
      <c r="AO89" s="352" t="s">
        <v>69</v>
      </c>
      <c r="AP89" s="352" t="s">
        <v>69</v>
      </c>
      <c r="AQ89" s="352" t="s">
        <v>69</v>
      </c>
      <c r="AR89" s="352" t="s">
        <v>69</v>
      </c>
      <c r="AS89" s="352" t="s">
        <v>69</v>
      </c>
      <c r="AT89" s="352" t="s">
        <v>69</v>
      </c>
      <c r="AU89" s="352" t="s">
        <v>69</v>
      </c>
      <c r="AV89" s="352" t="s">
        <v>69</v>
      </c>
      <c r="AW89" s="352" t="s">
        <v>69</v>
      </c>
      <c r="AX89" s="352" t="s">
        <v>69</v>
      </c>
      <c r="AY89" s="352" t="s">
        <v>69</v>
      </c>
      <c r="AZ89" s="352" t="s">
        <v>69</v>
      </c>
      <c r="BA89" s="352" t="s">
        <v>69</v>
      </c>
      <c r="BB89" s="352">
        <v>2</v>
      </c>
      <c r="BC89" s="352" t="s">
        <v>69</v>
      </c>
      <c r="BD89" s="352" t="s">
        <v>69</v>
      </c>
      <c r="BE89" s="352">
        <v>4</v>
      </c>
      <c r="BF89" s="352" t="s">
        <v>69</v>
      </c>
      <c r="BG89" s="352" t="s">
        <v>69</v>
      </c>
      <c r="BH89" s="352" t="s">
        <v>69</v>
      </c>
      <c r="BI89" s="352" t="s">
        <v>69</v>
      </c>
      <c r="BJ89" s="352" t="s">
        <v>69</v>
      </c>
      <c r="BK89" s="352" t="s">
        <v>69</v>
      </c>
      <c r="BL89" s="352" t="s">
        <v>69</v>
      </c>
      <c r="BM89" s="352" t="s">
        <v>69</v>
      </c>
      <c r="BN89" s="352" t="s">
        <v>69</v>
      </c>
      <c r="BO89" s="352" t="s">
        <v>69</v>
      </c>
      <c r="BP89" s="352" t="s">
        <v>69</v>
      </c>
      <c r="BQ89" s="352" t="s">
        <v>69</v>
      </c>
      <c r="BR89" s="352">
        <v>1</v>
      </c>
      <c r="BS89" s="352" t="s">
        <v>69</v>
      </c>
      <c r="BT89" s="352" t="s">
        <v>69</v>
      </c>
      <c r="BU89" s="352" t="s">
        <v>69</v>
      </c>
      <c r="BV89" s="352" t="s">
        <v>69</v>
      </c>
      <c r="BW89" s="352" t="s">
        <v>69</v>
      </c>
      <c r="BX89" s="352" t="s">
        <v>69</v>
      </c>
      <c r="BY89" s="352" t="s">
        <v>69</v>
      </c>
      <c r="BZ89" s="352">
        <v>2</v>
      </c>
      <c r="CA89" s="352" t="s">
        <v>69</v>
      </c>
      <c r="CB89" s="352" t="s">
        <v>69</v>
      </c>
      <c r="CC89" s="352" t="s">
        <v>69</v>
      </c>
      <c r="CD89" s="352" t="s">
        <v>69</v>
      </c>
      <c r="CE89" s="352" t="s">
        <v>69</v>
      </c>
      <c r="CF89" s="352" t="s">
        <v>69</v>
      </c>
      <c r="CG89" s="352" t="s">
        <v>69</v>
      </c>
      <c r="CH89" s="352" t="s">
        <v>69</v>
      </c>
      <c r="CI89" s="352" t="s">
        <v>69</v>
      </c>
      <c r="CJ89" s="352" t="s">
        <v>69</v>
      </c>
      <c r="CK89" s="352" t="s">
        <v>69</v>
      </c>
      <c r="CL89" s="352" t="s">
        <v>69</v>
      </c>
      <c r="CM89" s="352">
        <v>2</v>
      </c>
      <c r="CN89" s="352" t="s">
        <v>69</v>
      </c>
      <c r="CO89" s="352" t="s">
        <v>69</v>
      </c>
      <c r="CP89" s="352" t="s">
        <v>69</v>
      </c>
      <c r="CQ89" s="352" t="s">
        <v>69</v>
      </c>
      <c r="CR89" s="352" t="s">
        <v>69</v>
      </c>
      <c r="CS89" s="352" t="s">
        <v>69</v>
      </c>
      <c r="CT89" s="352" t="s">
        <v>69</v>
      </c>
      <c r="CU89" s="352" t="s">
        <v>69</v>
      </c>
      <c r="CV89" s="352" t="s">
        <v>69</v>
      </c>
      <c r="CW89" s="352" t="s">
        <v>69</v>
      </c>
      <c r="CX89" s="352" t="s">
        <v>69</v>
      </c>
      <c r="CY89" s="352" t="s">
        <v>69</v>
      </c>
      <c r="CZ89" s="352" t="s">
        <v>69</v>
      </c>
      <c r="DA89" s="352" t="s">
        <v>69</v>
      </c>
      <c r="DB89" s="352" t="s">
        <v>69</v>
      </c>
      <c r="DC89" s="352" t="s">
        <v>69</v>
      </c>
      <c r="DD89" s="352" t="s">
        <v>69</v>
      </c>
      <c r="DE89" s="352" t="s">
        <v>69</v>
      </c>
      <c r="DF89" s="352" t="s">
        <v>69</v>
      </c>
      <c r="DG89" s="352" t="s">
        <v>69</v>
      </c>
      <c r="DH89" s="352" t="s">
        <v>69</v>
      </c>
      <c r="DI89" s="352" t="s">
        <v>69</v>
      </c>
      <c r="DJ89" s="352" t="s">
        <v>69</v>
      </c>
      <c r="DK89" s="352" t="s">
        <v>69</v>
      </c>
      <c r="DL89" s="352" t="s">
        <v>69</v>
      </c>
      <c r="DM89" s="352" t="s">
        <v>69</v>
      </c>
      <c r="DN89" s="352" t="s">
        <v>69</v>
      </c>
      <c r="DO89" s="352" t="s">
        <v>69</v>
      </c>
      <c r="DP89" s="352" t="s">
        <v>69</v>
      </c>
      <c r="DQ89" s="352" t="s">
        <v>69</v>
      </c>
      <c r="DR89" s="352" t="s">
        <v>69</v>
      </c>
      <c r="DS89" s="352" t="s">
        <v>69</v>
      </c>
      <c r="DT89" s="352" t="s">
        <v>69</v>
      </c>
      <c r="DU89" s="352" t="s">
        <v>69</v>
      </c>
      <c r="DV89" s="387">
        <f t="shared" si="2"/>
        <v>0.14285714285714285</v>
      </c>
      <c r="DW89" s="388">
        <f t="shared" si="3"/>
        <v>0.25</v>
      </c>
      <c r="DX89" s="156" t="str">
        <f>VLOOKUP(B89,[1]Pointage!$A:$D,4,0)</f>
        <v>Mourad Saitali</v>
      </c>
    </row>
    <row r="90" spans="1:128" s="300" customFormat="1" ht="128.25" hidden="1" customHeight="1">
      <c r="A90" s="312">
        <v>75</v>
      </c>
      <c r="B90" s="318" t="s">
        <v>918</v>
      </c>
      <c r="C90" s="353" t="s">
        <v>1056</v>
      </c>
      <c r="D90" s="380">
        <v>45993</v>
      </c>
      <c r="E90" s="320" t="s">
        <v>217</v>
      </c>
      <c r="F90" s="382" t="s">
        <v>633</v>
      </c>
      <c r="G90" s="352">
        <v>2</v>
      </c>
      <c r="H90" s="352" t="s">
        <v>69</v>
      </c>
      <c r="I90" s="352">
        <v>2</v>
      </c>
      <c r="J90" s="352" t="s">
        <v>69</v>
      </c>
      <c r="K90" s="352" t="s">
        <v>69</v>
      </c>
      <c r="L90" s="352" t="s">
        <v>69</v>
      </c>
      <c r="M90" s="352" t="s">
        <v>69</v>
      </c>
      <c r="N90" s="352" t="s">
        <v>69</v>
      </c>
      <c r="O90" s="352" t="s">
        <v>69</v>
      </c>
      <c r="P90" s="352">
        <v>3</v>
      </c>
      <c r="Q90" s="352" t="s">
        <v>69</v>
      </c>
      <c r="R90" s="352" t="s">
        <v>69</v>
      </c>
      <c r="S90" s="352" t="s">
        <v>69</v>
      </c>
      <c r="T90" s="352" t="s">
        <v>69</v>
      </c>
      <c r="U90" s="352" t="s">
        <v>69</v>
      </c>
      <c r="V90" s="352" t="s">
        <v>69</v>
      </c>
      <c r="W90" s="352" t="s">
        <v>69</v>
      </c>
      <c r="X90" s="352" t="s">
        <v>69</v>
      </c>
      <c r="Y90" s="352" t="s">
        <v>69</v>
      </c>
      <c r="Z90" s="352" t="s">
        <v>69</v>
      </c>
      <c r="AA90" s="352" t="s">
        <v>69</v>
      </c>
      <c r="AB90" s="352" t="s">
        <v>69</v>
      </c>
      <c r="AC90" s="352" t="s">
        <v>69</v>
      </c>
      <c r="AD90" s="352" t="s">
        <v>69</v>
      </c>
      <c r="AE90" s="352" t="s">
        <v>69</v>
      </c>
      <c r="AF90" s="352" t="s">
        <v>69</v>
      </c>
      <c r="AG90" s="352" t="s">
        <v>69</v>
      </c>
      <c r="AH90" s="352" t="s">
        <v>69</v>
      </c>
      <c r="AI90" s="352">
        <v>4</v>
      </c>
      <c r="AJ90" s="352" t="s">
        <v>69</v>
      </c>
      <c r="AK90" s="352" t="s">
        <v>69</v>
      </c>
      <c r="AL90" s="352" t="s">
        <v>69</v>
      </c>
      <c r="AM90" s="352" t="s">
        <v>69</v>
      </c>
      <c r="AN90" s="352" t="s">
        <v>69</v>
      </c>
      <c r="AO90" s="352" t="s">
        <v>69</v>
      </c>
      <c r="AP90" s="352" t="s">
        <v>69</v>
      </c>
      <c r="AQ90" s="352" t="s">
        <v>69</v>
      </c>
      <c r="AR90" s="352" t="s">
        <v>69</v>
      </c>
      <c r="AS90" s="352">
        <v>3</v>
      </c>
      <c r="AT90" s="352">
        <v>3</v>
      </c>
      <c r="AU90" s="352" t="s">
        <v>69</v>
      </c>
      <c r="AV90" s="352">
        <v>3</v>
      </c>
      <c r="AW90" s="352">
        <v>3</v>
      </c>
      <c r="AX90" s="352" t="s">
        <v>69</v>
      </c>
      <c r="AY90" s="352">
        <v>3</v>
      </c>
      <c r="AZ90" s="352" t="s">
        <v>69</v>
      </c>
      <c r="BA90" s="352" t="s">
        <v>69</v>
      </c>
      <c r="BB90" s="352" t="s">
        <v>69</v>
      </c>
      <c r="BC90" s="352" t="s">
        <v>69</v>
      </c>
      <c r="BD90" s="352" t="s">
        <v>69</v>
      </c>
      <c r="BE90" s="352" t="s">
        <v>69</v>
      </c>
      <c r="BF90" s="352" t="s">
        <v>69</v>
      </c>
      <c r="BG90" s="352" t="s">
        <v>69</v>
      </c>
      <c r="BH90" s="352" t="s">
        <v>69</v>
      </c>
      <c r="BI90" s="352" t="s">
        <v>69</v>
      </c>
      <c r="BJ90" s="352" t="s">
        <v>69</v>
      </c>
      <c r="BK90" s="352" t="s">
        <v>69</v>
      </c>
      <c r="BL90" s="352" t="s">
        <v>69</v>
      </c>
      <c r="BM90" s="352" t="s">
        <v>69</v>
      </c>
      <c r="BN90" s="352" t="s">
        <v>69</v>
      </c>
      <c r="BO90" s="352" t="s">
        <v>69</v>
      </c>
      <c r="BP90" s="352" t="s">
        <v>69</v>
      </c>
      <c r="BQ90" s="352" t="s">
        <v>69</v>
      </c>
      <c r="BR90" s="352" t="s">
        <v>69</v>
      </c>
      <c r="BS90" s="352">
        <v>3</v>
      </c>
      <c r="BT90" s="352" t="s">
        <v>69</v>
      </c>
      <c r="BU90" s="352" t="s">
        <v>69</v>
      </c>
      <c r="BV90" s="352" t="s">
        <v>69</v>
      </c>
      <c r="BW90" s="352" t="s">
        <v>69</v>
      </c>
      <c r="BX90" s="352" t="s">
        <v>69</v>
      </c>
      <c r="BY90" s="352" t="s">
        <v>69</v>
      </c>
      <c r="BZ90" s="352" t="s">
        <v>69</v>
      </c>
      <c r="CA90" s="352" t="s">
        <v>69</v>
      </c>
      <c r="CB90" s="352" t="s">
        <v>69</v>
      </c>
      <c r="CC90" s="352" t="s">
        <v>69</v>
      </c>
      <c r="CD90" s="352" t="s">
        <v>69</v>
      </c>
      <c r="CE90" s="352" t="s">
        <v>69</v>
      </c>
      <c r="CF90" s="352" t="s">
        <v>69</v>
      </c>
      <c r="CG90" s="352" t="s">
        <v>69</v>
      </c>
      <c r="CH90" s="352" t="s">
        <v>69</v>
      </c>
      <c r="CI90" s="352" t="s">
        <v>69</v>
      </c>
      <c r="CJ90" s="352" t="s">
        <v>69</v>
      </c>
      <c r="CK90" s="352" t="s">
        <v>69</v>
      </c>
      <c r="CL90" s="352" t="s">
        <v>69</v>
      </c>
      <c r="CM90" s="352" t="s">
        <v>69</v>
      </c>
      <c r="CN90" s="352" t="s">
        <v>69</v>
      </c>
      <c r="CO90" s="352" t="s">
        <v>69</v>
      </c>
      <c r="CP90" s="352" t="s">
        <v>69</v>
      </c>
      <c r="CQ90" s="352" t="s">
        <v>69</v>
      </c>
      <c r="CR90" s="352" t="s">
        <v>69</v>
      </c>
      <c r="CS90" s="352" t="s">
        <v>69</v>
      </c>
      <c r="CT90" s="352" t="s">
        <v>69</v>
      </c>
      <c r="CU90" s="352" t="s">
        <v>69</v>
      </c>
      <c r="CV90" s="352" t="s">
        <v>69</v>
      </c>
      <c r="CW90" s="352" t="s">
        <v>69</v>
      </c>
      <c r="CX90" s="352">
        <v>1</v>
      </c>
      <c r="CY90" s="352" t="s">
        <v>69</v>
      </c>
      <c r="CZ90" s="352" t="s">
        <v>69</v>
      </c>
      <c r="DA90" s="352" t="s">
        <v>69</v>
      </c>
      <c r="DB90" s="352" t="s">
        <v>69</v>
      </c>
      <c r="DC90" s="352" t="s">
        <v>69</v>
      </c>
      <c r="DD90" s="352" t="s">
        <v>69</v>
      </c>
      <c r="DE90" s="352" t="s">
        <v>69</v>
      </c>
      <c r="DF90" s="352" t="s">
        <v>69</v>
      </c>
      <c r="DG90" s="352" t="s">
        <v>69</v>
      </c>
      <c r="DH90" s="352" t="s">
        <v>69</v>
      </c>
      <c r="DI90" s="352" t="s">
        <v>69</v>
      </c>
      <c r="DJ90" s="352" t="s">
        <v>69</v>
      </c>
      <c r="DK90" s="352" t="s">
        <v>69</v>
      </c>
      <c r="DL90" s="352" t="s">
        <v>69</v>
      </c>
      <c r="DM90" s="352">
        <v>3</v>
      </c>
      <c r="DN90" s="352" t="s">
        <v>69</v>
      </c>
      <c r="DO90" s="352" t="s">
        <v>69</v>
      </c>
      <c r="DP90" s="352" t="s">
        <v>69</v>
      </c>
      <c r="DQ90" s="352" t="s">
        <v>69</v>
      </c>
      <c r="DR90" s="352" t="s">
        <v>69</v>
      </c>
      <c r="DS90" s="352" t="s">
        <v>69</v>
      </c>
      <c r="DT90" s="352" t="s">
        <v>69</v>
      </c>
      <c r="DU90" s="352" t="s">
        <v>69</v>
      </c>
      <c r="DV90" s="387">
        <f t="shared" si="2"/>
        <v>0.19047619047619047</v>
      </c>
      <c r="DW90" s="388">
        <f t="shared" si="3"/>
        <v>0.81818181818181823</v>
      </c>
      <c r="DX90" s="156" t="str">
        <f>VLOOKUP(B90,[1]Pointage!$A:$D,4,0)</f>
        <v>Mourad Saitali</v>
      </c>
    </row>
    <row r="91" spans="1:128" s="300" customFormat="1" ht="128.25" hidden="1" customHeight="1">
      <c r="A91" s="312">
        <v>76</v>
      </c>
      <c r="B91" s="318" t="s">
        <v>971</v>
      </c>
      <c r="C91" s="384" t="s">
        <v>1057</v>
      </c>
      <c r="D91" s="376">
        <v>46006</v>
      </c>
      <c r="E91" s="320" t="s">
        <v>784</v>
      </c>
      <c r="F91" s="382" t="s">
        <v>633</v>
      </c>
      <c r="G91" s="352">
        <v>3</v>
      </c>
      <c r="H91" s="352" t="s">
        <v>69</v>
      </c>
      <c r="I91" s="352">
        <v>2</v>
      </c>
      <c r="J91" s="352" t="s">
        <v>69</v>
      </c>
      <c r="K91" s="352" t="s">
        <v>69</v>
      </c>
      <c r="L91" s="352">
        <v>1</v>
      </c>
      <c r="M91" s="352" t="s">
        <v>69</v>
      </c>
      <c r="N91" s="352" t="s">
        <v>69</v>
      </c>
      <c r="O91" s="352" t="s">
        <v>69</v>
      </c>
      <c r="P91" s="352">
        <v>2</v>
      </c>
      <c r="Q91" s="352" t="s">
        <v>69</v>
      </c>
      <c r="R91" s="352" t="s">
        <v>69</v>
      </c>
      <c r="S91" s="352" t="s">
        <v>69</v>
      </c>
      <c r="T91" s="352" t="s">
        <v>69</v>
      </c>
      <c r="U91" s="352" t="s">
        <v>69</v>
      </c>
      <c r="V91" s="352" t="s">
        <v>69</v>
      </c>
      <c r="W91" s="352" t="s">
        <v>69</v>
      </c>
      <c r="X91" s="352" t="s">
        <v>69</v>
      </c>
      <c r="Y91" s="352" t="s">
        <v>69</v>
      </c>
      <c r="Z91" s="352" t="s">
        <v>69</v>
      </c>
      <c r="AA91" s="352" t="s">
        <v>69</v>
      </c>
      <c r="AB91" s="352" t="s">
        <v>69</v>
      </c>
      <c r="AC91" s="352" t="s">
        <v>69</v>
      </c>
      <c r="AD91" s="352" t="s">
        <v>69</v>
      </c>
      <c r="AE91" s="352" t="s">
        <v>69</v>
      </c>
      <c r="AF91" s="352" t="s">
        <v>69</v>
      </c>
      <c r="AG91" s="352" t="s">
        <v>69</v>
      </c>
      <c r="AH91" s="352" t="s">
        <v>69</v>
      </c>
      <c r="AI91" s="352" t="s">
        <v>69</v>
      </c>
      <c r="AJ91" s="352" t="s">
        <v>69</v>
      </c>
      <c r="AK91" s="352" t="s">
        <v>69</v>
      </c>
      <c r="AL91" s="352" t="s">
        <v>69</v>
      </c>
      <c r="AM91" s="352" t="s">
        <v>69</v>
      </c>
      <c r="AN91" s="352" t="s">
        <v>69</v>
      </c>
      <c r="AO91" s="352" t="s">
        <v>69</v>
      </c>
      <c r="AP91" s="352" t="s">
        <v>69</v>
      </c>
      <c r="AQ91" s="352" t="s">
        <v>69</v>
      </c>
      <c r="AR91" s="352" t="s">
        <v>69</v>
      </c>
      <c r="AS91" s="352">
        <v>2</v>
      </c>
      <c r="AT91" s="352" t="s">
        <v>69</v>
      </c>
      <c r="AU91" s="352" t="s">
        <v>69</v>
      </c>
      <c r="AV91" s="352">
        <v>3</v>
      </c>
      <c r="AW91" s="352">
        <v>3</v>
      </c>
      <c r="AX91" s="352" t="s">
        <v>69</v>
      </c>
      <c r="AY91" s="352">
        <v>3</v>
      </c>
      <c r="AZ91" s="352" t="s">
        <v>69</v>
      </c>
      <c r="BA91" s="352" t="s">
        <v>69</v>
      </c>
      <c r="BB91" s="352" t="s">
        <v>69</v>
      </c>
      <c r="BC91" s="352" t="s">
        <v>69</v>
      </c>
      <c r="BD91" s="352" t="s">
        <v>69</v>
      </c>
      <c r="BE91" s="352" t="s">
        <v>69</v>
      </c>
      <c r="BF91" s="352" t="s">
        <v>69</v>
      </c>
      <c r="BG91" s="352" t="s">
        <v>69</v>
      </c>
      <c r="BH91" s="352" t="s">
        <v>69</v>
      </c>
      <c r="BI91" s="352" t="s">
        <v>69</v>
      </c>
      <c r="BJ91" s="352" t="s">
        <v>69</v>
      </c>
      <c r="BK91" s="352" t="s">
        <v>69</v>
      </c>
      <c r="BL91" s="352" t="s">
        <v>69</v>
      </c>
      <c r="BM91" s="352" t="s">
        <v>69</v>
      </c>
      <c r="BN91" s="352" t="s">
        <v>69</v>
      </c>
      <c r="BO91" s="352" t="s">
        <v>69</v>
      </c>
      <c r="BP91" s="352" t="s">
        <v>69</v>
      </c>
      <c r="BQ91" s="352" t="s">
        <v>69</v>
      </c>
      <c r="BR91" s="352" t="s">
        <v>69</v>
      </c>
      <c r="BS91" s="352">
        <v>3</v>
      </c>
      <c r="BT91" s="352" t="s">
        <v>69</v>
      </c>
      <c r="BU91" s="352">
        <v>4</v>
      </c>
      <c r="BV91" s="352" t="s">
        <v>69</v>
      </c>
      <c r="BW91" s="352" t="s">
        <v>69</v>
      </c>
      <c r="BX91" s="352" t="s">
        <v>69</v>
      </c>
      <c r="BY91" s="352" t="s">
        <v>69</v>
      </c>
      <c r="BZ91" s="352" t="s">
        <v>69</v>
      </c>
      <c r="CA91" s="352" t="s">
        <v>69</v>
      </c>
      <c r="CB91" s="352" t="s">
        <v>69</v>
      </c>
      <c r="CC91" s="352" t="s">
        <v>69</v>
      </c>
      <c r="CD91" s="352" t="s">
        <v>69</v>
      </c>
      <c r="CE91" s="352" t="s">
        <v>69</v>
      </c>
      <c r="CF91" s="352" t="s">
        <v>69</v>
      </c>
      <c r="CG91" s="352" t="s">
        <v>69</v>
      </c>
      <c r="CH91" s="352" t="s">
        <v>69</v>
      </c>
      <c r="CI91" s="352">
        <v>3</v>
      </c>
      <c r="CJ91" s="352">
        <v>3</v>
      </c>
      <c r="CK91" s="352">
        <v>3</v>
      </c>
      <c r="CL91" s="352">
        <v>2</v>
      </c>
      <c r="CM91" s="352" t="s">
        <v>69</v>
      </c>
      <c r="CN91" s="352" t="s">
        <v>69</v>
      </c>
      <c r="CO91" s="352" t="s">
        <v>69</v>
      </c>
      <c r="CP91" s="352" t="s">
        <v>69</v>
      </c>
      <c r="CQ91" s="352" t="s">
        <v>69</v>
      </c>
      <c r="CR91" s="352" t="s">
        <v>69</v>
      </c>
      <c r="CS91" s="352" t="s">
        <v>69</v>
      </c>
      <c r="CT91" s="352" t="s">
        <v>69</v>
      </c>
      <c r="CU91" s="352" t="s">
        <v>69</v>
      </c>
      <c r="CV91" s="352" t="s">
        <v>69</v>
      </c>
      <c r="CW91" s="352" t="s">
        <v>69</v>
      </c>
      <c r="CX91" s="352" t="s">
        <v>69</v>
      </c>
      <c r="CY91" s="352" t="s">
        <v>69</v>
      </c>
      <c r="CZ91" s="352" t="s">
        <v>69</v>
      </c>
      <c r="DA91" s="352" t="s">
        <v>69</v>
      </c>
      <c r="DB91" s="352" t="s">
        <v>69</v>
      </c>
      <c r="DC91" s="352" t="s">
        <v>69</v>
      </c>
      <c r="DD91" s="352" t="s">
        <v>69</v>
      </c>
      <c r="DE91" s="352" t="s">
        <v>69</v>
      </c>
      <c r="DF91" s="352">
        <v>3</v>
      </c>
      <c r="DG91" s="352" t="s">
        <v>69</v>
      </c>
      <c r="DH91" s="352" t="s">
        <v>69</v>
      </c>
      <c r="DI91" s="352" t="s">
        <v>69</v>
      </c>
      <c r="DJ91" s="352" t="s">
        <v>69</v>
      </c>
      <c r="DK91" s="352" t="s">
        <v>69</v>
      </c>
      <c r="DL91" s="352" t="s">
        <v>69</v>
      </c>
      <c r="DM91" s="352" t="s">
        <v>69</v>
      </c>
      <c r="DN91" s="352" t="s">
        <v>69</v>
      </c>
      <c r="DO91" s="352" t="s">
        <v>69</v>
      </c>
      <c r="DP91" s="352" t="s">
        <v>69</v>
      </c>
      <c r="DQ91" s="352" t="s">
        <v>69</v>
      </c>
      <c r="DR91" s="352" t="s">
        <v>69</v>
      </c>
      <c r="DS91" s="352" t="s">
        <v>69</v>
      </c>
      <c r="DT91" s="352" t="s">
        <v>69</v>
      </c>
      <c r="DU91" s="352" t="s">
        <v>69</v>
      </c>
      <c r="DV91" s="387">
        <f t="shared" si="2"/>
        <v>0.23809523809523808</v>
      </c>
      <c r="DW91" s="388">
        <f t="shared" si="3"/>
        <v>0.7142857142857143</v>
      </c>
      <c r="DX91" s="156" t="e">
        <f>VLOOKUP(B91,[1]Pointage!$A:$D,4,0)</f>
        <v>#N/A</v>
      </c>
    </row>
    <row r="92" spans="1:128" s="300" customFormat="1" ht="128.25" hidden="1" customHeight="1">
      <c r="A92" s="312">
        <v>77</v>
      </c>
      <c r="B92" s="318" t="s">
        <v>987</v>
      </c>
      <c r="C92" s="384" t="s">
        <v>1138</v>
      </c>
      <c r="D92" s="376">
        <v>46007</v>
      </c>
      <c r="E92" s="320" t="s">
        <v>217</v>
      </c>
      <c r="F92" s="382" t="s">
        <v>633</v>
      </c>
      <c r="G92" s="352" t="s">
        <v>69</v>
      </c>
      <c r="H92" s="352" t="s">
        <v>69</v>
      </c>
      <c r="I92" s="352" t="s">
        <v>69</v>
      </c>
      <c r="J92" s="352" t="s">
        <v>69</v>
      </c>
      <c r="K92" s="352" t="s">
        <v>69</v>
      </c>
      <c r="L92" s="352">
        <v>2</v>
      </c>
      <c r="M92" s="352" t="s">
        <v>69</v>
      </c>
      <c r="N92" s="352">
        <v>4</v>
      </c>
      <c r="O92" s="352">
        <v>4</v>
      </c>
      <c r="P92" s="352" t="s">
        <v>69</v>
      </c>
      <c r="Q92" s="352" t="s">
        <v>69</v>
      </c>
      <c r="R92" s="352" t="s">
        <v>69</v>
      </c>
      <c r="S92" s="352">
        <v>3</v>
      </c>
      <c r="T92" s="352" t="s">
        <v>69</v>
      </c>
      <c r="U92" s="352" t="s">
        <v>69</v>
      </c>
      <c r="V92" s="352" t="s">
        <v>69</v>
      </c>
      <c r="W92" s="352" t="s">
        <v>69</v>
      </c>
      <c r="X92" s="352" t="s">
        <v>69</v>
      </c>
      <c r="Y92" s="352" t="s">
        <v>69</v>
      </c>
      <c r="Z92" s="352" t="s">
        <v>69</v>
      </c>
      <c r="AA92" s="352" t="s">
        <v>69</v>
      </c>
      <c r="AB92" s="352">
        <v>4</v>
      </c>
      <c r="AC92" s="352">
        <v>4</v>
      </c>
      <c r="AD92" s="352" t="s">
        <v>69</v>
      </c>
      <c r="AE92" s="352" t="s">
        <v>69</v>
      </c>
      <c r="AF92" s="352" t="s">
        <v>69</v>
      </c>
      <c r="AG92" s="352" t="s">
        <v>69</v>
      </c>
      <c r="AH92" s="352" t="s">
        <v>69</v>
      </c>
      <c r="AI92" s="352" t="s">
        <v>69</v>
      </c>
      <c r="AJ92" s="352" t="s">
        <v>69</v>
      </c>
      <c r="AK92" s="352" t="s">
        <v>69</v>
      </c>
      <c r="AL92" s="352" t="s">
        <v>69</v>
      </c>
      <c r="AM92" s="352" t="s">
        <v>69</v>
      </c>
      <c r="AN92" s="352" t="s">
        <v>69</v>
      </c>
      <c r="AO92" s="352" t="s">
        <v>69</v>
      </c>
      <c r="AP92" s="352" t="s">
        <v>69</v>
      </c>
      <c r="AQ92" s="352" t="s">
        <v>69</v>
      </c>
      <c r="AR92" s="352" t="s">
        <v>69</v>
      </c>
      <c r="AS92" s="352" t="s">
        <v>69</v>
      </c>
      <c r="AT92" s="352" t="s">
        <v>69</v>
      </c>
      <c r="AU92" s="352" t="s">
        <v>69</v>
      </c>
      <c r="AV92" s="352" t="s">
        <v>69</v>
      </c>
      <c r="AW92" s="352" t="s">
        <v>69</v>
      </c>
      <c r="AX92" s="352" t="s">
        <v>69</v>
      </c>
      <c r="AY92" s="352" t="s">
        <v>69</v>
      </c>
      <c r="AZ92" s="352" t="s">
        <v>69</v>
      </c>
      <c r="BA92" s="352" t="s">
        <v>69</v>
      </c>
      <c r="BB92" s="352" t="s">
        <v>69</v>
      </c>
      <c r="BC92" s="352" t="s">
        <v>69</v>
      </c>
      <c r="BD92" s="352" t="s">
        <v>69</v>
      </c>
      <c r="BE92" s="352" t="s">
        <v>69</v>
      </c>
      <c r="BF92" s="352" t="s">
        <v>69</v>
      </c>
      <c r="BG92" s="352" t="s">
        <v>69</v>
      </c>
      <c r="BH92" s="352" t="s">
        <v>69</v>
      </c>
      <c r="BI92" s="352" t="s">
        <v>69</v>
      </c>
      <c r="BJ92" s="352" t="s">
        <v>69</v>
      </c>
      <c r="BK92" s="352" t="s">
        <v>69</v>
      </c>
      <c r="BL92" s="352" t="s">
        <v>69</v>
      </c>
      <c r="BM92" s="352" t="s">
        <v>69</v>
      </c>
      <c r="BN92" s="352" t="s">
        <v>69</v>
      </c>
      <c r="BO92" s="352" t="s">
        <v>69</v>
      </c>
      <c r="BP92" s="352" t="s">
        <v>69</v>
      </c>
      <c r="BQ92" s="352" t="s">
        <v>69</v>
      </c>
      <c r="BR92" s="352" t="s">
        <v>69</v>
      </c>
      <c r="BS92" s="352" t="s">
        <v>69</v>
      </c>
      <c r="BT92" s="352" t="s">
        <v>69</v>
      </c>
      <c r="BU92" s="352" t="s">
        <v>69</v>
      </c>
      <c r="BV92" s="352" t="s">
        <v>69</v>
      </c>
      <c r="BW92" s="352" t="s">
        <v>69</v>
      </c>
      <c r="BX92" s="352" t="s">
        <v>69</v>
      </c>
      <c r="BY92" s="352" t="s">
        <v>69</v>
      </c>
      <c r="BZ92" s="352" t="s">
        <v>69</v>
      </c>
      <c r="CA92" s="352" t="s">
        <v>69</v>
      </c>
      <c r="CB92" s="352" t="s">
        <v>69</v>
      </c>
      <c r="CC92" s="352" t="s">
        <v>69</v>
      </c>
      <c r="CD92" s="352" t="s">
        <v>69</v>
      </c>
      <c r="CE92" s="352" t="s">
        <v>69</v>
      </c>
      <c r="CF92" s="352" t="s">
        <v>69</v>
      </c>
      <c r="CG92" s="352">
        <v>3</v>
      </c>
      <c r="CH92" s="352" t="s">
        <v>69</v>
      </c>
      <c r="CI92" s="352" t="s">
        <v>69</v>
      </c>
      <c r="CJ92" s="352" t="s">
        <v>69</v>
      </c>
      <c r="CK92" s="352" t="s">
        <v>69</v>
      </c>
      <c r="CL92" s="352" t="s">
        <v>69</v>
      </c>
      <c r="CM92" s="352" t="s">
        <v>69</v>
      </c>
      <c r="CN92" s="352" t="s">
        <v>69</v>
      </c>
      <c r="CO92" s="352" t="s">
        <v>69</v>
      </c>
      <c r="CP92" s="352" t="s">
        <v>69</v>
      </c>
      <c r="CQ92" s="352" t="s">
        <v>69</v>
      </c>
      <c r="CR92" s="352" t="s">
        <v>69</v>
      </c>
      <c r="CS92" s="352" t="s">
        <v>69</v>
      </c>
      <c r="CT92" s="352" t="s">
        <v>69</v>
      </c>
      <c r="CU92" s="352">
        <v>4</v>
      </c>
      <c r="CV92" s="352" t="s">
        <v>69</v>
      </c>
      <c r="CW92" s="352" t="s">
        <v>69</v>
      </c>
      <c r="CX92" s="352">
        <v>1</v>
      </c>
      <c r="CY92" s="352">
        <v>4</v>
      </c>
      <c r="CZ92" s="352" t="s">
        <v>69</v>
      </c>
      <c r="DA92" s="352" t="s">
        <v>69</v>
      </c>
      <c r="DB92" s="352" t="s">
        <v>69</v>
      </c>
      <c r="DC92" s="352" t="s">
        <v>69</v>
      </c>
      <c r="DD92" s="352" t="s">
        <v>69</v>
      </c>
      <c r="DE92" s="352" t="s">
        <v>69</v>
      </c>
      <c r="DF92" s="352" t="s">
        <v>69</v>
      </c>
      <c r="DG92" s="352" t="s">
        <v>69</v>
      </c>
      <c r="DH92" s="352" t="s">
        <v>69</v>
      </c>
      <c r="DI92" s="352" t="s">
        <v>69</v>
      </c>
      <c r="DJ92" s="352" t="s">
        <v>69</v>
      </c>
      <c r="DK92" s="352" t="s">
        <v>69</v>
      </c>
      <c r="DL92" s="352" t="s">
        <v>69</v>
      </c>
      <c r="DM92" s="352" t="s">
        <v>69</v>
      </c>
      <c r="DN92" s="352" t="s">
        <v>69</v>
      </c>
      <c r="DO92" s="352" t="s">
        <v>69</v>
      </c>
      <c r="DP92" s="352" t="s">
        <v>69</v>
      </c>
      <c r="DQ92" s="352" t="s">
        <v>69</v>
      </c>
      <c r="DR92" s="352" t="s">
        <v>69</v>
      </c>
      <c r="DS92" s="352" t="s">
        <v>69</v>
      </c>
      <c r="DT92" s="352" t="s">
        <v>69</v>
      </c>
      <c r="DU92" s="352" t="s">
        <v>69</v>
      </c>
      <c r="DV92" s="387">
        <f t="shared" si="2"/>
        <v>0.15873015873015872</v>
      </c>
      <c r="DW92" s="388">
        <f t="shared" si="3"/>
        <v>0.88888888888888884</v>
      </c>
      <c r="DX92" s="156" t="str">
        <f>VLOOKUP(B92,[1]Pointage!$A:$D,4,0)</f>
        <v>Mourad Saitali</v>
      </c>
    </row>
    <row r="93" spans="1:128" s="156" customFormat="1" ht="128.25" hidden="1" customHeight="1">
      <c r="A93" s="312">
        <v>78</v>
      </c>
      <c r="B93" s="318" t="s">
        <v>915</v>
      </c>
      <c r="C93" s="384" t="s">
        <v>916</v>
      </c>
      <c r="D93" s="376">
        <v>45964</v>
      </c>
      <c r="E93" s="320" t="s">
        <v>215</v>
      </c>
      <c r="F93" s="382" t="s">
        <v>633</v>
      </c>
      <c r="G93" s="352" t="s">
        <v>69</v>
      </c>
      <c r="H93" s="352" t="s">
        <v>69</v>
      </c>
      <c r="I93" s="352" t="s">
        <v>69</v>
      </c>
      <c r="J93" s="352" t="s">
        <v>69</v>
      </c>
      <c r="K93" s="352" t="s">
        <v>69</v>
      </c>
      <c r="L93" s="352" t="s">
        <v>69</v>
      </c>
      <c r="M93" s="352" t="s">
        <v>69</v>
      </c>
      <c r="N93" s="352" t="s">
        <v>69</v>
      </c>
      <c r="O93" s="352" t="s">
        <v>69</v>
      </c>
      <c r="P93" s="352" t="s">
        <v>69</v>
      </c>
      <c r="Q93" s="352" t="s">
        <v>69</v>
      </c>
      <c r="R93" s="352" t="s">
        <v>69</v>
      </c>
      <c r="S93" s="352" t="s">
        <v>69</v>
      </c>
      <c r="T93" s="352" t="s">
        <v>69</v>
      </c>
      <c r="U93" s="352" t="s">
        <v>69</v>
      </c>
      <c r="V93" s="352" t="s">
        <v>69</v>
      </c>
      <c r="W93" s="352" t="s">
        <v>69</v>
      </c>
      <c r="X93" s="352" t="s">
        <v>69</v>
      </c>
      <c r="Y93" s="352" t="s">
        <v>69</v>
      </c>
      <c r="Z93" s="352" t="s">
        <v>69</v>
      </c>
      <c r="AA93" s="352" t="s">
        <v>69</v>
      </c>
      <c r="AB93" s="352" t="s">
        <v>69</v>
      </c>
      <c r="AC93" s="352" t="s">
        <v>69</v>
      </c>
      <c r="AD93" s="352" t="s">
        <v>69</v>
      </c>
      <c r="AE93" s="352" t="s">
        <v>69</v>
      </c>
      <c r="AF93" s="352" t="s">
        <v>69</v>
      </c>
      <c r="AG93" s="352" t="s">
        <v>69</v>
      </c>
      <c r="AH93" s="352" t="s">
        <v>69</v>
      </c>
      <c r="AI93" s="352" t="s">
        <v>69</v>
      </c>
      <c r="AJ93" s="352" t="s">
        <v>69</v>
      </c>
      <c r="AK93" s="352" t="s">
        <v>69</v>
      </c>
      <c r="AL93" s="352" t="s">
        <v>69</v>
      </c>
      <c r="AM93" s="352" t="s">
        <v>69</v>
      </c>
      <c r="AN93" s="352" t="s">
        <v>69</v>
      </c>
      <c r="AO93" s="352" t="s">
        <v>69</v>
      </c>
      <c r="AP93" s="352" t="s">
        <v>69</v>
      </c>
      <c r="AQ93" s="352" t="s">
        <v>69</v>
      </c>
      <c r="AR93" s="352" t="s">
        <v>69</v>
      </c>
      <c r="AS93" s="352" t="s">
        <v>69</v>
      </c>
      <c r="AT93" s="352" t="s">
        <v>69</v>
      </c>
      <c r="AU93" s="352" t="s">
        <v>69</v>
      </c>
      <c r="AV93" s="352" t="s">
        <v>69</v>
      </c>
      <c r="AW93" s="352" t="s">
        <v>69</v>
      </c>
      <c r="AX93" s="352" t="s">
        <v>69</v>
      </c>
      <c r="AY93" s="352" t="s">
        <v>69</v>
      </c>
      <c r="AZ93" s="352" t="s">
        <v>69</v>
      </c>
      <c r="BA93" s="352" t="s">
        <v>69</v>
      </c>
      <c r="BB93" s="352" t="s">
        <v>69</v>
      </c>
      <c r="BC93" s="352" t="s">
        <v>69</v>
      </c>
      <c r="BD93" s="352" t="s">
        <v>69</v>
      </c>
      <c r="BE93" s="352" t="s">
        <v>69</v>
      </c>
      <c r="BF93" s="352" t="s">
        <v>69</v>
      </c>
      <c r="BG93" s="352" t="s">
        <v>69</v>
      </c>
      <c r="BH93" s="352" t="s">
        <v>69</v>
      </c>
      <c r="BI93" s="352" t="s">
        <v>69</v>
      </c>
      <c r="BJ93" s="352" t="s">
        <v>69</v>
      </c>
      <c r="BK93" s="352" t="s">
        <v>69</v>
      </c>
      <c r="BL93" s="352" t="s">
        <v>69</v>
      </c>
      <c r="BM93" s="352" t="s">
        <v>69</v>
      </c>
      <c r="BN93" s="352" t="s">
        <v>69</v>
      </c>
      <c r="BO93" s="352" t="s">
        <v>69</v>
      </c>
      <c r="BP93" s="352" t="s">
        <v>69</v>
      </c>
      <c r="BQ93" s="352" t="s">
        <v>69</v>
      </c>
      <c r="BR93" s="352" t="s">
        <v>69</v>
      </c>
      <c r="BS93" s="352" t="s">
        <v>69</v>
      </c>
      <c r="BT93" s="352" t="s">
        <v>69</v>
      </c>
      <c r="BU93" s="352" t="s">
        <v>69</v>
      </c>
      <c r="BV93" s="352" t="s">
        <v>69</v>
      </c>
      <c r="BW93" s="352" t="s">
        <v>69</v>
      </c>
      <c r="BX93" s="352" t="s">
        <v>69</v>
      </c>
      <c r="BY93" s="352" t="s">
        <v>69</v>
      </c>
      <c r="BZ93" s="352" t="s">
        <v>69</v>
      </c>
      <c r="CA93" s="352" t="s">
        <v>69</v>
      </c>
      <c r="CB93" s="352" t="s">
        <v>69</v>
      </c>
      <c r="CC93" s="352" t="s">
        <v>69</v>
      </c>
      <c r="CD93" s="352" t="s">
        <v>69</v>
      </c>
      <c r="CE93" s="352" t="s">
        <v>69</v>
      </c>
      <c r="CF93" s="352" t="s">
        <v>69</v>
      </c>
      <c r="CG93" s="352" t="s">
        <v>69</v>
      </c>
      <c r="CH93" s="352" t="s">
        <v>69</v>
      </c>
      <c r="CI93" s="352" t="s">
        <v>69</v>
      </c>
      <c r="CJ93" s="352" t="s">
        <v>69</v>
      </c>
      <c r="CK93" s="352" t="s">
        <v>69</v>
      </c>
      <c r="CL93" s="352" t="s">
        <v>69</v>
      </c>
      <c r="CM93" s="352">
        <v>2</v>
      </c>
      <c r="CN93" s="352">
        <v>2</v>
      </c>
      <c r="CO93" s="352" t="s">
        <v>69</v>
      </c>
      <c r="CP93" s="352">
        <v>2</v>
      </c>
      <c r="CQ93" s="352" t="s">
        <v>69</v>
      </c>
      <c r="CR93" s="352" t="s">
        <v>69</v>
      </c>
      <c r="CS93" s="352" t="s">
        <v>69</v>
      </c>
      <c r="CT93" s="352" t="s">
        <v>69</v>
      </c>
      <c r="CU93" s="352" t="s">
        <v>69</v>
      </c>
      <c r="CV93" s="352" t="s">
        <v>69</v>
      </c>
      <c r="CW93" s="352" t="s">
        <v>69</v>
      </c>
      <c r="CX93" s="352" t="s">
        <v>69</v>
      </c>
      <c r="CY93" s="352" t="s">
        <v>69</v>
      </c>
      <c r="CZ93" s="352" t="s">
        <v>69</v>
      </c>
      <c r="DA93" s="352" t="s">
        <v>69</v>
      </c>
      <c r="DB93" s="352" t="s">
        <v>69</v>
      </c>
      <c r="DC93" s="352" t="s">
        <v>69</v>
      </c>
      <c r="DD93" s="352" t="s">
        <v>69</v>
      </c>
      <c r="DE93" s="352" t="s">
        <v>69</v>
      </c>
      <c r="DF93" s="352" t="s">
        <v>69</v>
      </c>
      <c r="DG93" s="352" t="s">
        <v>69</v>
      </c>
      <c r="DH93" s="352" t="s">
        <v>69</v>
      </c>
      <c r="DI93" s="352" t="s">
        <v>69</v>
      </c>
      <c r="DJ93" s="352" t="s">
        <v>69</v>
      </c>
      <c r="DK93" s="352" t="s">
        <v>69</v>
      </c>
      <c r="DL93" s="352" t="s">
        <v>69</v>
      </c>
      <c r="DM93" s="352" t="s">
        <v>69</v>
      </c>
      <c r="DN93" s="352" t="s">
        <v>69</v>
      </c>
      <c r="DO93" s="352" t="s">
        <v>69</v>
      </c>
      <c r="DP93" s="352" t="s">
        <v>69</v>
      </c>
      <c r="DQ93" s="352" t="s">
        <v>69</v>
      </c>
      <c r="DR93" s="352" t="s">
        <v>69</v>
      </c>
      <c r="DS93" s="352" t="s">
        <v>69</v>
      </c>
      <c r="DT93" s="352" t="s">
        <v>69</v>
      </c>
      <c r="DU93" s="352" t="s">
        <v>69</v>
      </c>
      <c r="DV93" s="387">
        <f t="shared" si="2"/>
        <v>4.7619047619047616E-2</v>
      </c>
      <c r="DW93" s="388">
        <f t="shared" si="3"/>
        <v>0</v>
      </c>
      <c r="DX93" s="156" t="str">
        <f>VLOOKUP(B93,[1]Pointage!$A:$D,4,0)</f>
        <v>Mourad Saitali</v>
      </c>
    </row>
    <row r="94" spans="1:128" s="156" customFormat="1" ht="128.25" hidden="1" customHeight="1">
      <c r="A94" s="312">
        <v>79</v>
      </c>
      <c r="B94" s="318" t="s">
        <v>989</v>
      </c>
      <c r="C94" s="384" t="s">
        <v>990</v>
      </c>
      <c r="D94" s="376">
        <v>46006</v>
      </c>
      <c r="E94" s="320" t="s">
        <v>216</v>
      </c>
      <c r="F94" s="382" t="s">
        <v>633</v>
      </c>
      <c r="G94" s="352" t="s">
        <v>69</v>
      </c>
      <c r="H94" s="352" t="s">
        <v>69</v>
      </c>
      <c r="I94" s="352" t="s">
        <v>69</v>
      </c>
      <c r="J94" s="352" t="s">
        <v>69</v>
      </c>
      <c r="K94" s="352" t="s">
        <v>69</v>
      </c>
      <c r="L94" s="352" t="s">
        <v>69</v>
      </c>
      <c r="M94" s="352" t="s">
        <v>69</v>
      </c>
      <c r="N94" s="352" t="s">
        <v>69</v>
      </c>
      <c r="O94" s="352" t="s">
        <v>69</v>
      </c>
      <c r="P94" s="352" t="s">
        <v>69</v>
      </c>
      <c r="Q94" s="352" t="s">
        <v>69</v>
      </c>
      <c r="R94" s="352" t="s">
        <v>69</v>
      </c>
      <c r="S94" s="352" t="s">
        <v>69</v>
      </c>
      <c r="T94" s="352" t="s">
        <v>69</v>
      </c>
      <c r="U94" s="352" t="s">
        <v>69</v>
      </c>
      <c r="V94" s="352" t="s">
        <v>69</v>
      </c>
      <c r="W94" s="352" t="s">
        <v>69</v>
      </c>
      <c r="X94" s="352" t="s">
        <v>69</v>
      </c>
      <c r="Y94" s="352" t="s">
        <v>69</v>
      </c>
      <c r="Z94" s="352" t="s">
        <v>69</v>
      </c>
      <c r="AA94" s="352" t="s">
        <v>69</v>
      </c>
      <c r="AB94" s="352" t="s">
        <v>69</v>
      </c>
      <c r="AC94" s="352" t="s">
        <v>69</v>
      </c>
      <c r="AD94" s="352" t="s">
        <v>69</v>
      </c>
      <c r="AE94" s="352" t="s">
        <v>69</v>
      </c>
      <c r="AF94" s="352" t="s">
        <v>69</v>
      </c>
      <c r="AG94" s="352" t="s">
        <v>69</v>
      </c>
      <c r="AH94" s="352" t="s">
        <v>69</v>
      </c>
      <c r="AI94" s="352" t="s">
        <v>69</v>
      </c>
      <c r="AJ94" s="352" t="s">
        <v>69</v>
      </c>
      <c r="AK94" s="352" t="s">
        <v>69</v>
      </c>
      <c r="AL94" s="352" t="s">
        <v>69</v>
      </c>
      <c r="AM94" s="352" t="s">
        <v>69</v>
      </c>
      <c r="AN94" s="352" t="s">
        <v>69</v>
      </c>
      <c r="AO94" s="352" t="s">
        <v>69</v>
      </c>
      <c r="AP94" s="352" t="s">
        <v>69</v>
      </c>
      <c r="AQ94" s="352" t="s">
        <v>69</v>
      </c>
      <c r="AR94" s="352" t="s">
        <v>69</v>
      </c>
      <c r="AS94" s="352" t="s">
        <v>69</v>
      </c>
      <c r="AT94" s="352" t="s">
        <v>69</v>
      </c>
      <c r="AU94" s="352" t="s">
        <v>69</v>
      </c>
      <c r="AV94" s="352" t="s">
        <v>69</v>
      </c>
      <c r="AW94" s="352" t="s">
        <v>69</v>
      </c>
      <c r="AX94" s="352" t="s">
        <v>69</v>
      </c>
      <c r="AY94" s="352" t="s">
        <v>69</v>
      </c>
      <c r="AZ94" s="352" t="s">
        <v>69</v>
      </c>
      <c r="BA94" s="352" t="s">
        <v>69</v>
      </c>
      <c r="BB94" s="352" t="s">
        <v>69</v>
      </c>
      <c r="BC94" s="352" t="s">
        <v>69</v>
      </c>
      <c r="BD94" s="352" t="s">
        <v>69</v>
      </c>
      <c r="BE94" s="352" t="s">
        <v>69</v>
      </c>
      <c r="BF94" s="352" t="s">
        <v>69</v>
      </c>
      <c r="BG94" s="352" t="s">
        <v>69</v>
      </c>
      <c r="BH94" s="352" t="s">
        <v>69</v>
      </c>
      <c r="BI94" s="352" t="s">
        <v>69</v>
      </c>
      <c r="BJ94" s="352" t="s">
        <v>69</v>
      </c>
      <c r="BK94" s="352" t="s">
        <v>69</v>
      </c>
      <c r="BL94" s="352" t="s">
        <v>69</v>
      </c>
      <c r="BM94" s="352" t="s">
        <v>69</v>
      </c>
      <c r="BN94" s="352" t="s">
        <v>69</v>
      </c>
      <c r="BO94" s="352" t="s">
        <v>69</v>
      </c>
      <c r="BP94" s="352" t="s">
        <v>69</v>
      </c>
      <c r="BQ94" s="352" t="s">
        <v>69</v>
      </c>
      <c r="BR94" s="352" t="s">
        <v>69</v>
      </c>
      <c r="BS94" s="352" t="s">
        <v>69</v>
      </c>
      <c r="BT94" s="352" t="s">
        <v>69</v>
      </c>
      <c r="BU94" s="352" t="s">
        <v>69</v>
      </c>
      <c r="BV94" s="352" t="s">
        <v>69</v>
      </c>
      <c r="BW94" s="352" t="s">
        <v>69</v>
      </c>
      <c r="BX94" s="352" t="s">
        <v>69</v>
      </c>
      <c r="BY94" s="352" t="s">
        <v>69</v>
      </c>
      <c r="BZ94" s="352">
        <v>2</v>
      </c>
      <c r="CA94" s="352" t="s">
        <v>69</v>
      </c>
      <c r="CB94" s="352" t="s">
        <v>69</v>
      </c>
      <c r="CC94" s="352" t="s">
        <v>69</v>
      </c>
      <c r="CD94" s="352" t="s">
        <v>69</v>
      </c>
      <c r="CE94" s="352" t="s">
        <v>69</v>
      </c>
      <c r="CF94" s="352" t="s">
        <v>69</v>
      </c>
      <c r="CG94" s="352" t="s">
        <v>69</v>
      </c>
      <c r="CH94" s="352" t="s">
        <v>69</v>
      </c>
      <c r="CI94" s="352" t="s">
        <v>69</v>
      </c>
      <c r="CJ94" s="352" t="s">
        <v>69</v>
      </c>
      <c r="CK94" s="352" t="s">
        <v>69</v>
      </c>
      <c r="CL94" s="352" t="s">
        <v>69</v>
      </c>
      <c r="CM94" s="352">
        <v>2</v>
      </c>
      <c r="CN94" s="352" t="s">
        <v>69</v>
      </c>
      <c r="CO94" s="352" t="s">
        <v>69</v>
      </c>
      <c r="CP94" s="352" t="s">
        <v>69</v>
      </c>
      <c r="CQ94" s="352" t="s">
        <v>69</v>
      </c>
      <c r="CR94" s="352" t="s">
        <v>69</v>
      </c>
      <c r="CS94" s="352" t="s">
        <v>69</v>
      </c>
      <c r="CT94" s="352" t="s">
        <v>69</v>
      </c>
      <c r="CU94" s="352" t="s">
        <v>69</v>
      </c>
      <c r="CV94" s="352" t="s">
        <v>69</v>
      </c>
      <c r="CW94" s="352" t="s">
        <v>69</v>
      </c>
      <c r="CX94" s="352" t="s">
        <v>69</v>
      </c>
      <c r="CY94" s="352" t="s">
        <v>69</v>
      </c>
      <c r="CZ94" s="352" t="s">
        <v>69</v>
      </c>
      <c r="DA94" s="352" t="s">
        <v>69</v>
      </c>
      <c r="DB94" s="352" t="s">
        <v>69</v>
      </c>
      <c r="DC94" s="352" t="s">
        <v>69</v>
      </c>
      <c r="DD94" s="352" t="s">
        <v>69</v>
      </c>
      <c r="DE94" s="352" t="s">
        <v>69</v>
      </c>
      <c r="DF94" s="352" t="s">
        <v>69</v>
      </c>
      <c r="DG94" s="352" t="s">
        <v>69</v>
      </c>
      <c r="DH94" s="352" t="s">
        <v>69</v>
      </c>
      <c r="DI94" s="352" t="s">
        <v>69</v>
      </c>
      <c r="DJ94" s="352" t="s">
        <v>69</v>
      </c>
      <c r="DK94" s="352" t="s">
        <v>69</v>
      </c>
      <c r="DL94" s="352" t="s">
        <v>69</v>
      </c>
      <c r="DM94" s="352" t="s">
        <v>69</v>
      </c>
      <c r="DN94" s="352" t="s">
        <v>69</v>
      </c>
      <c r="DO94" s="352" t="s">
        <v>69</v>
      </c>
      <c r="DP94" s="352" t="s">
        <v>69</v>
      </c>
      <c r="DQ94" s="352" t="s">
        <v>69</v>
      </c>
      <c r="DR94" s="352" t="s">
        <v>69</v>
      </c>
      <c r="DS94" s="352" t="s">
        <v>69</v>
      </c>
      <c r="DT94" s="352" t="s">
        <v>69</v>
      </c>
      <c r="DU94" s="352" t="s">
        <v>69</v>
      </c>
      <c r="DV94" s="387">
        <f t="shared" si="2"/>
        <v>3.1746031746031744E-2</v>
      </c>
      <c r="DW94" s="388">
        <f t="shared" si="3"/>
        <v>0</v>
      </c>
      <c r="DX94" s="156" t="e">
        <f>VLOOKUP(B94,[1]Pointage!$A:$D,4,0)</f>
        <v>#N/A</v>
      </c>
    </row>
    <row r="95" spans="1:128" s="156" customFormat="1" ht="128.25" hidden="1" customHeight="1">
      <c r="A95" s="312">
        <v>80</v>
      </c>
      <c r="B95" s="318" t="s">
        <v>991</v>
      </c>
      <c r="C95" s="384" t="s">
        <v>992</v>
      </c>
      <c r="D95" s="376">
        <v>46006</v>
      </c>
      <c r="E95" s="320" t="s">
        <v>216</v>
      </c>
      <c r="F95" s="382" t="s">
        <v>633</v>
      </c>
      <c r="G95" s="352">
        <v>2</v>
      </c>
      <c r="H95" s="352">
        <v>3</v>
      </c>
      <c r="I95" s="352">
        <v>2</v>
      </c>
      <c r="J95" s="352" t="s">
        <v>69</v>
      </c>
      <c r="K95" s="352">
        <v>3</v>
      </c>
      <c r="L95" s="352" t="s">
        <v>69</v>
      </c>
      <c r="M95" s="352" t="s">
        <v>69</v>
      </c>
      <c r="N95" s="352" t="s">
        <v>69</v>
      </c>
      <c r="O95" s="352" t="s">
        <v>69</v>
      </c>
      <c r="P95" s="352">
        <v>3</v>
      </c>
      <c r="Q95" s="352">
        <v>3</v>
      </c>
      <c r="R95" s="352" t="s">
        <v>69</v>
      </c>
      <c r="S95" s="352" t="s">
        <v>69</v>
      </c>
      <c r="T95" s="352" t="s">
        <v>69</v>
      </c>
      <c r="U95" s="352" t="s">
        <v>69</v>
      </c>
      <c r="V95" s="352" t="s">
        <v>69</v>
      </c>
      <c r="W95" s="352" t="s">
        <v>69</v>
      </c>
      <c r="X95" s="352" t="s">
        <v>69</v>
      </c>
      <c r="Y95" s="352" t="s">
        <v>69</v>
      </c>
      <c r="Z95" s="352" t="s">
        <v>69</v>
      </c>
      <c r="AA95" s="352" t="s">
        <v>69</v>
      </c>
      <c r="AB95" s="352" t="s">
        <v>69</v>
      </c>
      <c r="AC95" s="352" t="s">
        <v>69</v>
      </c>
      <c r="AD95" s="352" t="s">
        <v>69</v>
      </c>
      <c r="AE95" s="352" t="s">
        <v>69</v>
      </c>
      <c r="AF95" s="352" t="s">
        <v>69</v>
      </c>
      <c r="AG95" s="352" t="s">
        <v>69</v>
      </c>
      <c r="AH95" s="352" t="s">
        <v>69</v>
      </c>
      <c r="AI95" s="352" t="s">
        <v>69</v>
      </c>
      <c r="AJ95" s="352" t="s">
        <v>69</v>
      </c>
      <c r="AK95" s="352" t="s">
        <v>69</v>
      </c>
      <c r="AL95" s="352" t="s">
        <v>69</v>
      </c>
      <c r="AM95" s="352" t="s">
        <v>69</v>
      </c>
      <c r="AN95" s="352" t="s">
        <v>69</v>
      </c>
      <c r="AO95" s="352" t="s">
        <v>69</v>
      </c>
      <c r="AP95" s="352" t="s">
        <v>69</v>
      </c>
      <c r="AQ95" s="352" t="s">
        <v>69</v>
      </c>
      <c r="AR95" s="352" t="s">
        <v>69</v>
      </c>
      <c r="AS95" s="352" t="s">
        <v>69</v>
      </c>
      <c r="AT95" s="352" t="s">
        <v>69</v>
      </c>
      <c r="AU95" s="352" t="s">
        <v>69</v>
      </c>
      <c r="AV95" s="352" t="s">
        <v>69</v>
      </c>
      <c r="AW95" s="352" t="s">
        <v>69</v>
      </c>
      <c r="AX95" s="352" t="s">
        <v>69</v>
      </c>
      <c r="AY95" s="352" t="s">
        <v>69</v>
      </c>
      <c r="AZ95" s="352" t="s">
        <v>69</v>
      </c>
      <c r="BA95" s="352" t="s">
        <v>69</v>
      </c>
      <c r="BB95" s="352" t="s">
        <v>69</v>
      </c>
      <c r="BC95" s="352" t="s">
        <v>69</v>
      </c>
      <c r="BD95" s="352" t="s">
        <v>69</v>
      </c>
      <c r="BE95" s="352" t="s">
        <v>69</v>
      </c>
      <c r="BF95" s="352" t="s">
        <v>69</v>
      </c>
      <c r="BG95" s="352" t="s">
        <v>69</v>
      </c>
      <c r="BH95" s="352" t="s">
        <v>69</v>
      </c>
      <c r="BI95" s="352" t="s">
        <v>69</v>
      </c>
      <c r="BJ95" s="352" t="s">
        <v>69</v>
      </c>
      <c r="BK95" s="352" t="s">
        <v>69</v>
      </c>
      <c r="BL95" s="352" t="s">
        <v>69</v>
      </c>
      <c r="BM95" s="352" t="s">
        <v>69</v>
      </c>
      <c r="BN95" s="352" t="s">
        <v>69</v>
      </c>
      <c r="BO95" s="352" t="s">
        <v>69</v>
      </c>
      <c r="BP95" s="352" t="s">
        <v>69</v>
      </c>
      <c r="BQ95" s="352" t="s">
        <v>69</v>
      </c>
      <c r="BR95" s="352" t="s">
        <v>69</v>
      </c>
      <c r="BS95" s="352" t="s">
        <v>69</v>
      </c>
      <c r="BT95" s="352" t="s">
        <v>69</v>
      </c>
      <c r="BU95" s="352" t="s">
        <v>69</v>
      </c>
      <c r="BV95" s="352" t="s">
        <v>69</v>
      </c>
      <c r="BW95" s="352" t="s">
        <v>69</v>
      </c>
      <c r="BX95" s="352" t="s">
        <v>69</v>
      </c>
      <c r="BY95" s="352" t="s">
        <v>69</v>
      </c>
      <c r="BZ95" s="352" t="s">
        <v>69</v>
      </c>
      <c r="CA95" s="352" t="s">
        <v>69</v>
      </c>
      <c r="CB95" s="352" t="s">
        <v>69</v>
      </c>
      <c r="CC95" s="352" t="s">
        <v>69</v>
      </c>
      <c r="CD95" s="352" t="s">
        <v>69</v>
      </c>
      <c r="CE95" s="352" t="s">
        <v>69</v>
      </c>
      <c r="CF95" s="352" t="s">
        <v>69</v>
      </c>
      <c r="CG95" s="352" t="s">
        <v>69</v>
      </c>
      <c r="CH95" s="352" t="s">
        <v>69</v>
      </c>
      <c r="CI95" s="352" t="s">
        <v>69</v>
      </c>
      <c r="CJ95" s="352" t="s">
        <v>69</v>
      </c>
      <c r="CK95" s="352" t="s">
        <v>69</v>
      </c>
      <c r="CL95" s="352" t="s">
        <v>69</v>
      </c>
      <c r="CM95" s="352" t="s">
        <v>69</v>
      </c>
      <c r="CN95" s="352" t="s">
        <v>69</v>
      </c>
      <c r="CO95" s="352">
        <v>3</v>
      </c>
      <c r="CP95" s="352" t="s">
        <v>69</v>
      </c>
      <c r="CQ95" s="352" t="s">
        <v>69</v>
      </c>
      <c r="CR95" s="352" t="s">
        <v>69</v>
      </c>
      <c r="CS95" s="352" t="s">
        <v>69</v>
      </c>
      <c r="CT95" s="352" t="s">
        <v>69</v>
      </c>
      <c r="CU95" s="352" t="s">
        <v>69</v>
      </c>
      <c r="CV95" s="352" t="s">
        <v>69</v>
      </c>
      <c r="CW95" s="352" t="s">
        <v>69</v>
      </c>
      <c r="CX95" s="352" t="s">
        <v>69</v>
      </c>
      <c r="CY95" s="352" t="s">
        <v>69</v>
      </c>
      <c r="CZ95" s="352" t="s">
        <v>69</v>
      </c>
      <c r="DA95" s="352" t="s">
        <v>69</v>
      </c>
      <c r="DB95" s="352" t="s">
        <v>69</v>
      </c>
      <c r="DC95" s="352" t="s">
        <v>69</v>
      </c>
      <c r="DD95" s="352" t="s">
        <v>69</v>
      </c>
      <c r="DE95" s="352" t="s">
        <v>69</v>
      </c>
      <c r="DF95" s="352" t="s">
        <v>69</v>
      </c>
      <c r="DG95" s="352" t="s">
        <v>69</v>
      </c>
      <c r="DH95" s="352" t="s">
        <v>69</v>
      </c>
      <c r="DI95" s="352" t="s">
        <v>69</v>
      </c>
      <c r="DJ95" s="352" t="s">
        <v>69</v>
      </c>
      <c r="DK95" s="352" t="s">
        <v>69</v>
      </c>
      <c r="DL95" s="352" t="s">
        <v>69</v>
      </c>
      <c r="DM95" s="352" t="s">
        <v>69</v>
      </c>
      <c r="DN95" s="352" t="s">
        <v>69</v>
      </c>
      <c r="DO95" s="352" t="s">
        <v>69</v>
      </c>
      <c r="DP95" s="352" t="s">
        <v>69</v>
      </c>
      <c r="DQ95" s="352" t="s">
        <v>69</v>
      </c>
      <c r="DR95" s="352" t="s">
        <v>69</v>
      </c>
      <c r="DS95" s="352" t="s">
        <v>69</v>
      </c>
      <c r="DT95" s="352" t="s">
        <v>69</v>
      </c>
      <c r="DU95" s="352" t="s">
        <v>69</v>
      </c>
      <c r="DV95" s="387">
        <f t="shared" si="2"/>
        <v>0.1111111111111111</v>
      </c>
      <c r="DW95" s="388">
        <f t="shared" si="3"/>
        <v>0.7142857142857143</v>
      </c>
      <c r="DX95" s="156" t="str">
        <f>VLOOKUP(B95,[1]Pointage!$A:$D,4,0)</f>
        <v>Mourad Saitali</v>
      </c>
    </row>
    <row r="96" spans="1:128" s="156" customFormat="1" ht="128.25" hidden="1" customHeight="1">
      <c r="A96" s="312">
        <v>81</v>
      </c>
      <c r="B96" s="318" t="s">
        <v>993</v>
      </c>
      <c r="C96" s="384" t="s">
        <v>994</v>
      </c>
      <c r="D96" s="376">
        <v>46006</v>
      </c>
      <c r="E96" s="320" t="s">
        <v>216</v>
      </c>
      <c r="F96" s="382" t="s">
        <v>633</v>
      </c>
      <c r="G96" s="352" t="s">
        <v>69</v>
      </c>
      <c r="H96" s="352" t="s">
        <v>69</v>
      </c>
      <c r="I96" s="352" t="s">
        <v>69</v>
      </c>
      <c r="J96" s="352" t="s">
        <v>69</v>
      </c>
      <c r="K96" s="352" t="s">
        <v>69</v>
      </c>
      <c r="L96" s="352" t="s">
        <v>69</v>
      </c>
      <c r="M96" s="352" t="s">
        <v>69</v>
      </c>
      <c r="N96" s="352" t="s">
        <v>69</v>
      </c>
      <c r="O96" s="352" t="s">
        <v>69</v>
      </c>
      <c r="P96" s="352" t="s">
        <v>69</v>
      </c>
      <c r="Q96" s="352" t="s">
        <v>69</v>
      </c>
      <c r="R96" s="352" t="s">
        <v>69</v>
      </c>
      <c r="S96" s="352" t="s">
        <v>69</v>
      </c>
      <c r="T96" s="352" t="s">
        <v>69</v>
      </c>
      <c r="U96" s="352" t="s">
        <v>69</v>
      </c>
      <c r="V96" s="352" t="s">
        <v>69</v>
      </c>
      <c r="W96" s="352" t="s">
        <v>69</v>
      </c>
      <c r="X96" s="352" t="s">
        <v>69</v>
      </c>
      <c r="Y96" s="352" t="s">
        <v>69</v>
      </c>
      <c r="Z96" s="352" t="s">
        <v>69</v>
      </c>
      <c r="AA96" s="352" t="s">
        <v>69</v>
      </c>
      <c r="AB96" s="352" t="s">
        <v>69</v>
      </c>
      <c r="AC96" s="352" t="s">
        <v>69</v>
      </c>
      <c r="AD96" s="352" t="s">
        <v>69</v>
      </c>
      <c r="AE96" s="352" t="s">
        <v>69</v>
      </c>
      <c r="AF96" s="352" t="s">
        <v>69</v>
      </c>
      <c r="AG96" s="352" t="s">
        <v>69</v>
      </c>
      <c r="AH96" s="352" t="s">
        <v>69</v>
      </c>
      <c r="AI96" s="352" t="s">
        <v>69</v>
      </c>
      <c r="AJ96" s="352" t="s">
        <v>69</v>
      </c>
      <c r="AK96" s="352" t="s">
        <v>69</v>
      </c>
      <c r="AL96" s="352" t="s">
        <v>69</v>
      </c>
      <c r="AM96" s="352" t="s">
        <v>69</v>
      </c>
      <c r="AN96" s="352" t="s">
        <v>69</v>
      </c>
      <c r="AO96" s="352" t="s">
        <v>69</v>
      </c>
      <c r="AP96" s="352" t="s">
        <v>69</v>
      </c>
      <c r="AQ96" s="352" t="s">
        <v>69</v>
      </c>
      <c r="AR96" s="352" t="s">
        <v>69</v>
      </c>
      <c r="AS96" s="352" t="s">
        <v>69</v>
      </c>
      <c r="AT96" s="352" t="s">
        <v>69</v>
      </c>
      <c r="AU96" s="352" t="s">
        <v>69</v>
      </c>
      <c r="AV96" s="352" t="s">
        <v>69</v>
      </c>
      <c r="AW96" s="352" t="s">
        <v>69</v>
      </c>
      <c r="AX96" s="352" t="s">
        <v>69</v>
      </c>
      <c r="AY96" s="352" t="s">
        <v>69</v>
      </c>
      <c r="AZ96" s="352" t="s">
        <v>69</v>
      </c>
      <c r="BA96" s="352" t="s">
        <v>69</v>
      </c>
      <c r="BB96" s="352" t="s">
        <v>69</v>
      </c>
      <c r="BC96" s="352" t="s">
        <v>69</v>
      </c>
      <c r="BD96" s="352" t="s">
        <v>69</v>
      </c>
      <c r="BE96" s="352" t="s">
        <v>69</v>
      </c>
      <c r="BF96" s="352" t="s">
        <v>69</v>
      </c>
      <c r="BG96" s="352" t="s">
        <v>69</v>
      </c>
      <c r="BH96" s="352" t="s">
        <v>69</v>
      </c>
      <c r="BI96" s="352" t="s">
        <v>69</v>
      </c>
      <c r="BJ96" s="352" t="s">
        <v>69</v>
      </c>
      <c r="BK96" s="352" t="s">
        <v>69</v>
      </c>
      <c r="BL96" s="352" t="s">
        <v>69</v>
      </c>
      <c r="BM96" s="352" t="s">
        <v>69</v>
      </c>
      <c r="BN96" s="352" t="s">
        <v>69</v>
      </c>
      <c r="BO96" s="352" t="s">
        <v>69</v>
      </c>
      <c r="BP96" s="352" t="s">
        <v>69</v>
      </c>
      <c r="BQ96" s="352" t="s">
        <v>69</v>
      </c>
      <c r="BR96" s="352" t="s">
        <v>69</v>
      </c>
      <c r="BS96" s="352" t="s">
        <v>69</v>
      </c>
      <c r="BT96" s="352" t="s">
        <v>69</v>
      </c>
      <c r="BU96" s="352" t="s">
        <v>69</v>
      </c>
      <c r="BV96" s="352" t="s">
        <v>69</v>
      </c>
      <c r="BW96" s="352" t="s">
        <v>69</v>
      </c>
      <c r="BX96" s="352" t="s">
        <v>69</v>
      </c>
      <c r="BY96" s="352" t="s">
        <v>69</v>
      </c>
      <c r="BZ96" s="352" t="s">
        <v>69</v>
      </c>
      <c r="CA96" s="352" t="s">
        <v>69</v>
      </c>
      <c r="CB96" s="352" t="s">
        <v>69</v>
      </c>
      <c r="CC96" s="352" t="s">
        <v>69</v>
      </c>
      <c r="CD96" s="352" t="s">
        <v>69</v>
      </c>
      <c r="CE96" s="352" t="s">
        <v>69</v>
      </c>
      <c r="CF96" s="352" t="s">
        <v>69</v>
      </c>
      <c r="CG96" s="352" t="s">
        <v>69</v>
      </c>
      <c r="CH96" s="352" t="s">
        <v>69</v>
      </c>
      <c r="CI96" s="352" t="s">
        <v>69</v>
      </c>
      <c r="CJ96" s="352" t="s">
        <v>69</v>
      </c>
      <c r="CK96" s="352" t="s">
        <v>69</v>
      </c>
      <c r="CL96" s="352" t="s">
        <v>69</v>
      </c>
      <c r="CM96" s="352">
        <v>2</v>
      </c>
      <c r="CN96" s="352">
        <v>2</v>
      </c>
      <c r="CO96" s="352">
        <v>4</v>
      </c>
      <c r="CP96" s="352" t="s">
        <v>69</v>
      </c>
      <c r="CQ96" s="352" t="s">
        <v>69</v>
      </c>
      <c r="CR96" s="352" t="s">
        <v>69</v>
      </c>
      <c r="CS96" s="352" t="s">
        <v>69</v>
      </c>
      <c r="CT96" s="352" t="s">
        <v>69</v>
      </c>
      <c r="CU96" s="352" t="s">
        <v>69</v>
      </c>
      <c r="CV96" s="352" t="s">
        <v>69</v>
      </c>
      <c r="CW96" s="352" t="s">
        <v>69</v>
      </c>
      <c r="CX96" s="352" t="s">
        <v>69</v>
      </c>
      <c r="CY96" s="352" t="s">
        <v>69</v>
      </c>
      <c r="CZ96" s="352" t="s">
        <v>69</v>
      </c>
      <c r="DA96" s="352" t="s">
        <v>69</v>
      </c>
      <c r="DB96" s="352" t="s">
        <v>69</v>
      </c>
      <c r="DC96" s="352" t="s">
        <v>69</v>
      </c>
      <c r="DD96" s="352" t="s">
        <v>69</v>
      </c>
      <c r="DE96" s="352" t="s">
        <v>69</v>
      </c>
      <c r="DF96" s="352" t="s">
        <v>69</v>
      </c>
      <c r="DG96" s="352" t="s">
        <v>69</v>
      </c>
      <c r="DH96" s="352" t="s">
        <v>69</v>
      </c>
      <c r="DI96" s="352" t="s">
        <v>69</v>
      </c>
      <c r="DJ96" s="352" t="s">
        <v>69</v>
      </c>
      <c r="DK96" s="352" t="s">
        <v>69</v>
      </c>
      <c r="DL96" s="352" t="s">
        <v>69</v>
      </c>
      <c r="DM96" s="352" t="s">
        <v>69</v>
      </c>
      <c r="DN96" s="352" t="s">
        <v>69</v>
      </c>
      <c r="DO96" s="352" t="s">
        <v>69</v>
      </c>
      <c r="DP96" s="352" t="s">
        <v>69</v>
      </c>
      <c r="DQ96" s="352" t="s">
        <v>69</v>
      </c>
      <c r="DR96" s="352" t="s">
        <v>69</v>
      </c>
      <c r="DS96" s="352" t="s">
        <v>69</v>
      </c>
      <c r="DT96" s="352" t="s">
        <v>69</v>
      </c>
      <c r="DU96" s="352" t="s">
        <v>69</v>
      </c>
      <c r="DV96" s="387">
        <f t="shared" si="2"/>
        <v>4.7619047619047616E-2</v>
      </c>
      <c r="DW96" s="388">
        <f t="shared" si="3"/>
        <v>0.33333333333333331</v>
      </c>
      <c r="DX96" s="156" t="str">
        <f>VLOOKUP(B96,[1]Pointage!$A:$D,4,0)</f>
        <v>Mourad Saitali</v>
      </c>
    </row>
    <row r="97" spans="1:128" s="156" customFormat="1" ht="128.25" hidden="1" customHeight="1">
      <c r="A97" s="312">
        <v>82</v>
      </c>
      <c r="B97" s="318" t="s">
        <v>997</v>
      </c>
      <c r="C97" s="384" t="s">
        <v>998</v>
      </c>
      <c r="D97" s="376">
        <v>46006</v>
      </c>
      <c r="E97" s="320" t="s">
        <v>216</v>
      </c>
      <c r="F97" s="382" t="s">
        <v>633</v>
      </c>
      <c r="G97" s="352" t="s">
        <v>69</v>
      </c>
      <c r="H97" s="352" t="s">
        <v>69</v>
      </c>
      <c r="I97" s="352" t="s">
        <v>69</v>
      </c>
      <c r="J97" s="352" t="s">
        <v>69</v>
      </c>
      <c r="K97" s="352" t="s">
        <v>69</v>
      </c>
      <c r="L97" s="352" t="s">
        <v>69</v>
      </c>
      <c r="M97" s="352" t="s">
        <v>69</v>
      </c>
      <c r="N97" s="352" t="s">
        <v>69</v>
      </c>
      <c r="O97" s="352" t="s">
        <v>69</v>
      </c>
      <c r="P97" s="352" t="s">
        <v>69</v>
      </c>
      <c r="Q97" s="352" t="s">
        <v>69</v>
      </c>
      <c r="R97" s="352" t="s">
        <v>69</v>
      </c>
      <c r="S97" s="352" t="s">
        <v>69</v>
      </c>
      <c r="T97" s="352" t="s">
        <v>69</v>
      </c>
      <c r="U97" s="352" t="s">
        <v>69</v>
      </c>
      <c r="V97" s="352" t="s">
        <v>69</v>
      </c>
      <c r="W97" s="352" t="s">
        <v>69</v>
      </c>
      <c r="X97" s="352" t="s">
        <v>69</v>
      </c>
      <c r="Y97" s="352" t="s">
        <v>69</v>
      </c>
      <c r="Z97" s="352" t="s">
        <v>69</v>
      </c>
      <c r="AA97" s="352" t="s">
        <v>69</v>
      </c>
      <c r="AB97" s="352" t="s">
        <v>69</v>
      </c>
      <c r="AC97" s="352" t="s">
        <v>69</v>
      </c>
      <c r="AD97" s="352" t="s">
        <v>69</v>
      </c>
      <c r="AE97" s="352" t="s">
        <v>69</v>
      </c>
      <c r="AF97" s="352" t="s">
        <v>69</v>
      </c>
      <c r="AG97" s="352">
        <v>3</v>
      </c>
      <c r="AH97" s="352">
        <v>4</v>
      </c>
      <c r="AI97" s="352" t="s">
        <v>69</v>
      </c>
      <c r="AJ97" s="352" t="s">
        <v>69</v>
      </c>
      <c r="AK97" s="352" t="s">
        <v>69</v>
      </c>
      <c r="AL97" s="352" t="s">
        <v>69</v>
      </c>
      <c r="AM97" s="352" t="s">
        <v>69</v>
      </c>
      <c r="AN97" s="352" t="s">
        <v>69</v>
      </c>
      <c r="AO97" s="352" t="s">
        <v>69</v>
      </c>
      <c r="AP97" s="352" t="s">
        <v>69</v>
      </c>
      <c r="AQ97" s="352" t="s">
        <v>69</v>
      </c>
      <c r="AR97" s="352" t="s">
        <v>69</v>
      </c>
      <c r="AS97" s="352" t="s">
        <v>69</v>
      </c>
      <c r="AT97" s="352" t="s">
        <v>69</v>
      </c>
      <c r="AU97" s="352" t="s">
        <v>69</v>
      </c>
      <c r="AV97" s="352" t="s">
        <v>69</v>
      </c>
      <c r="AW97" s="352" t="s">
        <v>69</v>
      </c>
      <c r="AX97" s="352" t="s">
        <v>69</v>
      </c>
      <c r="AY97" s="352" t="s">
        <v>69</v>
      </c>
      <c r="AZ97" s="352" t="s">
        <v>69</v>
      </c>
      <c r="BA97" s="352" t="s">
        <v>69</v>
      </c>
      <c r="BB97" s="352" t="s">
        <v>69</v>
      </c>
      <c r="BC97" s="352" t="s">
        <v>69</v>
      </c>
      <c r="BD97" s="352" t="s">
        <v>69</v>
      </c>
      <c r="BE97" s="352" t="s">
        <v>69</v>
      </c>
      <c r="BF97" s="352" t="s">
        <v>69</v>
      </c>
      <c r="BG97" s="352" t="s">
        <v>69</v>
      </c>
      <c r="BH97" s="352" t="s">
        <v>69</v>
      </c>
      <c r="BI97" s="352" t="s">
        <v>69</v>
      </c>
      <c r="BJ97" s="352" t="s">
        <v>69</v>
      </c>
      <c r="BK97" s="352" t="s">
        <v>69</v>
      </c>
      <c r="BL97" s="352" t="s">
        <v>69</v>
      </c>
      <c r="BM97" s="352" t="s">
        <v>69</v>
      </c>
      <c r="BN97" s="352" t="s">
        <v>69</v>
      </c>
      <c r="BO97" s="352" t="s">
        <v>69</v>
      </c>
      <c r="BP97" s="352" t="s">
        <v>69</v>
      </c>
      <c r="BQ97" s="352" t="s">
        <v>69</v>
      </c>
      <c r="BR97" s="352" t="s">
        <v>69</v>
      </c>
      <c r="BS97" s="352" t="s">
        <v>69</v>
      </c>
      <c r="BT97" s="352" t="s">
        <v>69</v>
      </c>
      <c r="BU97" s="352" t="s">
        <v>69</v>
      </c>
      <c r="BV97" s="352" t="s">
        <v>69</v>
      </c>
      <c r="BW97" s="352" t="s">
        <v>69</v>
      </c>
      <c r="BX97" s="352" t="s">
        <v>69</v>
      </c>
      <c r="BY97" s="352" t="s">
        <v>69</v>
      </c>
      <c r="BZ97" s="352" t="s">
        <v>69</v>
      </c>
      <c r="CA97" s="352" t="s">
        <v>69</v>
      </c>
      <c r="CB97" s="352" t="s">
        <v>69</v>
      </c>
      <c r="CC97" s="352" t="s">
        <v>69</v>
      </c>
      <c r="CD97" s="352" t="s">
        <v>69</v>
      </c>
      <c r="CE97" s="352" t="s">
        <v>69</v>
      </c>
      <c r="CF97" s="352" t="s">
        <v>69</v>
      </c>
      <c r="CG97" s="352" t="s">
        <v>69</v>
      </c>
      <c r="CH97" s="352" t="s">
        <v>69</v>
      </c>
      <c r="CI97" s="352" t="s">
        <v>69</v>
      </c>
      <c r="CJ97" s="352" t="s">
        <v>69</v>
      </c>
      <c r="CK97" s="352" t="s">
        <v>69</v>
      </c>
      <c r="CL97" s="352" t="s">
        <v>69</v>
      </c>
      <c r="CM97" s="352" t="s">
        <v>69</v>
      </c>
      <c r="CN97" s="352" t="s">
        <v>69</v>
      </c>
      <c r="CO97" s="352" t="s">
        <v>69</v>
      </c>
      <c r="CP97" s="352" t="s">
        <v>69</v>
      </c>
      <c r="CQ97" s="352" t="s">
        <v>69</v>
      </c>
      <c r="CR97" s="352" t="s">
        <v>69</v>
      </c>
      <c r="CS97" s="352" t="s">
        <v>69</v>
      </c>
      <c r="CT97" s="352" t="s">
        <v>69</v>
      </c>
      <c r="CU97" s="352" t="s">
        <v>69</v>
      </c>
      <c r="CV97" s="352">
        <v>3</v>
      </c>
      <c r="CW97" s="352" t="s">
        <v>69</v>
      </c>
      <c r="CX97" s="352" t="s">
        <v>69</v>
      </c>
      <c r="CY97" s="352" t="s">
        <v>69</v>
      </c>
      <c r="CZ97" s="352" t="s">
        <v>69</v>
      </c>
      <c r="DA97" s="352">
        <v>3</v>
      </c>
      <c r="DB97" s="352" t="s">
        <v>69</v>
      </c>
      <c r="DC97" s="352">
        <v>3</v>
      </c>
      <c r="DD97" s="352" t="s">
        <v>69</v>
      </c>
      <c r="DE97" s="352">
        <v>4</v>
      </c>
      <c r="DF97" s="352" t="s">
        <v>69</v>
      </c>
      <c r="DG97" s="352" t="s">
        <v>69</v>
      </c>
      <c r="DH97" s="352" t="s">
        <v>69</v>
      </c>
      <c r="DI97" s="352" t="s">
        <v>69</v>
      </c>
      <c r="DJ97" s="352" t="s">
        <v>69</v>
      </c>
      <c r="DK97" s="352" t="s">
        <v>69</v>
      </c>
      <c r="DL97" s="352" t="s">
        <v>69</v>
      </c>
      <c r="DM97" s="352" t="s">
        <v>69</v>
      </c>
      <c r="DN97" s="352" t="s">
        <v>69</v>
      </c>
      <c r="DO97" s="352" t="s">
        <v>69</v>
      </c>
      <c r="DP97" s="352" t="s">
        <v>69</v>
      </c>
      <c r="DQ97" s="352">
        <v>3</v>
      </c>
      <c r="DR97" s="352" t="s">
        <v>69</v>
      </c>
      <c r="DS97" s="352" t="s">
        <v>69</v>
      </c>
      <c r="DT97" s="352" t="s">
        <v>69</v>
      </c>
      <c r="DU97" s="352" t="s">
        <v>69</v>
      </c>
      <c r="DV97" s="387">
        <f t="shared" si="2"/>
        <v>0.1111111111111111</v>
      </c>
      <c r="DW97" s="388">
        <f t="shared" si="3"/>
        <v>1</v>
      </c>
      <c r="DX97" s="156" t="str">
        <f>VLOOKUP(B97,[1]Pointage!$A:$D,4,0)</f>
        <v>Mourad Saitali</v>
      </c>
    </row>
    <row r="98" spans="1:128" s="156" customFormat="1" ht="128.25" hidden="1" customHeight="1">
      <c r="A98" s="312">
        <v>83</v>
      </c>
      <c r="B98" s="318" t="s">
        <v>1026</v>
      </c>
      <c r="C98" s="384" t="s">
        <v>1007</v>
      </c>
      <c r="D98" s="376">
        <v>46006</v>
      </c>
      <c r="E98" s="320" t="s">
        <v>1006</v>
      </c>
      <c r="F98" s="382" t="s">
        <v>633</v>
      </c>
      <c r="G98" s="352" t="s">
        <v>69</v>
      </c>
      <c r="H98" s="352" t="s">
        <v>69</v>
      </c>
      <c r="I98" s="352" t="s">
        <v>69</v>
      </c>
      <c r="J98" s="352" t="s">
        <v>69</v>
      </c>
      <c r="K98" s="352" t="s">
        <v>69</v>
      </c>
      <c r="L98" s="352" t="s">
        <v>69</v>
      </c>
      <c r="M98" s="352" t="s">
        <v>69</v>
      </c>
      <c r="N98" s="352" t="s">
        <v>69</v>
      </c>
      <c r="O98" s="352" t="s">
        <v>69</v>
      </c>
      <c r="P98" s="352" t="s">
        <v>69</v>
      </c>
      <c r="Q98" s="352" t="s">
        <v>69</v>
      </c>
      <c r="R98" s="352" t="s">
        <v>69</v>
      </c>
      <c r="S98" s="352" t="s">
        <v>69</v>
      </c>
      <c r="T98" s="352" t="s">
        <v>69</v>
      </c>
      <c r="U98" s="352" t="s">
        <v>69</v>
      </c>
      <c r="V98" s="352" t="s">
        <v>69</v>
      </c>
      <c r="W98" s="352" t="s">
        <v>69</v>
      </c>
      <c r="X98" s="352" t="s">
        <v>69</v>
      </c>
      <c r="Y98" s="352" t="s">
        <v>69</v>
      </c>
      <c r="Z98" s="352" t="s">
        <v>69</v>
      </c>
      <c r="AA98" s="352" t="s">
        <v>69</v>
      </c>
      <c r="AB98" s="352" t="s">
        <v>69</v>
      </c>
      <c r="AC98" s="352" t="s">
        <v>69</v>
      </c>
      <c r="AD98" s="352" t="s">
        <v>69</v>
      </c>
      <c r="AE98" s="352" t="s">
        <v>69</v>
      </c>
      <c r="AF98" s="352" t="s">
        <v>69</v>
      </c>
      <c r="AG98" s="352" t="s">
        <v>69</v>
      </c>
      <c r="AH98" s="352" t="s">
        <v>69</v>
      </c>
      <c r="AI98" s="352" t="s">
        <v>69</v>
      </c>
      <c r="AJ98" s="352" t="s">
        <v>69</v>
      </c>
      <c r="AK98" s="352" t="s">
        <v>69</v>
      </c>
      <c r="AL98" s="352" t="s">
        <v>69</v>
      </c>
      <c r="AM98" s="352" t="s">
        <v>69</v>
      </c>
      <c r="AN98" s="352" t="s">
        <v>69</v>
      </c>
      <c r="AO98" s="352">
        <v>3</v>
      </c>
      <c r="AP98" s="352" t="s">
        <v>69</v>
      </c>
      <c r="AQ98" s="352" t="s">
        <v>69</v>
      </c>
      <c r="AR98" s="352" t="s">
        <v>69</v>
      </c>
      <c r="AS98" s="352" t="s">
        <v>69</v>
      </c>
      <c r="AT98" s="352" t="s">
        <v>69</v>
      </c>
      <c r="AU98" s="352" t="s">
        <v>69</v>
      </c>
      <c r="AV98" s="352" t="s">
        <v>69</v>
      </c>
      <c r="AW98" s="352" t="s">
        <v>69</v>
      </c>
      <c r="AX98" s="352" t="s">
        <v>69</v>
      </c>
      <c r="AY98" s="352" t="s">
        <v>69</v>
      </c>
      <c r="AZ98" s="352" t="s">
        <v>69</v>
      </c>
      <c r="BA98" s="352" t="s">
        <v>69</v>
      </c>
      <c r="BB98" s="352" t="s">
        <v>69</v>
      </c>
      <c r="BC98" s="352" t="s">
        <v>69</v>
      </c>
      <c r="BD98" s="352" t="s">
        <v>69</v>
      </c>
      <c r="BE98" s="352" t="s">
        <v>69</v>
      </c>
      <c r="BF98" s="352" t="s">
        <v>69</v>
      </c>
      <c r="BG98" s="352" t="s">
        <v>69</v>
      </c>
      <c r="BH98" s="352" t="s">
        <v>69</v>
      </c>
      <c r="BI98" s="352" t="s">
        <v>69</v>
      </c>
      <c r="BJ98" s="352" t="s">
        <v>69</v>
      </c>
      <c r="BK98" s="352" t="s">
        <v>69</v>
      </c>
      <c r="BL98" s="352" t="s">
        <v>69</v>
      </c>
      <c r="BM98" s="352" t="s">
        <v>69</v>
      </c>
      <c r="BN98" s="352" t="s">
        <v>69</v>
      </c>
      <c r="BO98" s="352" t="s">
        <v>69</v>
      </c>
      <c r="BP98" s="352" t="s">
        <v>69</v>
      </c>
      <c r="BQ98" s="352" t="s">
        <v>69</v>
      </c>
      <c r="BR98" s="352" t="s">
        <v>69</v>
      </c>
      <c r="BS98" s="352" t="s">
        <v>69</v>
      </c>
      <c r="BT98" s="352" t="s">
        <v>69</v>
      </c>
      <c r="BU98" s="352" t="s">
        <v>69</v>
      </c>
      <c r="BV98" s="352" t="s">
        <v>69</v>
      </c>
      <c r="BW98" s="352" t="s">
        <v>69</v>
      </c>
      <c r="BX98" s="352" t="s">
        <v>69</v>
      </c>
      <c r="BY98" s="352" t="s">
        <v>69</v>
      </c>
      <c r="BZ98" s="352" t="s">
        <v>69</v>
      </c>
      <c r="CA98" s="352" t="s">
        <v>69</v>
      </c>
      <c r="CB98" s="352" t="s">
        <v>69</v>
      </c>
      <c r="CC98" s="352" t="s">
        <v>69</v>
      </c>
      <c r="CD98" s="352" t="s">
        <v>69</v>
      </c>
      <c r="CE98" s="352" t="s">
        <v>69</v>
      </c>
      <c r="CF98" s="352" t="s">
        <v>69</v>
      </c>
      <c r="CG98" s="352" t="s">
        <v>69</v>
      </c>
      <c r="CH98" s="352" t="s">
        <v>69</v>
      </c>
      <c r="CI98" s="352" t="s">
        <v>69</v>
      </c>
      <c r="CJ98" s="352" t="s">
        <v>69</v>
      </c>
      <c r="CK98" s="352" t="s">
        <v>69</v>
      </c>
      <c r="CL98" s="352" t="s">
        <v>69</v>
      </c>
      <c r="CM98" s="352" t="s">
        <v>69</v>
      </c>
      <c r="CN98" s="352" t="s">
        <v>69</v>
      </c>
      <c r="CO98" s="352" t="s">
        <v>69</v>
      </c>
      <c r="CP98" s="352" t="s">
        <v>69</v>
      </c>
      <c r="CQ98" s="352" t="s">
        <v>69</v>
      </c>
      <c r="CR98" s="352" t="s">
        <v>69</v>
      </c>
      <c r="CS98" s="352" t="s">
        <v>69</v>
      </c>
      <c r="CT98" s="352" t="s">
        <v>69</v>
      </c>
      <c r="CU98" s="352" t="s">
        <v>69</v>
      </c>
      <c r="CV98" s="352">
        <v>2</v>
      </c>
      <c r="CW98" s="352" t="s">
        <v>69</v>
      </c>
      <c r="CX98" s="352" t="s">
        <v>69</v>
      </c>
      <c r="CY98" s="352" t="s">
        <v>69</v>
      </c>
      <c r="CZ98" s="352" t="s">
        <v>69</v>
      </c>
      <c r="DA98" s="352" t="s">
        <v>69</v>
      </c>
      <c r="DB98" s="352" t="s">
        <v>69</v>
      </c>
      <c r="DC98" s="352">
        <v>2</v>
      </c>
      <c r="DD98" s="352" t="s">
        <v>69</v>
      </c>
      <c r="DE98" s="352" t="s">
        <v>69</v>
      </c>
      <c r="DF98" s="352" t="s">
        <v>69</v>
      </c>
      <c r="DG98" s="352" t="s">
        <v>69</v>
      </c>
      <c r="DH98" s="352" t="s">
        <v>69</v>
      </c>
      <c r="DI98" s="352" t="s">
        <v>69</v>
      </c>
      <c r="DJ98" s="352" t="s">
        <v>69</v>
      </c>
      <c r="DK98" s="352" t="s">
        <v>69</v>
      </c>
      <c r="DL98" s="352" t="s">
        <v>69</v>
      </c>
      <c r="DM98" s="352" t="s">
        <v>69</v>
      </c>
      <c r="DN98" s="352" t="s">
        <v>69</v>
      </c>
      <c r="DO98" s="352">
        <v>2</v>
      </c>
      <c r="DP98" s="352" t="s">
        <v>69</v>
      </c>
      <c r="DQ98" s="352">
        <v>2</v>
      </c>
      <c r="DR98" s="352" t="s">
        <v>69</v>
      </c>
      <c r="DS98" s="352" t="s">
        <v>69</v>
      </c>
      <c r="DT98" s="352" t="s">
        <v>69</v>
      </c>
      <c r="DU98" s="352" t="s">
        <v>69</v>
      </c>
      <c r="DV98" s="387">
        <f t="shared" si="2"/>
        <v>7.9365079365079361E-2</v>
      </c>
      <c r="DW98" s="388">
        <f t="shared" si="3"/>
        <v>0.2</v>
      </c>
      <c r="DX98" s="156" t="str">
        <f>VLOOKUP(B98,[1]Pointage!$A:$D,4,0)</f>
        <v>Mourad Saitali</v>
      </c>
    </row>
    <row r="99" spans="1:128" s="156" customFormat="1" ht="128.25" hidden="1" customHeight="1">
      <c r="A99" s="312">
        <v>84</v>
      </c>
      <c r="B99" s="318" t="s">
        <v>999</v>
      </c>
      <c r="C99" s="384" t="s">
        <v>1000</v>
      </c>
      <c r="D99" s="376">
        <v>46006</v>
      </c>
      <c r="E99" s="320" t="s">
        <v>216</v>
      </c>
      <c r="F99" s="382" t="s">
        <v>633</v>
      </c>
      <c r="G99" s="352" t="s">
        <v>69</v>
      </c>
      <c r="H99" s="352" t="s">
        <v>69</v>
      </c>
      <c r="I99" s="352" t="s">
        <v>69</v>
      </c>
      <c r="J99" s="352" t="s">
        <v>69</v>
      </c>
      <c r="K99" s="352" t="s">
        <v>69</v>
      </c>
      <c r="L99" s="352" t="s">
        <v>69</v>
      </c>
      <c r="M99" s="352" t="s">
        <v>69</v>
      </c>
      <c r="N99" s="352" t="s">
        <v>69</v>
      </c>
      <c r="O99" s="352" t="s">
        <v>69</v>
      </c>
      <c r="P99" s="352" t="s">
        <v>69</v>
      </c>
      <c r="Q99" s="352" t="s">
        <v>69</v>
      </c>
      <c r="R99" s="352" t="s">
        <v>69</v>
      </c>
      <c r="S99" s="352" t="s">
        <v>69</v>
      </c>
      <c r="T99" s="352" t="s">
        <v>69</v>
      </c>
      <c r="U99" s="352" t="s">
        <v>69</v>
      </c>
      <c r="V99" s="352" t="s">
        <v>69</v>
      </c>
      <c r="W99" s="352" t="s">
        <v>69</v>
      </c>
      <c r="X99" s="352" t="s">
        <v>69</v>
      </c>
      <c r="Y99" s="352" t="s">
        <v>69</v>
      </c>
      <c r="Z99" s="352" t="s">
        <v>69</v>
      </c>
      <c r="AA99" s="352" t="s">
        <v>69</v>
      </c>
      <c r="AB99" s="352" t="s">
        <v>69</v>
      </c>
      <c r="AC99" s="352" t="s">
        <v>69</v>
      </c>
      <c r="AD99" s="352" t="s">
        <v>69</v>
      </c>
      <c r="AE99" s="352" t="s">
        <v>69</v>
      </c>
      <c r="AF99" s="352" t="s">
        <v>69</v>
      </c>
      <c r="AG99" s="352" t="s">
        <v>69</v>
      </c>
      <c r="AH99" s="352" t="s">
        <v>69</v>
      </c>
      <c r="AI99" s="352" t="s">
        <v>69</v>
      </c>
      <c r="AJ99" s="352" t="s">
        <v>69</v>
      </c>
      <c r="AK99" s="352" t="s">
        <v>69</v>
      </c>
      <c r="AL99" s="352" t="s">
        <v>69</v>
      </c>
      <c r="AM99" s="352" t="s">
        <v>69</v>
      </c>
      <c r="AN99" s="352" t="s">
        <v>69</v>
      </c>
      <c r="AO99" s="352" t="s">
        <v>69</v>
      </c>
      <c r="AP99" s="352" t="s">
        <v>69</v>
      </c>
      <c r="AQ99" s="352" t="s">
        <v>69</v>
      </c>
      <c r="AR99" s="352" t="s">
        <v>69</v>
      </c>
      <c r="AS99" s="352" t="s">
        <v>69</v>
      </c>
      <c r="AT99" s="352" t="s">
        <v>69</v>
      </c>
      <c r="AU99" s="352" t="s">
        <v>69</v>
      </c>
      <c r="AV99" s="352" t="s">
        <v>69</v>
      </c>
      <c r="AW99" s="352" t="s">
        <v>69</v>
      </c>
      <c r="AX99" s="352" t="s">
        <v>69</v>
      </c>
      <c r="AY99" s="352" t="s">
        <v>69</v>
      </c>
      <c r="AZ99" s="352" t="s">
        <v>69</v>
      </c>
      <c r="BA99" s="352" t="s">
        <v>69</v>
      </c>
      <c r="BB99" s="352" t="s">
        <v>69</v>
      </c>
      <c r="BC99" s="352" t="s">
        <v>69</v>
      </c>
      <c r="BD99" s="352" t="s">
        <v>69</v>
      </c>
      <c r="BE99" s="352" t="s">
        <v>69</v>
      </c>
      <c r="BF99" s="352" t="s">
        <v>69</v>
      </c>
      <c r="BG99" s="352" t="s">
        <v>69</v>
      </c>
      <c r="BH99" s="352" t="s">
        <v>69</v>
      </c>
      <c r="BI99" s="352" t="s">
        <v>69</v>
      </c>
      <c r="BJ99" s="352" t="s">
        <v>69</v>
      </c>
      <c r="BK99" s="352" t="s">
        <v>69</v>
      </c>
      <c r="BL99" s="352" t="s">
        <v>69</v>
      </c>
      <c r="BM99" s="352" t="s">
        <v>69</v>
      </c>
      <c r="BN99" s="352" t="s">
        <v>69</v>
      </c>
      <c r="BO99" s="352" t="s">
        <v>69</v>
      </c>
      <c r="BP99" s="352" t="s">
        <v>69</v>
      </c>
      <c r="BQ99" s="352" t="s">
        <v>69</v>
      </c>
      <c r="BR99" s="352" t="s">
        <v>69</v>
      </c>
      <c r="BS99" s="352" t="s">
        <v>69</v>
      </c>
      <c r="BT99" s="352" t="s">
        <v>69</v>
      </c>
      <c r="BU99" s="352" t="s">
        <v>69</v>
      </c>
      <c r="BV99" s="352" t="s">
        <v>69</v>
      </c>
      <c r="BW99" s="352" t="s">
        <v>69</v>
      </c>
      <c r="BX99" s="352" t="s">
        <v>69</v>
      </c>
      <c r="BY99" s="352" t="s">
        <v>69</v>
      </c>
      <c r="BZ99" s="352" t="s">
        <v>69</v>
      </c>
      <c r="CA99" s="352" t="s">
        <v>69</v>
      </c>
      <c r="CB99" s="352" t="s">
        <v>69</v>
      </c>
      <c r="CC99" s="352" t="s">
        <v>69</v>
      </c>
      <c r="CD99" s="352" t="s">
        <v>69</v>
      </c>
      <c r="CE99" s="352" t="s">
        <v>69</v>
      </c>
      <c r="CF99" s="352" t="s">
        <v>69</v>
      </c>
      <c r="CG99" s="352" t="s">
        <v>69</v>
      </c>
      <c r="CH99" s="352" t="s">
        <v>69</v>
      </c>
      <c r="CI99" s="352" t="s">
        <v>69</v>
      </c>
      <c r="CJ99" s="352" t="s">
        <v>69</v>
      </c>
      <c r="CK99" s="352" t="s">
        <v>69</v>
      </c>
      <c r="CL99" s="352" t="s">
        <v>69</v>
      </c>
      <c r="CM99" s="352" t="s">
        <v>69</v>
      </c>
      <c r="CN99" s="352">
        <v>2</v>
      </c>
      <c r="CO99" s="352">
        <v>4</v>
      </c>
      <c r="CP99" s="352" t="s">
        <v>69</v>
      </c>
      <c r="CQ99" s="352" t="s">
        <v>69</v>
      </c>
      <c r="CR99" s="352" t="s">
        <v>69</v>
      </c>
      <c r="CS99" s="352" t="s">
        <v>69</v>
      </c>
      <c r="CT99" s="352" t="s">
        <v>69</v>
      </c>
      <c r="CU99" s="352" t="s">
        <v>69</v>
      </c>
      <c r="CV99" s="352" t="s">
        <v>69</v>
      </c>
      <c r="CW99" s="352" t="s">
        <v>69</v>
      </c>
      <c r="CX99" s="352" t="s">
        <v>69</v>
      </c>
      <c r="CY99" s="352" t="s">
        <v>69</v>
      </c>
      <c r="CZ99" s="352" t="s">
        <v>69</v>
      </c>
      <c r="DA99" s="352" t="s">
        <v>69</v>
      </c>
      <c r="DB99" s="352" t="s">
        <v>69</v>
      </c>
      <c r="DC99" s="352" t="s">
        <v>69</v>
      </c>
      <c r="DD99" s="352" t="s">
        <v>69</v>
      </c>
      <c r="DE99" s="352" t="s">
        <v>69</v>
      </c>
      <c r="DF99" s="352" t="s">
        <v>69</v>
      </c>
      <c r="DG99" s="352" t="s">
        <v>69</v>
      </c>
      <c r="DH99" s="352" t="s">
        <v>69</v>
      </c>
      <c r="DI99" s="352" t="s">
        <v>69</v>
      </c>
      <c r="DJ99" s="352" t="s">
        <v>69</v>
      </c>
      <c r="DK99" s="352" t="s">
        <v>69</v>
      </c>
      <c r="DL99" s="352" t="s">
        <v>69</v>
      </c>
      <c r="DM99" s="352" t="s">
        <v>69</v>
      </c>
      <c r="DN99" s="352" t="s">
        <v>69</v>
      </c>
      <c r="DO99" s="352" t="s">
        <v>69</v>
      </c>
      <c r="DP99" s="352" t="s">
        <v>69</v>
      </c>
      <c r="DQ99" s="352" t="s">
        <v>69</v>
      </c>
      <c r="DR99" s="352" t="s">
        <v>69</v>
      </c>
      <c r="DS99" s="352" t="s">
        <v>69</v>
      </c>
      <c r="DT99" s="352" t="s">
        <v>69</v>
      </c>
      <c r="DU99" s="352" t="s">
        <v>69</v>
      </c>
      <c r="DV99" s="387">
        <f t="shared" si="2"/>
        <v>3.1746031746031744E-2</v>
      </c>
      <c r="DW99" s="389">
        <f t="shared" si="3"/>
        <v>0.5</v>
      </c>
      <c r="DX99" s="156" t="e">
        <f>VLOOKUP(B99,[1]Pointage!$A:$D,4,0)</f>
        <v>#N/A</v>
      </c>
    </row>
    <row r="100" spans="1:128" s="156" customFormat="1" ht="128.25" hidden="1" customHeight="1">
      <c r="A100" s="312">
        <v>85</v>
      </c>
      <c r="B100" s="318" t="s">
        <v>1014</v>
      </c>
      <c r="C100" s="384" t="s">
        <v>1015</v>
      </c>
      <c r="D100" s="376">
        <v>46037</v>
      </c>
      <c r="E100" s="320" t="s">
        <v>217</v>
      </c>
      <c r="F100" s="382" t="s">
        <v>633</v>
      </c>
      <c r="G100" s="352" t="s">
        <v>69</v>
      </c>
      <c r="H100" s="352" t="s">
        <v>69</v>
      </c>
      <c r="I100" s="352" t="s">
        <v>69</v>
      </c>
      <c r="J100" s="352" t="s">
        <v>69</v>
      </c>
      <c r="K100" s="352" t="s">
        <v>69</v>
      </c>
      <c r="L100" s="352" t="s">
        <v>69</v>
      </c>
      <c r="M100" s="352" t="s">
        <v>69</v>
      </c>
      <c r="N100" s="352" t="s">
        <v>69</v>
      </c>
      <c r="O100" s="352" t="s">
        <v>69</v>
      </c>
      <c r="P100" s="352" t="s">
        <v>69</v>
      </c>
      <c r="Q100" s="352" t="s">
        <v>69</v>
      </c>
      <c r="R100" s="352" t="s">
        <v>69</v>
      </c>
      <c r="S100" s="352" t="s">
        <v>69</v>
      </c>
      <c r="T100" s="352" t="s">
        <v>69</v>
      </c>
      <c r="U100" s="352" t="s">
        <v>69</v>
      </c>
      <c r="V100" s="352" t="s">
        <v>69</v>
      </c>
      <c r="W100" s="352" t="s">
        <v>69</v>
      </c>
      <c r="X100" s="352" t="s">
        <v>69</v>
      </c>
      <c r="Y100" s="352" t="s">
        <v>69</v>
      </c>
      <c r="Z100" s="352" t="s">
        <v>69</v>
      </c>
      <c r="AA100" s="352" t="s">
        <v>69</v>
      </c>
      <c r="AB100" s="352">
        <v>1</v>
      </c>
      <c r="AC100" s="352" t="s">
        <v>69</v>
      </c>
      <c r="AD100" s="352" t="s">
        <v>69</v>
      </c>
      <c r="AE100" s="352" t="s">
        <v>69</v>
      </c>
      <c r="AF100" s="352" t="s">
        <v>69</v>
      </c>
      <c r="AG100" s="352" t="s">
        <v>69</v>
      </c>
      <c r="AH100" s="352" t="s">
        <v>69</v>
      </c>
      <c r="AI100" s="352" t="s">
        <v>69</v>
      </c>
      <c r="AJ100" s="352" t="s">
        <v>69</v>
      </c>
      <c r="AK100" s="352" t="s">
        <v>69</v>
      </c>
      <c r="AL100" s="352" t="s">
        <v>69</v>
      </c>
      <c r="AM100" s="352" t="s">
        <v>69</v>
      </c>
      <c r="AN100" s="352" t="s">
        <v>69</v>
      </c>
      <c r="AO100" s="352" t="s">
        <v>69</v>
      </c>
      <c r="AP100" s="352" t="s">
        <v>69</v>
      </c>
      <c r="AQ100" s="352" t="s">
        <v>69</v>
      </c>
      <c r="AR100" s="352" t="s">
        <v>69</v>
      </c>
      <c r="AS100" s="352" t="s">
        <v>69</v>
      </c>
      <c r="AT100" s="352" t="s">
        <v>69</v>
      </c>
      <c r="AU100" s="352" t="s">
        <v>69</v>
      </c>
      <c r="AV100" s="352" t="s">
        <v>69</v>
      </c>
      <c r="AW100" s="352" t="s">
        <v>69</v>
      </c>
      <c r="AX100" s="352" t="s">
        <v>69</v>
      </c>
      <c r="AY100" s="352" t="s">
        <v>69</v>
      </c>
      <c r="AZ100" s="352" t="s">
        <v>69</v>
      </c>
      <c r="BA100" s="352" t="s">
        <v>69</v>
      </c>
      <c r="BB100" s="352" t="s">
        <v>69</v>
      </c>
      <c r="BC100" s="352" t="s">
        <v>69</v>
      </c>
      <c r="BD100" s="352" t="s">
        <v>69</v>
      </c>
      <c r="BE100" s="352" t="s">
        <v>69</v>
      </c>
      <c r="BF100" s="352" t="s">
        <v>69</v>
      </c>
      <c r="BG100" s="352" t="s">
        <v>69</v>
      </c>
      <c r="BH100" s="352" t="s">
        <v>69</v>
      </c>
      <c r="BI100" s="352" t="s">
        <v>69</v>
      </c>
      <c r="BJ100" s="352" t="s">
        <v>69</v>
      </c>
      <c r="BK100" s="352" t="s">
        <v>69</v>
      </c>
      <c r="BL100" s="352" t="s">
        <v>69</v>
      </c>
      <c r="BM100" s="352" t="s">
        <v>69</v>
      </c>
      <c r="BN100" s="352" t="s">
        <v>69</v>
      </c>
      <c r="BO100" s="352" t="s">
        <v>69</v>
      </c>
      <c r="BP100" s="352" t="s">
        <v>69</v>
      </c>
      <c r="BQ100" s="352" t="s">
        <v>69</v>
      </c>
      <c r="BR100" s="352" t="s">
        <v>69</v>
      </c>
      <c r="BS100" s="352" t="s">
        <v>69</v>
      </c>
      <c r="BT100" s="352" t="s">
        <v>69</v>
      </c>
      <c r="BU100" s="352" t="s">
        <v>69</v>
      </c>
      <c r="BV100" s="352" t="s">
        <v>69</v>
      </c>
      <c r="BW100" s="352" t="s">
        <v>69</v>
      </c>
      <c r="BX100" s="352" t="s">
        <v>69</v>
      </c>
      <c r="BY100" s="352" t="s">
        <v>69</v>
      </c>
      <c r="BZ100" s="352" t="s">
        <v>69</v>
      </c>
      <c r="CA100" s="352" t="s">
        <v>69</v>
      </c>
      <c r="CB100" s="352" t="s">
        <v>69</v>
      </c>
      <c r="CC100" s="352" t="s">
        <v>69</v>
      </c>
      <c r="CD100" s="352" t="s">
        <v>69</v>
      </c>
      <c r="CE100" s="352" t="s">
        <v>69</v>
      </c>
      <c r="CF100" s="352" t="s">
        <v>69</v>
      </c>
      <c r="CG100" s="352" t="s">
        <v>69</v>
      </c>
      <c r="CH100" s="352" t="s">
        <v>69</v>
      </c>
      <c r="CI100" s="352" t="s">
        <v>69</v>
      </c>
      <c r="CJ100" s="352" t="s">
        <v>69</v>
      </c>
      <c r="CK100" s="352" t="s">
        <v>69</v>
      </c>
      <c r="CL100" s="352" t="s">
        <v>69</v>
      </c>
      <c r="CM100" s="352" t="s">
        <v>69</v>
      </c>
      <c r="CN100" s="352" t="s">
        <v>69</v>
      </c>
      <c r="CO100" s="352" t="s">
        <v>69</v>
      </c>
      <c r="CP100" s="352" t="s">
        <v>69</v>
      </c>
      <c r="CQ100" s="352" t="s">
        <v>69</v>
      </c>
      <c r="CR100" s="352" t="s">
        <v>69</v>
      </c>
      <c r="CS100" s="352" t="s">
        <v>69</v>
      </c>
      <c r="CT100" s="352" t="s">
        <v>69</v>
      </c>
      <c r="CU100" s="352" t="s">
        <v>69</v>
      </c>
      <c r="CV100" s="352" t="s">
        <v>69</v>
      </c>
      <c r="CW100" s="352" t="s">
        <v>69</v>
      </c>
      <c r="CX100" s="352" t="s">
        <v>69</v>
      </c>
      <c r="CY100" s="352" t="s">
        <v>69</v>
      </c>
      <c r="CZ100" s="352" t="s">
        <v>69</v>
      </c>
      <c r="DA100" s="352" t="s">
        <v>69</v>
      </c>
      <c r="DB100" s="352" t="s">
        <v>69</v>
      </c>
      <c r="DC100" s="352" t="s">
        <v>69</v>
      </c>
      <c r="DD100" s="352" t="s">
        <v>69</v>
      </c>
      <c r="DE100" s="352" t="s">
        <v>69</v>
      </c>
      <c r="DF100" s="352" t="s">
        <v>69</v>
      </c>
      <c r="DG100" s="352" t="s">
        <v>69</v>
      </c>
      <c r="DH100" s="352" t="s">
        <v>69</v>
      </c>
      <c r="DI100" s="352" t="s">
        <v>69</v>
      </c>
      <c r="DJ100" s="352" t="s">
        <v>69</v>
      </c>
      <c r="DK100" s="352" t="s">
        <v>69</v>
      </c>
      <c r="DL100" s="352" t="s">
        <v>69</v>
      </c>
      <c r="DM100" s="352" t="s">
        <v>69</v>
      </c>
      <c r="DN100" s="352" t="s">
        <v>69</v>
      </c>
      <c r="DO100" s="352" t="s">
        <v>69</v>
      </c>
      <c r="DP100" s="352" t="s">
        <v>69</v>
      </c>
      <c r="DQ100" s="352" t="s">
        <v>69</v>
      </c>
      <c r="DR100" s="352" t="s">
        <v>69</v>
      </c>
      <c r="DS100" s="352" t="s">
        <v>69</v>
      </c>
      <c r="DT100" s="352" t="s">
        <v>69</v>
      </c>
      <c r="DU100" s="352" t="s">
        <v>69</v>
      </c>
      <c r="DV100" s="387">
        <f t="shared" si="2"/>
        <v>1.5873015873015872E-2</v>
      </c>
      <c r="DW100" s="389">
        <v>0.5</v>
      </c>
      <c r="DX100" s="156" t="e">
        <f>VLOOKUP(B100,[1]Pointage!$A:$D,4,0)</f>
        <v>#N/A</v>
      </c>
    </row>
    <row r="101" spans="1:128" s="156" customFormat="1" ht="128.25" hidden="1" customHeight="1">
      <c r="A101" s="312">
        <v>86</v>
      </c>
      <c r="B101" s="318" t="s">
        <v>1016</v>
      </c>
      <c r="C101" s="384" t="s">
        <v>1017</v>
      </c>
      <c r="D101" s="376">
        <v>46037</v>
      </c>
      <c r="E101" s="320" t="s">
        <v>784</v>
      </c>
      <c r="F101" s="382" t="s">
        <v>633</v>
      </c>
      <c r="G101" s="352">
        <v>2</v>
      </c>
      <c r="H101" s="352" t="s">
        <v>69</v>
      </c>
      <c r="I101" s="352">
        <v>2</v>
      </c>
      <c r="J101" s="352" t="s">
        <v>69</v>
      </c>
      <c r="K101" s="352" t="s">
        <v>69</v>
      </c>
      <c r="L101" s="352" t="s">
        <v>69</v>
      </c>
      <c r="M101" s="352" t="s">
        <v>69</v>
      </c>
      <c r="N101" s="352" t="s">
        <v>69</v>
      </c>
      <c r="O101" s="352" t="s">
        <v>69</v>
      </c>
      <c r="P101" s="352" t="s">
        <v>69</v>
      </c>
      <c r="Q101" s="352" t="s">
        <v>69</v>
      </c>
      <c r="R101" s="352" t="s">
        <v>69</v>
      </c>
      <c r="S101" s="352" t="s">
        <v>69</v>
      </c>
      <c r="T101" s="352" t="s">
        <v>69</v>
      </c>
      <c r="U101" s="352" t="s">
        <v>69</v>
      </c>
      <c r="V101" s="352" t="s">
        <v>69</v>
      </c>
      <c r="W101" s="352" t="s">
        <v>69</v>
      </c>
      <c r="X101" s="352" t="s">
        <v>69</v>
      </c>
      <c r="Y101" s="352" t="s">
        <v>69</v>
      </c>
      <c r="Z101" s="352" t="s">
        <v>69</v>
      </c>
      <c r="AA101" s="352" t="s">
        <v>69</v>
      </c>
      <c r="AB101" s="352" t="s">
        <v>69</v>
      </c>
      <c r="AC101" s="352" t="s">
        <v>69</v>
      </c>
      <c r="AD101" s="352" t="s">
        <v>69</v>
      </c>
      <c r="AE101" s="352" t="s">
        <v>69</v>
      </c>
      <c r="AF101" s="352" t="s">
        <v>69</v>
      </c>
      <c r="AG101" s="352" t="s">
        <v>69</v>
      </c>
      <c r="AH101" s="352" t="s">
        <v>69</v>
      </c>
      <c r="AI101" s="352" t="s">
        <v>69</v>
      </c>
      <c r="AJ101" s="352" t="s">
        <v>69</v>
      </c>
      <c r="AK101" s="352" t="s">
        <v>69</v>
      </c>
      <c r="AL101" s="352" t="s">
        <v>69</v>
      </c>
      <c r="AM101" s="352" t="s">
        <v>69</v>
      </c>
      <c r="AN101" s="352" t="s">
        <v>69</v>
      </c>
      <c r="AO101" s="352" t="s">
        <v>69</v>
      </c>
      <c r="AP101" s="352" t="s">
        <v>69</v>
      </c>
      <c r="AQ101" s="352" t="s">
        <v>69</v>
      </c>
      <c r="AR101" s="352" t="s">
        <v>69</v>
      </c>
      <c r="AS101" s="352" t="s">
        <v>69</v>
      </c>
      <c r="AT101" s="352" t="s">
        <v>69</v>
      </c>
      <c r="AU101" s="352" t="s">
        <v>69</v>
      </c>
      <c r="AV101" s="352" t="s">
        <v>69</v>
      </c>
      <c r="AW101" s="352" t="s">
        <v>69</v>
      </c>
      <c r="AX101" s="352" t="s">
        <v>69</v>
      </c>
      <c r="AY101" s="352" t="s">
        <v>69</v>
      </c>
      <c r="AZ101" s="352" t="s">
        <v>69</v>
      </c>
      <c r="BA101" s="352" t="s">
        <v>69</v>
      </c>
      <c r="BB101" s="352" t="s">
        <v>69</v>
      </c>
      <c r="BC101" s="352" t="s">
        <v>69</v>
      </c>
      <c r="BD101" s="352" t="s">
        <v>69</v>
      </c>
      <c r="BE101" s="352" t="s">
        <v>69</v>
      </c>
      <c r="BF101" s="352" t="s">
        <v>69</v>
      </c>
      <c r="BG101" s="352" t="s">
        <v>69</v>
      </c>
      <c r="BH101" s="352" t="s">
        <v>69</v>
      </c>
      <c r="BI101" s="352" t="s">
        <v>69</v>
      </c>
      <c r="BJ101" s="352" t="s">
        <v>69</v>
      </c>
      <c r="BK101" s="352" t="s">
        <v>69</v>
      </c>
      <c r="BL101" s="352" t="s">
        <v>69</v>
      </c>
      <c r="BM101" s="352" t="s">
        <v>69</v>
      </c>
      <c r="BN101" s="352" t="s">
        <v>69</v>
      </c>
      <c r="BO101" s="352" t="s">
        <v>69</v>
      </c>
      <c r="BP101" s="352" t="s">
        <v>69</v>
      </c>
      <c r="BQ101" s="352" t="s">
        <v>69</v>
      </c>
      <c r="BR101" s="352" t="s">
        <v>69</v>
      </c>
      <c r="BS101" s="352" t="s">
        <v>69</v>
      </c>
      <c r="BT101" s="352" t="s">
        <v>69</v>
      </c>
      <c r="BU101" s="352" t="s">
        <v>69</v>
      </c>
      <c r="BV101" s="352" t="s">
        <v>69</v>
      </c>
      <c r="BW101" s="352" t="s">
        <v>69</v>
      </c>
      <c r="BX101" s="352" t="s">
        <v>69</v>
      </c>
      <c r="BY101" s="352" t="s">
        <v>69</v>
      </c>
      <c r="BZ101" s="352" t="s">
        <v>69</v>
      </c>
      <c r="CA101" s="352" t="s">
        <v>69</v>
      </c>
      <c r="CB101" s="352" t="s">
        <v>69</v>
      </c>
      <c r="CC101" s="352" t="s">
        <v>69</v>
      </c>
      <c r="CD101" s="352" t="s">
        <v>69</v>
      </c>
      <c r="CE101" s="352" t="s">
        <v>69</v>
      </c>
      <c r="CF101" s="352" t="s">
        <v>69</v>
      </c>
      <c r="CG101" s="352" t="s">
        <v>69</v>
      </c>
      <c r="CH101" s="352" t="s">
        <v>69</v>
      </c>
      <c r="CI101" s="352" t="s">
        <v>69</v>
      </c>
      <c r="CJ101" s="352" t="s">
        <v>69</v>
      </c>
      <c r="CK101" s="352" t="s">
        <v>69</v>
      </c>
      <c r="CL101" s="352" t="s">
        <v>69</v>
      </c>
      <c r="CM101" s="352" t="s">
        <v>69</v>
      </c>
      <c r="CN101" s="352" t="s">
        <v>69</v>
      </c>
      <c r="CO101" s="352" t="s">
        <v>69</v>
      </c>
      <c r="CP101" s="352" t="s">
        <v>69</v>
      </c>
      <c r="CQ101" s="352" t="s">
        <v>69</v>
      </c>
      <c r="CR101" s="352" t="s">
        <v>69</v>
      </c>
      <c r="CS101" s="352" t="s">
        <v>69</v>
      </c>
      <c r="CT101" s="352" t="s">
        <v>69</v>
      </c>
      <c r="CU101" s="352" t="s">
        <v>69</v>
      </c>
      <c r="CV101" s="352" t="s">
        <v>69</v>
      </c>
      <c r="CW101" s="352" t="s">
        <v>69</v>
      </c>
      <c r="CX101" s="352" t="s">
        <v>69</v>
      </c>
      <c r="CY101" s="352" t="s">
        <v>69</v>
      </c>
      <c r="CZ101" s="352" t="s">
        <v>69</v>
      </c>
      <c r="DA101" s="352" t="s">
        <v>69</v>
      </c>
      <c r="DB101" s="352" t="s">
        <v>69</v>
      </c>
      <c r="DC101" s="352" t="s">
        <v>69</v>
      </c>
      <c r="DD101" s="352" t="s">
        <v>69</v>
      </c>
      <c r="DE101" s="352" t="s">
        <v>69</v>
      </c>
      <c r="DF101" s="352" t="s">
        <v>69</v>
      </c>
      <c r="DG101" s="352" t="s">
        <v>69</v>
      </c>
      <c r="DH101" s="352" t="s">
        <v>69</v>
      </c>
      <c r="DI101" s="352" t="s">
        <v>69</v>
      </c>
      <c r="DJ101" s="352" t="s">
        <v>69</v>
      </c>
      <c r="DK101" s="352" t="s">
        <v>69</v>
      </c>
      <c r="DL101" s="352" t="s">
        <v>69</v>
      </c>
      <c r="DM101" s="352" t="s">
        <v>69</v>
      </c>
      <c r="DN101" s="352" t="s">
        <v>69</v>
      </c>
      <c r="DO101" s="352" t="s">
        <v>69</v>
      </c>
      <c r="DP101" s="352" t="s">
        <v>69</v>
      </c>
      <c r="DQ101" s="352" t="s">
        <v>69</v>
      </c>
      <c r="DR101" s="352" t="s">
        <v>69</v>
      </c>
      <c r="DS101" s="352" t="s">
        <v>69</v>
      </c>
      <c r="DT101" s="352" t="s">
        <v>69</v>
      </c>
      <c r="DU101" s="352" t="s">
        <v>69</v>
      </c>
      <c r="DV101" s="387">
        <f t="shared" si="2"/>
        <v>3.1746031746031744E-2</v>
      </c>
      <c r="DW101" s="388">
        <f t="shared" si="3"/>
        <v>0</v>
      </c>
      <c r="DX101" s="156" t="str">
        <f>VLOOKUP(B101,[1]Pointage!$A:$D,4,0)</f>
        <v>Mourad Saitali</v>
      </c>
    </row>
    <row r="102" spans="1:128" s="156" customFormat="1" ht="128.25" hidden="1" customHeight="1">
      <c r="A102" s="312">
        <v>87</v>
      </c>
      <c r="B102" s="318" t="s">
        <v>1018</v>
      </c>
      <c r="C102" s="384" t="s">
        <v>1019</v>
      </c>
      <c r="D102" s="376">
        <v>46037</v>
      </c>
      <c r="E102" s="320" t="s">
        <v>784</v>
      </c>
      <c r="F102" s="382" t="s">
        <v>633</v>
      </c>
      <c r="G102" s="352" t="s">
        <v>69</v>
      </c>
      <c r="H102" s="352" t="s">
        <v>69</v>
      </c>
      <c r="I102" s="352" t="s">
        <v>69</v>
      </c>
      <c r="J102" s="352" t="s">
        <v>69</v>
      </c>
      <c r="K102" s="352" t="s">
        <v>69</v>
      </c>
      <c r="L102" s="352" t="s">
        <v>69</v>
      </c>
      <c r="M102" s="352" t="s">
        <v>69</v>
      </c>
      <c r="N102" s="352" t="s">
        <v>69</v>
      </c>
      <c r="O102" s="352" t="s">
        <v>69</v>
      </c>
      <c r="P102" s="352" t="s">
        <v>69</v>
      </c>
      <c r="Q102" s="352" t="s">
        <v>69</v>
      </c>
      <c r="R102" s="352" t="s">
        <v>69</v>
      </c>
      <c r="S102" s="352" t="s">
        <v>69</v>
      </c>
      <c r="T102" s="352" t="s">
        <v>69</v>
      </c>
      <c r="U102" s="352" t="s">
        <v>69</v>
      </c>
      <c r="V102" s="352" t="s">
        <v>69</v>
      </c>
      <c r="W102" s="352" t="s">
        <v>69</v>
      </c>
      <c r="X102" s="352" t="s">
        <v>69</v>
      </c>
      <c r="Y102" s="352" t="s">
        <v>69</v>
      </c>
      <c r="Z102" s="352" t="s">
        <v>69</v>
      </c>
      <c r="AA102" s="352" t="s">
        <v>69</v>
      </c>
      <c r="AB102" s="352" t="s">
        <v>69</v>
      </c>
      <c r="AC102" s="352" t="s">
        <v>69</v>
      </c>
      <c r="AD102" s="352" t="s">
        <v>69</v>
      </c>
      <c r="AE102" s="352" t="s">
        <v>69</v>
      </c>
      <c r="AF102" s="352" t="s">
        <v>69</v>
      </c>
      <c r="AG102" s="352" t="s">
        <v>69</v>
      </c>
      <c r="AH102" s="352" t="s">
        <v>69</v>
      </c>
      <c r="AI102" s="352">
        <v>2</v>
      </c>
      <c r="AJ102" s="352" t="s">
        <v>69</v>
      </c>
      <c r="AK102" s="352" t="s">
        <v>69</v>
      </c>
      <c r="AL102" s="352" t="s">
        <v>69</v>
      </c>
      <c r="AM102" s="352" t="s">
        <v>69</v>
      </c>
      <c r="AN102" s="352" t="s">
        <v>69</v>
      </c>
      <c r="AO102" s="352" t="s">
        <v>69</v>
      </c>
      <c r="AP102" s="352" t="s">
        <v>69</v>
      </c>
      <c r="AQ102" s="352" t="s">
        <v>69</v>
      </c>
      <c r="AR102" s="352" t="s">
        <v>69</v>
      </c>
      <c r="AS102" s="352" t="s">
        <v>69</v>
      </c>
      <c r="AT102" s="352" t="s">
        <v>69</v>
      </c>
      <c r="AU102" s="352" t="s">
        <v>69</v>
      </c>
      <c r="AV102" s="352" t="s">
        <v>69</v>
      </c>
      <c r="AW102" s="352" t="s">
        <v>69</v>
      </c>
      <c r="AX102" s="352" t="s">
        <v>69</v>
      </c>
      <c r="AY102" s="352" t="s">
        <v>69</v>
      </c>
      <c r="AZ102" s="352" t="s">
        <v>69</v>
      </c>
      <c r="BA102" s="352" t="s">
        <v>69</v>
      </c>
      <c r="BB102" s="352" t="s">
        <v>69</v>
      </c>
      <c r="BC102" s="352" t="s">
        <v>69</v>
      </c>
      <c r="BD102" s="352" t="s">
        <v>69</v>
      </c>
      <c r="BE102" s="352" t="s">
        <v>69</v>
      </c>
      <c r="BF102" s="352" t="s">
        <v>69</v>
      </c>
      <c r="BG102" s="352" t="s">
        <v>69</v>
      </c>
      <c r="BH102" s="352" t="s">
        <v>69</v>
      </c>
      <c r="BI102" s="352" t="s">
        <v>69</v>
      </c>
      <c r="BJ102" s="352" t="s">
        <v>69</v>
      </c>
      <c r="BK102" s="352" t="s">
        <v>69</v>
      </c>
      <c r="BL102" s="352" t="s">
        <v>69</v>
      </c>
      <c r="BM102" s="352" t="s">
        <v>69</v>
      </c>
      <c r="BN102" s="352" t="s">
        <v>69</v>
      </c>
      <c r="BO102" s="352" t="s">
        <v>69</v>
      </c>
      <c r="BP102" s="352" t="s">
        <v>69</v>
      </c>
      <c r="BQ102" s="352" t="s">
        <v>69</v>
      </c>
      <c r="BR102" s="352" t="s">
        <v>69</v>
      </c>
      <c r="BS102" s="352" t="s">
        <v>69</v>
      </c>
      <c r="BT102" s="352" t="s">
        <v>69</v>
      </c>
      <c r="BU102" s="352" t="s">
        <v>69</v>
      </c>
      <c r="BV102" s="352" t="s">
        <v>69</v>
      </c>
      <c r="BW102" s="352" t="s">
        <v>69</v>
      </c>
      <c r="BX102" s="352" t="s">
        <v>69</v>
      </c>
      <c r="BY102" s="352" t="s">
        <v>69</v>
      </c>
      <c r="BZ102" s="352" t="s">
        <v>69</v>
      </c>
      <c r="CA102" s="352" t="s">
        <v>69</v>
      </c>
      <c r="CB102" s="352" t="s">
        <v>69</v>
      </c>
      <c r="CC102" s="352" t="s">
        <v>69</v>
      </c>
      <c r="CD102" s="352" t="s">
        <v>69</v>
      </c>
      <c r="CE102" s="352" t="s">
        <v>69</v>
      </c>
      <c r="CF102" s="352" t="s">
        <v>69</v>
      </c>
      <c r="CG102" s="352" t="s">
        <v>69</v>
      </c>
      <c r="CH102" s="352" t="s">
        <v>69</v>
      </c>
      <c r="CI102" s="352" t="s">
        <v>69</v>
      </c>
      <c r="CJ102" s="352" t="s">
        <v>69</v>
      </c>
      <c r="CK102" s="352" t="s">
        <v>69</v>
      </c>
      <c r="CL102" s="352" t="s">
        <v>69</v>
      </c>
      <c r="CM102" s="352" t="s">
        <v>69</v>
      </c>
      <c r="CN102" s="352" t="s">
        <v>69</v>
      </c>
      <c r="CO102" s="352" t="s">
        <v>69</v>
      </c>
      <c r="CP102" s="352" t="s">
        <v>69</v>
      </c>
      <c r="CQ102" s="352" t="s">
        <v>69</v>
      </c>
      <c r="CR102" s="352" t="s">
        <v>69</v>
      </c>
      <c r="CS102" s="352" t="s">
        <v>69</v>
      </c>
      <c r="CT102" s="352" t="s">
        <v>69</v>
      </c>
      <c r="CU102" s="352" t="s">
        <v>69</v>
      </c>
      <c r="CV102" s="352" t="s">
        <v>69</v>
      </c>
      <c r="CW102" s="352" t="s">
        <v>69</v>
      </c>
      <c r="CX102" s="352" t="s">
        <v>69</v>
      </c>
      <c r="CY102" s="352" t="s">
        <v>69</v>
      </c>
      <c r="CZ102" s="352" t="s">
        <v>69</v>
      </c>
      <c r="DA102" s="352" t="s">
        <v>69</v>
      </c>
      <c r="DB102" s="352" t="s">
        <v>69</v>
      </c>
      <c r="DC102" s="352">
        <v>2</v>
      </c>
      <c r="DD102" s="352" t="s">
        <v>69</v>
      </c>
      <c r="DE102" s="352" t="s">
        <v>69</v>
      </c>
      <c r="DF102" s="352" t="s">
        <v>69</v>
      </c>
      <c r="DG102" s="352" t="s">
        <v>69</v>
      </c>
      <c r="DH102" s="352" t="s">
        <v>69</v>
      </c>
      <c r="DI102" s="352" t="s">
        <v>69</v>
      </c>
      <c r="DJ102" s="352" t="s">
        <v>69</v>
      </c>
      <c r="DK102" s="352" t="s">
        <v>69</v>
      </c>
      <c r="DL102" s="352" t="s">
        <v>69</v>
      </c>
      <c r="DM102" s="352" t="s">
        <v>69</v>
      </c>
      <c r="DN102" s="352" t="s">
        <v>69</v>
      </c>
      <c r="DO102" s="352" t="s">
        <v>69</v>
      </c>
      <c r="DP102" s="352" t="s">
        <v>69</v>
      </c>
      <c r="DQ102" s="352" t="s">
        <v>69</v>
      </c>
      <c r="DR102" s="352" t="s">
        <v>69</v>
      </c>
      <c r="DS102" s="352" t="s">
        <v>69</v>
      </c>
      <c r="DT102" s="352" t="s">
        <v>69</v>
      </c>
      <c r="DU102" s="352" t="s">
        <v>69</v>
      </c>
      <c r="DV102" s="387">
        <f t="shared" si="2"/>
        <v>3.1746031746031744E-2</v>
      </c>
      <c r="DW102" s="388">
        <f t="shared" si="3"/>
        <v>0</v>
      </c>
      <c r="DX102" s="156" t="str">
        <f>VLOOKUP(B102,[1]Pointage!$A:$D,4,0)</f>
        <v>Mourad Saitali</v>
      </c>
    </row>
    <row r="103" spans="1:128" s="156" customFormat="1" ht="128.25" hidden="1" customHeight="1">
      <c r="A103" s="312">
        <v>88</v>
      </c>
      <c r="B103" s="318" t="s">
        <v>1024</v>
      </c>
      <c r="C103" s="384" t="s">
        <v>1025</v>
      </c>
      <c r="D103" s="376">
        <v>46039</v>
      </c>
      <c r="E103" s="320" t="s">
        <v>784</v>
      </c>
      <c r="F103" s="382" t="s">
        <v>633</v>
      </c>
      <c r="G103" s="352">
        <v>3</v>
      </c>
      <c r="H103" s="352" t="s">
        <v>69</v>
      </c>
      <c r="I103" s="352">
        <v>3</v>
      </c>
      <c r="J103" s="352" t="s">
        <v>69</v>
      </c>
      <c r="K103" s="352" t="s">
        <v>69</v>
      </c>
      <c r="L103" s="352" t="s">
        <v>69</v>
      </c>
      <c r="M103" s="352" t="s">
        <v>69</v>
      </c>
      <c r="N103" s="352" t="s">
        <v>69</v>
      </c>
      <c r="O103" s="352" t="s">
        <v>69</v>
      </c>
      <c r="P103" s="352">
        <v>3</v>
      </c>
      <c r="Q103" s="352" t="s">
        <v>69</v>
      </c>
      <c r="R103" s="352" t="s">
        <v>69</v>
      </c>
      <c r="S103" s="352" t="s">
        <v>69</v>
      </c>
      <c r="T103" s="352" t="s">
        <v>69</v>
      </c>
      <c r="U103" s="352" t="s">
        <v>69</v>
      </c>
      <c r="V103" s="352" t="s">
        <v>69</v>
      </c>
      <c r="W103" s="352" t="s">
        <v>69</v>
      </c>
      <c r="X103" s="352" t="s">
        <v>69</v>
      </c>
      <c r="Y103" s="352" t="s">
        <v>69</v>
      </c>
      <c r="Z103" s="352" t="s">
        <v>69</v>
      </c>
      <c r="AA103" s="352" t="s">
        <v>69</v>
      </c>
      <c r="AB103" s="352" t="s">
        <v>69</v>
      </c>
      <c r="AC103" s="352" t="s">
        <v>69</v>
      </c>
      <c r="AD103" s="352" t="s">
        <v>69</v>
      </c>
      <c r="AE103" s="352" t="s">
        <v>69</v>
      </c>
      <c r="AF103" s="352" t="s">
        <v>69</v>
      </c>
      <c r="AG103" s="352" t="s">
        <v>69</v>
      </c>
      <c r="AH103" s="352" t="s">
        <v>69</v>
      </c>
      <c r="AI103" s="352" t="s">
        <v>69</v>
      </c>
      <c r="AJ103" s="352" t="s">
        <v>69</v>
      </c>
      <c r="AK103" s="352" t="s">
        <v>69</v>
      </c>
      <c r="AL103" s="352" t="s">
        <v>69</v>
      </c>
      <c r="AM103" s="352" t="s">
        <v>69</v>
      </c>
      <c r="AN103" s="352" t="s">
        <v>69</v>
      </c>
      <c r="AO103" s="352" t="s">
        <v>69</v>
      </c>
      <c r="AP103" s="352" t="s">
        <v>69</v>
      </c>
      <c r="AQ103" s="352" t="s">
        <v>69</v>
      </c>
      <c r="AR103" s="352" t="s">
        <v>69</v>
      </c>
      <c r="AS103" s="352">
        <v>3</v>
      </c>
      <c r="AT103" s="352" t="s">
        <v>69</v>
      </c>
      <c r="AU103" s="352" t="s">
        <v>69</v>
      </c>
      <c r="AV103" s="352">
        <v>3</v>
      </c>
      <c r="AW103" s="352" t="s">
        <v>69</v>
      </c>
      <c r="AX103" s="352" t="s">
        <v>69</v>
      </c>
      <c r="AY103" s="352">
        <v>3</v>
      </c>
      <c r="AZ103" s="352" t="s">
        <v>69</v>
      </c>
      <c r="BA103" s="352" t="s">
        <v>69</v>
      </c>
      <c r="BB103" s="352" t="s">
        <v>69</v>
      </c>
      <c r="BC103" s="352" t="s">
        <v>69</v>
      </c>
      <c r="BD103" s="352" t="s">
        <v>69</v>
      </c>
      <c r="BE103" s="352" t="s">
        <v>69</v>
      </c>
      <c r="BF103" s="352" t="s">
        <v>69</v>
      </c>
      <c r="BG103" s="352" t="s">
        <v>69</v>
      </c>
      <c r="BH103" s="352" t="s">
        <v>69</v>
      </c>
      <c r="BI103" s="352" t="s">
        <v>69</v>
      </c>
      <c r="BJ103" s="352" t="s">
        <v>69</v>
      </c>
      <c r="BK103" s="352" t="s">
        <v>69</v>
      </c>
      <c r="BL103" s="352" t="s">
        <v>69</v>
      </c>
      <c r="BM103" s="352" t="s">
        <v>69</v>
      </c>
      <c r="BN103" s="352" t="s">
        <v>69</v>
      </c>
      <c r="BO103" s="352" t="s">
        <v>69</v>
      </c>
      <c r="BP103" s="352" t="s">
        <v>69</v>
      </c>
      <c r="BQ103" s="352" t="s">
        <v>69</v>
      </c>
      <c r="BR103" s="352" t="s">
        <v>69</v>
      </c>
      <c r="BS103" s="352">
        <v>3</v>
      </c>
      <c r="BT103" s="352" t="s">
        <v>69</v>
      </c>
      <c r="BU103" s="352" t="s">
        <v>69</v>
      </c>
      <c r="BV103" s="352" t="s">
        <v>69</v>
      </c>
      <c r="BW103" s="352" t="s">
        <v>69</v>
      </c>
      <c r="BX103" s="352" t="s">
        <v>69</v>
      </c>
      <c r="BY103" s="352" t="s">
        <v>69</v>
      </c>
      <c r="BZ103" s="352" t="s">
        <v>69</v>
      </c>
      <c r="CA103" s="352" t="s">
        <v>69</v>
      </c>
      <c r="CB103" s="352" t="s">
        <v>69</v>
      </c>
      <c r="CC103" s="352" t="s">
        <v>69</v>
      </c>
      <c r="CD103" s="352" t="s">
        <v>69</v>
      </c>
      <c r="CE103" s="352" t="s">
        <v>69</v>
      </c>
      <c r="CF103" s="352" t="s">
        <v>69</v>
      </c>
      <c r="CG103" s="352" t="s">
        <v>69</v>
      </c>
      <c r="CH103" s="352" t="s">
        <v>69</v>
      </c>
      <c r="CI103" s="352">
        <v>3</v>
      </c>
      <c r="CJ103" s="352">
        <v>3</v>
      </c>
      <c r="CK103" s="352">
        <v>2</v>
      </c>
      <c r="CL103" s="352" t="s">
        <v>69</v>
      </c>
      <c r="CM103" s="352" t="s">
        <v>69</v>
      </c>
      <c r="CN103" s="352" t="s">
        <v>69</v>
      </c>
      <c r="CO103" s="352" t="s">
        <v>69</v>
      </c>
      <c r="CP103" s="352" t="s">
        <v>69</v>
      </c>
      <c r="CQ103" s="352" t="s">
        <v>69</v>
      </c>
      <c r="CR103" s="352" t="s">
        <v>69</v>
      </c>
      <c r="CS103" s="352" t="s">
        <v>69</v>
      </c>
      <c r="CT103" s="352" t="s">
        <v>69</v>
      </c>
      <c r="CU103" s="352" t="s">
        <v>69</v>
      </c>
      <c r="CV103" s="352" t="s">
        <v>69</v>
      </c>
      <c r="CW103" s="352" t="s">
        <v>69</v>
      </c>
      <c r="CX103" s="352" t="s">
        <v>69</v>
      </c>
      <c r="CY103" s="352" t="s">
        <v>69</v>
      </c>
      <c r="CZ103" s="352" t="s">
        <v>69</v>
      </c>
      <c r="DA103" s="352" t="s">
        <v>69</v>
      </c>
      <c r="DB103" s="352" t="s">
        <v>69</v>
      </c>
      <c r="DC103" s="352" t="s">
        <v>69</v>
      </c>
      <c r="DD103" s="352" t="s">
        <v>69</v>
      </c>
      <c r="DE103" s="352" t="s">
        <v>69</v>
      </c>
      <c r="DF103" s="352" t="s">
        <v>69</v>
      </c>
      <c r="DG103" s="352" t="s">
        <v>69</v>
      </c>
      <c r="DH103" s="352" t="s">
        <v>69</v>
      </c>
      <c r="DI103" s="352" t="s">
        <v>69</v>
      </c>
      <c r="DJ103" s="352" t="s">
        <v>69</v>
      </c>
      <c r="DK103" s="352" t="s">
        <v>69</v>
      </c>
      <c r="DL103" s="352" t="s">
        <v>69</v>
      </c>
      <c r="DM103" s="352" t="s">
        <v>69</v>
      </c>
      <c r="DN103" s="352" t="s">
        <v>69</v>
      </c>
      <c r="DO103" s="352" t="s">
        <v>69</v>
      </c>
      <c r="DP103" s="352" t="s">
        <v>69</v>
      </c>
      <c r="DQ103" s="352" t="s">
        <v>69</v>
      </c>
      <c r="DR103" s="352" t="s">
        <v>69</v>
      </c>
      <c r="DS103" s="352" t="s">
        <v>69</v>
      </c>
      <c r="DT103" s="352" t="s">
        <v>69</v>
      </c>
      <c r="DU103" s="352" t="s">
        <v>69</v>
      </c>
      <c r="DV103" s="387">
        <f t="shared" si="2"/>
        <v>0.15873015873015872</v>
      </c>
      <c r="DW103" s="388">
        <f t="shared" si="3"/>
        <v>0.9</v>
      </c>
      <c r="DX103" s="156" t="e">
        <f>VLOOKUP(B103,[1]Pointage!$A:$D,4,0)</f>
        <v>#N/A</v>
      </c>
    </row>
    <row r="104" spans="1:128" s="156" customFormat="1" ht="128.25" hidden="1" customHeight="1">
      <c r="A104" s="312">
        <v>89</v>
      </c>
      <c r="B104" s="318" t="s">
        <v>1022</v>
      </c>
      <c r="C104" s="384" t="s">
        <v>1023</v>
      </c>
      <c r="D104" s="376">
        <v>46040</v>
      </c>
      <c r="E104" s="320" t="s">
        <v>784</v>
      </c>
      <c r="F104" s="382" t="s">
        <v>633</v>
      </c>
      <c r="G104" s="352">
        <v>2</v>
      </c>
      <c r="H104" s="352" t="s">
        <v>69</v>
      </c>
      <c r="I104" s="352">
        <v>2</v>
      </c>
      <c r="J104" s="352" t="s">
        <v>69</v>
      </c>
      <c r="K104" s="352" t="s">
        <v>69</v>
      </c>
      <c r="L104" s="352" t="s">
        <v>69</v>
      </c>
      <c r="M104" s="352" t="s">
        <v>69</v>
      </c>
      <c r="N104" s="352" t="s">
        <v>69</v>
      </c>
      <c r="O104" s="352" t="s">
        <v>69</v>
      </c>
      <c r="P104" s="352">
        <v>2</v>
      </c>
      <c r="Q104" s="352" t="s">
        <v>69</v>
      </c>
      <c r="R104" s="352" t="s">
        <v>69</v>
      </c>
      <c r="S104" s="352" t="s">
        <v>69</v>
      </c>
      <c r="T104" s="352" t="s">
        <v>69</v>
      </c>
      <c r="U104" s="352" t="s">
        <v>69</v>
      </c>
      <c r="V104" s="352" t="s">
        <v>69</v>
      </c>
      <c r="W104" s="352" t="s">
        <v>69</v>
      </c>
      <c r="X104" s="352" t="s">
        <v>69</v>
      </c>
      <c r="Y104" s="352" t="s">
        <v>69</v>
      </c>
      <c r="Z104" s="352" t="s">
        <v>69</v>
      </c>
      <c r="AA104" s="352" t="s">
        <v>69</v>
      </c>
      <c r="AB104" s="352" t="s">
        <v>69</v>
      </c>
      <c r="AC104" s="352" t="s">
        <v>69</v>
      </c>
      <c r="AD104" s="352" t="s">
        <v>69</v>
      </c>
      <c r="AE104" s="352" t="s">
        <v>69</v>
      </c>
      <c r="AF104" s="352" t="s">
        <v>69</v>
      </c>
      <c r="AG104" s="352" t="s">
        <v>69</v>
      </c>
      <c r="AH104" s="352" t="s">
        <v>69</v>
      </c>
      <c r="AI104" s="352" t="s">
        <v>69</v>
      </c>
      <c r="AJ104" s="352" t="s">
        <v>69</v>
      </c>
      <c r="AK104" s="352" t="s">
        <v>69</v>
      </c>
      <c r="AL104" s="352" t="s">
        <v>69</v>
      </c>
      <c r="AM104" s="352" t="s">
        <v>69</v>
      </c>
      <c r="AN104" s="352" t="s">
        <v>69</v>
      </c>
      <c r="AO104" s="352" t="s">
        <v>69</v>
      </c>
      <c r="AP104" s="352" t="s">
        <v>69</v>
      </c>
      <c r="AQ104" s="352" t="s">
        <v>69</v>
      </c>
      <c r="AR104" s="352" t="s">
        <v>69</v>
      </c>
      <c r="AS104" s="352">
        <v>2</v>
      </c>
      <c r="AT104" s="352" t="s">
        <v>69</v>
      </c>
      <c r="AU104" s="352" t="s">
        <v>69</v>
      </c>
      <c r="AV104" s="352">
        <v>2</v>
      </c>
      <c r="AW104" s="352">
        <v>2</v>
      </c>
      <c r="AX104" s="352" t="s">
        <v>69</v>
      </c>
      <c r="AY104" s="352">
        <v>2</v>
      </c>
      <c r="AZ104" s="352" t="s">
        <v>69</v>
      </c>
      <c r="BA104" s="352" t="s">
        <v>69</v>
      </c>
      <c r="BB104" s="352" t="s">
        <v>69</v>
      </c>
      <c r="BC104" s="352" t="s">
        <v>69</v>
      </c>
      <c r="BD104" s="352" t="s">
        <v>69</v>
      </c>
      <c r="BE104" s="352" t="s">
        <v>69</v>
      </c>
      <c r="BF104" s="352" t="s">
        <v>69</v>
      </c>
      <c r="BG104" s="352" t="s">
        <v>69</v>
      </c>
      <c r="BH104" s="352" t="s">
        <v>69</v>
      </c>
      <c r="BI104" s="352" t="s">
        <v>69</v>
      </c>
      <c r="BJ104" s="352" t="s">
        <v>69</v>
      </c>
      <c r="BK104" s="352" t="s">
        <v>69</v>
      </c>
      <c r="BL104" s="352" t="s">
        <v>69</v>
      </c>
      <c r="BM104" s="352" t="s">
        <v>69</v>
      </c>
      <c r="BN104" s="352" t="s">
        <v>69</v>
      </c>
      <c r="BO104" s="352" t="s">
        <v>69</v>
      </c>
      <c r="BP104" s="352" t="s">
        <v>69</v>
      </c>
      <c r="BQ104" s="352" t="s">
        <v>69</v>
      </c>
      <c r="BR104" s="352">
        <v>4</v>
      </c>
      <c r="BS104" s="352" t="s">
        <v>69</v>
      </c>
      <c r="BT104" s="352" t="s">
        <v>69</v>
      </c>
      <c r="BU104" s="352" t="s">
        <v>69</v>
      </c>
      <c r="BV104" s="352" t="s">
        <v>69</v>
      </c>
      <c r="BW104" s="352" t="s">
        <v>69</v>
      </c>
      <c r="BX104" s="352" t="s">
        <v>69</v>
      </c>
      <c r="BY104" s="352" t="s">
        <v>69</v>
      </c>
      <c r="BZ104" s="352" t="s">
        <v>69</v>
      </c>
      <c r="CA104" s="352" t="s">
        <v>69</v>
      </c>
      <c r="CB104" s="352" t="s">
        <v>69</v>
      </c>
      <c r="CC104" s="352" t="s">
        <v>69</v>
      </c>
      <c r="CD104" s="352" t="s">
        <v>69</v>
      </c>
      <c r="CE104" s="352" t="s">
        <v>69</v>
      </c>
      <c r="CF104" s="352" t="s">
        <v>69</v>
      </c>
      <c r="CG104" s="352">
        <v>4</v>
      </c>
      <c r="CH104" s="352" t="s">
        <v>69</v>
      </c>
      <c r="CI104" s="352" t="s">
        <v>69</v>
      </c>
      <c r="CJ104" s="352" t="s">
        <v>69</v>
      </c>
      <c r="CK104" s="352" t="s">
        <v>69</v>
      </c>
      <c r="CL104" s="352" t="s">
        <v>69</v>
      </c>
      <c r="CM104" s="352" t="s">
        <v>69</v>
      </c>
      <c r="CN104" s="352" t="s">
        <v>69</v>
      </c>
      <c r="CO104" s="352" t="s">
        <v>69</v>
      </c>
      <c r="CP104" s="352" t="s">
        <v>69</v>
      </c>
      <c r="CQ104" s="352" t="s">
        <v>69</v>
      </c>
      <c r="CR104" s="352" t="s">
        <v>69</v>
      </c>
      <c r="CS104" s="352" t="s">
        <v>69</v>
      </c>
      <c r="CT104" s="352" t="s">
        <v>69</v>
      </c>
      <c r="CU104" s="352" t="s">
        <v>69</v>
      </c>
      <c r="CV104" s="352" t="s">
        <v>69</v>
      </c>
      <c r="CW104" s="352" t="s">
        <v>69</v>
      </c>
      <c r="CX104" s="352" t="s">
        <v>69</v>
      </c>
      <c r="CY104" s="352" t="s">
        <v>69</v>
      </c>
      <c r="CZ104" s="352" t="s">
        <v>69</v>
      </c>
      <c r="DA104" s="352" t="s">
        <v>69</v>
      </c>
      <c r="DB104" s="352" t="s">
        <v>69</v>
      </c>
      <c r="DC104" s="352" t="s">
        <v>69</v>
      </c>
      <c r="DD104" s="352" t="s">
        <v>69</v>
      </c>
      <c r="DE104" s="352" t="s">
        <v>69</v>
      </c>
      <c r="DF104" s="352" t="s">
        <v>69</v>
      </c>
      <c r="DG104" s="352" t="s">
        <v>69</v>
      </c>
      <c r="DH104" s="352" t="s">
        <v>69</v>
      </c>
      <c r="DI104" s="352" t="s">
        <v>69</v>
      </c>
      <c r="DJ104" s="352" t="s">
        <v>69</v>
      </c>
      <c r="DK104" s="352" t="s">
        <v>69</v>
      </c>
      <c r="DL104" s="352" t="s">
        <v>69</v>
      </c>
      <c r="DM104" s="352" t="s">
        <v>69</v>
      </c>
      <c r="DN104" s="352" t="s">
        <v>69</v>
      </c>
      <c r="DO104" s="352" t="s">
        <v>69</v>
      </c>
      <c r="DP104" s="352" t="s">
        <v>69</v>
      </c>
      <c r="DQ104" s="352" t="s">
        <v>69</v>
      </c>
      <c r="DR104" s="352" t="s">
        <v>69</v>
      </c>
      <c r="DS104" s="352" t="s">
        <v>69</v>
      </c>
      <c r="DT104" s="352" t="s">
        <v>69</v>
      </c>
      <c r="DU104" s="352" t="s">
        <v>69</v>
      </c>
      <c r="DV104" s="387">
        <f t="shared" si="2"/>
        <v>0.14285714285714285</v>
      </c>
      <c r="DW104" s="388">
        <f t="shared" si="3"/>
        <v>0.22222222222222221</v>
      </c>
      <c r="DX104" s="156" t="str">
        <f>VLOOKUP(B104,[1]Pointage!$A:$D,4,0)</f>
        <v>El Yamani Noura</v>
      </c>
    </row>
    <row r="105" spans="1:128" s="156" customFormat="1" ht="128.25" hidden="1" customHeight="1">
      <c r="A105" s="312">
        <v>90</v>
      </c>
      <c r="B105" s="318" t="s">
        <v>1020</v>
      </c>
      <c r="C105" s="384" t="s">
        <v>1021</v>
      </c>
      <c r="D105" s="376">
        <v>46041</v>
      </c>
      <c r="E105" s="320" t="s">
        <v>784</v>
      </c>
      <c r="F105" s="382" t="s">
        <v>633</v>
      </c>
      <c r="G105" s="352">
        <v>2</v>
      </c>
      <c r="H105" s="352">
        <v>2</v>
      </c>
      <c r="I105" s="352">
        <v>2</v>
      </c>
      <c r="J105" s="352">
        <v>2</v>
      </c>
      <c r="K105" s="352" t="s">
        <v>69</v>
      </c>
      <c r="L105" s="352" t="s">
        <v>69</v>
      </c>
      <c r="M105" s="352" t="s">
        <v>69</v>
      </c>
      <c r="N105" s="352" t="s">
        <v>69</v>
      </c>
      <c r="O105" s="352" t="s">
        <v>69</v>
      </c>
      <c r="P105" s="352" t="s">
        <v>69</v>
      </c>
      <c r="Q105" s="352" t="s">
        <v>69</v>
      </c>
      <c r="R105" s="352" t="s">
        <v>69</v>
      </c>
      <c r="S105" s="352" t="s">
        <v>69</v>
      </c>
      <c r="T105" s="352" t="s">
        <v>69</v>
      </c>
      <c r="U105" s="352" t="s">
        <v>69</v>
      </c>
      <c r="V105" s="352" t="s">
        <v>69</v>
      </c>
      <c r="W105" s="352" t="s">
        <v>69</v>
      </c>
      <c r="X105" s="352" t="s">
        <v>69</v>
      </c>
      <c r="Y105" s="352" t="s">
        <v>69</v>
      </c>
      <c r="Z105" s="352" t="s">
        <v>69</v>
      </c>
      <c r="AA105" s="352" t="s">
        <v>69</v>
      </c>
      <c r="AB105" s="352" t="s">
        <v>69</v>
      </c>
      <c r="AC105" s="352" t="s">
        <v>69</v>
      </c>
      <c r="AD105" s="352" t="s">
        <v>69</v>
      </c>
      <c r="AE105" s="352" t="s">
        <v>69</v>
      </c>
      <c r="AF105" s="352" t="s">
        <v>69</v>
      </c>
      <c r="AG105" s="352" t="s">
        <v>69</v>
      </c>
      <c r="AH105" s="352" t="s">
        <v>69</v>
      </c>
      <c r="AI105" s="352" t="s">
        <v>69</v>
      </c>
      <c r="AJ105" s="352" t="s">
        <v>69</v>
      </c>
      <c r="AK105" s="352" t="s">
        <v>69</v>
      </c>
      <c r="AL105" s="352" t="s">
        <v>69</v>
      </c>
      <c r="AM105" s="352" t="s">
        <v>69</v>
      </c>
      <c r="AN105" s="352" t="s">
        <v>69</v>
      </c>
      <c r="AO105" s="352">
        <v>2</v>
      </c>
      <c r="AP105" s="352" t="s">
        <v>69</v>
      </c>
      <c r="AQ105" s="352" t="s">
        <v>69</v>
      </c>
      <c r="AR105" s="352" t="s">
        <v>69</v>
      </c>
      <c r="AS105" s="352">
        <v>2</v>
      </c>
      <c r="AT105" s="352">
        <v>2</v>
      </c>
      <c r="AU105" s="352" t="s">
        <v>69</v>
      </c>
      <c r="AV105" s="352">
        <v>2</v>
      </c>
      <c r="AW105" s="352">
        <v>2</v>
      </c>
      <c r="AX105" s="352" t="s">
        <v>69</v>
      </c>
      <c r="AY105" s="352" t="s">
        <v>69</v>
      </c>
      <c r="AZ105" s="352">
        <v>2</v>
      </c>
      <c r="BA105" s="352" t="s">
        <v>69</v>
      </c>
      <c r="BB105" s="352" t="s">
        <v>69</v>
      </c>
      <c r="BC105" s="352" t="s">
        <v>69</v>
      </c>
      <c r="BD105" s="352" t="s">
        <v>69</v>
      </c>
      <c r="BE105" s="352" t="s">
        <v>69</v>
      </c>
      <c r="BF105" s="352">
        <v>2</v>
      </c>
      <c r="BG105" s="352" t="s">
        <v>69</v>
      </c>
      <c r="BH105" s="352" t="s">
        <v>69</v>
      </c>
      <c r="BI105" s="352" t="s">
        <v>69</v>
      </c>
      <c r="BJ105" s="352" t="s">
        <v>69</v>
      </c>
      <c r="BK105" s="352" t="s">
        <v>69</v>
      </c>
      <c r="BL105" s="352" t="s">
        <v>69</v>
      </c>
      <c r="BM105" s="352" t="s">
        <v>69</v>
      </c>
      <c r="BN105" s="352" t="s">
        <v>69</v>
      </c>
      <c r="BO105" s="352" t="s">
        <v>69</v>
      </c>
      <c r="BP105" s="352" t="s">
        <v>69</v>
      </c>
      <c r="BQ105" s="352" t="s">
        <v>69</v>
      </c>
      <c r="BR105" s="352" t="s">
        <v>69</v>
      </c>
      <c r="BS105" s="352" t="s">
        <v>69</v>
      </c>
      <c r="BT105" s="352" t="s">
        <v>69</v>
      </c>
      <c r="BU105" s="352" t="s">
        <v>69</v>
      </c>
      <c r="BV105" s="352" t="s">
        <v>69</v>
      </c>
      <c r="BW105" s="352" t="s">
        <v>69</v>
      </c>
      <c r="BX105" s="352" t="s">
        <v>69</v>
      </c>
      <c r="BY105" s="352" t="s">
        <v>69</v>
      </c>
      <c r="BZ105" s="352" t="s">
        <v>69</v>
      </c>
      <c r="CA105" s="352" t="s">
        <v>69</v>
      </c>
      <c r="CB105" s="352" t="s">
        <v>69</v>
      </c>
      <c r="CC105" s="352" t="s">
        <v>69</v>
      </c>
      <c r="CD105" s="352" t="s">
        <v>69</v>
      </c>
      <c r="CE105" s="352" t="s">
        <v>69</v>
      </c>
      <c r="CF105" s="352" t="s">
        <v>69</v>
      </c>
      <c r="CG105" s="352" t="s">
        <v>69</v>
      </c>
      <c r="CH105" s="352" t="s">
        <v>69</v>
      </c>
      <c r="CI105" s="352" t="s">
        <v>69</v>
      </c>
      <c r="CJ105" s="352" t="s">
        <v>69</v>
      </c>
      <c r="CK105" s="352" t="s">
        <v>69</v>
      </c>
      <c r="CL105" s="352" t="s">
        <v>69</v>
      </c>
      <c r="CM105" s="352" t="s">
        <v>69</v>
      </c>
      <c r="CN105" s="352" t="s">
        <v>69</v>
      </c>
      <c r="CO105" s="352" t="s">
        <v>69</v>
      </c>
      <c r="CP105" s="352" t="s">
        <v>69</v>
      </c>
      <c r="CQ105" s="352" t="s">
        <v>69</v>
      </c>
      <c r="CR105" s="352" t="s">
        <v>69</v>
      </c>
      <c r="CS105" s="352" t="s">
        <v>69</v>
      </c>
      <c r="CT105" s="352" t="s">
        <v>69</v>
      </c>
      <c r="CU105" s="352" t="s">
        <v>69</v>
      </c>
      <c r="CV105" s="352" t="s">
        <v>69</v>
      </c>
      <c r="CW105" s="352" t="s">
        <v>69</v>
      </c>
      <c r="CX105" s="352" t="s">
        <v>69</v>
      </c>
      <c r="CY105" s="352" t="s">
        <v>69</v>
      </c>
      <c r="CZ105" s="352" t="s">
        <v>69</v>
      </c>
      <c r="DA105" s="352" t="s">
        <v>69</v>
      </c>
      <c r="DB105" s="352" t="s">
        <v>69</v>
      </c>
      <c r="DC105" s="352" t="s">
        <v>69</v>
      </c>
      <c r="DD105" s="352" t="s">
        <v>69</v>
      </c>
      <c r="DE105" s="352" t="s">
        <v>69</v>
      </c>
      <c r="DF105" s="352" t="s">
        <v>69</v>
      </c>
      <c r="DG105" s="352" t="s">
        <v>69</v>
      </c>
      <c r="DH105" s="352" t="s">
        <v>69</v>
      </c>
      <c r="DI105" s="352" t="s">
        <v>69</v>
      </c>
      <c r="DJ105" s="352" t="s">
        <v>69</v>
      </c>
      <c r="DK105" s="352" t="s">
        <v>69</v>
      </c>
      <c r="DL105" s="352" t="s">
        <v>69</v>
      </c>
      <c r="DM105" s="352" t="s">
        <v>69</v>
      </c>
      <c r="DN105" s="352" t="s">
        <v>69</v>
      </c>
      <c r="DO105" s="352" t="s">
        <v>69</v>
      </c>
      <c r="DP105" s="352" t="s">
        <v>69</v>
      </c>
      <c r="DQ105" s="352" t="s">
        <v>69</v>
      </c>
      <c r="DR105" s="352" t="s">
        <v>69</v>
      </c>
      <c r="DS105" s="352" t="s">
        <v>69</v>
      </c>
      <c r="DT105" s="352" t="s">
        <v>69</v>
      </c>
      <c r="DU105" s="352" t="s">
        <v>69</v>
      </c>
      <c r="DV105" s="387">
        <f t="shared" si="2"/>
        <v>0.17460317460317459</v>
      </c>
      <c r="DW105" s="388">
        <f t="shared" si="3"/>
        <v>0</v>
      </c>
      <c r="DX105" s="156" t="e">
        <f>VLOOKUP(B105,[1]Pointage!$A:$D,4,0)</f>
        <v>#N/A</v>
      </c>
    </row>
    <row r="106" spans="1:128" s="156" customFormat="1" ht="128.25" hidden="1" customHeight="1">
      <c r="A106" s="312">
        <v>91</v>
      </c>
      <c r="B106" s="318" t="s">
        <v>1087</v>
      </c>
      <c r="C106" s="384" t="s">
        <v>1088</v>
      </c>
      <c r="D106" s="376">
        <v>46042</v>
      </c>
      <c r="E106" s="320" t="s">
        <v>784</v>
      </c>
      <c r="F106" s="382" t="s">
        <v>633</v>
      </c>
      <c r="G106" s="352">
        <v>2</v>
      </c>
      <c r="H106" s="352" t="s">
        <v>69</v>
      </c>
      <c r="I106" s="352" t="s">
        <v>69</v>
      </c>
      <c r="J106" s="352">
        <v>2</v>
      </c>
      <c r="K106" s="352" t="s">
        <v>69</v>
      </c>
      <c r="L106" s="352" t="s">
        <v>69</v>
      </c>
      <c r="M106" s="352" t="s">
        <v>69</v>
      </c>
      <c r="N106" s="352" t="s">
        <v>69</v>
      </c>
      <c r="O106" s="352" t="s">
        <v>69</v>
      </c>
      <c r="P106" s="352" t="s">
        <v>69</v>
      </c>
      <c r="Q106" s="352" t="s">
        <v>69</v>
      </c>
      <c r="R106" s="352" t="s">
        <v>69</v>
      </c>
      <c r="S106" s="352" t="s">
        <v>69</v>
      </c>
      <c r="T106" s="352" t="s">
        <v>69</v>
      </c>
      <c r="U106" s="352" t="s">
        <v>69</v>
      </c>
      <c r="V106" s="352" t="s">
        <v>69</v>
      </c>
      <c r="W106" s="352" t="s">
        <v>69</v>
      </c>
      <c r="X106" s="352" t="s">
        <v>69</v>
      </c>
      <c r="Y106" s="352" t="s">
        <v>69</v>
      </c>
      <c r="Z106" s="352" t="s">
        <v>69</v>
      </c>
      <c r="AA106" s="352" t="s">
        <v>69</v>
      </c>
      <c r="AB106" s="352" t="s">
        <v>69</v>
      </c>
      <c r="AC106" s="352" t="s">
        <v>69</v>
      </c>
      <c r="AD106" s="352" t="s">
        <v>69</v>
      </c>
      <c r="AE106" s="352" t="s">
        <v>69</v>
      </c>
      <c r="AF106" s="352" t="s">
        <v>69</v>
      </c>
      <c r="AG106" s="352" t="s">
        <v>69</v>
      </c>
      <c r="AH106" s="352" t="s">
        <v>69</v>
      </c>
      <c r="AI106" s="352" t="s">
        <v>69</v>
      </c>
      <c r="AJ106" s="352" t="s">
        <v>69</v>
      </c>
      <c r="AK106" s="352" t="s">
        <v>69</v>
      </c>
      <c r="AL106" s="352" t="s">
        <v>69</v>
      </c>
      <c r="AM106" s="352" t="s">
        <v>69</v>
      </c>
      <c r="AN106" s="352" t="s">
        <v>69</v>
      </c>
      <c r="AO106" s="352" t="s">
        <v>69</v>
      </c>
      <c r="AP106" s="352" t="s">
        <v>69</v>
      </c>
      <c r="AQ106" s="352" t="s">
        <v>69</v>
      </c>
      <c r="AR106" s="352" t="s">
        <v>69</v>
      </c>
      <c r="AS106" s="352" t="s">
        <v>69</v>
      </c>
      <c r="AT106" s="352">
        <v>2</v>
      </c>
      <c r="AU106" s="352">
        <v>2</v>
      </c>
      <c r="AV106" s="352">
        <v>2</v>
      </c>
      <c r="AW106" s="352" t="s">
        <v>69</v>
      </c>
      <c r="AX106" s="352" t="s">
        <v>69</v>
      </c>
      <c r="AY106" s="352" t="s">
        <v>69</v>
      </c>
      <c r="AZ106" s="352" t="s">
        <v>69</v>
      </c>
      <c r="BA106" s="352" t="s">
        <v>69</v>
      </c>
      <c r="BB106" s="352" t="s">
        <v>69</v>
      </c>
      <c r="BC106" s="352" t="s">
        <v>69</v>
      </c>
      <c r="BD106" s="352" t="s">
        <v>69</v>
      </c>
      <c r="BE106" s="352" t="s">
        <v>69</v>
      </c>
      <c r="BF106" s="352" t="s">
        <v>69</v>
      </c>
      <c r="BG106" s="352" t="s">
        <v>69</v>
      </c>
      <c r="BH106" s="352" t="s">
        <v>69</v>
      </c>
      <c r="BI106" s="352" t="s">
        <v>69</v>
      </c>
      <c r="BJ106" s="352" t="s">
        <v>69</v>
      </c>
      <c r="BK106" s="352" t="s">
        <v>69</v>
      </c>
      <c r="BL106" s="352" t="s">
        <v>69</v>
      </c>
      <c r="BM106" s="352" t="s">
        <v>69</v>
      </c>
      <c r="BN106" s="352" t="s">
        <v>69</v>
      </c>
      <c r="BO106" s="352" t="s">
        <v>69</v>
      </c>
      <c r="BP106" s="352" t="s">
        <v>69</v>
      </c>
      <c r="BQ106" s="352" t="s">
        <v>69</v>
      </c>
      <c r="BR106" s="352" t="s">
        <v>69</v>
      </c>
      <c r="BS106" s="352">
        <v>2</v>
      </c>
      <c r="BT106" s="352" t="s">
        <v>69</v>
      </c>
      <c r="BU106" s="352" t="s">
        <v>69</v>
      </c>
      <c r="BV106" s="352" t="s">
        <v>69</v>
      </c>
      <c r="BW106" s="352" t="s">
        <v>69</v>
      </c>
      <c r="BX106" s="352" t="s">
        <v>69</v>
      </c>
      <c r="BY106" s="352" t="s">
        <v>69</v>
      </c>
      <c r="BZ106" s="352" t="s">
        <v>69</v>
      </c>
      <c r="CA106" s="352" t="s">
        <v>69</v>
      </c>
      <c r="CB106" s="352" t="s">
        <v>69</v>
      </c>
      <c r="CC106" s="352" t="s">
        <v>69</v>
      </c>
      <c r="CD106" s="352" t="s">
        <v>69</v>
      </c>
      <c r="CE106" s="352" t="s">
        <v>69</v>
      </c>
      <c r="CF106" s="352" t="s">
        <v>69</v>
      </c>
      <c r="CG106" s="352" t="s">
        <v>69</v>
      </c>
      <c r="CH106" s="352" t="s">
        <v>69</v>
      </c>
      <c r="CI106" s="352" t="s">
        <v>69</v>
      </c>
      <c r="CJ106" s="352" t="s">
        <v>69</v>
      </c>
      <c r="CK106" s="352">
        <v>2</v>
      </c>
      <c r="CL106" s="352" t="s">
        <v>69</v>
      </c>
      <c r="CM106" s="352" t="s">
        <v>69</v>
      </c>
      <c r="CN106" s="352" t="s">
        <v>69</v>
      </c>
      <c r="CO106" s="352" t="s">
        <v>69</v>
      </c>
      <c r="CP106" s="352" t="s">
        <v>69</v>
      </c>
      <c r="CQ106" s="352" t="s">
        <v>69</v>
      </c>
      <c r="CR106" s="352" t="s">
        <v>69</v>
      </c>
      <c r="CS106" s="352" t="s">
        <v>69</v>
      </c>
      <c r="CT106" s="352" t="s">
        <v>69</v>
      </c>
      <c r="CU106" s="352" t="s">
        <v>69</v>
      </c>
      <c r="CV106" s="352" t="s">
        <v>69</v>
      </c>
      <c r="CW106" s="352" t="s">
        <v>69</v>
      </c>
      <c r="CX106" s="352" t="s">
        <v>69</v>
      </c>
      <c r="CY106" s="352" t="s">
        <v>69</v>
      </c>
      <c r="CZ106" s="352" t="s">
        <v>69</v>
      </c>
      <c r="DA106" s="352" t="s">
        <v>69</v>
      </c>
      <c r="DB106" s="352" t="s">
        <v>69</v>
      </c>
      <c r="DC106" s="352" t="s">
        <v>69</v>
      </c>
      <c r="DD106" s="352" t="s">
        <v>69</v>
      </c>
      <c r="DE106" s="352" t="s">
        <v>69</v>
      </c>
      <c r="DF106" s="352" t="s">
        <v>69</v>
      </c>
      <c r="DG106" s="352" t="s">
        <v>69</v>
      </c>
      <c r="DH106" s="352" t="s">
        <v>69</v>
      </c>
      <c r="DI106" s="352" t="s">
        <v>69</v>
      </c>
      <c r="DJ106" s="352" t="s">
        <v>69</v>
      </c>
      <c r="DK106" s="352" t="s">
        <v>69</v>
      </c>
      <c r="DL106" s="352" t="s">
        <v>69</v>
      </c>
      <c r="DM106" s="352" t="s">
        <v>69</v>
      </c>
      <c r="DN106" s="352" t="s">
        <v>69</v>
      </c>
      <c r="DO106" s="352" t="s">
        <v>69</v>
      </c>
      <c r="DP106" s="352" t="s">
        <v>69</v>
      </c>
      <c r="DQ106" s="352" t="s">
        <v>69</v>
      </c>
      <c r="DR106" s="352" t="s">
        <v>69</v>
      </c>
      <c r="DS106" s="352" t="s">
        <v>69</v>
      </c>
      <c r="DT106" s="352" t="s">
        <v>69</v>
      </c>
      <c r="DU106" s="352" t="s">
        <v>69</v>
      </c>
      <c r="DV106" s="387">
        <f t="shared" si="2"/>
        <v>0.1111111111111111</v>
      </c>
      <c r="DW106" s="388">
        <f t="shared" si="3"/>
        <v>0</v>
      </c>
      <c r="DX106" s="156" t="str">
        <f>VLOOKUP(B106,[1]Pointage!$A:$D,4,0)</f>
        <v>Mourad Saitali</v>
      </c>
    </row>
    <row r="107" spans="1:128" s="156" customFormat="1" ht="128.25" hidden="1" customHeight="1">
      <c r="A107" s="312">
        <v>92</v>
      </c>
      <c r="B107" s="318" t="s">
        <v>1089</v>
      </c>
      <c r="C107" s="384" t="s">
        <v>1090</v>
      </c>
      <c r="D107" s="376">
        <v>46043</v>
      </c>
      <c r="E107" s="320" t="s">
        <v>784</v>
      </c>
      <c r="F107" s="382" t="s">
        <v>633</v>
      </c>
      <c r="G107" s="352">
        <v>2</v>
      </c>
      <c r="H107" s="352" t="s">
        <v>69</v>
      </c>
      <c r="I107" s="352">
        <v>2</v>
      </c>
      <c r="J107" s="352" t="s">
        <v>69</v>
      </c>
      <c r="K107" s="352" t="s">
        <v>69</v>
      </c>
      <c r="L107" s="352" t="s">
        <v>69</v>
      </c>
      <c r="M107" s="352" t="s">
        <v>69</v>
      </c>
      <c r="N107" s="352" t="s">
        <v>69</v>
      </c>
      <c r="O107" s="352" t="s">
        <v>69</v>
      </c>
      <c r="P107" s="352" t="s">
        <v>69</v>
      </c>
      <c r="Q107" s="352" t="s">
        <v>69</v>
      </c>
      <c r="R107" s="352" t="s">
        <v>69</v>
      </c>
      <c r="S107" s="352" t="s">
        <v>69</v>
      </c>
      <c r="T107" s="352" t="s">
        <v>69</v>
      </c>
      <c r="U107" s="352" t="s">
        <v>69</v>
      </c>
      <c r="V107" s="352" t="s">
        <v>69</v>
      </c>
      <c r="W107" s="352" t="s">
        <v>69</v>
      </c>
      <c r="X107" s="352" t="s">
        <v>69</v>
      </c>
      <c r="Y107" s="352" t="s">
        <v>69</v>
      </c>
      <c r="Z107" s="352" t="s">
        <v>69</v>
      </c>
      <c r="AA107" s="352" t="s">
        <v>69</v>
      </c>
      <c r="AB107" s="352" t="s">
        <v>69</v>
      </c>
      <c r="AC107" s="352" t="s">
        <v>69</v>
      </c>
      <c r="AD107" s="352" t="s">
        <v>69</v>
      </c>
      <c r="AE107" s="352" t="s">
        <v>69</v>
      </c>
      <c r="AF107" s="352" t="s">
        <v>69</v>
      </c>
      <c r="AG107" s="352" t="s">
        <v>69</v>
      </c>
      <c r="AH107" s="352" t="s">
        <v>69</v>
      </c>
      <c r="AI107" s="352" t="s">
        <v>69</v>
      </c>
      <c r="AJ107" s="352" t="s">
        <v>69</v>
      </c>
      <c r="AK107" s="352" t="s">
        <v>69</v>
      </c>
      <c r="AL107" s="352" t="s">
        <v>69</v>
      </c>
      <c r="AM107" s="352" t="s">
        <v>69</v>
      </c>
      <c r="AN107" s="352" t="s">
        <v>69</v>
      </c>
      <c r="AO107" s="352" t="s">
        <v>69</v>
      </c>
      <c r="AP107" s="352" t="s">
        <v>69</v>
      </c>
      <c r="AQ107" s="352" t="s">
        <v>69</v>
      </c>
      <c r="AR107" s="352" t="s">
        <v>69</v>
      </c>
      <c r="AS107" s="352">
        <v>2</v>
      </c>
      <c r="AT107" s="352" t="s">
        <v>69</v>
      </c>
      <c r="AU107" s="352">
        <v>3</v>
      </c>
      <c r="AV107" s="352">
        <v>3</v>
      </c>
      <c r="AW107" s="352" t="s">
        <v>69</v>
      </c>
      <c r="AX107" s="352" t="s">
        <v>69</v>
      </c>
      <c r="AY107" s="352">
        <v>3</v>
      </c>
      <c r="AZ107" s="352" t="s">
        <v>69</v>
      </c>
      <c r="BA107" s="352">
        <v>3</v>
      </c>
      <c r="BB107" s="352" t="s">
        <v>69</v>
      </c>
      <c r="BC107" s="352" t="s">
        <v>69</v>
      </c>
      <c r="BD107" s="352" t="s">
        <v>69</v>
      </c>
      <c r="BE107" s="352">
        <v>2</v>
      </c>
      <c r="BF107" s="352" t="s">
        <v>69</v>
      </c>
      <c r="BG107" s="352" t="s">
        <v>69</v>
      </c>
      <c r="BH107" s="352" t="s">
        <v>69</v>
      </c>
      <c r="BI107" s="352" t="s">
        <v>69</v>
      </c>
      <c r="BJ107" s="352" t="s">
        <v>69</v>
      </c>
      <c r="BK107" s="352" t="s">
        <v>69</v>
      </c>
      <c r="BL107" s="352" t="s">
        <v>69</v>
      </c>
      <c r="BM107" s="352" t="s">
        <v>69</v>
      </c>
      <c r="BN107" s="352" t="s">
        <v>69</v>
      </c>
      <c r="BO107" s="352" t="s">
        <v>69</v>
      </c>
      <c r="BP107" s="352" t="s">
        <v>69</v>
      </c>
      <c r="BQ107" s="352" t="s">
        <v>69</v>
      </c>
      <c r="BR107" s="352" t="s">
        <v>69</v>
      </c>
      <c r="BS107" s="352">
        <v>2</v>
      </c>
      <c r="BT107" s="352" t="s">
        <v>69</v>
      </c>
      <c r="BU107" s="352" t="s">
        <v>69</v>
      </c>
      <c r="BV107" s="352" t="s">
        <v>69</v>
      </c>
      <c r="BW107" s="352" t="s">
        <v>69</v>
      </c>
      <c r="BX107" s="352" t="s">
        <v>69</v>
      </c>
      <c r="BY107" s="352" t="s">
        <v>69</v>
      </c>
      <c r="BZ107" s="352" t="s">
        <v>69</v>
      </c>
      <c r="CA107" s="352" t="s">
        <v>69</v>
      </c>
      <c r="CB107" s="352" t="s">
        <v>69</v>
      </c>
      <c r="CC107" s="352" t="s">
        <v>69</v>
      </c>
      <c r="CD107" s="352" t="s">
        <v>69</v>
      </c>
      <c r="CE107" s="352" t="s">
        <v>69</v>
      </c>
      <c r="CF107" s="352" t="s">
        <v>69</v>
      </c>
      <c r="CG107" s="352" t="s">
        <v>69</v>
      </c>
      <c r="CH107" s="352" t="s">
        <v>69</v>
      </c>
      <c r="CI107" s="352" t="s">
        <v>69</v>
      </c>
      <c r="CJ107" s="352" t="s">
        <v>69</v>
      </c>
      <c r="CK107" s="352" t="s">
        <v>69</v>
      </c>
      <c r="CL107" s="352" t="s">
        <v>69</v>
      </c>
      <c r="CM107" s="352" t="s">
        <v>69</v>
      </c>
      <c r="CN107" s="352" t="s">
        <v>69</v>
      </c>
      <c r="CO107" s="352" t="s">
        <v>69</v>
      </c>
      <c r="CP107" s="352" t="s">
        <v>69</v>
      </c>
      <c r="CQ107" s="352" t="s">
        <v>69</v>
      </c>
      <c r="CR107" s="352" t="s">
        <v>69</v>
      </c>
      <c r="CS107" s="352" t="s">
        <v>69</v>
      </c>
      <c r="CT107" s="352" t="s">
        <v>69</v>
      </c>
      <c r="CU107" s="352" t="s">
        <v>69</v>
      </c>
      <c r="CV107" s="352">
        <v>2</v>
      </c>
      <c r="CW107" s="352">
        <v>2</v>
      </c>
      <c r="CX107" s="352" t="s">
        <v>69</v>
      </c>
      <c r="CY107" s="352" t="s">
        <v>69</v>
      </c>
      <c r="CZ107" s="352" t="s">
        <v>69</v>
      </c>
      <c r="DA107" s="352" t="s">
        <v>69</v>
      </c>
      <c r="DB107" s="352" t="s">
        <v>69</v>
      </c>
      <c r="DC107" s="352" t="s">
        <v>69</v>
      </c>
      <c r="DD107" s="352" t="s">
        <v>69</v>
      </c>
      <c r="DE107" s="352" t="s">
        <v>69</v>
      </c>
      <c r="DF107" s="352" t="s">
        <v>69</v>
      </c>
      <c r="DG107" s="352" t="s">
        <v>69</v>
      </c>
      <c r="DH107" s="352" t="s">
        <v>69</v>
      </c>
      <c r="DI107" s="352" t="s">
        <v>69</v>
      </c>
      <c r="DJ107" s="352" t="s">
        <v>69</v>
      </c>
      <c r="DK107" s="352" t="s">
        <v>69</v>
      </c>
      <c r="DL107" s="352" t="s">
        <v>69</v>
      </c>
      <c r="DM107" s="352" t="s">
        <v>69</v>
      </c>
      <c r="DN107" s="352" t="s">
        <v>69</v>
      </c>
      <c r="DO107" s="352" t="s">
        <v>69</v>
      </c>
      <c r="DP107" s="352" t="s">
        <v>69</v>
      </c>
      <c r="DQ107" s="352" t="s">
        <v>69</v>
      </c>
      <c r="DR107" s="352" t="s">
        <v>69</v>
      </c>
      <c r="DS107" s="352" t="s">
        <v>69</v>
      </c>
      <c r="DT107" s="352" t="s">
        <v>69</v>
      </c>
      <c r="DU107" s="352" t="s">
        <v>69</v>
      </c>
      <c r="DV107" s="387">
        <f t="shared" si="2"/>
        <v>0.17460317460317459</v>
      </c>
      <c r="DW107" s="388">
        <f t="shared" si="3"/>
        <v>0.36363636363636365</v>
      </c>
      <c r="DX107" s="156" t="str">
        <f>VLOOKUP(B107,[1]Pointage!$A:$D,4,0)</f>
        <v>Mourad Saitali</v>
      </c>
    </row>
    <row r="108" spans="1:128" s="156" customFormat="1" ht="128.25" hidden="1" customHeight="1">
      <c r="A108" s="312">
        <v>93</v>
      </c>
      <c r="B108" s="320" t="s">
        <v>1091</v>
      </c>
      <c r="C108" s="384" t="s">
        <v>1092</v>
      </c>
      <c r="D108" s="376">
        <v>46044</v>
      </c>
      <c r="E108" s="320" t="s">
        <v>784</v>
      </c>
      <c r="F108" s="386" t="s">
        <v>633</v>
      </c>
      <c r="G108" s="352" t="s">
        <v>69</v>
      </c>
      <c r="H108" s="352" t="s">
        <v>69</v>
      </c>
      <c r="I108" s="352" t="s">
        <v>69</v>
      </c>
      <c r="J108" s="352" t="s">
        <v>69</v>
      </c>
      <c r="K108" s="352" t="s">
        <v>69</v>
      </c>
      <c r="L108" s="352" t="s">
        <v>69</v>
      </c>
      <c r="M108" s="352" t="s">
        <v>69</v>
      </c>
      <c r="N108" s="352" t="s">
        <v>69</v>
      </c>
      <c r="O108" s="352" t="s">
        <v>69</v>
      </c>
      <c r="P108" s="352" t="s">
        <v>69</v>
      </c>
      <c r="Q108" s="352" t="s">
        <v>69</v>
      </c>
      <c r="R108" s="352" t="s">
        <v>69</v>
      </c>
      <c r="S108" s="352" t="s">
        <v>69</v>
      </c>
      <c r="T108" s="352" t="s">
        <v>69</v>
      </c>
      <c r="U108" s="352" t="s">
        <v>69</v>
      </c>
      <c r="V108" s="352" t="s">
        <v>69</v>
      </c>
      <c r="W108" s="352" t="s">
        <v>69</v>
      </c>
      <c r="X108" s="352" t="s">
        <v>69</v>
      </c>
      <c r="Y108" s="352" t="s">
        <v>69</v>
      </c>
      <c r="Z108" s="352" t="s">
        <v>69</v>
      </c>
      <c r="AA108" s="352" t="s">
        <v>69</v>
      </c>
      <c r="AB108" s="352" t="s">
        <v>69</v>
      </c>
      <c r="AC108" s="352" t="s">
        <v>69</v>
      </c>
      <c r="AD108" s="352" t="s">
        <v>69</v>
      </c>
      <c r="AE108" s="352" t="s">
        <v>69</v>
      </c>
      <c r="AF108" s="352" t="s">
        <v>69</v>
      </c>
      <c r="AG108" s="352" t="s">
        <v>69</v>
      </c>
      <c r="AH108" s="352" t="s">
        <v>69</v>
      </c>
      <c r="AI108" s="352" t="s">
        <v>69</v>
      </c>
      <c r="AJ108" s="352" t="s">
        <v>69</v>
      </c>
      <c r="AK108" s="352" t="s">
        <v>69</v>
      </c>
      <c r="AL108" s="352" t="s">
        <v>69</v>
      </c>
      <c r="AM108" s="352" t="s">
        <v>69</v>
      </c>
      <c r="AN108" s="352" t="s">
        <v>69</v>
      </c>
      <c r="AO108" s="352" t="s">
        <v>69</v>
      </c>
      <c r="AP108" s="352" t="s">
        <v>69</v>
      </c>
      <c r="AQ108" s="352" t="s">
        <v>69</v>
      </c>
      <c r="AR108" s="352" t="s">
        <v>69</v>
      </c>
      <c r="AS108" s="352" t="s">
        <v>69</v>
      </c>
      <c r="AT108" s="352" t="s">
        <v>69</v>
      </c>
      <c r="AU108" s="352" t="s">
        <v>69</v>
      </c>
      <c r="AV108" s="352" t="s">
        <v>69</v>
      </c>
      <c r="AW108" s="352" t="s">
        <v>69</v>
      </c>
      <c r="AX108" s="352" t="s">
        <v>69</v>
      </c>
      <c r="AY108" s="352" t="s">
        <v>69</v>
      </c>
      <c r="AZ108" s="352" t="s">
        <v>69</v>
      </c>
      <c r="BA108" s="352" t="s">
        <v>69</v>
      </c>
      <c r="BB108" s="352" t="s">
        <v>69</v>
      </c>
      <c r="BC108" s="352" t="s">
        <v>69</v>
      </c>
      <c r="BD108" s="352" t="s">
        <v>69</v>
      </c>
      <c r="BE108" s="352" t="s">
        <v>69</v>
      </c>
      <c r="BF108" s="352" t="s">
        <v>69</v>
      </c>
      <c r="BG108" s="352" t="s">
        <v>69</v>
      </c>
      <c r="BH108" s="352" t="s">
        <v>69</v>
      </c>
      <c r="BI108" s="352" t="s">
        <v>69</v>
      </c>
      <c r="BJ108" s="352" t="s">
        <v>69</v>
      </c>
      <c r="BK108" s="352" t="s">
        <v>69</v>
      </c>
      <c r="BL108" s="352" t="s">
        <v>69</v>
      </c>
      <c r="BM108" s="352" t="s">
        <v>69</v>
      </c>
      <c r="BN108" s="352" t="s">
        <v>69</v>
      </c>
      <c r="BO108" s="352" t="s">
        <v>69</v>
      </c>
      <c r="BP108" s="352" t="s">
        <v>69</v>
      </c>
      <c r="BQ108" s="352" t="s">
        <v>69</v>
      </c>
      <c r="BR108" s="352" t="s">
        <v>69</v>
      </c>
      <c r="BS108" s="352" t="s">
        <v>69</v>
      </c>
      <c r="BT108" s="352" t="s">
        <v>69</v>
      </c>
      <c r="BU108" s="352" t="s">
        <v>69</v>
      </c>
      <c r="BV108" s="352" t="s">
        <v>69</v>
      </c>
      <c r="BW108" s="352" t="s">
        <v>69</v>
      </c>
      <c r="BX108" s="352" t="s">
        <v>69</v>
      </c>
      <c r="BY108" s="352" t="s">
        <v>69</v>
      </c>
      <c r="BZ108" s="352" t="s">
        <v>69</v>
      </c>
      <c r="CA108" s="352" t="s">
        <v>69</v>
      </c>
      <c r="CB108" s="352" t="s">
        <v>69</v>
      </c>
      <c r="CC108" s="352" t="s">
        <v>69</v>
      </c>
      <c r="CD108" s="352" t="s">
        <v>69</v>
      </c>
      <c r="CE108" s="352" t="s">
        <v>69</v>
      </c>
      <c r="CF108" s="352" t="s">
        <v>69</v>
      </c>
      <c r="CG108" s="352" t="s">
        <v>69</v>
      </c>
      <c r="CH108" s="352" t="s">
        <v>69</v>
      </c>
      <c r="CI108" s="352" t="s">
        <v>69</v>
      </c>
      <c r="CJ108" s="352" t="s">
        <v>69</v>
      </c>
      <c r="CK108" s="352" t="s">
        <v>69</v>
      </c>
      <c r="CL108" s="352" t="s">
        <v>69</v>
      </c>
      <c r="CM108" s="352" t="s">
        <v>69</v>
      </c>
      <c r="CN108" s="352" t="s">
        <v>69</v>
      </c>
      <c r="CO108" s="352">
        <v>2</v>
      </c>
      <c r="CP108" s="352">
        <v>2</v>
      </c>
      <c r="CQ108" s="352" t="s">
        <v>69</v>
      </c>
      <c r="CR108" s="352" t="s">
        <v>69</v>
      </c>
      <c r="CS108" s="352" t="s">
        <v>69</v>
      </c>
      <c r="CT108" s="352" t="s">
        <v>69</v>
      </c>
      <c r="CU108" s="352" t="s">
        <v>69</v>
      </c>
      <c r="CV108" s="352" t="s">
        <v>69</v>
      </c>
      <c r="CW108" s="352" t="s">
        <v>69</v>
      </c>
      <c r="CX108" s="352" t="s">
        <v>69</v>
      </c>
      <c r="CY108" s="352" t="s">
        <v>69</v>
      </c>
      <c r="CZ108" s="352" t="s">
        <v>69</v>
      </c>
      <c r="DA108" s="352" t="s">
        <v>69</v>
      </c>
      <c r="DB108" s="352" t="s">
        <v>69</v>
      </c>
      <c r="DC108" s="352" t="s">
        <v>69</v>
      </c>
      <c r="DD108" s="352" t="s">
        <v>69</v>
      </c>
      <c r="DE108" s="352" t="s">
        <v>69</v>
      </c>
      <c r="DF108" s="352" t="s">
        <v>69</v>
      </c>
      <c r="DG108" s="352" t="s">
        <v>69</v>
      </c>
      <c r="DH108" s="352" t="s">
        <v>69</v>
      </c>
      <c r="DI108" s="352" t="s">
        <v>69</v>
      </c>
      <c r="DJ108" s="352" t="s">
        <v>69</v>
      </c>
      <c r="DK108" s="352" t="s">
        <v>69</v>
      </c>
      <c r="DL108" s="352" t="s">
        <v>69</v>
      </c>
      <c r="DM108" s="352" t="s">
        <v>69</v>
      </c>
      <c r="DN108" s="352" t="s">
        <v>69</v>
      </c>
      <c r="DO108" s="352" t="s">
        <v>69</v>
      </c>
      <c r="DP108" s="352" t="s">
        <v>69</v>
      </c>
      <c r="DQ108" s="352" t="s">
        <v>69</v>
      </c>
      <c r="DR108" s="352" t="s">
        <v>69</v>
      </c>
      <c r="DS108" s="352" t="s">
        <v>69</v>
      </c>
      <c r="DT108" s="352" t="s">
        <v>69</v>
      </c>
      <c r="DU108" s="352" t="s">
        <v>69</v>
      </c>
      <c r="DV108" s="387">
        <f t="shared" si="2"/>
        <v>3.1746031746031744E-2</v>
      </c>
      <c r="DW108" s="388">
        <f t="shared" si="3"/>
        <v>0</v>
      </c>
      <c r="DX108" s="156" t="e">
        <f>VLOOKUP(B108,[1]Pointage!$A:$D,4,0)</f>
        <v>#N/A</v>
      </c>
    </row>
    <row r="109" spans="1:128" s="156" customFormat="1" ht="128.25" hidden="1" customHeight="1">
      <c r="A109" s="312">
        <v>94</v>
      </c>
      <c r="B109" s="320" t="s">
        <v>1093</v>
      </c>
      <c r="C109" s="384" t="s">
        <v>1094</v>
      </c>
      <c r="D109" s="376">
        <v>46046</v>
      </c>
      <c r="E109" s="320" t="s">
        <v>784</v>
      </c>
      <c r="F109" s="386" t="s">
        <v>633</v>
      </c>
      <c r="G109" s="352">
        <v>2</v>
      </c>
      <c r="H109" s="352">
        <v>2</v>
      </c>
      <c r="I109" s="352" t="s">
        <v>69</v>
      </c>
      <c r="J109" s="352" t="s">
        <v>69</v>
      </c>
      <c r="K109" s="352" t="s">
        <v>69</v>
      </c>
      <c r="L109" s="352" t="s">
        <v>69</v>
      </c>
      <c r="M109" s="352" t="s">
        <v>69</v>
      </c>
      <c r="N109" s="352" t="s">
        <v>69</v>
      </c>
      <c r="O109" s="352" t="s">
        <v>69</v>
      </c>
      <c r="P109" s="352" t="s">
        <v>69</v>
      </c>
      <c r="Q109" s="352" t="s">
        <v>69</v>
      </c>
      <c r="R109" s="352" t="s">
        <v>69</v>
      </c>
      <c r="S109" s="352" t="s">
        <v>69</v>
      </c>
      <c r="T109" s="352" t="s">
        <v>69</v>
      </c>
      <c r="U109" s="352" t="s">
        <v>69</v>
      </c>
      <c r="V109" s="352" t="s">
        <v>69</v>
      </c>
      <c r="W109" s="352" t="s">
        <v>69</v>
      </c>
      <c r="X109" s="352" t="s">
        <v>69</v>
      </c>
      <c r="Y109" s="352" t="s">
        <v>69</v>
      </c>
      <c r="Z109" s="352" t="s">
        <v>69</v>
      </c>
      <c r="AA109" s="352" t="s">
        <v>69</v>
      </c>
      <c r="AB109" s="352" t="s">
        <v>69</v>
      </c>
      <c r="AC109" s="352" t="s">
        <v>69</v>
      </c>
      <c r="AD109" s="352" t="s">
        <v>69</v>
      </c>
      <c r="AE109" s="352" t="s">
        <v>69</v>
      </c>
      <c r="AF109" s="352" t="s">
        <v>69</v>
      </c>
      <c r="AG109" s="352" t="s">
        <v>69</v>
      </c>
      <c r="AH109" s="352" t="s">
        <v>69</v>
      </c>
      <c r="AI109" s="352" t="s">
        <v>69</v>
      </c>
      <c r="AJ109" s="352" t="s">
        <v>69</v>
      </c>
      <c r="AK109" s="352" t="s">
        <v>69</v>
      </c>
      <c r="AL109" s="352" t="s">
        <v>69</v>
      </c>
      <c r="AM109" s="352" t="s">
        <v>69</v>
      </c>
      <c r="AN109" s="352" t="s">
        <v>69</v>
      </c>
      <c r="AO109" s="352" t="s">
        <v>69</v>
      </c>
      <c r="AP109" s="352" t="s">
        <v>69</v>
      </c>
      <c r="AQ109" s="352" t="s">
        <v>69</v>
      </c>
      <c r="AR109" s="352" t="s">
        <v>69</v>
      </c>
      <c r="AS109" s="352" t="s">
        <v>69</v>
      </c>
      <c r="AT109" s="352" t="s">
        <v>69</v>
      </c>
      <c r="AU109" s="352" t="s">
        <v>69</v>
      </c>
      <c r="AV109" s="352">
        <v>2</v>
      </c>
      <c r="AW109" s="352">
        <v>2</v>
      </c>
      <c r="AX109" s="352" t="s">
        <v>69</v>
      </c>
      <c r="AY109" s="352">
        <v>2</v>
      </c>
      <c r="AZ109" s="352" t="s">
        <v>69</v>
      </c>
      <c r="BA109" s="352" t="s">
        <v>69</v>
      </c>
      <c r="BB109" s="352" t="s">
        <v>69</v>
      </c>
      <c r="BC109" s="352" t="s">
        <v>69</v>
      </c>
      <c r="BD109" s="352" t="s">
        <v>69</v>
      </c>
      <c r="BE109" s="352" t="s">
        <v>69</v>
      </c>
      <c r="BF109" s="352">
        <v>2</v>
      </c>
      <c r="BG109" s="352" t="s">
        <v>69</v>
      </c>
      <c r="BH109" s="352" t="s">
        <v>69</v>
      </c>
      <c r="BI109" s="352" t="s">
        <v>69</v>
      </c>
      <c r="BJ109" s="352" t="s">
        <v>69</v>
      </c>
      <c r="BK109" s="352" t="s">
        <v>69</v>
      </c>
      <c r="BL109" s="352" t="s">
        <v>69</v>
      </c>
      <c r="BM109" s="352" t="s">
        <v>69</v>
      </c>
      <c r="BN109" s="352" t="s">
        <v>69</v>
      </c>
      <c r="BO109" s="352" t="s">
        <v>69</v>
      </c>
      <c r="BP109" s="352" t="s">
        <v>69</v>
      </c>
      <c r="BQ109" s="352" t="s">
        <v>69</v>
      </c>
      <c r="BR109" s="352" t="s">
        <v>69</v>
      </c>
      <c r="BS109" s="352" t="s">
        <v>69</v>
      </c>
      <c r="BT109" s="352" t="s">
        <v>69</v>
      </c>
      <c r="BU109" s="352" t="s">
        <v>69</v>
      </c>
      <c r="BV109" s="352" t="s">
        <v>69</v>
      </c>
      <c r="BW109" s="352" t="s">
        <v>69</v>
      </c>
      <c r="BX109" s="352" t="s">
        <v>69</v>
      </c>
      <c r="BY109" s="352" t="s">
        <v>69</v>
      </c>
      <c r="BZ109" s="352" t="s">
        <v>69</v>
      </c>
      <c r="CA109" s="352" t="s">
        <v>69</v>
      </c>
      <c r="CB109" s="352" t="s">
        <v>69</v>
      </c>
      <c r="CC109" s="352" t="s">
        <v>69</v>
      </c>
      <c r="CD109" s="352" t="s">
        <v>69</v>
      </c>
      <c r="CE109" s="352" t="s">
        <v>69</v>
      </c>
      <c r="CF109" s="352" t="s">
        <v>69</v>
      </c>
      <c r="CG109" s="352" t="s">
        <v>69</v>
      </c>
      <c r="CH109" s="352" t="s">
        <v>69</v>
      </c>
      <c r="CI109" s="352" t="s">
        <v>69</v>
      </c>
      <c r="CJ109" s="352" t="s">
        <v>69</v>
      </c>
      <c r="CK109" s="352" t="s">
        <v>69</v>
      </c>
      <c r="CL109" s="352" t="s">
        <v>69</v>
      </c>
      <c r="CM109" s="352" t="s">
        <v>69</v>
      </c>
      <c r="CN109" s="352" t="s">
        <v>69</v>
      </c>
      <c r="CO109" s="352" t="s">
        <v>69</v>
      </c>
      <c r="CP109" s="352" t="s">
        <v>69</v>
      </c>
      <c r="CQ109" s="352" t="s">
        <v>69</v>
      </c>
      <c r="CR109" s="352" t="s">
        <v>69</v>
      </c>
      <c r="CS109" s="352" t="s">
        <v>69</v>
      </c>
      <c r="CT109" s="352" t="s">
        <v>69</v>
      </c>
      <c r="CU109" s="352" t="s">
        <v>69</v>
      </c>
      <c r="CV109" s="352" t="s">
        <v>69</v>
      </c>
      <c r="CW109" s="352" t="s">
        <v>69</v>
      </c>
      <c r="CX109" s="352" t="s">
        <v>69</v>
      </c>
      <c r="CY109" s="352" t="s">
        <v>69</v>
      </c>
      <c r="CZ109" s="352" t="s">
        <v>69</v>
      </c>
      <c r="DA109" s="352" t="s">
        <v>69</v>
      </c>
      <c r="DB109" s="352" t="s">
        <v>69</v>
      </c>
      <c r="DC109" s="352" t="s">
        <v>69</v>
      </c>
      <c r="DD109" s="352" t="s">
        <v>69</v>
      </c>
      <c r="DE109" s="352" t="s">
        <v>69</v>
      </c>
      <c r="DF109" s="352" t="s">
        <v>69</v>
      </c>
      <c r="DG109" s="352" t="s">
        <v>69</v>
      </c>
      <c r="DH109" s="352" t="s">
        <v>69</v>
      </c>
      <c r="DI109" s="352" t="s">
        <v>69</v>
      </c>
      <c r="DJ109" s="352" t="s">
        <v>69</v>
      </c>
      <c r="DK109" s="352" t="s">
        <v>69</v>
      </c>
      <c r="DL109" s="352" t="s">
        <v>69</v>
      </c>
      <c r="DM109" s="352" t="s">
        <v>69</v>
      </c>
      <c r="DN109" s="352" t="s">
        <v>69</v>
      </c>
      <c r="DO109" s="352" t="s">
        <v>69</v>
      </c>
      <c r="DP109" s="352" t="s">
        <v>69</v>
      </c>
      <c r="DQ109" s="352" t="s">
        <v>69</v>
      </c>
      <c r="DR109" s="352" t="s">
        <v>69</v>
      </c>
      <c r="DS109" s="352" t="s">
        <v>69</v>
      </c>
      <c r="DT109" s="352" t="s">
        <v>69</v>
      </c>
      <c r="DU109" s="352" t="s">
        <v>69</v>
      </c>
      <c r="DV109" s="387">
        <f t="shared" si="2"/>
        <v>9.5238095238095233E-2</v>
      </c>
      <c r="DW109" s="388">
        <f t="shared" si="3"/>
        <v>0</v>
      </c>
      <c r="DX109" s="156" t="e">
        <f>VLOOKUP(B109,[1]Pointage!$A:$D,4,0)</f>
        <v>#N/A</v>
      </c>
    </row>
    <row r="110" spans="1:128" s="156" customFormat="1" ht="128.25" hidden="1" customHeight="1">
      <c r="A110" s="312">
        <v>95</v>
      </c>
      <c r="B110" s="320" t="s">
        <v>1095</v>
      </c>
      <c r="C110" s="384" t="s">
        <v>1096</v>
      </c>
      <c r="D110" s="376">
        <v>46047</v>
      </c>
      <c r="E110" s="320" t="s">
        <v>784</v>
      </c>
      <c r="F110" s="386" t="s">
        <v>633</v>
      </c>
      <c r="G110" s="352" t="s">
        <v>69</v>
      </c>
      <c r="H110" s="352" t="s">
        <v>69</v>
      </c>
      <c r="I110" s="352" t="s">
        <v>69</v>
      </c>
      <c r="J110" s="352" t="s">
        <v>69</v>
      </c>
      <c r="K110" s="352" t="s">
        <v>69</v>
      </c>
      <c r="L110" s="352">
        <v>2</v>
      </c>
      <c r="M110" s="352" t="s">
        <v>69</v>
      </c>
      <c r="N110" s="352" t="s">
        <v>69</v>
      </c>
      <c r="O110" s="352" t="s">
        <v>69</v>
      </c>
      <c r="P110" s="352" t="s">
        <v>69</v>
      </c>
      <c r="Q110" s="352" t="s">
        <v>69</v>
      </c>
      <c r="R110" s="352" t="s">
        <v>69</v>
      </c>
      <c r="S110" s="352" t="s">
        <v>69</v>
      </c>
      <c r="T110" s="352" t="s">
        <v>69</v>
      </c>
      <c r="U110" s="352" t="s">
        <v>69</v>
      </c>
      <c r="V110" s="352" t="s">
        <v>69</v>
      </c>
      <c r="W110" s="352" t="s">
        <v>69</v>
      </c>
      <c r="X110" s="352" t="s">
        <v>69</v>
      </c>
      <c r="Y110" s="352" t="s">
        <v>69</v>
      </c>
      <c r="Z110" s="352" t="s">
        <v>69</v>
      </c>
      <c r="AA110" s="352" t="s">
        <v>69</v>
      </c>
      <c r="AB110" s="352" t="s">
        <v>69</v>
      </c>
      <c r="AC110" s="352" t="s">
        <v>69</v>
      </c>
      <c r="AD110" s="352" t="s">
        <v>69</v>
      </c>
      <c r="AE110" s="352" t="s">
        <v>69</v>
      </c>
      <c r="AF110" s="352" t="s">
        <v>69</v>
      </c>
      <c r="AG110" s="352">
        <v>2</v>
      </c>
      <c r="AH110" s="352" t="s">
        <v>69</v>
      </c>
      <c r="AI110" s="352" t="s">
        <v>69</v>
      </c>
      <c r="AJ110" s="352" t="s">
        <v>69</v>
      </c>
      <c r="AK110" s="352" t="s">
        <v>69</v>
      </c>
      <c r="AL110" s="352" t="s">
        <v>69</v>
      </c>
      <c r="AM110" s="352" t="s">
        <v>69</v>
      </c>
      <c r="AN110" s="352" t="s">
        <v>69</v>
      </c>
      <c r="AO110" s="352" t="s">
        <v>69</v>
      </c>
      <c r="AP110" s="352" t="s">
        <v>69</v>
      </c>
      <c r="AQ110" s="352" t="s">
        <v>69</v>
      </c>
      <c r="AR110" s="352" t="s">
        <v>69</v>
      </c>
      <c r="AS110" s="352" t="s">
        <v>69</v>
      </c>
      <c r="AT110" s="352" t="s">
        <v>69</v>
      </c>
      <c r="AU110" s="352" t="s">
        <v>69</v>
      </c>
      <c r="AV110" s="352" t="s">
        <v>69</v>
      </c>
      <c r="AW110" s="352" t="s">
        <v>69</v>
      </c>
      <c r="AX110" s="352" t="s">
        <v>69</v>
      </c>
      <c r="AY110" s="352" t="s">
        <v>69</v>
      </c>
      <c r="AZ110" s="352" t="s">
        <v>69</v>
      </c>
      <c r="BA110" s="352" t="s">
        <v>69</v>
      </c>
      <c r="BB110" s="352" t="s">
        <v>69</v>
      </c>
      <c r="BC110" s="352" t="s">
        <v>69</v>
      </c>
      <c r="BD110" s="352" t="s">
        <v>69</v>
      </c>
      <c r="BE110" s="352" t="s">
        <v>69</v>
      </c>
      <c r="BF110" s="352" t="s">
        <v>69</v>
      </c>
      <c r="BG110" s="352" t="s">
        <v>69</v>
      </c>
      <c r="BH110" s="352" t="s">
        <v>69</v>
      </c>
      <c r="BI110" s="352" t="s">
        <v>69</v>
      </c>
      <c r="BJ110" s="352" t="s">
        <v>69</v>
      </c>
      <c r="BK110" s="352" t="s">
        <v>69</v>
      </c>
      <c r="BL110" s="352" t="s">
        <v>69</v>
      </c>
      <c r="BM110" s="352" t="s">
        <v>69</v>
      </c>
      <c r="BN110" s="352" t="s">
        <v>69</v>
      </c>
      <c r="BO110" s="352" t="s">
        <v>69</v>
      </c>
      <c r="BP110" s="352" t="s">
        <v>69</v>
      </c>
      <c r="BQ110" s="352" t="s">
        <v>69</v>
      </c>
      <c r="BR110" s="352" t="s">
        <v>69</v>
      </c>
      <c r="BS110" s="352" t="s">
        <v>69</v>
      </c>
      <c r="BT110" s="352" t="s">
        <v>69</v>
      </c>
      <c r="BU110" s="352" t="s">
        <v>69</v>
      </c>
      <c r="BV110" s="352" t="s">
        <v>69</v>
      </c>
      <c r="BW110" s="352" t="s">
        <v>69</v>
      </c>
      <c r="BX110" s="352" t="s">
        <v>69</v>
      </c>
      <c r="BY110" s="352" t="s">
        <v>69</v>
      </c>
      <c r="BZ110" s="352" t="s">
        <v>69</v>
      </c>
      <c r="CA110" s="352" t="s">
        <v>69</v>
      </c>
      <c r="CB110" s="352" t="s">
        <v>69</v>
      </c>
      <c r="CC110" s="352" t="s">
        <v>69</v>
      </c>
      <c r="CD110" s="352" t="s">
        <v>69</v>
      </c>
      <c r="CE110" s="352" t="s">
        <v>69</v>
      </c>
      <c r="CF110" s="352" t="s">
        <v>69</v>
      </c>
      <c r="CG110" s="352" t="s">
        <v>69</v>
      </c>
      <c r="CH110" s="352" t="s">
        <v>69</v>
      </c>
      <c r="CI110" s="352" t="s">
        <v>69</v>
      </c>
      <c r="CJ110" s="352" t="s">
        <v>69</v>
      </c>
      <c r="CK110" s="352" t="s">
        <v>69</v>
      </c>
      <c r="CL110" s="352" t="s">
        <v>69</v>
      </c>
      <c r="CM110" s="352" t="s">
        <v>69</v>
      </c>
      <c r="CN110" s="352" t="s">
        <v>69</v>
      </c>
      <c r="CO110" s="352" t="s">
        <v>69</v>
      </c>
      <c r="CP110" s="352" t="s">
        <v>69</v>
      </c>
      <c r="CQ110" s="352" t="s">
        <v>69</v>
      </c>
      <c r="CR110" s="352" t="s">
        <v>69</v>
      </c>
      <c r="CS110" s="352" t="s">
        <v>69</v>
      </c>
      <c r="CT110" s="352" t="s">
        <v>69</v>
      </c>
      <c r="CU110" s="352" t="s">
        <v>69</v>
      </c>
      <c r="CV110" s="352" t="s">
        <v>69</v>
      </c>
      <c r="CW110" s="352" t="s">
        <v>69</v>
      </c>
      <c r="CX110" s="352" t="s">
        <v>69</v>
      </c>
      <c r="CY110" s="352" t="s">
        <v>69</v>
      </c>
      <c r="CZ110" s="352" t="s">
        <v>69</v>
      </c>
      <c r="DA110" s="352">
        <v>3</v>
      </c>
      <c r="DB110" s="352" t="s">
        <v>69</v>
      </c>
      <c r="DC110" s="352">
        <v>2</v>
      </c>
      <c r="DD110" s="352" t="s">
        <v>69</v>
      </c>
      <c r="DE110" s="352" t="s">
        <v>69</v>
      </c>
      <c r="DF110" s="352" t="s">
        <v>69</v>
      </c>
      <c r="DG110" s="352" t="s">
        <v>69</v>
      </c>
      <c r="DH110" s="352" t="s">
        <v>69</v>
      </c>
      <c r="DI110" s="352" t="s">
        <v>69</v>
      </c>
      <c r="DJ110" s="352" t="s">
        <v>69</v>
      </c>
      <c r="DK110" s="352" t="s">
        <v>69</v>
      </c>
      <c r="DL110" s="352" t="s">
        <v>69</v>
      </c>
      <c r="DM110" s="352" t="s">
        <v>69</v>
      </c>
      <c r="DN110" s="352" t="s">
        <v>69</v>
      </c>
      <c r="DO110" s="352">
        <v>3</v>
      </c>
      <c r="DP110" s="352" t="s">
        <v>69</v>
      </c>
      <c r="DQ110" s="352">
        <v>3</v>
      </c>
      <c r="DR110" s="352" t="s">
        <v>69</v>
      </c>
      <c r="DS110" s="352" t="s">
        <v>69</v>
      </c>
      <c r="DT110" s="352" t="s">
        <v>69</v>
      </c>
      <c r="DU110" s="352" t="s">
        <v>69</v>
      </c>
      <c r="DV110" s="387">
        <f t="shared" si="2"/>
        <v>9.5238095238095233E-2</v>
      </c>
      <c r="DW110" s="388">
        <f t="shared" si="3"/>
        <v>0.5</v>
      </c>
      <c r="DX110" s="156" t="str">
        <f>VLOOKUP(B110,[1]Pointage!$A:$D,4,0)</f>
        <v>Mourad Saitali</v>
      </c>
    </row>
    <row r="111" spans="1:128" s="156" customFormat="1" ht="128.25" hidden="1" customHeight="1">
      <c r="A111" s="312">
        <v>96</v>
      </c>
      <c r="B111" s="508" t="s">
        <v>1103</v>
      </c>
      <c r="C111" s="384" t="s">
        <v>1097</v>
      </c>
      <c r="D111" s="376">
        <v>46048</v>
      </c>
      <c r="E111" s="320" t="s">
        <v>784</v>
      </c>
      <c r="F111" s="382" t="s">
        <v>633</v>
      </c>
      <c r="G111" s="352" t="s">
        <v>69</v>
      </c>
      <c r="H111" s="352" t="s">
        <v>69</v>
      </c>
      <c r="I111" s="352" t="s">
        <v>69</v>
      </c>
      <c r="J111" s="352" t="s">
        <v>69</v>
      </c>
      <c r="K111" s="352" t="s">
        <v>69</v>
      </c>
      <c r="L111" s="352" t="s">
        <v>69</v>
      </c>
      <c r="M111" s="352" t="s">
        <v>69</v>
      </c>
      <c r="N111" s="352" t="s">
        <v>69</v>
      </c>
      <c r="O111" s="352" t="s">
        <v>69</v>
      </c>
      <c r="P111" s="352" t="s">
        <v>69</v>
      </c>
      <c r="Q111" s="352" t="s">
        <v>69</v>
      </c>
      <c r="R111" s="352" t="s">
        <v>69</v>
      </c>
      <c r="S111" s="352" t="s">
        <v>69</v>
      </c>
      <c r="T111" s="352" t="s">
        <v>69</v>
      </c>
      <c r="U111" s="352" t="s">
        <v>69</v>
      </c>
      <c r="V111" s="352" t="s">
        <v>69</v>
      </c>
      <c r="W111" s="352" t="s">
        <v>69</v>
      </c>
      <c r="X111" s="352" t="s">
        <v>69</v>
      </c>
      <c r="Y111" s="352" t="s">
        <v>69</v>
      </c>
      <c r="Z111" s="352" t="s">
        <v>69</v>
      </c>
      <c r="AA111" s="352" t="s">
        <v>69</v>
      </c>
      <c r="AB111" s="352" t="s">
        <v>69</v>
      </c>
      <c r="AC111" s="352" t="s">
        <v>69</v>
      </c>
      <c r="AD111" s="352" t="s">
        <v>69</v>
      </c>
      <c r="AE111" s="352" t="s">
        <v>69</v>
      </c>
      <c r="AF111" s="352" t="s">
        <v>69</v>
      </c>
      <c r="AG111" s="352">
        <v>2</v>
      </c>
      <c r="AH111" s="352" t="s">
        <v>69</v>
      </c>
      <c r="AI111" s="352" t="s">
        <v>69</v>
      </c>
      <c r="AJ111" s="352" t="s">
        <v>69</v>
      </c>
      <c r="AK111" s="352" t="s">
        <v>69</v>
      </c>
      <c r="AL111" s="352" t="s">
        <v>69</v>
      </c>
      <c r="AM111" s="352" t="s">
        <v>69</v>
      </c>
      <c r="AN111" s="352" t="s">
        <v>69</v>
      </c>
      <c r="AO111" s="352" t="s">
        <v>69</v>
      </c>
      <c r="AP111" s="352" t="s">
        <v>69</v>
      </c>
      <c r="AQ111" s="352" t="s">
        <v>69</v>
      </c>
      <c r="AR111" s="352" t="s">
        <v>69</v>
      </c>
      <c r="AS111" s="352" t="s">
        <v>69</v>
      </c>
      <c r="AT111" s="352" t="s">
        <v>69</v>
      </c>
      <c r="AU111" s="352" t="s">
        <v>69</v>
      </c>
      <c r="AV111" s="352" t="s">
        <v>69</v>
      </c>
      <c r="AW111" s="352" t="s">
        <v>69</v>
      </c>
      <c r="AX111" s="352" t="s">
        <v>69</v>
      </c>
      <c r="AY111" s="352" t="s">
        <v>69</v>
      </c>
      <c r="AZ111" s="352" t="s">
        <v>69</v>
      </c>
      <c r="BA111" s="352" t="s">
        <v>69</v>
      </c>
      <c r="BB111" s="352" t="s">
        <v>69</v>
      </c>
      <c r="BC111" s="352" t="s">
        <v>69</v>
      </c>
      <c r="BD111" s="352" t="s">
        <v>69</v>
      </c>
      <c r="BE111" s="352" t="s">
        <v>69</v>
      </c>
      <c r="BF111" s="352" t="s">
        <v>69</v>
      </c>
      <c r="BG111" s="352" t="s">
        <v>69</v>
      </c>
      <c r="BH111" s="352" t="s">
        <v>69</v>
      </c>
      <c r="BI111" s="352" t="s">
        <v>69</v>
      </c>
      <c r="BJ111" s="352" t="s">
        <v>69</v>
      </c>
      <c r="BK111" s="352" t="s">
        <v>69</v>
      </c>
      <c r="BL111" s="352" t="s">
        <v>69</v>
      </c>
      <c r="BM111" s="352" t="s">
        <v>69</v>
      </c>
      <c r="BN111" s="352" t="s">
        <v>69</v>
      </c>
      <c r="BO111" s="352" t="s">
        <v>69</v>
      </c>
      <c r="BP111" s="352" t="s">
        <v>69</v>
      </c>
      <c r="BQ111" s="352" t="s">
        <v>69</v>
      </c>
      <c r="BR111" s="352" t="s">
        <v>69</v>
      </c>
      <c r="BS111" s="352" t="s">
        <v>69</v>
      </c>
      <c r="BT111" s="352" t="s">
        <v>69</v>
      </c>
      <c r="BU111" s="352" t="s">
        <v>69</v>
      </c>
      <c r="BV111" s="352" t="s">
        <v>69</v>
      </c>
      <c r="BW111" s="352" t="s">
        <v>69</v>
      </c>
      <c r="BX111" s="352" t="s">
        <v>69</v>
      </c>
      <c r="BY111" s="352" t="s">
        <v>69</v>
      </c>
      <c r="BZ111" s="352" t="s">
        <v>69</v>
      </c>
      <c r="CA111" s="352" t="s">
        <v>69</v>
      </c>
      <c r="CB111" s="352" t="s">
        <v>69</v>
      </c>
      <c r="CC111" s="352" t="s">
        <v>69</v>
      </c>
      <c r="CD111" s="352" t="s">
        <v>69</v>
      </c>
      <c r="CE111" s="352" t="s">
        <v>69</v>
      </c>
      <c r="CF111" s="352" t="s">
        <v>69</v>
      </c>
      <c r="CG111" s="352" t="s">
        <v>69</v>
      </c>
      <c r="CH111" s="352" t="s">
        <v>69</v>
      </c>
      <c r="CI111" s="352" t="s">
        <v>69</v>
      </c>
      <c r="CJ111" s="352" t="s">
        <v>69</v>
      </c>
      <c r="CK111" s="352" t="s">
        <v>69</v>
      </c>
      <c r="CL111" s="352" t="s">
        <v>69</v>
      </c>
      <c r="CM111" s="352" t="s">
        <v>69</v>
      </c>
      <c r="CN111" s="352" t="s">
        <v>69</v>
      </c>
      <c r="CO111" s="352" t="s">
        <v>69</v>
      </c>
      <c r="CP111" s="352" t="s">
        <v>69</v>
      </c>
      <c r="CQ111" s="352" t="s">
        <v>69</v>
      </c>
      <c r="CR111" s="352" t="s">
        <v>69</v>
      </c>
      <c r="CS111" s="352" t="s">
        <v>69</v>
      </c>
      <c r="CT111" s="352" t="s">
        <v>69</v>
      </c>
      <c r="CU111" s="352" t="s">
        <v>69</v>
      </c>
      <c r="CV111" s="352" t="s">
        <v>69</v>
      </c>
      <c r="CW111" s="352" t="s">
        <v>69</v>
      </c>
      <c r="CX111" s="352" t="s">
        <v>69</v>
      </c>
      <c r="CY111" s="352" t="s">
        <v>69</v>
      </c>
      <c r="CZ111" s="352" t="s">
        <v>69</v>
      </c>
      <c r="DA111" s="352" t="s">
        <v>69</v>
      </c>
      <c r="DB111" s="352" t="s">
        <v>69</v>
      </c>
      <c r="DC111" s="352">
        <v>2</v>
      </c>
      <c r="DD111" s="352" t="s">
        <v>69</v>
      </c>
      <c r="DE111" s="352" t="s">
        <v>69</v>
      </c>
      <c r="DF111" s="352" t="s">
        <v>69</v>
      </c>
      <c r="DG111" s="352" t="s">
        <v>69</v>
      </c>
      <c r="DH111" s="352" t="s">
        <v>69</v>
      </c>
      <c r="DI111" s="352" t="s">
        <v>69</v>
      </c>
      <c r="DJ111" s="352" t="s">
        <v>69</v>
      </c>
      <c r="DK111" s="352" t="s">
        <v>69</v>
      </c>
      <c r="DL111" s="352" t="s">
        <v>69</v>
      </c>
      <c r="DM111" s="352" t="s">
        <v>69</v>
      </c>
      <c r="DN111" s="352" t="s">
        <v>69</v>
      </c>
      <c r="DO111" s="352" t="s">
        <v>69</v>
      </c>
      <c r="DP111" s="352" t="s">
        <v>69</v>
      </c>
      <c r="DQ111" s="352" t="s">
        <v>69</v>
      </c>
      <c r="DR111" s="352" t="s">
        <v>69</v>
      </c>
      <c r="DS111" s="352" t="s">
        <v>69</v>
      </c>
      <c r="DT111" s="352">
        <v>2</v>
      </c>
      <c r="DU111" s="352" t="s">
        <v>69</v>
      </c>
      <c r="DV111" s="387">
        <f>COUNTIF(G111:DU111,"&gt;0")/63</f>
        <v>4.7619047619047616E-2</v>
      </c>
      <c r="DW111" s="388">
        <f>+COUNTIF(G111:DU111,"&gt;2")/COUNTIF(G111:DU111,"&gt;1")</f>
        <v>0</v>
      </c>
      <c r="DX111" s="156" t="str">
        <f>VLOOKUP(B111,[1]Pointage!$A:$D,4,0)</f>
        <v>Mourad Saitali</v>
      </c>
    </row>
    <row r="112" spans="1:128" s="156" customFormat="1" ht="128.25" hidden="1" customHeight="1">
      <c r="A112" s="312">
        <v>97</v>
      </c>
      <c r="B112" s="508" t="s">
        <v>1098</v>
      </c>
      <c r="C112" s="384" t="s">
        <v>1099</v>
      </c>
      <c r="D112" s="376">
        <v>46049</v>
      </c>
      <c r="E112" s="320" t="s">
        <v>784</v>
      </c>
      <c r="F112" s="382" t="s">
        <v>633</v>
      </c>
      <c r="G112" s="352" t="s">
        <v>69</v>
      </c>
      <c r="H112" s="352" t="s">
        <v>69</v>
      </c>
      <c r="I112" s="352" t="s">
        <v>69</v>
      </c>
      <c r="J112" s="352" t="s">
        <v>69</v>
      </c>
      <c r="K112" s="352" t="s">
        <v>69</v>
      </c>
      <c r="L112" s="352" t="s">
        <v>69</v>
      </c>
      <c r="M112" s="352" t="s">
        <v>69</v>
      </c>
      <c r="N112" s="352" t="s">
        <v>69</v>
      </c>
      <c r="O112" s="352" t="s">
        <v>69</v>
      </c>
      <c r="P112" s="352" t="s">
        <v>69</v>
      </c>
      <c r="Q112" s="352" t="s">
        <v>69</v>
      </c>
      <c r="R112" s="352" t="s">
        <v>69</v>
      </c>
      <c r="S112" s="352" t="s">
        <v>69</v>
      </c>
      <c r="T112" s="352" t="s">
        <v>69</v>
      </c>
      <c r="U112" s="352" t="s">
        <v>69</v>
      </c>
      <c r="V112" s="352" t="s">
        <v>69</v>
      </c>
      <c r="W112" s="352" t="s">
        <v>69</v>
      </c>
      <c r="X112" s="352" t="s">
        <v>69</v>
      </c>
      <c r="Y112" s="352" t="s">
        <v>69</v>
      </c>
      <c r="Z112" s="352" t="s">
        <v>69</v>
      </c>
      <c r="AA112" s="352" t="s">
        <v>69</v>
      </c>
      <c r="AB112" s="352" t="s">
        <v>69</v>
      </c>
      <c r="AC112" s="352" t="s">
        <v>69</v>
      </c>
      <c r="AD112" s="352" t="s">
        <v>69</v>
      </c>
      <c r="AE112" s="352" t="s">
        <v>69</v>
      </c>
      <c r="AF112" s="352" t="s">
        <v>69</v>
      </c>
      <c r="AG112" s="352" t="s">
        <v>69</v>
      </c>
      <c r="AH112" s="352" t="s">
        <v>69</v>
      </c>
      <c r="AI112" s="352" t="s">
        <v>69</v>
      </c>
      <c r="AJ112" s="352" t="s">
        <v>69</v>
      </c>
      <c r="AK112" s="352" t="s">
        <v>69</v>
      </c>
      <c r="AL112" s="352" t="s">
        <v>69</v>
      </c>
      <c r="AM112" s="352" t="s">
        <v>69</v>
      </c>
      <c r="AN112" s="352" t="s">
        <v>69</v>
      </c>
      <c r="AO112" s="352" t="s">
        <v>69</v>
      </c>
      <c r="AP112" s="352" t="s">
        <v>69</v>
      </c>
      <c r="AQ112" s="352" t="s">
        <v>69</v>
      </c>
      <c r="AR112" s="352" t="s">
        <v>69</v>
      </c>
      <c r="AS112" s="352" t="s">
        <v>69</v>
      </c>
      <c r="AT112" s="352" t="s">
        <v>69</v>
      </c>
      <c r="AU112" s="352" t="s">
        <v>69</v>
      </c>
      <c r="AV112" s="352" t="s">
        <v>69</v>
      </c>
      <c r="AW112" s="352" t="s">
        <v>69</v>
      </c>
      <c r="AX112" s="352" t="s">
        <v>69</v>
      </c>
      <c r="AY112" s="352" t="s">
        <v>69</v>
      </c>
      <c r="AZ112" s="352" t="s">
        <v>69</v>
      </c>
      <c r="BA112" s="352" t="s">
        <v>69</v>
      </c>
      <c r="BB112" s="352" t="s">
        <v>69</v>
      </c>
      <c r="BC112" s="352" t="s">
        <v>69</v>
      </c>
      <c r="BD112" s="352" t="s">
        <v>69</v>
      </c>
      <c r="BE112" s="352" t="s">
        <v>69</v>
      </c>
      <c r="BF112" s="352" t="s">
        <v>69</v>
      </c>
      <c r="BG112" s="352" t="s">
        <v>69</v>
      </c>
      <c r="BH112" s="352" t="s">
        <v>69</v>
      </c>
      <c r="BI112" s="352" t="s">
        <v>69</v>
      </c>
      <c r="BJ112" s="352" t="s">
        <v>69</v>
      </c>
      <c r="BK112" s="352" t="s">
        <v>69</v>
      </c>
      <c r="BL112" s="352" t="s">
        <v>69</v>
      </c>
      <c r="BM112" s="352" t="s">
        <v>69</v>
      </c>
      <c r="BN112" s="352" t="s">
        <v>69</v>
      </c>
      <c r="BO112" s="352" t="s">
        <v>69</v>
      </c>
      <c r="BP112" s="352" t="s">
        <v>69</v>
      </c>
      <c r="BQ112" s="352" t="s">
        <v>69</v>
      </c>
      <c r="BR112" s="352" t="s">
        <v>69</v>
      </c>
      <c r="BS112" s="352" t="s">
        <v>69</v>
      </c>
      <c r="BT112" s="352" t="s">
        <v>69</v>
      </c>
      <c r="BU112" s="352" t="s">
        <v>69</v>
      </c>
      <c r="BV112" s="352" t="s">
        <v>69</v>
      </c>
      <c r="BW112" s="352" t="s">
        <v>69</v>
      </c>
      <c r="BX112" s="352" t="s">
        <v>69</v>
      </c>
      <c r="BY112" s="352" t="s">
        <v>69</v>
      </c>
      <c r="BZ112" s="352" t="s">
        <v>69</v>
      </c>
      <c r="CA112" s="352" t="s">
        <v>69</v>
      </c>
      <c r="CB112" s="352" t="s">
        <v>69</v>
      </c>
      <c r="CC112" s="352" t="s">
        <v>69</v>
      </c>
      <c r="CD112" s="352" t="s">
        <v>69</v>
      </c>
      <c r="CE112" s="352" t="s">
        <v>69</v>
      </c>
      <c r="CF112" s="352" t="s">
        <v>69</v>
      </c>
      <c r="CG112" s="352" t="s">
        <v>69</v>
      </c>
      <c r="CH112" s="352" t="s">
        <v>69</v>
      </c>
      <c r="CI112" s="352" t="s">
        <v>69</v>
      </c>
      <c r="CJ112" s="352" t="s">
        <v>69</v>
      </c>
      <c r="CK112" s="352" t="s">
        <v>69</v>
      </c>
      <c r="CL112" s="352" t="s">
        <v>69</v>
      </c>
      <c r="CM112" s="352" t="s">
        <v>69</v>
      </c>
      <c r="CN112" s="352" t="s">
        <v>69</v>
      </c>
      <c r="CO112" s="352">
        <v>2</v>
      </c>
      <c r="CP112" s="352" t="s">
        <v>69</v>
      </c>
      <c r="CQ112" s="352" t="s">
        <v>69</v>
      </c>
      <c r="CR112" s="352" t="s">
        <v>69</v>
      </c>
      <c r="CS112" s="352" t="s">
        <v>69</v>
      </c>
      <c r="CT112" s="352" t="s">
        <v>69</v>
      </c>
      <c r="CU112" s="352" t="s">
        <v>69</v>
      </c>
      <c r="CV112" s="352" t="s">
        <v>69</v>
      </c>
      <c r="CW112" s="352" t="s">
        <v>69</v>
      </c>
      <c r="CX112" s="352" t="s">
        <v>69</v>
      </c>
      <c r="CY112" s="352" t="s">
        <v>69</v>
      </c>
      <c r="CZ112" s="352" t="s">
        <v>69</v>
      </c>
      <c r="DA112" s="352" t="s">
        <v>69</v>
      </c>
      <c r="DB112" s="352" t="s">
        <v>69</v>
      </c>
      <c r="DC112" s="352" t="s">
        <v>69</v>
      </c>
      <c r="DD112" s="352" t="s">
        <v>69</v>
      </c>
      <c r="DE112" s="352" t="s">
        <v>69</v>
      </c>
      <c r="DF112" s="352" t="s">
        <v>69</v>
      </c>
      <c r="DG112" s="352" t="s">
        <v>69</v>
      </c>
      <c r="DH112" s="352" t="s">
        <v>69</v>
      </c>
      <c r="DI112" s="352" t="s">
        <v>69</v>
      </c>
      <c r="DJ112" s="352" t="s">
        <v>69</v>
      </c>
      <c r="DK112" s="352" t="s">
        <v>69</v>
      </c>
      <c r="DL112" s="352" t="s">
        <v>69</v>
      </c>
      <c r="DM112" s="352" t="s">
        <v>69</v>
      </c>
      <c r="DN112" s="352" t="s">
        <v>69</v>
      </c>
      <c r="DO112" s="352" t="s">
        <v>69</v>
      </c>
      <c r="DP112" s="352" t="s">
        <v>69</v>
      </c>
      <c r="DQ112" s="352" t="s">
        <v>69</v>
      </c>
      <c r="DR112" s="352" t="s">
        <v>69</v>
      </c>
      <c r="DS112" s="352" t="s">
        <v>69</v>
      </c>
      <c r="DT112" s="352" t="s">
        <v>69</v>
      </c>
      <c r="DU112" s="352" t="s">
        <v>69</v>
      </c>
      <c r="DV112" s="387">
        <f>COUNTIF(G112:DU112,"&gt;0")/63</f>
        <v>1.5873015873015872E-2</v>
      </c>
      <c r="DW112" s="388">
        <f>+COUNTIF(G112:DU112,"&gt;2")/COUNTIF(G112:DU112,"&gt;1")</f>
        <v>0</v>
      </c>
      <c r="DX112" s="156" t="str">
        <f>VLOOKUP(B112,[1]Pointage!$A:$D,4,0)</f>
        <v>Mourad Saitali</v>
      </c>
    </row>
    <row r="113" spans="1:128" s="156" customFormat="1" ht="128.25" hidden="1" customHeight="1">
      <c r="A113" s="312">
        <v>98</v>
      </c>
      <c r="B113" s="508" t="s">
        <v>1100</v>
      </c>
      <c r="C113" s="384" t="s">
        <v>1101</v>
      </c>
      <c r="D113" s="376">
        <v>46050</v>
      </c>
      <c r="E113" s="320" t="s">
        <v>784</v>
      </c>
      <c r="F113" s="382" t="s">
        <v>633</v>
      </c>
      <c r="G113" s="352" t="s">
        <v>69</v>
      </c>
      <c r="H113" s="352" t="s">
        <v>69</v>
      </c>
      <c r="I113" s="352" t="s">
        <v>69</v>
      </c>
      <c r="J113" s="352" t="s">
        <v>69</v>
      </c>
      <c r="K113" s="352" t="s">
        <v>69</v>
      </c>
      <c r="L113" s="352" t="s">
        <v>69</v>
      </c>
      <c r="M113" s="352" t="s">
        <v>69</v>
      </c>
      <c r="N113" s="352" t="s">
        <v>69</v>
      </c>
      <c r="O113" s="352" t="s">
        <v>69</v>
      </c>
      <c r="P113" s="352" t="s">
        <v>69</v>
      </c>
      <c r="Q113" s="352" t="s">
        <v>69</v>
      </c>
      <c r="R113" s="352" t="s">
        <v>69</v>
      </c>
      <c r="S113" s="352" t="s">
        <v>69</v>
      </c>
      <c r="T113" s="352" t="s">
        <v>69</v>
      </c>
      <c r="U113" s="352" t="s">
        <v>69</v>
      </c>
      <c r="V113" s="352" t="s">
        <v>69</v>
      </c>
      <c r="W113" s="352" t="s">
        <v>69</v>
      </c>
      <c r="X113" s="352" t="s">
        <v>69</v>
      </c>
      <c r="Y113" s="352" t="s">
        <v>69</v>
      </c>
      <c r="Z113" s="352" t="s">
        <v>69</v>
      </c>
      <c r="AA113" s="352" t="s">
        <v>69</v>
      </c>
      <c r="AB113" s="352" t="s">
        <v>69</v>
      </c>
      <c r="AC113" s="352" t="s">
        <v>69</v>
      </c>
      <c r="AD113" s="352" t="s">
        <v>69</v>
      </c>
      <c r="AE113" s="352" t="s">
        <v>69</v>
      </c>
      <c r="AF113" s="352" t="s">
        <v>69</v>
      </c>
      <c r="AG113" s="352" t="s">
        <v>69</v>
      </c>
      <c r="AH113" s="352" t="s">
        <v>69</v>
      </c>
      <c r="AI113" s="352">
        <v>2</v>
      </c>
      <c r="AJ113" s="352" t="s">
        <v>69</v>
      </c>
      <c r="AK113" s="352" t="s">
        <v>69</v>
      </c>
      <c r="AL113" s="352" t="s">
        <v>69</v>
      </c>
      <c r="AM113" s="352" t="s">
        <v>69</v>
      </c>
      <c r="AN113" s="352" t="s">
        <v>69</v>
      </c>
      <c r="AO113" s="352" t="s">
        <v>69</v>
      </c>
      <c r="AP113" s="352" t="s">
        <v>69</v>
      </c>
      <c r="AQ113" s="352" t="s">
        <v>69</v>
      </c>
      <c r="AR113" s="352" t="s">
        <v>69</v>
      </c>
      <c r="AS113" s="352" t="s">
        <v>69</v>
      </c>
      <c r="AT113" s="352" t="s">
        <v>69</v>
      </c>
      <c r="AU113" s="352" t="s">
        <v>69</v>
      </c>
      <c r="AV113" s="352" t="s">
        <v>69</v>
      </c>
      <c r="AW113" s="352" t="s">
        <v>69</v>
      </c>
      <c r="AX113" s="352" t="s">
        <v>69</v>
      </c>
      <c r="AY113" s="352" t="s">
        <v>69</v>
      </c>
      <c r="AZ113" s="352" t="s">
        <v>69</v>
      </c>
      <c r="BA113" s="352" t="s">
        <v>69</v>
      </c>
      <c r="BB113" s="352" t="s">
        <v>69</v>
      </c>
      <c r="BC113" s="352" t="s">
        <v>69</v>
      </c>
      <c r="BD113" s="352" t="s">
        <v>69</v>
      </c>
      <c r="BE113" s="352" t="s">
        <v>69</v>
      </c>
      <c r="BF113" s="352" t="s">
        <v>69</v>
      </c>
      <c r="BG113" s="352" t="s">
        <v>69</v>
      </c>
      <c r="BH113" s="352" t="s">
        <v>69</v>
      </c>
      <c r="BI113" s="352" t="s">
        <v>69</v>
      </c>
      <c r="BJ113" s="352" t="s">
        <v>69</v>
      </c>
      <c r="BK113" s="352" t="s">
        <v>69</v>
      </c>
      <c r="BL113" s="352" t="s">
        <v>69</v>
      </c>
      <c r="BM113" s="352" t="s">
        <v>69</v>
      </c>
      <c r="BN113" s="352" t="s">
        <v>69</v>
      </c>
      <c r="BO113" s="352" t="s">
        <v>69</v>
      </c>
      <c r="BP113" s="352" t="s">
        <v>69</v>
      </c>
      <c r="BQ113" s="352" t="s">
        <v>69</v>
      </c>
      <c r="BR113" s="352" t="s">
        <v>69</v>
      </c>
      <c r="BS113" s="352" t="s">
        <v>69</v>
      </c>
      <c r="BT113" s="352" t="s">
        <v>69</v>
      </c>
      <c r="BU113" s="352" t="s">
        <v>69</v>
      </c>
      <c r="BV113" s="352" t="s">
        <v>69</v>
      </c>
      <c r="BW113" s="352" t="s">
        <v>69</v>
      </c>
      <c r="BX113" s="352" t="s">
        <v>69</v>
      </c>
      <c r="BY113" s="352" t="s">
        <v>69</v>
      </c>
      <c r="BZ113" s="352" t="s">
        <v>69</v>
      </c>
      <c r="CA113" s="352" t="s">
        <v>69</v>
      </c>
      <c r="CB113" s="352" t="s">
        <v>69</v>
      </c>
      <c r="CC113" s="352" t="s">
        <v>69</v>
      </c>
      <c r="CD113" s="352" t="s">
        <v>69</v>
      </c>
      <c r="CE113" s="352" t="s">
        <v>69</v>
      </c>
      <c r="CF113" s="352" t="s">
        <v>69</v>
      </c>
      <c r="CG113" s="352" t="s">
        <v>69</v>
      </c>
      <c r="CH113" s="352" t="s">
        <v>69</v>
      </c>
      <c r="CI113" s="352" t="s">
        <v>69</v>
      </c>
      <c r="CJ113" s="352" t="s">
        <v>69</v>
      </c>
      <c r="CK113" s="352" t="s">
        <v>69</v>
      </c>
      <c r="CL113" s="352" t="s">
        <v>69</v>
      </c>
      <c r="CM113" s="352" t="s">
        <v>69</v>
      </c>
      <c r="CN113" s="352" t="s">
        <v>69</v>
      </c>
      <c r="CO113" s="352" t="s">
        <v>69</v>
      </c>
      <c r="CP113" s="352" t="s">
        <v>69</v>
      </c>
      <c r="CQ113" s="352" t="s">
        <v>69</v>
      </c>
      <c r="CR113" s="352" t="s">
        <v>69</v>
      </c>
      <c r="CS113" s="352" t="s">
        <v>69</v>
      </c>
      <c r="CT113" s="352" t="s">
        <v>69</v>
      </c>
      <c r="CU113" s="352" t="s">
        <v>69</v>
      </c>
      <c r="CV113" s="352" t="s">
        <v>69</v>
      </c>
      <c r="CW113" s="352" t="s">
        <v>69</v>
      </c>
      <c r="CX113" s="352" t="s">
        <v>69</v>
      </c>
      <c r="CY113" s="352" t="s">
        <v>69</v>
      </c>
      <c r="CZ113" s="352" t="s">
        <v>69</v>
      </c>
      <c r="DA113" s="352" t="s">
        <v>69</v>
      </c>
      <c r="DB113" s="352" t="s">
        <v>69</v>
      </c>
      <c r="DC113" s="352" t="s">
        <v>69</v>
      </c>
      <c r="DD113" s="352" t="s">
        <v>69</v>
      </c>
      <c r="DE113" s="352" t="s">
        <v>69</v>
      </c>
      <c r="DF113" s="352" t="s">
        <v>69</v>
      </c>
      <c r="DG113" s="352" t="s">
        <v>69</v>
      </c>
      <c r="DH113" s="352" t="s">
        <v>69</v>
      </c>
      <c r="DI113" s="352" t="s">
        <v>69</v>
      </c>
      <c r="DJ113" s="352" t="s">
        <v>69</v>
      </c>
      <c r="DK113" s="352" t="s">
        <v>69</v>
      </c>
      <c r="DL113" s="352" t="s">
        <v>69</v>
      </c>
      <c r="DM113" s="352" t="s">
        <v>69</v>
      </c>
      <c r="DN113" s="352" t="s">
        <v>69</v>
      </c>
      <c r="DO113" s="352" t="s">
        <v>69</v>
      </c>
      <c r="DP113" s="352" t="s">
        <v>69</v>
      </c>
      <c r="DQ113" s="352" t="s">
        <v>69</v>
      </c>
      <c r="DR113" s="352" t="s">
        <v>69</v>
      </c>
      <c r="DS113" s="352" t="s">
        <v>69</v>
      </c>
      <c r="DT113" s="352" t="s">
        <v>69</v>
      </c>
      <c r="DU113" s="352" t="s">
        <v>69</v>
      </c>
      <c r="DV113" s="387">
        <f>COUNTIF(G113:DU113,"&gt;0")/63</f>
        <v>1.5873015873015872E-2</v>
      </c>
      <c r="DW113" s="388">
        <f>+COUNTIF(G113:DU113,"&gt;2")/COUNTIF(G113:DU113,"&gt;1")</f>
        <v>0</v>
      </c>
      <c r="DX113" s="156" t="str">
        <f>VLOOKUP(B113,[1]Pointage!$A:$D,4,0)</f>
        <v>Mourad Saitali</v>
      </c>
    </row>
    <row r="114" spans="1:128" s="156" customFormat="1" ht="128.25" hidden="1" customHeight="1">
      <c r="A114" s="312">
        <v>99</v>
      </c>
      <c r="B114" s="508" t="s">
        <v>1190</v>
      </c>
      <c r="C114" s="384" t="s">
        <v>1104</v>
      </c>
      <c r="D114" s="376">
        <v>46083</v>
      </c>
      <c r="E114" s="320" t="s">
        <v>784</v>
      </c>
      <c r="F114" s="382" t="s">
        <v>633</v>
      </c>
      <c r="G114" s="352" t="s">
        <v>69</v>
      </c>
      <c r="H114" s="352" t="s">
        <v>69</v>
      </c>
      <c r="I114" s="352" t="s">
        <v>69</v>
      </c>
      <c r="J114" s="352" t="s">
        <v>69</v>
      </c>
      <c r="K114" s="352" t="s">
        <v>69</v>
      </c>
      <c r="L114" s="352">
        <v>4</v>
      </c>
      <c r="M114" s="352" t="s">
        <v>69</v>
      </c>
      <c r="N114" s="352" t="s">
        <v>69</v>
      </c>
      <c r="O114" s="352" t="s">
        <v>69</v>
      </c>
      <c r="P114" s="352" t="s">
        <v>69</v>
      </c>
      <c r="Q114" s="352" t="s">
        <v>69</v>
      </c>
      <c r="R114" s="352" t="s">
        <v>69</v>
      </c>
      <c r="S114" s="352" t="s">
        <v>69</v>
      </c>
      <c r="T114" s="352" t="s">
        <v>69</v>
      </c>
      <c r="U114" s="352" t="s">
        <v>69</v>
      </c>
      <c r="V114" s="352" t="s">
        <v>69</v>
      </c>
      <c r="W114" s="352" t="s">
        <v>69</v>
      </c>
      <c r="X114" s="352" t="s">
        <v>69</v>
      </c>
      <c r="Y114" s="352" t="s">
        <v>69</v>
      </c>
      <c r="Z114" s="352" t="s">
        <v>69</v>
      </c>
      <c r="AA114" s="352" t="s">
        <v>69</v>
      </c>
      <c r="AB114" s="352" t="s">
        <v>69</v>
      </c>
      <c r="AC114" s="352" t="s">
        <v>69</v>
      </c>
      <c r="AD114" s="352" t="s">
        <v>69</v>
      </c>
      <c r="AE114" s="352" t="s">
        <v>69</v>
      </c>
      <c r="AF114" s="352" t="s">
        <v>69</v>
      </c>
      <c r="AG114" s="352" t="s">
        <v>69</v>
      </c>
      <c r="AH114" s="352" t="s">
        <v>69</v>
      </c>
      <c r="AI114" s="352" t="s">
        <v>69</v>
      </c>
      <c r="AJ114" s="352" t="s">
        <v>69</v>
      </c>
      <c r="AK114" s="352" t="s">
        <v>69</v>
      </c>
      <c r="AL114" s="352" t="s">
        <v>69</v>
      </c>
      <c r="AM114" s="352" t="s">
        <v>69</v>
      </c>
      <c r="AN114" s="352" t="s">
        <v>69</v>
      </c>
      <c r="AO114" s="352" t="s">
        <v>69</v>
      </c>
      <c r="AP114" s="352" t="s">
        <v>69</v>
      </c>
      <c r="AQ114" s="352" t="s">
        <v>69</v>
      </c>
      <c r="AR114" s="352" t="s">
        <v>69</v>
      </c>
      <c r="AS114" s="352" t="s">
        <v>69</v>
      </c>
      <c r="AT114" s="352" t="s">
        <v>69</v>
      </c>
      <c r="AU114" s="352" t="s">
        <v>69</v>
      </c>
      <c r="AV114" s="352" t="s">
        <v>69</v>
      </c>
      <c r="AW114" s="352" t="s">
        <v>69</v>
      </c>
      <c r="AX114" s="352" t="s">
        <v>69</v>
      </c>
      <c r="AY114" s="352" t="s">
        <v>69</v>
      </c>
      <c r="AZ114" s="352" t="s">
        <v>69</v>
      </c>
      <c r="BA114" s="352" t="s">
        <v>69</v>
      </c>
      <c r="BB114" s="352" t="s">
        <v>69</v>
      </c>
      <c r="BC114" s="352" t="s">
        <v>69</v>
      </c>
      <c r="BD114" s="352" t="s">
        <v>69</v>
      </c>
      <c r="BE114" s="352">
        <v>4</v>
      </c>
      <c r="BF114" s="352" t="s">
        <v>69</v>
      </c>
      <c r="BG114" s="352" t="s">
        <v>69</v>
      </c>
      <c r="BH114" s="352" t="s">
        <v>69</v>
      </c>
      <c r="BI114" s="352" t="s">
        <v>69</v>
      </c>
      <c r="BJ114" s="352" t="s">
        <v>69</v>
      </c>
      <c r="BK114" s="352" t="s">
        <v>69</v>
      </c>
      <c r="BL114" s="352" t="s">
        <v>69</v>
      </c>
      <c r="BM114" s="352" t="s">
        <v>69</v>
      </c>
      <c r="BN114" s="352" t="s">
        <v>69</v>
      </c>
      <c r="BO114" s="352" t="s">
        <v>69</v>
      </c>
      <c r="BP114" s="352" t="s">
        <v>69</v>
      </c>
      <c r="BQ114" s="352" t="s">
        <v>69</v>
      </c>
      <c r="BR114" s="352" t="s">
        <v>69</v>
      </c>
      <c r="BS114" s="352" t="s">
        <v>69</v>
      </c>
      <c r="BT114" s="352" t="s">
        <v>69</v>
      </c>
      <c r="BU114" s="352" t="s">
        <v>69</v>
      </c>
      <c r="BV114" s="352" t="s">
        <v>69</v>
      </c>
      <c r="BW114" s="352" t="s">
        <v>69</v>
      </c>
      <c r="BX114" s="352" t="s">
        <v>69</v>
      </c>
      <c r="BY114" s="352" t="s">
        <v>69</v>
      </c>
      <c r="BZ114" s="352">
        <v>4</v>
      </c>
      <c r="CA114" s="352" t="s">
        <v>69</v>
      </c>
      <c r="CB114" s="352" t="s">
        <v>69</v>
      </c>
      <c r="CC114" s="352" t="s">
        <v>69</v>
      </c>
      <c r="CD114" s="352" t="s">
        <v>69</v>
      </c>
      <c r="CE114" s="352" t="s">
        <v>69</v>
      </c>
      <c r="CF114" s="352" t="s">
        <v>69</v>
      </c>
      <c r="CG114" s="352">
        <v>4</v>
      </c>
      <c r="CH114" s="352" t="s">
        <v>69</v>
      </c>
      <c r="CI114" s="352" t="s">
        <v>69</v>
      </c>
      <c r="CJ114" s="352" t="s">
        <v>69</v>
      </c>
      <c r="CK114" s="352" t="s">
        <v>69</v>
      </c>
      <c r="CL114" s="352" t="s">
        <v>69</v>
      </c>
      <c r="CM114" s="352" t="s">
        <v>69</v>
      </c>
      <c r="CN114" s="352" t="s">
        <v>69</v>
      </c>
      <c r="CO114" s="352" t="s">
        <v>69</v>
      </c>
      <c r="CP114" s="352" t="s">
        <v>69</v>
      </c>
      <c r="CQ114" s="352" t="s">
        <v>69</v>
      </c>
      <c r="CR114" s="352" t="s">
        <v>69</v>
      </c>
      <c r="CS114" s="352" t="s">
        <v>69</v>
      </c>
      <c r="CT114" s="352" t="s">
        <v>69</v>
      </c>
      <c r="CU114" s="352" t="s">
        <v>69</v>
      </c>
      <c r="CV114" s="352" t="s">
        <v>69</v>
      </c>
      <c r="CW114" s="352" t="s">
        <v>69</v>
      </c>
      <c r="CX114" s="352" t="s">
        <v>69</v>
      </c>
      <c r="CY114" s="352" t="s">
        <v>69</v>
      </c>
      <c r="CZ114" s="352" t="s">
        <v>69</v>
      </c>
      <c r="DA114" s="352" t="s">
        <v>69</v>
      </c>
      <c r="DB114" s="352" t="s">
        <v>69</v>
      </c>
      <c r="DC114" s="352" t="s">
        <v>69</v>
      </c>
      <c r="DD114" s="352" t="s">
        <v>69</v>
      </c>
      <c r="DE114" s="352" t="s">
        <v>69</v>
      </c>
      <c r="DF114" s="352" t="s">
        <v>69</v>
      </c>
      <c r="DG114" s="352" t="s">
        <v>69</v>
      </c>
      <c r="DH114" s="352" t="s">
        <v>69</v>
      </c>
      <c r="DI114" s="352" t="s">
        <v>69</v>
      </c>
      <c r="DJ114" s="352" t="s">
        <v>69</v>
      </c>
      <c r="DK114" s="352" t="s">
        <v>69</v>
      </c>
      <c r="DL114" s="352" t="s">
        <v>69</v>
      </c>
      <c r="DM114" s="352" t="s">
        <v>69</v>
      </c>
      <c r="DN114" s="352" t="s">
        <v>69</v>
      </c>
      <c r="DO114" s="352" t="s">
        <v>69</v>
      </c>
      <c r="DP114" s="352" t="s">
        <v>69</v>
      </c>
      <c r="DQ114" s="352" t="s">
        <v>69</v>
      </c>
      <c r="DR114" s="352" t="s">
        <v>69</v>
      </c>
      <c r="DS114" s="352" t="s">
        <v>69</v>
      </c>
      <c r="DT114" s="352" t="s">
        <v>69</v>
      </c>
      <c r="DU114" s="352" t="s">
        <v>69</v>
      </c>
      <c r="DV114" s="387">
        <f>COUNTIF(G114:DU114,"&gt;0")/63</f>
        <v>6.3492063492063489E-2</v>
      </c>
      <c r="DW114" s="388">
        <v>0</v>
      </c>
      <c r="DX114" s="156" t="str">
        <f>VLOOKUP(B114,[1]Pointage!$A:$D,4,0)</f>
        <v>Mourad Saitali</v>
      </c>
    </row>
    <row r="115" spans="1:128" s="156" customFormat="1" ht="118.5" hidden="1" customHeight="1">
      <c r="A115" s="312">
        <v>100</v>
      </c>
      <c r="B115" s="508" t="s">
        <v>1191</v>
      </c>
      <c r="C115" s="384" t="s">
        <v>1105</v>
      </c>
      <c r="D115" s="376">
        <v>46083</v>
      </c>
      <c r="E115" s="320" t="s">
        <v>784</v>
      </c>
      <c r="F115" s="382" t="s">
        <v>633</v>
      </c>
      <c r="G115" s="352" t="s">
        <v>69</v>
      </c>
      <c r="H115" s="352" t="s">
        <v>69</v>
      </c>
      <c r="I115" s="352" t="s">
        <v>69</v>
      </c>
      <c r="J115" s="352" t="s">
        <v>69</v>
      </c>
      <c r="K115" s="352" t="s">
        <v>69</v>
      </c>
      <c r="L115" s="352">
        <v>4</v>
      </c>
      <c r="M115" s="352" t="s">
        <v>69</v>
      </c>
      <c r="N115" s="352" t="s">
        <v>69</v>
      </c>
      <c r="O115" s="352" t="s">
        <v>69</v>
      </c>
      <c r="P115" s="352" t="s">
        <v>69</v>
      </c>
      <c r="Q115" s="352" t="s">
        <v>69</v>
      </c>
      <c r="R115" s="352">
        <v>3</v>
      </c>
      <c r="S115" s="352" t="s">
        <v>69</v>
      </c>
      <c r="T115" s="352" t="s">
        <v>69</v>
      </c>
      <c r="U115" s="352" t="s">
        <v>69</v>
      </c>
      <c r="V115" s="352" t="s">
        <v>69</v>
      </c>
      <c r="W115" s="352" t="s">
        <v>69</v>
      </c>
      <c r="X115" s="352" t="s">
        <v>69</v>
      </c>
      <c r="Y115" s="352" t="s">
        <v>69</v>
      </c>
      <c r="Z115" s="352" t="s">
        <v>69</v>
      </c>
      <c r="AA115" s="352" t="s">
        <v>69</v>
      </c>
      <c r="AB115" s="352" t="s">
        <v>69</v>
      </c>
      <c r="AC115" s="352">
        <v>4</v>
      </c>
      <c r="AD115" s="352" t="s">
        <v>69</v>
      </c>
      <c r="AE115" s="352" t="s">
        <v>69</v>
      </c>
      <c r="AF115" s="352" t="s">
        <v>69</v>
      </c>
      <c r="AG115" s="352" t="s">
        <v>69</v>
      </c>
      <c r="AH115" s="352" t="s">
        <v>69</v>
      </c>
      <c r="AI115" s="352" t="s">
        <v>69</v>
      </c>
      <c r="AJ115" s="352" t="s">
        <v>69</v>
      </c>
      <c r="AK115" s="352" t="s">
        <v>69</v>
      </c>
      <c r="AL115" s="352" t="s">
        <v>69</v>
      </c>
      <c r="AM115" s="352" t="s">
        <v>69</v>
      </c>
      <c r="AN115" s="352" t="s">
        <v>69</v>
      </c>
      <c r="AO115" s="352" t="s">
        <v>69</v>
      </c>
      <c r="AP115" s="352" t="s">
        <v>69</v>
      </c>
      <c r="AQ115" s="352">
        <v>4</v>
      </c>
      <c r="AR115" s="352" t="s">
        <v>69</v>
      </c>
      <c r="AS115" s="352" t="s">
        <v>69</v>
      </c>
      <c r="AT115" s="352" t="s">
        <v>69</v>
      </c>
      <c r="AU115" s="352" t="s">
        <v>69</v>
      </c>
      <c r="AV115" s="352" t="s">
        <v>69</v>
      </c>
      <c r="AW115" s="352" t="s">
        <v>69</v>
      </c>
      <c r="AX115" s="352" t="s">
        <v>69</v>
      </c>
      <c r="AY115" s="352" t="s">
        <v>69</v>
      </c>
      <c r="AZ115" s="352" t="s">
        <v>69</v>
      </c>
      <c r="BA115" s="352" t="s">
        <v>69</v>
      </c>
      <c r="BB115" s="352">
        <v>4</v>
      </c>
      <c r="BC115" s="352" t="s">
        <v>69</v>
      </c>
      <c r="BD115" s="352" t="s">
        <v>69</v>
      </c>
      <c r="BE115" s="352" t="s">
        <v>69</v>
      </c>
      <c r="BF115" s="352" t="s">
        <v>69</v>
      </c>
      <c r="BG115" s="352" t="s">
        <v>69</v>
      </c>
      <c r="BH115" s="352" t="s">
        <v>69</v>
      </c>
      <c r="BI115" s="352" t="s">
        <v>69</v>
      </c>
      <c r="BJ115" s="352" t="s">
        <v>69</v>
      </c>
      <c r="BK115" s="352" t="s">
        <v>69</v>
      </c>
      <c r="BL115" s="352" t="s">
        <v>69</v>
      </c>
      <c r="BM115" s="352" t="s">
        <v>69</v>
      </c>
      <c r="BN115" s="352" t="s">
        <v>69</v>
      </c>
      <c r="BO115" s="352" t="s">
        <v>69</v>
      </c>
      <c r="BP115" s="352" t="s">
        <v>69</v>
      </c>
      <c r="BQ115" s="352" t="s">
        <v>69</v>
      </c>
      <c r="BR115" s="352" t="s">
        <v>69</v>
      </c>
      <c r="BS115" s="352" t="s">
        <v>69</v>
      </c>
      <c r="BT115" s="352" t="s">
        <v>69</v>
      </c>
      <c r="BU115" s="352">
        <v>2</v>
      </c>
      <c r="BV115" s="352" t="s">
        <v>69</v>
      </c>
      <c r="BW115" s="352" t="s">
        <v>69</v>
      </c>
      <c r="BX115" s="352" t="s">
        <v>69</v>
      </c>
      <c r="BY115" s="352" t="s">
        <v>69</v>
      </c>
      <c r="BZ115" s="352" t="s">
        <v>69</v>
      </c>
      <c r="CA115" s="352" t="s">
        <v>69</v>
      </c>
      <c r="CB115" s="352" t="s">
        <v>69</v>
      </c>
      <c r="CC115" s="352" t="s">
        <v>69</v>
      </c>
      <c r="CD115" s="352" t="s">
        <v>69</v>
      </c>
      <c r="CE115" s="352" t="s">
        <v>69</v>
      </c>
      <c r="CF115" s="352" t="s">
        <v>69</v>
      </c>
      <c r="CG115" s="352" t="s">
        <v>69</v>
      </c>
      <c r="CH115" s="352" t="s">
        <v>69</v>
      </c>
      <c r="CI115" s="352" t="s">
        <v>69</v>
      </c>
      <c r="CJ115" s="352" t="s">
        <v>69</v>
      </c>
      <c r="CK115" s="352" t="s">
        <v>69</v>
      </c>
      <c r="CL115" s="352" t="s">
        <v>69</v>
      </c>
      <c r="CM115" s="352" t="s">
        <v>69</v>
      </c>
      <c r="CN115" s="352" t="s">
        <v>69</v>
      </c>
      <c r="CO115" s="352" t="s">
        <v>69</v>
      </c>
      <c r="CP115" s="352" t="s">
        <v>69</v>
      </c>
      <c r="CQ115" s="352" t="s">
        <v>69</v>
      </c>
      <c r="CR115" s="352" t="s">
        <v>69</v>
      </c>
      <c r="CS115" s="352">
        <v>4</v>
      </c>
      <c r="CT115" s="352" t="s">
        <v>69</v>
      </c>
      <c r="CU115" s="352" t="s">
        <v>69</v>
      </c>
      <c r="CV115" s="352" t="s">
        <v>69</v>
      </c>
      <c r="CW115" s="352" t="s">
        <v>69</v>
      </c>
      <c r="CX115" s="352" t="s">
        <v>69</v>
      </c>
      <c r="CY115" s="352" t="s">
        <v>69</v>
      </c>
      <c r="CZ115" s="352" t="s">
        <v>69</v>
      </c>
      <c r="DA115" s="352" t="s">
        <v>69</v>
      </c>
      <c r="DB115" s="352" t="s">
        <v>69</v>
      </c>
      <c r="DC115" s="352" t="s">
        <v>69</v>
      </c>
      <c r="DD115" s="352" t="s">
        <v>69</v>
      </c>
      <c r="DE115" s="352" t="s">
        <v>69</v>
      </c>
      <c r="DF115" s="352" t="s">
        <v>69</v>
      </c>
      <c r="DG115" s="352" t="s">
        <v>69</v>
      </c>
      <c r="DH115" s="352" t="s">
        <v>69</v>
      </c>
      <c r="DI115" s="352" t="s">
        <v>69</v>
      </c>
      <c r="DJ115" s="352" t="s">
        <v>69</v>
      </c>
      <c r="DK115" s="352" t="s">
        <v>69</v>
      </c>
      <c r="DL115" s="352" t="s">
        <v>69</v>
      </c>
      <c r="DM115" s="352" t="s">
        <v>69</v>
      </c>
      <c r="DN115" s="352" t="s">
        <v>69</v>
      </c>
      <c r="DO115" s="352" t="s">
        <v>69</v>
      </c>
      <c r="DP115" s="352" t="s">
        <v>69</v>
      </c>
      <c r="DQ115" s="352" t="s">
        <v>69</v>
      </c>
      <c r="DR115" s="352" t="s">
        <v>69</v>
      </c>
      <c r="DS115" s="352" t="s">
        <v>69</v>
      </c>
      <c r="DT115" s="352" t="s">
        <v>69</v>
      </c>
      <c r="DU115" s="352" t="s">
        <v>69</v>
      </c>
      <c r="DV115" s="387">
        <f t="shared" ref="DV115:DV119" si="4">COUNTIF(G115:DU115,"&gt;0")/63</f>
        <v>0.1111111111111111</v>
      </c>
      <c r="DW115" s="388">
        <v>0</v>
      </c>
      <c r="DX115" s="156" t="str">
        <f>VLOOKUP(B115,[1]Pointage!$A:$D,4,0)</f>
        <v>Mourad Saitali</v>
      </c>
    </row>
    <row r="116" spans="1:128" s="156" customFormat="1" ht="118.5" hidden="1" customHeight="1">
      <c r="A116" s="312">
        <v>101</v>
      </c>
      <c r="B116" s="508" t="s">
        <v>1192</v>
      </c>
      <c r="C116" s="384" t="s">
        <v>1106</v>
      </c>
      <c r="D116" s="376">
        <v>46083</v>
      </c>
      <c r="E116" s="320" t="s">
        <v>784</v>
      </c>
      <c r="F116" s="382" t="s">
        <v>633</v>
      </c>
      <c r="G116" s="352" t="s">
        <v>69</v>
      </c>
      <c r="H116" s="352" t="s">
        <v>69</v>
      </c>
      <c r="I116" s="352" t="s">
        <v>69</v>
      </c>
      <c r="J116" s="352" t="s">
        <v>69</v>
      </c>
      <c r="K116" s="352" t="s">
        <v>69</v>
      </c>
      <c r="L116" s="352">
        <v>4</v>
      </c>
      <c r="M116" s="352" t="s">
        <v>69</v>
      </c>
      <c r="N116" s="352">
        <v>4</v>
      </c>
      <c r="O116" s="352" t="s">
        <v>69</v>
      </c>
      <c r="P116" s="352" t="s">
        <v>69</v>
      </c>
      <c r="Q116" s="352" t="s">
        <v>69</v>
      </c>
      <c r="R116" s="352" t="s">
        <v>69</v>
      </c>
      <c r="S116" s="352" t="s">
        <v>69</v>
      </c>
      <c r="T116" s="352">
        <v>4</v>
      </c>
      <c r="U116" s="315">
        <v>4</v>
      </c>
      <c r="V116" s="352">
        <v>4</v>
      </c>
      <c r="W116" s="352" t="s">
        <v>69</v>
      </c>
      <c r="X116" s="352" t="s">
        <v>69</v>
      </c>
      <c r="Y116" s="352" t="s">
        <v>69</v>
      </c>
      <c r="Z116" s="352" t="s">
        <v>69</v>
      </c>
      <c r="AA116" s="352" t="s">
        <v>69</v>
      </c>
      <c r="AB116" s="352" t="s">
        <v>69</v>
      </c>
      <c r="AC116" s="352" t="s">
        <v>69</v>
      </c>
      <c r="AD116" s="352" t="s">
        <v>69</v>
      </c>
      <c r="AE116" s="352" t="s">
        <v>69</v>
      </c>
      <c r="AF116" s="352" t="s">
        <v>69</v>
      </c>
      <c r="AG116" s="352" t="s">
        <v>69</v>
      </c>
      <c r="AH116" s="352" t="s">
        <v>69</v>
      </c>
      <c r="AI116" s="352" t="s">
        <v>69</v>
      </c>
      <c r="AJ116" s="352" t="s">
        <v>69</v>
      </c>
      <c r="AK116" s="352" t="s">
        <v>69</v>
      </c>
      <c r="AL116" s="352" t="s">
        <v>69</v>
      </c>
      <c r="AM116" s="352" t="s">
        <v>69</v>
      </c>
      <c r="AN116" s="352" t="s">
        <v>69</v>
      </c>
      <c r="AO116" s="352" t="s">
        <v>69</v>
      </c>
      <c r="AP116" s="352" t="s">
        <v>69</v>
      </c>
      <c r="AQ116" s="352" t="s">
        <v>69</v>
      </c>
      <c r="AR116" s="352" t="s">
        <v>69</v>
      </c>
      <c r="AS116" s="352" t="s">
        <v>69</v>
      </c>
      <c r="AT116" s="352" t="s">
        <v>69</v>
      </c>
      <c r="AU116" s="352" t="s">
        <v>69</v>
      </c>
      <c r="AV116" s="352" t="s">
        <v>69</v>
      </c>
      <c r="AW116" s="352" t="s">
        <v>69</v>
      </c>
      <c r="AX116" s="352" t="s">
        <v>69</v>
      </c>
      <c r="AY116" s="352" t="s">
        <v>69</v>
      </c>
      <c r="AZ116" s="352" t="s">
        <v>69</v>
      </c>
      <c r="BA116" s="352" t="s">
        <v>69</v>
      </c>
      <c r="BB116" s="352" t="s">
        <v>69</v>
      </c>
      <c r="BC116" s="352">
        <v>4</v>
      </c>
      <c r="BD116" s="352" t="s">
        <v>69</v>
      </c>
      <c r="BE116" s="352">
        <v>3</v>
      </c>
      <c r="BF116" s="352" t="s">
        <v>69</v>
      </c>
      <c r="BG116" s="352" t="s">
        <v>69</v>
      </c>
      <c r="BH116" s="352" t="s">
        <v>69</v>
      </c>
      <c r="BI116" s="352" t="s">
        <v>69</v>
      </c>
      <c r="BJ116" s="352" t="s">
        <v>69</v>
      </c>
      <c r="BK116" s="352" t="s">
        <v>69</v>
      </c>
      <c r="BL116" s="352" t="s">
        <v>69</v>
      </c>
      <c r="BM116" s="352" t="s">
        <v>69</v>
      </c>
      <c r="BN116" s="352" t="s">
        <v>69</v>
      </c>
      <c r="BO116" s="352" t="s">
        <v>69</v>
      </c>
      <c r="BP116" s="352" t="s">
        <v>69</v>
      </c>
      <c r="BQ116" s="352" t="s">
        <v>69</v>
      </c>
      <c r="BR116" s="352" t="s">
        <v>69</v>
      </c>
      <c r="BS116" s="352" t="s">
        <v>69</v>
      </c>
      <c r="BT116" s="352" t="s">
        <v>69</v>
      </c>
      <c r="BU116" s="352" t="s">
        <v>69</v>
      </c>
      <c r="BV116" s="352" t="s">
        <v>69</v>
      </c>
      <c r="BW116" s="352" t="s">
        <v>69</v>
      </c>
      <c r="BX116" s="352" t="s">
        <v>69</v>
      </c>
      <c r="BY116" s="352" t="s">
        <v>69</v>
      </c>
      <c r="BZ116" s="352" t="s">
        <v>69</v>
      </c>
      <c r="CA116" s="352" t="s">
        <v>69</v>
      </c>
      <c r="CB116" s="352" t="s">
        <v>69</v>
      </c>
      <c r="CC116" s="352" t="s">
        <v>69</v>
      </c>
      <c r="CD116" s="352" t="s">
        <v>69</v>
      </c>
      <c r="CE116" s="352" t="s">
        <v>69</v>
      </c>
      <c r="CF116" s="352" t="s">
        <v>69</v>
      </c>
      <c r="CG116" s="352" t="s">
        <v>69</v>
      </c>
      <c r="CH116" s="352" t="s">
        <v>69</v>
      </c>
      <c r="CI116" s="352" t="s">
        <v>69</v>
      </c>
      <c r="CJ116" s="352" t="s">
        <v>69</v>
      </c>
      <c r="CK116" s="352" t="s">
        <v>69</v>
      </c>
      <c r="CL116" s="352" t="s">
        <v>69</v>
      </c>
      <c r="CM116" s="352" t="s">
        <v>69</v>
      </c>
      <c r="CN116" s="352" t="s">
        <v>69</v>
      </c>
      <c r="CO116" s="352" t="s">
        <v>69</v>
      </c>
      <c r="CP116" s="352" t="s">
        <v>69</v>
      </c>
      <c r="CQ116" s="352" t="s">
        <v>69</v>
      </c>
      <c r="CR116" s="352" t="s">
        <v>69</v>
      </c>
      <c r="CS116" s="352" t="s">
        <v>69</v>
      </c>
      <c r="CT116" s="352" t="s">
        <v>69</v>
      </c>
      <c r="CU116" s="352" t="s">
        <v>69</v>
      </c>
      <c r="CV116" s="352" t="s">
        <v>69</v>
      </c>
      <c r="CW116" s="352" t="s">
        <v>69</v>
      </c>
      <c r="CX116" s="352" t="s">
        <v>69</v>
      </c>
      <c r="CY116" s="352" t="s">
        <v>69</v>
      </c>
      <c r="CZ116" s="352" t="s">
        <v>69</v>
      </c>
      <c r="DA116" s="352" t="s">
        <v>69</v>
      </c>
      <c r="DB116" s="352" t="s">
        <v>69</v>
      </c>
      <c r="DC116" s="352" t="s">
        <v>69</v>
      </c>
      <c r="DD116" s="352" t="s">
        <v>69</v>
      </c>
      <c r="DE116" s="352" t="s">
        <v>69</v>
      </c>
      <c r="DF116" s="352" t="s">
        <v>69</v>
      </c>
      <c r="DG116" s="352" t="s">
        <v>69</v>
      </c>
      <c r="DH116" s="352" t="s">
        <v>69</v>
      </c>
      <c r="DI116" s="352" t="s">
        <v>69</v>
      </c>
      <c r="DJ116" s="352" t="s">
        <v>69</v>
      </c>
      <c r="DK116" s="352" t="s">
        <v>69</v>
      </c>
      <c r="DL116" s="352" t="s">
        <v>69</v>
      </c>
      <c r="DM116" s="352" t="s">
        <v>69</v>
      </c>
      <c r="DN116" s="352" t="s">
        <v>69</v>
      </c>
      <c r="DO116" s="352" t="s">
        <v>69</v>
      </c>
      <c r="DP116" s="352" t="s">
        <v>69</v>
      </c>
      <c r="DQ116" s="352" t="s">
        <v>69</v>
      </c>
      <c r="DR116" s="352" t="s">
        <v>69</v>
      </c>
      <c r="DS116" s="352" t="s">
        <v>69</v>
      </c>
      <c r="DT116" s="352" t="s">
        <v>69</v>
      </c>
      <c r="DU116" s="352" t="s">
        <v>69</v>
      </c>
      <c r="DV116" s="387">
        <f t="shared" si="4"/>
        <v>0.1111111111111111</v>
      </c>
      <c r="DW116" s="388">
        <v>0</v>
      </c>
      <c r="DX116" s="156" t="str">
        <f>VLOOKUP(B116,[1]Pointage!$A:$D,4,0)</f>
        <v>Mourad Saitali</v>
      </c>
    </row>
    <row r="117" spans="1:128" s="156" customFormat="1" ht="118.5" hidden="1" customHeight="1">
      <c r="A117" s="312">
        <v>102</v>
      </c>
      <c r="B117" s="508" t="s">
        <v>1193</v>
      </c>
      <c r="C117" s="384" t="s">
        <v>1107</v>
      </c>
      <c r="D117" s="376">
        <v>46083</v>
      </c>
      <c r="E117" s="320" t="s">
        <v>784</v>
      </c>
      <c r="F117" s="382" t="s">
        <v>633</v>
      </c>
      <c r="G117" s="352" t="s">
        <v>69</v>
      </c>
      <c r="H117" s="352" t="s">
        <v>69</v>
      </c>
      <c r="I117" s="352" t="s">
        <v>69</v>
      </c>
      <c r="J117" s="352" t="s">
        <v>69</v>
      </c>
      <c r="K117" s="352" t="s">
        <v>69</v>
      </c>
      <c r="L117" s="352">
        <v>4</v>
      </c>
      <c r="M117" s="352" t="s">
        <v>69</v>
      </c>
      <c r="N117" s="352">
        <v>4</v>
      </c>
      <c r="O117" s="352">
        <v>4</v>
      </c>
      <c r="P117" s="352" t="s">
        <v>69</v>
      </c>
      <c r="Q117" s="352" t="s">
        <v>69</v>
      </c>
      <c r="R117" s="352" t="s">
        <v>69</v>
      </c>
      <c r="S117" s="352" t="s">
        <v>69</v>
      </c>
      <c r="T117" s="352" t="s">
        <v>69</v>
      </c>
      <c r="U117" s="352" t="s">
        <v>69</v>
      </c>
      <c r="V117" s="352" t="s">
        <v>69</v>
      </c>
      <c r="W117" s="352" t="s">
        <v>69</v>
      </c>
      <c r="X117" s="352" t="s">
        <v>69</v>
      </c>
      <c r="Y117" s="352" t="s">
        <v>69</v>
      </c>
      <c r="Z117" s="352" t="s">
        <v>69</v>
      </c>
      <c r="AA117" s="352" t="s">
        <v>69</v>
      </c>
      <c r="AB117" s="352">
        <v>4</v>
      </c>
      <c r="AC117" s="352" t="s">
        <v>69</v>
      </c>
      <c r="AD117" s="352" t="s">
        <v>69</v>
      </c>
      <c r="AE117" s="352" t="s">
        <v>69</v>
      </c>
      <c r="AF117" s="352" t="s">
        <v>69</v>
      </c>
      <c r="AG117" s="352" t="s">
        <v>69</v>
      </c>
      <c r="AH117" s="352" t="s">
        <v>69</v>
      </c>
      <c r="AI117" s="352" t="s">
        <v>69</v>
      </c>
      <c r="AJ117" s="352" t="s">
        <v>69</v>
      </c>
      <c r="AK117" s="352" t="s">
        <v>69</v>
      </c>
      <c r="AL117" s="352" t="s">
        <v>69</v>
      </c>
      <c r="AM117" s="352" t="s">
        <v>69</v>
      </c>
      <c r="AN117" s="352" t="s">
        <v>69</v>
      </c>
      <c r="AO117" s="352" t="s">
        <v>69</v>
      </c>
      <c r="AP117" s="352" t="s">
        <v>69</v>
      </c>
      <c r="AQ117" s="352" t="s">
        <v>69</v>
      </c>
      <c r="AR117" s="352" t="s">
        <v>69</v>
      </c>
      <c r="AS117" s="352" t="s">
        <v>69</v>
      </c>
      <c r="AT117" s="352" t="s">
        <v>69</v>
      </c>
      <c r="AU117" s="352" t="s">
        <v>69</v>
      </c>
      <c r="AV117" s="352" t="s">
        <v>69</v>
      </c>
      <c r="AW117" s="352" t="s">
        <v>69</v>
      </c>
      <c r="AX117" s="352" t="s">
        <v>69</v>
      </c>
      <c r="AY117" s="352" t="s">
        <v>69</v>
      </c>
      <c r="AZ117" s="352" t="s">
        <v>69</v>
      </c>
      <c r="BA117" s="352" t="s">
        <v>69</v>
      </c>
      <c r="BB117" s="352" t="s">
        <v>69</v>
      </c>
      <c r="BC117" s="352" t="s">
        <v>69</v>
      </c>
      <c r="BD117" s="352" t="s">
        <v>69</v>
      </c>
      <c r="BE117" s="352" t="s">
        <v>69</v>
      </c>
      <c r="BF117" s="352" t="s">
        <v>69</v>
      </c>
      <c r="BG117" s="352" t="s">
        <v>69</v>
      </c>
      <c r="BH117" s="352" t="s">
        <v>69</v>
      </c>
      <c r="BI117" s="352" t="s">
        <v>69</v>
      </c>
      <c r="BJ117" s="352" t="s">
        <v>69</v>
      </c>
      <c r="BK117" s="352" t="s">
        <v>69</v>
      </c>
      <c r="BL117" s="352" t="s">
        <v>69</v>
      </c>
      <c r="BM117" s="352" t="s">
        <v>69</v>
      </c>
      <c r="BN117" s="352" t="s">
        <v>69</v>
      </c>
      <c r="BO117" s="352" t="s">
        <v>69</v>
      </c>
      <c r="BP117" s="352" t="s">
        <v>69</v>
      </c>
      <c r="BQ117" s="352" t="s">
        <v>69</v>
      </c>
      <c r="BR117" s="352" t="s">
        <v>69</v>
      </c>
      <c r="BS117" s="352" t="s">
        <v>69</v>
      </c>
      <c r="BT117" s="352" t="s">
        <v>69</v>
      </c>
      <c r="BU117" s="352" t="s">
        <v>69</v>
      </c>
      <c r="BV117" s="352" t="s">
        <v>69</v>
      </c>
      <c r="BW117" s="352" t="s">
        <v>69</v>
      </c>
      <c r="BX117" s="352" t="s">
        <v>69</v>
      </c>
      <c r="BY117" s="352" t="s">
        <v>69</v>
      </c>
      <c r="BZ117" s="352" t="s">
        <v>69</v>
      </c>
      <c r="CA117" s="352" t="s">
        <v>69</v>
      </c>
      <c r="CB117" s="352" t="s">
        <v>69</v>
      </c>
      <c r="CC117" s="352" t="s">
        <v>69</v>
      </c>
      <c r="CD117" s="352" t="s">
        <v>69</v>
      </c>
      <c r="CE117" s="352" t="s">
        <v>69</v>
      </c>
      <c r="CF117" s="352" t="s">
        <v>69</v>
      </c>
      <c r="CG117" s="352">
        <v>4</v>
      </c>
      <c r="CH117" s="352" t="s">
        <v>69</v>
      </c>
      <c r="CI117" s="352" t="s">
        <v>69</v>
      </c>
      <c r="CJ117" s="352" t="s">
        <v>69</v>
      </c>
      <c r="CK117" s="352" t="s">
        <v>69</v>
      </c>
      <c r="CL117" s="352" t="s">
        <v>69</v>
      </c>
      <c r="CM117" s="352" t="s">
        <v>69</v>
      </c>
      <c r="CN117" s="352" t="s">
        <v>69</v>
      </c>
      <c r="CO117" s="352" t="s">
        <v>69</v>
      </c>
      <c r="CP117" s="352" t="s">
        <v>69</v>
      </c>
      <c r="CQ117" s="352" t="s">
        <v>69</v>
      </c>
      <c r="CR117" s="352">
        <v>4</v>
      </c>
      <c r="CS117" s="352" t="s">
        <v>69</v>
      </c>
      <c r="CT117" s="352" t="s">
        <v>69</v>
      </c>
      <c r="CU117" s="352" t="s">
        <v>69</v>
      </c>
      <c r="CV117" s="352" t="s">
        <v>69</v>
      </c>
      <c r="CW117" s="352" t="s">
        <v>69</v>
      </c>
      <c r="CX117" s="352" t="s">
        <v>69</v>
      </c>
      <c r="CY117" s="352" t="s">
        <v>69</v>
      </c>
      <c r="CZ117" s="352" t="s">
        <v>69</v>
      </c>
      <c r="DA117" s="352" t="s">
        <v>69</v>
      </c>
      <c r="DB117" s="352" t="s">
        <v>69</v>
      </c>
      <c r="DC117" s="352" t="s">
        <v>69</v>
      </c>
      <c r="DD117" s="352" t="s">
        <v>69</v>
      </c>
      <c r="DE117" s="352" t="s">
        <v>69</v>
      </c>
      <c r="DF117" s="352" t="s">
        <v>69</v>
      </c>
      <c r="DG117" s="352" t="s">
        <v>69</v>
      </c>
      <c r="DH117" s="352" t="s">
        <v>69</v>
      </c>
      <c r="DI117" s="352" t="s">
        <v>69</v>
      </c>
      <c r="DJ117" s="352" t="s">
        <v>69</v>
      </c>
      <c r="DK117" s="352" t="s">
        <v>69</v>
      </c>
      <c r="DL117" s="352" t="s">
        <v>69</v>
      </c>
      <c r="DM117" s="352" t="s">
        <v>69</v>
      </c>
      <c r="DN117" s="352" t="s">
        <v>69</v>
      </c>
      <c r="DO117" s="352" t="s">
        <v>69</v>
      </c>
      <c r="DP117" s="352" t="s">
        <v>69</v>
      </c>
      <c r="DQ117" s="352" t="s">
        <v>69</v>
      </c>
      <c r="DR117" s="352" t="s">
        <v>69</v>
      </c>
      <c r="DS117" s="352" t="s">
        <v>69</v>
      </c>
      <c r="DT117" s="352" t="s">
        <v>69</v>
      </c>
      <c r="DU117" s="352" t="s">
        <v>69</v>
      </c>
      <c r="DV117" s="387">
        <f t="shared" si="4"/>
        <v>9.5238095238095233E-2</v>
      </c>
      <c r="DW117" s="388">
        <v>0</v>
      </c>
      <c r="DX117" s="156" t="str">
        <f>VLOOKUP(B117,[1]Pointage!$A:$D,4,0)</f>
        <v>Mourad Saitali</v>
      </c>
    </row>
    <row r="118" spans="1:128" s="156" customFormat="1" ht="118.5" hidden="1" customHeight="1">
      <c r="A118" s="312">
        <v>103</v>
      </c>
      <c r="B118" s="508" t="s">
        <v>1194</v>
      </c>
      <c r="C118" s="384" t="s">
        <v>1108</v>
      </c>
      <c r="D118" s="376">
        <v>46083</v>
      </c>
      <c r="E118" s="320" t="s">
        <v>784</v>
      </c>
      <c r="F118" s="382" t="s">
        <v>633</v>
      </c>
      <c r="G118" s="352" t="s">
        <v>69</v>
      </c>
      <c r="H118" s="352" t="s">
        <v>69</v>
      </c>
      <c r="I118" s="352" t="s">
        <v>69</v>
      </c>
      <c r="J118" s="352" t="s">
        <v>69</v>
      </c>
      <c r="K118" s="352" t="s">
        <v>69</v>
      </c>
      <c r="L118" s="352" t="s">
        <v>69</v>
      </c>
      <c r="M118" s="352" t="s">
        <v>69</v>
      </c>
      <c r="N118" s="352" t="s">
        <v>69</v>
      </c>
      <c r="O118" s="352">
        <v>3</v>
      </c>
      <c r="P118" s="352" t="s">
        <v>69</v>
      </c>
      <c r="Q118" s="352" t="s">
        <v>69</v>
      </c>
      <c r="R118" s="352" t="s">
        <v>69</v>
      </c>
      <c r="S118" s="352" t="s">
        <v>69</v>
      </c>
      <c r="T118" s="352" t="s">
        <v>69</v>
      </c>
      <c r="U118" s="352" t="s">
        <v>69</v>
      </c>
      <c r="V118" s="352" t="s">
        <v>69</v>
      </c>
      <c r="W118" s="352" t="s">
        <v>69</v>
      </c>
      <c r="X118" s="352" t="s">
        <v>69</v>
      </c>
      <c r="Y118" s="352" t="s">
        <v>69</v>
      </c>
      <c r="Z118" s="352" t="s">
        <v>69</v>
      </c>
      <c r="AA118" s="352" t="s">
        <v>69</v>
      </c>
      <c r="AB118" s="352" t="s">
        <v>69</v>
      </c>
      <c r="AC118" s="352" t="s">
        <v>69</v>
      </c>
      <c r="AD118" s="352" t="s">
        <v>69</v>
      </c>
      <c r="AE118" s="352" t="s">
        <v>69</v>
      </c>
      <c r="AF118" s="352" t="s">
        <v>69</v>
      </c>
      <c r="AG118" s="352" t="s">
        <v>69</v>
      </c>
      <c r="AH118" s="352" t="s">
        <v>69</v>
      </c>
      <c r="AI118" s="352" t="s">
        <v>69</v>
      </c>
      <c r="AJ118" s="352" t="s">
        <v>69</v>
      </c>
      <c r="AK118" s="352" t="s">
        <v>69</v>
      </c>
      <c r="AL118" s="352" t="s">
        <v>69</v>
      </c>
      <c r="AM118" s="352" t="s">
        <v>69</v>
      </c>
      <c r="AN118" s="352" t="s">
        <v>69</v>
      </c>
      <c r="AO118" s="352" t="s">
        <v>69</v>
      </c>
      <c r="AP118" s="352" t="s">
        <v>69</v>
      </c>
      <c r="AQ118" s="352" t="s">
        <v>69</v>
      </c>
      <c r="AR118" s="352" t="s">
        <v>69</v>
      </c>
      <c r="AS118" s="352" t="s">
        <v>69</v>
      </c>
      <c r="AT118" s="352" t="s">
        <v>69</v>
      </c>
      <c r="AU118" s="352" t="s">
        <v>69</v>
      </c>
      <c r="AV118" s="352" t="s">
        <v>69</v>
      </c>
      <c r="AW118" s="352" t="s">
        <v>69</v>
      </c>
      <c r="AX118" s="352" t="s">
        <v>69</v>
      </c>
      <c r="AY118" s="352" t="s">
        <v>69</v>
      </c>
      <c r="AZ118" s="352" t="s">
        <v>69</v>
      </c>
      <c r="BA118" s="352" t="s">
        <v>69</v>
      </c>
      <c r="BB118" s="352" t="s">
        <v>69</v>
      </c>
      <c r="BC118" s="352" t="s">
        <v>69</v>
      </c>
      <c r="BD118" s="352" t="s">
        <v>69</v>
      </c>
      <c r="BE118" s="352" t="s">
        <v>69</v>
      </c>
      <c r="BF118" s="352" t="s">
        <v>69</v>
      </c>
      <c r="BG118" s="352" t="s">
        <v>69</v>
      </c>
      <c r="BH118" s="352" t="s">
        <v>69</v>
      </c>
      <c r="BI118" s="352" t="s">
        <v>69</v>
      </c>
      <c r="BJ118" s="352" t="s">
        <v>69</v>
      </c>
      <c r="BK118" s="352" t="s">
        <v>69</v>
      </c>
      <c r="BL118" s="352" t="s">
        <v>69</v>
      </c>
      <c r="BM118" s="352" t="s">
        <v>69</v>
      </c>
      <c r="BN118" s="352" t="s">
        <v>69</v>
      </c>
      <c r="BO118" s="352" t="s">
        <v>69</v>
      </c>
      <c r="BP118" s="352" t="s">
        <v>69</v>
      </c>
      <c r="BQ118" s="352" t="s">
        <v>69</v>
      </c>
      <c r="BR118" s="352" t="s">
        <v>69</v>
      </c>
      <c r="BS118" s="352" t="s">
        <v>69</v>
      </c>
      <c r="BT118" s="352" t="s">
        <v>69</v>
      </c>
      <c r="BU118" s="352" t="s">
        <v>69</v>
      </c>
      <c r="BV118" s="352" t="s">
        <v>69</v>
      </c>
      <c r="BW118" s="352" t="s">
        <v>69</v>
      </c>
      <c r="BX118" s="352" t="s">
        <v>69</v>
      </c>
      <c r="BY118" s="352" t="s">
        <v>69</v>
      </c>
      <c r="BZ118" s="352" t="s">
        <v>69</v>
      </c>
      <c r="CA118" s="352" t="s">
        <v>69</v>
      </c>
      <c r="CB118" s="352" t="s">
        <v>69</v>
      </c>
      <c r="CC118" s="352" t="s">
        <v>69</v>
      </c>
      <c r="CD118" s="352" t="s">
        <v>69</v>
      </c>
      <c r="CE118" s="352" t="s">
        <v>69</v>
      </c>
      <c r="CF118" s="352" t="s">
        <v>69</v>
      </c>
      <c r="CG118" s="352" t="s">
        <v>69</v>
      </c>
      <c r="CH118" s="352" t="s">
        <v>69</v>
      </c>
      <c r="CI118" s="352" t="s">
        <v>69</v>
      </c>
      <c r="CJ118" s="352" t="s">
        <v>69</v>
      </c>
      <c r="CK118" s="352" t="s">
        <v>69</v>
      </c>
      <c r="CL118" s="352" t="s">
        <v>69</v>
      </c>
      <c r="CM118" s="352" t="s">
        <v>69</v>
      </c>
      <c r="CN118" s="352" t="s">
        <v>69</v>
      </c>
      <c r="CO118" s="352" t="s">
        <v>69</v>
      </c>
      <c r="CP118" s="352" t="s">
        <v>69</v>
      </c>
      <c r="CQ118" s="352" t="s">
        <v>69</v>
      </c>
      <c r="CR118" s="352" t="s">
        <v>69</v>
      </c>
      <c r="CS118" s="352" t="s">
        <v>69</v>
      </c>
      <c r="CT118" s="352" t="s">
        <v>69</v>
      </c>
      <c r="CU118" s="352" t="s">
        <v>69</v>
      </c>
      <c r="CV118" s="352" t="s">
        <v>69</v>
      </c>
      <c r="CW118" s="352" t="s">
        <v>69</v>
      </c>
      <c r="CX118" s="352" t="s">
        <v>69</v>
      </c>
      <c r="CY118" s="352" t="s">
        <v>69</v>
      </c>
      <c r="CZ118" s="352" t="s">
        <v>69</v>
      </c>
      <c r="DA118" s="352" t="s">
        <v>69</v>
      </c>
      <c r="DB118" s="352" t="s">
        <v>69</v>
      </c>
      <c r="DC118" s="352" t="s">
        <v>69</v>
      </c>
      <c r="DD118" s="352" t="s">
        <v>69</v>
      </c>
      <c r="DE118" s="352" t="s">
        <v>69</v>
      </c>
      <c r="DF118" s="352" t="s">
        <v>69</v>
      </c>
      <c r="DG118" s="352" t="s">
        <v>69</v>
      </c>
      <c r="DH118" s="352" t="s">
        <v>69</v>
      </c>
      <c r="DI118" s="352" t="s">
        <v>69</v>
      </c>
      <c r="DJ118" s="352" t="s">
        <v>69</v>
      </c>
      <c r="DK118" s="352" t="s">
        <v>69</v>
      </c>
      <c r="DL118" s="352" t="s">
        <v>69</v>
      </c>
      <c r="DM118" s="352" t="s">
        <v>69</v>
      </c>
      <c r="DN118" s="352" t="s">
        <v>69</v>
      </c>
      <c r="DO118" s="352" t="s">
        <v>69</v>
      </c>
      <c r="DP118" s="352" t="s">
        <v>69</v>
      </c>
      <c r="DQ118" s="352" t="s">
        <v>69</v>
      </c>
      <c r="DR118" s="352" t="s">
        <v>69</v>
      </c>
      <c r="DS118" s="352" t="s">
        <v>69</v>
      </c>
      <c r="DT118" s="352" t="s">
        <v>69</v>
      </c>
      <c r="DU118" s="352" t="s">
        <v>69</v>
      </c>
      <c r="DV118" s="387">
        <f t="shared" si="4"/>
        <v>1.5873015873015872E-2</v>
      </c>
      <c r="DW118" s="388">
        <v>0</v>
      </c>
      <c r="DX118" s="156" t="e">
        <f>VLOOKUP(B118,[1]Pointage!$A:$D,4,0)</f>
        <v>#N/A</v>
      </c>
    </row>
    <row r="119" spans="1:128" s="156" customFormat="1" ht="118.5" hidden="1" customHeight="1">
      <c r="A119" s="312">
        <v>104</v>
      </c>
      <c r="B119" s="508" t="s">
        <v>1195</v>
      </c>
      <c r="C119" s="384" t="s">
        <v>1109</v>
      </c>
      <c r="D119" s="376">
        <v>46083</v>
      </c>
      <c r="E119" s="320" t="s">
        <v>784</v>
      </c>
      <c r="F119" s="382" t="s">
        <v>633</v>
      </c>
      <c r="G119" s="352" t="s">
        <v>69</v>
      </c>
      <c r="H119" s="352" t="s">
        <v>69</v>
      </c>
      <c r="I119" s="352" t="s">
        <v>69</v>
      </c>
      <c r="J119" s="352" t="s">
        <v>69</v>
      </c>
      <c r="K119" s="352" t="s">
        <v>69</v>
      </c>
      <c r="L119" s="352">
        <v>4</v>
      </c>
      <c r="M119" s="352">
        <v>3</v>
      </c>
      <c r="N119" s="352" t="s">
        <v>69</v>
      </c>
      <c r="O119" s="352" t="s">
        <v>69</v>
      </c>
      <c r="P119" s="352" t="s">
        <v>69</v>
      </c>
      <c r="Q119" s="352" t="s">
        <v>69</v>
      </c>
      <c r="R119" s="352" t="s">
        <v>69</v>
      </c>
      <c r="S119" s="352" t="s">
        <v>69</v>
      </c>
      <c r="T119" s="352" t="s">
        <v>69</v>
      </c>
      <c r="U119" s="352" t="s">
        <v>69</v>
      </c>
      <c r="V119" s="352" t="s">
        <v>69</v>
      </c>
      <c r="W119" s="352" t="s">
        <v>69</v>
      </c>
      <c r="X119" s="352" t="s">
        <v>69</v>
      </c>
      <c r="Y119" s="352" t="s">
        <v>69</v>
      </c>
      <c r="Z119" s="352" t="s">
        <v>69</v>
      </c>
      <c r="AA119" s="352" t="s">
        <v>69</v>
      </c>
      <c r="AB119" s="352" t="s">
        <v>69</v>
      </c>
      <c r="AC119" s="352" t="s">
        <v>69</v>
      </c>
      <c r="AD119" s="352" t="s">
        <v>69</v>
      </c>
      <c r="AE119" s="352" t="s">
        <v>69</v>
      </c>
      <c r="AF119" s="352" t="s">
        <v>69</v>
      </c>
      <c r="AG119" s="352" t="s">
        <v>69</v>
      </c>
      <c r="AH119" s="352" t="s">
        <v>69</v>
      </c>
      <c r="AI119" s="352" t="s">
        <v>69</v>
      </c>
      <c r="AJ119" s="352" t="s">
        <v>69</v>
      </c>
      <c r="AK119" s="352" t="s">
        <v>69</v>
      </c>
      <c r="AL119" s="352" t="s">
        <v>69</v>
      </c>
      <c r="AM119" s="352" t="s">
        <v>69</v>
      </c>
      <c r="AN119" s="352" t="s">
        <v>69</v>
      </c>
      <c r="AO119" s="352" t="s">
        <v>69</v>
      </c>
      <c r="AP119" s="352" t="s">
        <v>69</v>
      </c>
      <c r="AQ119" s="352" t="s">
        <v>69</v>
      </c>
      <c r="AR119" s="352" t="s">
        <v>69</v>
      </c>
      <c r="AS119" s="352" t="s">
        <v>69</v>
      </c>
      <c r="AT119" s="352" t="s">
        <v>69</v>
      </c>
      <c r="AU119" s="352" t="s">
        <v>69</v>
      </c>
      <c r="AV119" s="352" t="s">
        <v>69</v>
      </c>
      <c r="AW119" s="352" t="s">
        <v>69</v>
      </c>
      <c r="AX119" s="352" t="s">
        <v>69</v>
      </c>
      <c r="AY119" s="352" t="s">
        <v>69</v>
      </c>
      <c r="AZ119" s="352" t="s">
        <v>69</v>
      </c>
      <c r="BA119" s="352" t="s">
        <v>69</v>
      </c>
      <c r="BB119" s="352">
        <v>4</v>
      </c>
      <c r="BC119" s="352" t="s">
        <v>69</v>
      </c>
      <c r="BD119" s="352">
        <v>2</v>
      </c>
      <c r="BE119" s="352">
        <v>4</v>
      </c>
      <c r="BF119" s="352">
        <v>3</v>
      </c>
      <c r="BG119" s="352">
        <v>4</v>
      </c>
      <c r="BH119" s="352" t="s">
        <v>69</v>
      </c>
      <c r="BI119" s="352" t="s">
        <v>69</v>
      </c>
      <c r="BJ119" s="352" t="s">
        <v>69</v>
      </c>
      <c r="BK119" s="352" t="s">
        <v>69</v>
      </c>
      <c r="BL119" s="352" t="s">
        <v>69</v>
      </c>
      <c r="BM119" s="352" t="s">
        <v>69</v>
      </c>
      <c r="BN119" s="352" t="s">
        <v>69</v>
      </c>
      <c r="BO119" s="352" t="s">
        <v>69</v>
      </c>
      <c r="BP119" s="352" t="s">
        <v>69</v>
      </c>
      <c r="BQ119" s="352" t="s">
        <v>69</v>
      </c>
      <c r="BR119" s="352" t="s">
        <v>69</v>
      </c>
      <c r="BS119" s="352" t="s">
        <v>69</v>
      </c>
      <c r="BT119" s="352" t="s">
        <v>69</v>
      </c>
      <c r="BU119" s="352" t="s">
        <v>69</v>
      </c>
      <c r="BV119" s="352" t="s">
        <v>69</v>
      </c>
      <c r="BW119" s="352" t="s">
        <v>69</v>
      </c>
      <c r="BX119" s="352" t="s">
        <v>69</v>
      </c>
      <c r="BY119" s="352" t="s">
        <v>69</v>
      </c>
      <c r="BZ119" s="352" t="s">
        <v>69</v>
      </c>
      <c r="CA119" s="352" t="s">
        <v>69</v>
      </c>
      <c r="CB119" s="352" t="s">
        <v>69</v>
      </c>
      <c r="CC119" s="352" t="s">
        <v>69</v>
      </c>
      <c r="CD119" s="352" t="s">
        <v>69</v>
      </c>
      <c r="CE119" s="352" t="s">
        <v>69</v>
      </c>
      <c r="CF119" s="352" t="s">
        <v>69</v>
      </c>
      <c r="CG119" s="352" t="s">
        <v>69</v>
      </c>
      <c r="CH119" s="352" t="s">
        <v>69</v>
      </c>
      <c r="CI119" s="352" t="s">
        <v>69</v>
      </c>
      <c r="CJ119" s="352" t="s">
        <v>69</v>
      </c>
      <c r="CK119" s="352" t="s">
        <v>69</v>
      </c>
      <c r="CL119" s="352" t="s">
        <v>69</v>
      </c>
      <c r="CM119" s="352" t="s">
        <v>69</v>
      </c>
      <c r="CN119" s="352" t="s">
        <v>69</v>
      </c>
      <c r="CO119" s="352" t="s">
        <v>69</v>
      </c>
      <c r="CP119" s="352" t="s">
        <v>69</v>
      </c>
      <c r="CQ119" s="352" t="s">
        <v>69</v>
      </c>
      <c r="CR119" s="352" t="s">
        <v>69</v>
      </c>
      <c r="CS119" s="352" t="s">
        <v>69</v>
      </c>
      <c r="CT119" s="352" t="s">
        <v>69</v>
      </c>
      <c r="CU119" s="352" t="s">
        <v>69</v>
      </c>
      <c r="CV119" s="352" t="s">
        <v>69</v>
      </c>
      <c r="CW119" s="352" t="s">
        <v>69</v>
      </c>
      <c r="CX119" s="352" t="s">
        <v>69</v>
      </c>
      <c r="CY119" s="352" t="s">
        <v>69</v>
      </c>
      <c r="CZ119" s="352" t="s">
        <v>69</v>
      </c>
      <c r="DA119" s="352" t="s">
        <v>69</v>
      </c>
      <c r="DB119" s="352" t="s">
        <v>69</v>
      </c>
      <c r="DC119" s="352" t="s">
        <v>69</v>
      </c>
      <c r="DD119" s="352" t="s">
        <v>69</v>
      </c>
      <c r="DE119" s="352" t="s">
        <v>69</v>
      </c>
      <c r="DF119" s="352" t="s">
        <v>69</v>
      </c>
      <c r="DG119" s="352" t="s">
        <v>69</v>
      </c>
      <c r="DH119" s="352" t="s">
        <v>69</v>
      </c>
      <c r="DI119" s="352" t="s">
        <v>69</v>
      </c>
      <c r="DJ119" s="352" t="s">
        <v>69</v>
      </c>
      <c r="DK119" s="352" t="s">
        <v>69</v>
      </c>
      <c r="DL119" s="352" t="s">
        <v>69</v>
      </c>
      <c r="DM119" s="352" t="s">
        <v>69</v>
      </c>
      <c r="DN119" s="352" t="s">
        <v>69</v>
      </c>
      <c r="DO119" s="352" t="s">
        <v>69</v>
      </c>
      <c r="DP119" s="352" t="s">
        <v>69</v>
      </c>
      <c r="DQ119" s="352" t="s">
        <v>69</v>
      </c>
      <c r="DR119" s="352" t="s">
        <v>69</v>
      </c>
      <c r="DS119" s="352" t="s">
        <v>69</v>
      </c>
      <c r="DT119" s="352" t="s">
        <v>69</v>
      </c>
      <c r="DU119" s="352" t="s">
        <v>69</v>
      </c>
      <c r="DV119" s="387">
        <f t="shared" si="4"/>
        <v>0.1111111111111111</v>
      </c>
      <c r="DW119" s="388">
        <v>0</v>
      </c>
      <c r="DX119" s="156" t="str">
        <f>VLOOKUP(B119,[1]Pointage!$A:$D,4,0)</f>
        <v>Mourad Saitali</v>
      </c>
    </row>
    <row r="120" spans="1:128" s="156" customFormat="1" ht="118.5" hidden="1" customHeight="1">
      <c r="A120" s="312">
        <v>105</v>
      </c>
      <c r="B120" s="508" t="s">
        <v>1286</v>
      </c>
      <c r="C120" s="384" t="s">
        <v>1285</v>
      </c>
      <c r="D120" s="376">
        <v>46118</v>
      </c>
      <c r="E120" s="320" t="s">
        <v>784</v>
      </c>
      <c r="F120" s="382" t="s">
        <v>633</v>
      </c>
      <c r="G120" s="352" t="s">
        <v>69</v>
      </c>
      <c r="H120" s="352" t="s">
        <v>69</v>
      </c>
      <c r="I120" s="352" t="s">
        <v>69</v>
      </c>
      <c r="J120" s="352" t="s">
        <v>69</v>
      </c>
      <c r="K120" s="352" t="s">
        <v>69</v>
      </c>
      <c r="L120" s="352" t="s">
        <v>69</v>
      </c>
      <c r="M120" s="352" t="s">
        <v>69</v>
      </c>
      <c r="N120" s="352" t="s">
        <v>69</v>
      </c>
      <c r="O120" s="352" t="s">
        <v>69</v>
      </c>
      <c r="P120" s="352" t="s">
        <v>69</v>
      </c>
      <c r="Q120" s="352" t="s">
        <v>69</v>
      </c>
      <c r="R120" s="352" t="s">
        <v>69</v>
      </c>
      <c r="S120" s="352" t="s">
        <v>69</v>
      </c>
      <c r="T120" s="352" t="s">
        <v>69</v>
      </c>
      <c r="U120" s="352" t="s">
        <v>69</v>
      </c>
      <c r="V120" s="352" t="s">
        <v>69</v>
      </c>
      <c r="W120" s="352" t="s">
        <v>69</v>
      </c>
      <c r="X120" s="352" t="s">
        <v>69</v>
      </c>
      <c r="Y120" s="352" t="s">
        <v>69</v>
      </c>
      <c r="Z120" s="352" t="s">
        <v>69</v>
      </c>
      <c r="AA120" s="352" t="s">
        <v>69</v>
      </c>
      <c r="AB120" s="352" t="s">
        <v>69</v>
      </c>
      <c r="AC120" s="352" t="s">
        <v>69</v>
      </c>
      <c r="AD120" s="352" t="s">
        <v>69</v>
      </c>
      <c r="AE120" s="352" t="s">
        <v>69</v>
      </c>
      <c r="AF120" s="352" t="s">
        <v>69</v>
      </c>
      <c r="AG120" s="352" t="s">
        <v>69</v>
      </c>
      <c r="AH120" s="352" t="s">
        <v>69</v>
      </c>
      <c r="AI120" s="352" t="s">
        <v>69</v>
      </c>
      <c r="AJ120" s="352" t="s">
        <v>69</v>
      </c>
      <c r="AK120" s="352" t="s">
        <v>69</v>
      </c>
      <c r="AL120" s="352" t="s">
        <v>69</v>
      </c>
      <c r="AM120" s="352" t="s">
        <v>69</v>
      </c>
      <c r="AN120" s="352" t="s">
        <v>69</v>
      </c>
      <c r="AO120" s="352" t="s">
        <v>69</v>
      </c>
      <c r="AP120" s="352" t="s">
        <v>69</v>
      </c>
      <c r="AQ120" s="352" t="s">
        <v>69</v>
      </c>
      <c r="AR120" s="352" t="s">
        <v>69</v>
      </c>
      <c r="AS120" s="352" t="s">
        <v>69</v>
      </c>
      <c r="AT120" s="352" t="s">
        <v>69</v>
      </c>
      <c r="AU120" s="352" t="s">
        <v>69</v>
      </c>
      <c r="AV120" s="352" t="s">
        <v>69</v>
      </c>
      <c r="AW120" s="352" t="s">
        <v>69</v>
      </c>
      <c r="AX120" s="352" t="s">
        <v>69</v>
      </c>
      <c r="AY120" s="352" t="s">
        <v>69</v>
      </c>
      <c r="AZ120" s="352" t="s">
        <v>69</v>
      </c>
      <c r="BA120" s="352" t="s">
        <v>69</v>
      </c>
      <c r="BB120" s="352" t="s">
        <v>69</v>
      </c>
      <c r="BC120" s="352" t="s">
        <v>69</v>
      </c>
      <c r="BD120" s="352" t="s">
        <v>69</v>
      </c>
      <c r="BE120" s="352" t="s">
        <v>69</v>
      </c>
      <c r="BF120" s="352" t="s">
        <v>69</v>
      </c>
      <c r="BG120" s="352" t="s">
        <v>69</v>
      </c>
      <c r="BH120" s="352" t="s">
        <v>69</v>
      </c>
      <c r="BI120" s="352" t="s">
        <v>69</v>
      </c>
      <c r="BJ120" s="352" t="s">
        <v>69</v>
      </c>
      <c r="BK120" s="352" t="s">
        <v>69</v>
      </c>
      <c r="BL120" s="352" t="s">
        <v>69</v>
      </c>
      <c r="BM120" s="352" t="s">
        <v>69</v>
      </c>
      <c r="BN120" s="352" t="s">
        <v>69</v>
      </c>
      <c r="BO120" s="352" t="s">
        <v>69</v>
      </c>
      <c r="BP120" s="352" t="s">
        <v>69</v>
      </c>
      <c r="BQ120" s="352" t="s">
        <v>69</v>
      </c>
      <c r="BR120" s="352" t="s">
        <v>69</v>
      </c>
      <c r="BS120" s="352" t="s">
        <v>69</v>
      </c>
      <c r="BT120" s="352" t="s">
        <v>69</v>
      </c>
      <c r="BU120" s="352" t="s">
        <v>69</v>
      </c>
      <c r="BV120" s="352" t="s">
        <v>69</v>
      </c>
      <c r="BW120" s="352" t="s">
        <v>69</v>
      </c>
      <c r="BX120" s="352" t="s">
        <v>69</v>
      </c>
      <c r="BY120" s="352" t="s">
        <v>69</v>
      </c>
      <c r="BZ120" s="352" t="s">
        <v>69</v>
      </c>
      <c r="CA120" s="352" t="s">
        <v>69</v>
      </c>
      <c r="CB120" s="352" t="s">
        <v>69</v>
      </c>
      <c r="CC120" s="352" t="s">
        <v>69</v>
      </c>
      <c r="CD120" s="352" t="s">
        <v>69</v>
      </c>
      <c r="CE120" s="352" t="s">
        <v>69</v>
      </c>
      <c r="CF120" s="352" t="s">
        <v>69</v>
      </c>
      <c r="CG120" s="352" t="s">
        <v>69</v>
      </c>
      <c r="CH120" s="352" t="s">
        <v>69</v>
      </c>
      <c r="CI120" s="352" t="s">
        <v>69</v>
      </c>
      <c r="CJ120" s="352" t="s">
        <v>69</v>
      </c>
      <c r="CK120" s="352" t="s">
        <v>69</v>
      </c>
      <c r="CL120" s="352" t="s">
        <v>69</v>
      </c>
      <c r="CM120" s="352" t="s">
        <v>69</v>
      </c>
      <c r="CN120" s="352" t="s">
        <v>69</v>
      </c>
      <c r="CO120" s="352" t="s">
        <v>69</v>
      </c>
      <c r="CP120" s="352" t="s">
        <v>69</v>
      </c>
      <c r="CQ120" s="352" t="s">
        <v>69</v>
      </c>
      <c r="CR120" s="352" t="s">
        <v>69</v>
      </c>
      <c r="CS120" s="352" t="s">
        <v>69</v>
      </c>
      <c r="CT120" s="352" t="s">
        <v>69</v>
      </c>
      <c r="CU120" s="352" t="s">
        <v>69</v>
      </c>
      <c r="CV120" s="352" t="s">
        <v>69</v>
      </c>
      <c r="CW120" s="352" t="s">
        <v>69</v>
      </c>
      <c r="CX120" s="352" t="s">
        <v>69</v>
      </c>
      <c r="CY120" s="352" t="s">
        <v>69</v>
      </c>
      <c r="CZ120" s="352" t="s">
        <v>69</v>
      </c>
      <c r="DA120" s="352" t="s">
        <v>69</v>
      </c>
      <c r="DB120" s="352" t="s">
        <v>69</v>
      </c>
      <c r="DC120" s="352" t="s">
        <v>69</v>
      </c>
      <c r="DD120" s="352" t="s">
        <v>69</v>
      </c>
      <c r="DE120" s="352" t="s">
        <v>69</v>
      </c>
      <c r="DF120" s="352" t="s">
        <v>69</v>
      </c>
      <c r="DG120" s="352" t="s">
        <v>69</v>
      </c>
      <c r="DH120" s="352" t="s">
        <v>69</v>
      </c>
      <c r="DI120" s="352" t="s">
        <v>69</v>
      </c>
      <c r="DJ120" s="352" t="s">
        <v>69</v>
      </c>
      <c r="DK120" s="352" t="s">
        <v>69</v>
      </c>
      <c r="DL120" s="352" t="s">
        <v>69</v>
      </c>
      <c r="DM120" s="352" t="s">
        <v>69</v>
      </c>
      <c r="DN120" s="352" t="s">
        <v>69</v>
      </c>
      <c r="DO120" s="352" t="s">
        <v>69</v>
      </c>
      <c r="DP120" s="352" t="s">
        <v>69</v>
      </c>
      <c r="DQ120" s="352" t="s">
        <v>69</v>
      </c>
      <c r="DR120" s="352" t="s">
        <v>69</v>
      </c>
      <c r="DS120" s="352" t="s">
        <v>69</v>
      </c>
      <c r="DT120" s="352" t="s">
        <v>69</v>
      </c>
      <c r="DU120" s="352" t="s">
        <v>69</v>
      </c>
      <c r="DV120" s="387"/>
      <c r="DW120" s="388"/>
    </row>
    <row r="121" spans="1:128" s="300" customFormat="1" ht="118.5" hidden="1" customHeight="1">
      <c r="A121" s="516">
        <v>106</v>
      </c>
      <c r="B121" s="517" t="s">
        <v>1284</v>
      </c>
      <c r="C121" s="385" t="s">
        <v>1283</v>
      </c>
      <c r="D121" s="376">
        <v>46118</v>
      </c>
      <c r="E121" s="320"/>
      <c r="F121" s="382" t="s">
        <v>633</v>
      </c>
      <c r="G121" s="352" t="s">
        <v>69</v>
      </c>
      <c r="H121" s="352" t="s">
        <v>69</v>
      </c>
      <c r="I121" s="352" t="s">
        <v>69</v>
      </c>
      <c r="J121" s="352" t="s">
        <v>69</v>
      </c>
      <c r="K121" s="352" t="s">
        <v>69</v>
      </c>
      <c r="L121" s="352" t="s">
        <v>69</v>
      </c>
      <c r="M121" s="352" t="s">
        <v>69</v>
      </c>
      <c r="N121" s="352" t="s">
        <v>69</v>
      </c>
      <c r="O121" s="352" t="s">
        <v>69</v>
      </c>
      <c r="P121" s="352" t="s">
        <v>69</v>
      </c>
      <c r="Q121" s="352" t="s">
        <v>69</v>
      </c>
      <c r="R121" s="352" t="s">
        <v>69</v>
      </c>
      <c r="S121" s="352" t="s">
        <v>69</v>
      </c>
      <c r="T121" s="352" t="s">
        <v>69</v>
      </c>
      <c r="U121" s="352" t="s">
        <v>69</v>
      </c>
      <c r="V121" s="352" t="s">
        <v>69</v>
      </c>
      <c r="W121" s="352" t="s">
        <v>69</v>
      </c>
      <c r="X121" s="352" t="s">
        <v>69</v>
      </c>
      <c r="Y121" s="352" t="s">
        <v>69</v>
      </c>
      <c r="Z121" s="352" t="s">
        <v>69</v>
      </c>
      <c r="AA121" s="352" t="s">
        <v>69</v>
      </c>
      <c r="AB121" s="352" t="s">
        <v>69</v>
      </c>
      <c r="AC121" s="352" t="s">
        <v>69</v>
      </c>
      <c r="AD121" s="352" t="s">
        <v>69</v>
      </c>
      <c r="AE121" s="352" t="s">
        <v>69</v>
      </c>
      <c r="AF121" s="352" t="s">
        <v>69</v>
      </c>
      <c r="AG121" s="352" t="s">
        <v>69</v>
      </c>
      <c r="AH121" s="352" t="s">
        <v>69</v>
      </c>
      <c r="AI121" s="352" t="s">
        <v>69</v>
      </c>
      <c r="AJ121" s="352" t="s">
        <v>69</v>
      </c>
      <c r="AK121" s="352" t="s">
        <v>69</v>
      </c>
      <c r="AL121" s="352" t="s">
        <v>69</v>
      </c>
      <c r="AM121" s="352" t="s">
        <v>69</v>
      </c>
      <c r="AN121" s="352" t="s">
        <v>69</v>
      </c>
      <c r="AO121" s="352" t="s">
        <v>69</v>
      </c>
      <c r="AP121" s="352" t="s">
        <v>69</v>
      </c>
      <c r="AQ121" s="352" t="s">
        <v>69</v>
      </c>
      <c r="AR121" s="352" t="s">
        <v>69</v>
      </c>
      <c r="AS121" s="352" t="s">
        <v>69</v>
      </c>
      <c r="AT121" s="352" t="s">
        <v>69</v>
      </c>
      <c r="AU121" s="352" t="s">
        <v>69</v>
      </c>
      <c r="AV121" s="352" t="s">
        <v>69</v>
      </c>
      <c r="AW121" s="352" t="s">
        <v>69</v>
      </c>
      <c r="AX121" s="352" t="s">
        <v>69</v>
      </c>
      <c r="AY121" s="352" t="s">
        <v>69</v>
      </c>
      <c r="AZ121" s="352" t="s">
        <v>69</v>
      </c>
      <c r="BA121" s="352" t="s">
        <v>69</v>
      </c>
      <c r="BB121" s="352" t="s">
        <v>69</v>
      </c>
      <c r="BC121" s="352" t="s">
        <v>69</v>
      </c>
      <c r="BD121" s="352" t="s">
        <v>69</v>
      </c>
      <c r="BE121" s="352" t="s">
        <v>69</v>
      </c>
      <c r="BF121" s="352" t="s">
        <v>69</v>
      </c>
      <c r="BG121" s="352" t="s">
        <v>69</v>
      </c>
      <c r="BH121" s="352" t="s">
        <v>69</v>
      </c>
      <c r="BI121" s="352" t="s">
        <v>69</v>
      </c>
      <c r="BJ121" s="352" t="s">
        <v>69</v>
      </c>
      <c r="BK121" s="352" t="s">
        <v>69</v>
      </c>
      <c r="BL121" s="352" t="s">
        <v>69</v>
      </c>
      <c r="BM121" s="352" t="s">
        <v>69</v>
      </c>
      <c r="BN121" s="352" t="s">
        <v>69</v>
      </c>
      <c r="BO121" s="352" t="s">
        <v>69</v>
      </c>
      <c r="BP121" s="352" t="s">
        <v>69</v>
      </c>
      <c r="BQ121" s="352" t="s">
        <v>69</v>
      </c>
      <c r="BR121" s="352" t="s">
        <v>69</v>
      </c>
      <c r="BS121" s="352" t="s">
        <v>69</v>
      </c>
      <c r="BT121" s="352" t="s">
        <v>69</v>
      </c>
      <c r="BU121" s="352" t="s">
        <v>69</v>
      </c>
      <c r="BV121" s="352" t="s">
        <v>69</v>
      </c>
      <c r="BW121" s="352" t="s">
        <v>69</v>
      </c>
      <c r="BX121" s="352" t="s">
        <v>69</v>
      </c>
      <c r="BY121" s="352" t="s">
        <v>69</v>
      </c>
      <c r="BZ121" s="352" t="s">
        <v>69</v>
      </c>
      <c r="CA121" s="352" t="s">
        <v>69</v>
      </c>
      <c r="CB121" s="352" t="s">
        <v>69</v>
      </c>
      <c r="CC121" s="352" t="s">
        <v>69</v>
      </c>
      <c r="CD121" s="352" t="s">
        <v>69</v>
      </c>
      <c r="CE121" s="352" t="s">
        <v>69</v>
      </c>
      <c r="CF121" s="352" t="s">
        <v>69</v>
      </c>
      <c r="CG121" s="352" t="s">
        <v>69</v>
      </c>
      <c r="CH121" s="352" t="s">
        <v>69</v>
      </c>
      <c r="CI121" s="352" t="s">
        <v>69</v>
      </c>
      <c r="CJ121" s="352" t="s">
        <v>69</v>
      </c>
      <c r="CK121" s="352" t="s">
        <v>69</v>
      </c>
      <c r="CL121" s="352" t="s">
        <v>69</v>
      </c>
      <c r="CM121" s="315">
        <v>3</v>
      </c>
      <c r="CN121" s="352" t="s">
        <v>69</v>
      </c>
      <c r="CO121" s="352" t="s">
        <v>69</v>
      </c>
      <c r="CP121" s="315">
        <v>3</v>
      </c>
      <c r="CQ121" s="352" t="s">
        <v>69</v>
      </c>
      <c r="CR121" s="352" t="s">
        <v>69</v>
      </c>
      <c r="CS121" s="352" t="s">
        <v>69</v>
      </c>
      <c r="CT121" s="352" t="s">
        <v>69</v>
      </c>
      <c r="CU121" s="352" t="s">
        <v>69</v>
      </c>
      <c r="CV121" s="352" t="s">
        <v>69</v>
      </c>
      <c r="CW121" s="352" t="s">
        <v>69</v>
      </c>
      <c r="CX121" s="352" t="s">
        <v>69</v>
      </c>
      <c r="CY121" s="352" t="s">
        <v>69</v>
      </c>
      <c r="CZ121" s="352" t="s">
        <v>69</v>
      </c>
      <c r="DA121" s="352" t="s">
        <v>69</v>
      </c>
      <c r="DB121" s="352" t="s">
        <v>69</v>
      </c>
      <c r="DC121" s="352" t="s">
        <v>69</v>
      </c>
      <c r="DD121" s="352" t="s">
        <v>69</v>
      </c>
      <c r="DE121" s="352" t="s">
        <v>69</v>
      </c>
      <c r="DF121" s="352" t="s">
        <v>69</v>
      </c>
      <c r="DG121" s="352" t="s">
        <v>69</v>
      </c>
      <c r="DH121" s="352" t="s">
        <v>69</v>
      </c>
      <c r="DI121" s="352" t="s">
        <v>69</v>
      </c>
      <c r="DJ121" s="352" t="s">
        <v>69</v>
      </c>
      <c r="DK121" s="352" t="s">
        <v>69</v>
      </c>
      <c r="DL121" s="352" t="s">
        <v>69</v>
      </c>
      <c r="DM121" s="352" t="s">
        <v>69</v>
      </c>
      <c r="DN121" s="352" t="s">
        <v>69</v>
      </c>
      <c r="DO121" s="352" t="s">
        <v>69</v>
      </c>
      <c r="DP121" s="352" t="s">
        <v>69</v>
      </c>
      <c r="DQ121" s="352" t="s">
        <v>69</v>
      </c>
      <c r="DR121" s="352" t="s">
        <v>69</v>
      </c>
      <c r="DS121" s="352" t="s">
        <v>69</v>
      </c>
      <c r="DT121" s="352" t="s">
        <v>69</v>
      </c>
      <c r="DU121" s="352" t="s">
        <v>69</v>
      </c>
      <c r="DV121" s="387"/>
      <c r="DW121" s="388"/>
    </row>
    <row r="122" spans="1:128" s="156" customFormat="1" ht="118.5" hidden="1" customHeight="1">
      <c r="A122" s="312">
        <v>107</v>
      </c>
      <c r="B122" s="508" t="s">
        <v>1282</v>
      </c>
      <c r="C122" s="384" t="s">
        <v>1281</v>
      </c>
      <c r="D122" s="376">
        <v>46118</v>
      </c>
      <c r="E122" s="320" t="s">
        <v>784</v>
      </c>
      <c r="F122" s="382" t="s">
        <v>633</v>
      </c>
      <c r="G122" s="352">
        <v>3</v>
      </c>
      <c r="H122" s="352" t="s">
        <v>69</v>
      </c>
      <c r="I122" s="352" t="s">
        <v>69</v>
      </c>
      <c r="J122" s="352">
        <v>3</v>
      </c>
      <c r="K122" s="352" t="s">
        <v>69</v>
      </c>
      <c r="L122" s="352" t="s">
        <v>69</v>
      </c>
      <c r="M122" s="352" t="s">
        <v>69</v>
      </c>
      <c r="N122" s="352" t="s">
        <v>69</v>
      </c>
      <c r="O122" s="352" t="s">
        <v>69</v>
      </c>
      <c r="P122" s="352">
        <v>3</v>
      </c>
      <c r="Q122" s="352" t="s">
        <v>69</v>
      </c>
      <c r="R122" s="352" t="s">
        <v>69</v>
      </c>
      <c r="S122" s="352" t="s">
        <v>69</v>
      </c>
      <c r="T122" s="352" t="s">
        <v>69</v>
      </c>
      <c r="U122" s="352" t="s">
        <v>69</v>
      </c>
      <c r="V122" s="352" t="s">
        <v>69</v>
      </c>
      <c r="W122" s="352" t="s">
        <v>69</v>
      </c>
      <c r="X122" s="352" t="s">
        <v>69</v>
      </c>
      <c r="Y122" s="352" t="s">
        <v>69</v>
      </c>
      <c r="Z122" s="352" t="s">
        <v>69</v>
      </c>
      <c r="AA122" s="352" t="s">
        <v>69</v>
      </c>
      <c r="AB122" s="352" t="s">
        <v>69</v>
      </c>
      <c r="AC122" s="352" t="s">
        <v>69</v>
      </c>
      <c r="AD122" s="352" t="s">
        <v>69</v>
      </c>
      <c r="AE122" s="352" t="s">
        <v>69</v>
      </c>
      <c r="AF122" s="352" t="s">
        <v>69</v>
      </c>
      <c r="AG122" s="352" t="s">
        <v>69</v>
      </c>
      <c r="AH122" s="352" t="s">
        <v>69</v>
      </c>
      <c r="AI122" s="352" t="s">
        <v>69</v>
      </c>
      <c r="AJ122" s="352" t="s">
        <v>69</v>
      </c>
      <c r="AK122" s="352" t="s">
        <v>69</v>
      </c>
      <c r="AL122" s="352" t="s">
        <v>69</v>
      </c>
      <c r="AM122" s="352" t="s">
        <v>69</v>
      </c>
      <c r="AN122" s="352" t="s">
        <v>69</v>
      </c>
      <c r="AO122" s="352" t="s">
        <v>69</v>
      </c>
      <c r="AP122" s="352" t="s">
        <v>69</v>
      </c>
      <c r="AQ122" s="352" t="s">
        <v>69</v>
      </c>
      <c r="AR122" s="352" t="s">
        <v>69</v>
      </c>
      <c r="AS122" s="352">
        <v>3</v>
      </c>
      <c r="AT122" s="352">
        <v>3</v>
      </c>
      <c r="AU122" s="352" t="s">
        <v>69</v>
      </c>
      <c r="AV122" s="352">
        <v>3</v>
      </c>
      <c r="AW122" s="352">
        <v>3</v>
      </c>
      <c r="AX122" s="352" t="s">
        <v>69</v>
      </c>
      <c r="AY122" s="352">
        <v>3</v>
      </c>
      <c r="AZ122" s="352">
        <v>2</v>
      </c>
      <c r="BA122" s="352" t="s">
        <v>69</v>
      </c>
      <c r="BB122" s="352" t="s">
        <v>69</v>
      </c>
      <c r="BC122" s="352" t="s">
        <v>69</v>
      </c>
      <c r="BD122" s="352" t="s">
        <v>69</v>
      </c>
      <c r="BE122" s="352">
        <v>2</v>
      </c>
      <c r="BF122" s="352">
        <v>2</v>
      </c>
      <c r="BG122" s="352" t="s">
        <v>69</v>
      </c>
      <c r="BH122" s="352" t="s">
        <v>69</v>
      </c>
      <c r="BI122" s="352" t="s">
        <v>69</v>
      </c>
      <c r="BJ122" s="352" t="s">
        <v>69</v>
      </c>
      <c r="BK122" s="352" t="s">
        <v>69</v>
      </c>
      <c r="BL122" s="352" t="s">
        <v>69</v>
      </c>
      <c r="BM122" s="352" t="s">
        <v>69</v>
      </c>
      <c r="BN122" s="352" t="s">
        <v>69</v>
      </c>
      <c r="BO122" s="352" t="s">
        <v>69</v>
      </c>
      <c r="BP122" s="352" t="s">
        <v>69</v>
      </c>
      <c r="BQ122" s="352" t="s">
        <v>69</v>
      </c>
      <c r="BR122" s="352" t="s">
        <v>69</v>
      </c>
      <c r="BS122" s="352" t="s">
        <v>69</v>
      </c>
      <c r="BT122" s="352" t="s">
        <v>69</v>
      </c>
      <c r="BU122" s="352" t="s">
        <v>69</v>
      </c>
      <c r="BV122" s="352" t="s">
        <v>69</v>
      </c>
      <c r="BW122" s="352" t="s">
        <v>69</v>
      </c>
      <c r="BX122" s="352" t="s">
        <v>69</v>
      </c>
      <c r="BY122" s="352" t="s">
        <v>69</v>
      </c>
      <c r="BZ122" s="352" t="s">
        <v>69</v>
      </c>
      <c r="CA122" s="352" t="s">
        <v>69</v>
      </c>
      <c r="CB122" s="352" t="s">
        <v>69</v>
      </c>
      <c r="CC122" s="352" t="s">
        <v>69</v>
      </c>
      <c r="CD122" s="352" t="s">
        <v>69</v>
      </c>
      <c r="CE122" s="352" t="s">
        <v>69</v>
      </c>
      <c r="CF122" s="352" t="s">
        <v>69</v>
      </c>
      <c r="CG122" s="352" t="s">
        <v>69</v>
      </c>
      <c r="CH122" s="352" t="s">
        <v>69</v>
      </c>
      <c r="CI122" s="352" t="s">
        <v>69</v>
      </c>
      <c r="CJ122" s="352" t="s">
        <v>69</v>
      </c>
      <c r="CK122" s="352" t="s">
        <v>69</v>
      </c>
      <c r="CL122" s="352" t="s">
        <v>69</v>
      </c>
      <c r="CM122" s="352" t="s">
        <v>69</v>
      </c>
      <c r="CN122" s="352" t="s">
        <v>69</v>
      </c>
      <c r="CO122" s="352" t="s">
        <v>69</v>
      </c>
      <c r="CP122" s="352" t="s">
        <v>69</v>
      </c>
      <c r="CQ122" s="352" t="s">
        <v>69</v>
      </c>
      <c r="CR122" s="352" t="s">
        <v>69</v>
      </c>
      <c r="CS122" s="352" t="s">
        <v>69</v>
      </c>
      <c r="CT122" s="352" t="s">
        <v>69</v>
      </c>
      <c r="CU122" s="352" t="s">
        <v>69</v>
      </c>
      <c r="CV122" s="352" t="s">
        <v>69</v>
      </c>
      <c r="CW122" s="352" t="s">
        <v>69</v>
      </c>
      <c r="CX122" s="352" t="s">
        <v>69</v>
      </c>
      <c r="CY122" s="352" t="s">
        <v>69</v>
      </c>
      <c r="CZ122" s="352" t="s">
        <v>69</v>
      </c>
      <c r="DA122" s="352" t="s">
        <v>69</v>
      </c>
      <c r="DB122" s="352" t="s">
        <v>69</v>
      </c>
      <c r="DC122" s="352" t="s">
        <v>69</v>
      </c>
      <c r="DD122" s="352" t="s">
        <v>69</v>
      </c>
      <c r="DE122" s="352" t="s">
        <v>69</v>
      </c>
      <c r="DF122" s="352" t="s">
        <v>69</v>
      </c>
      <c r="DG122" s="352" t="s">
        <v>69</v>
      </c>
      <c r="DH122" s="352" t="s">
        <v>69</v>
      </c>
      <c r="DI122" s="352" t="s">
        <v>69</v>
      </c>
      <c r="DJ122" s="352" t="s">
        <v>69</v>
      </c>
      <c r="DK122" s="352" t="s">
        <v>69</v>
      </c>
      <c r="DL122" s="352" t="s">
        <v>69</v>
      </c>
      <c r="DM122" s="352" t="s">
        <v>69</v>
      </c>
      <c r="DN122" s="352" t="s">
        <v>69</v>
      </c>
      <c r="DO122" s="352" t="s">
        <v>69</v>
      </c>
      <c r="DP122" s="352" t="s">
        <v>69</v>
      </c>
      <c r="DQ122" s="352" t="s">
        <v>69</v>
      </c>
      <c r="DR122" s="352" t="s">
        <v>69</v>
      </c>
      <c r="DS122" s="352" t="s">
        <v>69</v>
      </c>
      <c r="DT122" s="352" t="s">
        <v>69</v>
      </c>
      <c r="DU122" s="352" t="s">
        <v>69</v>
      </c>
      <c r="DV122" s="387"/>
      <c r="DW122" s="388"/>
    </row>
    <row r="123" spans="1:128" s="156" customFormat="1" ht="118.5" hidden="1" customHeight="1">
      <c r="A123" s="312">
        <v>108</v>
      </c>
      <c r="B123" s="508" t="s">
        <v>1280</v>
      </c>
      <c r="C123" s="384" t="s">
        <v>1279</v>
      </c>
      <c r="D123" s="376">
        <v>46118</v>
      </c>
      <c r="E123" s="320"/>
      <c r="F123" s="382" t="s">
        <v>633</v>
      </c>
      <c r="G123" s="352" t="s">
        <v>69</v>
      </c>
      <c r="H123" s="352" t="s">
        <v>69</v>
      </c>
      <c r="I123" s="352" t="s">
        <v>69</v>
      </c>
      <c r="J123" s="352" t="s">
        <v>69</v>
      </c>
      <c r="K123" s="352" t="s">
        <v>69</v>
      </c>
      <c r="L123" s="352" t="s">
        <v>69</v>
      </c>
      <c r="M123" s="352" t="s">
        <v>69</v>
      </c>
      <c r="N123" s="352" t="s">
        <v>69</v>
      </c>
      <c r="O123" s="352" t="s">
        <v>69</v>
      </c>
      <c r="P123" s="352" t="s">
        <v>69</v>
      </c>
      <c r="Q123" s="352" t="s">
        <v>69</v>
      </c>
      <c r="R123" s="352" t="s">
        <v>69</v>
      </c>
      <c r="S123" s="352" t="s">
        <v>69</v>
      </c>
      <c r="T123" s="352" t="s">
        <v>69</v>
      </c>
      <c r="U123" s="352" t="s">
        <v>69</v>
      </c>
      <c r="V123" s="352" t="s">
        <v>69</v>
      </c>
      <c r="W123" s="352" t="s">
        <v>69</v>
      </c>
      <c r="X123" s="352" t="s">
        <v>69</v>
      </c>
      <c r="Y123" s="352" t="s">
        <v>69</v>
      </c>
      <c r="Z123" s="352" t="s">
        <v>69</v>
      </c>
      <c r="AA123" s="352" t="s">
        <v>69</v>
      </c>
      <c r="AB123" s="352" t="s">
        <v>69</v>
      </c>
      <c r="AC123" s="352" t="s">
        <v>69</v>
      </c>
      <c r="AD123" s="352" t="s">
        <v>69</v>
      </c>
      <c r="AE123" s="352" t="s">
        <v>69</v>
      </c>
      <c r="AF123" s="352" t="s">
        <v>69</v>
      </c>
      <c r="AG123" s="352" t="s">
        <v>69</v>
      </c>
      <c r="AH123" s="352" t="s">
        <v>69</v>
      </c>
      <c r="AI123" s="352" t="s">
        <v>69</v>
      </c>
      <c r="AJ123" s="352" t="s">
        <v>69</v>
      </c>
      <c r="AK123" s="352" t="s">
        <v>69</v>
      </c>
      <c r="AL123" s="352" t="s">
        <v>69</v>
      </c>
      <c r="AM123" s="352" t="s">
        <v>69</v>
      </c>
      <c r="AN123" s="352" t="s">
        <v>69</v>
      </c>
      <c r="AO123" s="352" t="s">
        <v>69</v>
      </c>
      <c r="AP123" s="352" t="s">
        <v>69</v>
      </c>
      <c r="AQ123" s="352" t="s">
        <v>69</v>
      </c>
      <c r="AR123" s="352" t="s">
        <v>69</v>
      </c>
      <c r="AS123" s="352" t="s">
        <v>69</v>
      </c>
      <c r="AT123" s="352" t="s">
        <v>69</v>
      </c>
      <c r="AU123" s="352" t="s">
        <v>69</v>
      </c>
      <c r="AV123" s="352" t="s">
        <v>69</v>
      </c>
      <c r="AW123" s="352" t="s">
        <v>69</v>
      </c>
      <c r="AX123" s="352" t="s">
        <v>69</v>
      </c>
      <c r="AY123" s="352" t="s">
        <v>69</v>
      </c>
      <c r="AZ123" s="352" t="s">
        <v>69</v>
      </c>
      <c r="BA123" s="352" t="s">
        <v>69</v>
      </c>
      <c r="BB123" s="352" t="s">
        <v>69</v>
      </c>
      <c r="BC123" s="352" t="s">
        <v>69</v>
      </c>
      <c r="BD123" s="352" t="s">
        <v>69</v>
      </c>
      <c r="BE123" s="352" t="s">
        <v>69</v>
      </c>
      <c r="BF123" s="352" t="s">
        <v>69</v>
      </c>
      <c r="BG123" s="352" t="s">
        <v>69</v>
      </c>
      <c r="BH123" s="352" t="s">
        <v>69</v>
      </c>
      <c r="BI123" s="352" t="s">
        <v>69</v>
      </c>
      <c r="BJ123" s="352" t="s">
        <v>69</v>
      </c>
      <c r="BK123" s="352" t="s">
        <v>69</v>
      </c>
      <c r="BL123" s="352" t="s">
        <v>69</v>
      </c>
      <c r="BM123" s="352" t="s">
        <v>69</v>
      </c>
      <c r="BN123" s="352" t="s">
        <v>69</v>
      </c>
      <c r="BO123" s="352" t="s">
        <v>69</v>
      </c>
      <c r="BP123" s="352" t="s">
        <v>69</v>
      </c>
      <c r="BQ123" s="352" t="s">
        <v>69</v>
      </c>
      <c r="BR123" s="352" t="s">
        <v>69</v>
      </c>
      <c r="BS123" s="352" t="s">
        <v>69</v>
      </c>
      <c r="BT123" s="352" t="s">
        <v>69</v>
      </c>
      <c r="BU123" s="352" t="s">
        <v>69</v>
      </c>
      <c r="BV123" s="352" t="s">
        <v>69</v>
      </c>
      <c r="BW123" s="352" t="s">
        <v>69</v>
      </c>
      <c r="BX123" s="352" t="s">
        <v>69</v>
      </c>
      <c r="BY123" s="352" t="s">
        <v>69</v>
      </c>
      <c r="BZ123" s="352" t="s">
        <v>69</v>
      </c>
      <c r="CA123" s="352" t="s">
        <v>69</v>
      </c>
      <c r="CB123" s="352" t="s">
        <v>69</v>
      </c>
      <c r="CC123" s="352" t="s">
        <v>69</v>
      </c>
      <c r="CD123" s="352" t="s">
        <v>69</v>
      </c>
      <c r="CE123" s="352" t="s">
        <v>69</v>
      </c>
      <c r="CF123" s="352" t="s">
        <v>69</v>
      </c>
      <c r="CG123" s="352" t="s">
        <v>69</v>
      </c>
      <c r="CH123" s="352" t="s">
        <v>69</v>
      </c>
      <c r="CI123" s="352" t="s">
        <v>69</v>
      </c>
      <c r="CJ123" s="352" t="s">
        <v>69</v>
      </c>
      <c r="CK123" s="352" t="s">
        <v>69</v>
      </c>
      <c r="CL123" s="352" t="s">
        <v>69</v>
      </c>
      <c r="CM123" s="352" t="s">
        <v>69</v>
      </c>
      <c r="CN123" s="352" t="s">
        <v>69</v>
      </c>
      <c r="CO123" s="352" t="s">
        <v>69</v>
      </c>
      <c r="CP123" s="352" t="s">
        <v>69</v>
      </c>
      <c r="CQ123" s="352" t="s">
        <v>69</v>
      </c>
      <c r="CR123" s="352" t="s">
        <v>69</v>
      </c>
      <c r="CS123" s="352" t="s">
        <v>69</v>
      </c>
      <c r="CT123" s="352" t="s">
        <v>69</v>
      </c>
      <c r="CU123" s="352" t="s">
        <v>69</v>
      </c>
      <c r="CV123" s="352" t="s">
        <v>69</v>
      </c>
      <c r="CW123" s="352" t="s">
        <v>69</v>
      </c>
      <c r="CX123" s="352" t="s">
        <v>69</v>
      </c>
      <c r="CY123" s="352" t="s">
        <v>69</v>
      </c>
      <c r="CZ123" s="352" t="s">
        <v>69</v>
      </c>
      <c r="DA123" s="352" t="s">
        <v>69</v>
      </c>
      <c r="DB123" s="352" t="s">
        <v>69</v>
      </c>
      <c r="DC123" s="352" t="s">
        <v>69</v>
      </c>
      <c r="DD123" s="352" t="s">
        <v>69</v>
      </c>
      <c r="DE123" s="352" t="s">
        <v>69</v>
      </c>
      <c r="DF123" s="352" t="s">
        <v>69</v>
      </c>
      <c r="DG123" s="352" t="s">
        <v>69</v>
      </c>
      <c r="DH123" s="352" t="s">
        <v>69</v>
      </c>
      <c r="DI123" s="352" t="s">
        <v>69</v>
      </c>
      <c r="DJ123" s="352" t="s">
        <v>69</v>
      </c>
      <c r="DK123" s="352" t="s">
        <v>69</v>
      </c>
      <c r="DL123" s="352" t="s">
        <v>69</v>
      </c>
      <c r="DM123" s="352" t="s">
        <v>69</v>
      </c>
      <c r="DN123" s="352" t="s">
        <v>69</v>
      </c>
      <c r="DO123" s="352" t="s">
        <v>69</v>
      </c>
      <c r="DP123" s="352" t="s">
        <v>69</v>
      </c>
      <c r="DQ123" s="352" t="s">
        <v>69</v>
      </c>
      <c r="DR123" s="352" t="s">
        <v>69</v>
      </c>
      <c r="DS123" s="352" t="s">
        <v>69</v>
      </c>
      <c r="DT123" s="352" t="s">
        <v>69</v>
      </c>
      <c r="DU123" s="352" t="s">
        <v>69</v>
      </c>
      <c r="DV123" s="387"/>
      <c r="DW123" s="388"/>
    </row>
    <row r="124" spans="1:128" s="156" customFormat="1" ht="118.5" hidden="1" customHeight="1">
      <c r="A124" s="312">
        <v>109</v>
      </c>
      <c r="B124" s="508" t="s">
        <v>1278</v>
      </c>
      <c r="C124" s="384" t="s">
        <v>1277</v>
      </c>
      <c r="D124" s="376">
        <v>46118</v>
      </c>
      <c r="E124" s="320"/>
      <c r="F124" s="382" t="s">
        <v>633</v>
      </c>
      <c r="G124" s="352">
        <v>2</v>
      </c>
      <c r="H124" s="352" t="s">
        <v>69</v>
      </c>
      <c r="I124" s="352">
        <v>2</v>
      </c>
      <c r="J124" s="352">
        <v>2</v>
      </c>
      <c r="K124" s="352" t="s">
        <v>69</v>
      </c>
      <c r="L124" s="352" t="s">
        <v>69</v>
      </c>
      <c r="M124" s="352" t="s">
        <v>69</v>
      </c>
      <c r="N124" s="352" t="s">
        <v>69</v>
      </c>
      <c r="O124" s="352" t="s">
        <v>69</v>
      </c>
      <c r="P124" s="352">
        <v>2</v>
      </c>
      <c r="Q124" s="352" t="s">
        <v>69</v>
      </c>
      <c r="R124" s="352" t="s">
        <v>69</v>
      </c>
      <c r="S124" s="352" t="s">
        <v>69</v>
      </c>
      <c r="T124" s="352" t="s">
        <v>69</v>
      </c>
      <c r="U124" s="352" t="s">
        <v>69</v>
      </c>
      <c r="V124" s="352" t="s">
        <v>69</v>
      </c>
      <c r="W124" s="352" t="s">
        <v>69</v>
      </c>
      <c r="X124" s="352" t="s">
        <v>69</v>
      </c>
      <c r="Y124" s="352" t="s">
        <v>69</v>
      </c>
      <c r="Z124" s="352" t="s">
        <v>69</v>
      </c>
      <c r="AA124" s="352" t="s">
        <v>69</v>
      </c>
      <c r="AB124" s="352" t="s">
        <v>69</v>
      </c>
      <c r="AC124" s="352" t="s">
        <v>69</v>
      </c>
      <c r="AD124" s="352" t="s">
        <v>69</v>
      </c>
      <c r="AE124" s="352" t="s">
        <v>69</v>
      </c>
      <c r="AF124" s="352" t="s">
        <v>69</v>
      </c>
      <c r="AG124" s="352" t="s">
        <v>69</v>
      </c>
      <c r="AH124" s="352" t="s">
        <v>69</v>
      </c>
      <c r="AI124" s="352" t="s">
        <v>69</v>
      </c>
      <c r="AJ124" s="352" t="s">
        <v>69</v>
      </c>
      <c r="AK124" s="352" t="s">
        <v>69</v>
      </c>
      <c r="AL124" s="352" t="s">
        <v>69</v>
      </c>
      <c r="AM124" s="352" t="s">
        <v>69</v>
      </c>
      <c r="AN124" s="352" t="s">
        <v>69</v>
      </c>
      <c r="AO124" s="352" t="s">
        <v>69</v>
      </c>
      <c r="AP124" s="352" t="s">
        <v>69</v>
      </c>
      <c r="AQ124" s="352" t="s">
        <v>69</v>
      </c>
      <c r="AR124" s="352" t="s">
        <v>69</v>
      </c>
      <c r="AS124" s="352">
        <v>2</v>
      </c>
      <c r="AT124" s="352" t="s">
        <v>69</v>
      </c>
      <c r="AU124" s="352" t="s">
        <v>69</v>
      </c>
      <c r="AV124" s="352">
        <v>2</v>
      </c>
      <c r="AW124" s="352" t="s">
        <v>69</v>
      </c>
      <c r="AX124" s="352" t="s">
        <v>69</v>
      </c>
      <c r="AY124" s="352">
        <v>2</v>
      </c>
      <c r="AZ124" s="352" t="s">
        <v>69</v>
      </c>
      <c r="BA124" s="352" t="s">
        <v>69</v>
      </c>
      <c r="BB124" s="352" t="s">
        <v>69</v>
      </c>
      <c r="BC124" s="352" t="s">
        <v>69</v>
      </c>
      <c r="BD124" s="352" t="s">
        <v>69</v>
      </c>
      <c r="BE124" s="352" t="s">
        <v>69</v>
      </c>
      <c r="BF124" s="352">
        <v>2</v>
      </c>
      <c r="BG124" s="352" t="s">
        <v>69</v>
      </c>
      <c r="BH124" s="352" t="s">
        <v>69</v>
      </c>
      <c r="BI124" s="352" t="s">
        <v>69</v>
      </c>
      <c r="BJ124" s="352" t="s">
        <v>69</v>
      </c>
      <c r="BK124" s="352" t="s">
        <v>69</v>
      </c>
      <c r="BL124" s="352" t="s">
        <v>69</v>
      </c>
      <c r="BM124" s="352" t="s">
        <v>69</v>
      </c>
      <c r="BN124" s="352" t="s">
        <v>69</v>
      </c>
      <c r="BO124" s="352" t="s">
        <v>69</v>
      </c>
      <c r="BP124" s="352" t="s">
        <v>69</v>
      </c>
      <c r="BQ124" s="352" t="s">
        <v>69</v>
      </c>
      <c r="BR124" s="352" t="s">
        <v>69</v>
      </c>
      <c r="BS124" s="352">
        <v>2</v>
      </c>
      <c r="BT124" s="352" t="s">
        <v>69</v>
      </c>
      <c r="BU124" s="352" t="s">
        <v>69</v>
      </c>
      <c r="BV124" s="352" t="s">
        <v>69</v>
      </c>
      <c r="BW124" s="352" t="s">
        <v>69</v>
      </c>
      <c r="BX124" s="352" t="s">
        <v>69</v>
      </c>
      <c r="BY124" s="352" t="s">
        <v>69</v>
      </c>
      <c r="BZ124" s="352" t="s">
        <v>69</v>
      </c>
      <c r="CA124" s="352" t="s">
        <v>69</v>
      </c>
      <c r="CB124" s="352" t="s">
        <v>69</v>
      </c>
      <c r="CC124" s="352" t="s">
        <v>69</v>
      </c>
      <c r="CD124" s="352" t="s">
        <v>69</v>
      </c>
      <c r="CE124" s="352" t="s">
        <v>69</v>
      </c>
      <c r="CF124" s="352" t="s">
        <v>69</v>
      </c>
      <c r="CG124" s="352" t="s">
        <v>69</v>
      </c>
      <c r="CH124" s="352" t="s">
        <v>69</v>
      </c>
      <c r="CI124" s="352" t="s">
        <v>69</v>
      </c>
      <c r="CJ124" s="352" t="s">
        <v>69</v>
      </c>
      <c r="CK124" s="352" t="s">
        <v>69</v>
      </c>
      <c r="CL124" s="352" t="s">
        <v>69</v>
      </c>
      <c r="CM124" s="352" t="s">
        <v>69</v>
      </c>
      <c r="CN124" s="352" t="s">
        <v>69</v>
      </c>
      <c r="CO124" s="352" t="s">
        <v>69</v>
      </c>
      <c r="CP124" s="352" t="s">
        <v>69</v>
      </c>
      <c r="CQ124" s="352" t="s">
        <v>69</v>
      </c>
      <c r="CR124" s="352" t="s">
        <v>69</v>
      </c>
      <c r="CS124" s="352" t="s">
        <v>69</v>
      </c>
      <c r="CT124" s="352" t="s">
        <v>69</v>
      </c>
      <c r="CU124" s="352" t="s">
        <v>69</v>
      </c>
      <c r="CV124" s="352">
        <v>2</v>
      </c>
      <c r="CW124" s="352" t="s">
        <v>69</v>
      </c>
      <c r="CX124" s="352" t="s">
        <v>69</v>
      </c>
      <c r="CY124" s="352" t="s">
        <v>69</v>
      </c>
      <c r="CZ124" s="352" t="s">
        <v>69</v>
      </c>
      <c r="DA124" s="352" t="s">
        <v>69</v>
      </c>
      <c r="DB124" s="352" t="s">
        <v>69</v>
      </c>
      <c r="DC124" s="352" t="s">
        <v>69</v>
      </c>
      <c r="DD124" s="352" t="s">
        <v>69</v>
      </c>
      <c r="DE124" s="352" t="s">
        <v>69</v>
      </c>
      <c r="DF124" s="352" t="s">
        <v>69</v>
      </c>
      <c r="DG124" s="352" t="s">
        <v>69</v>
      </c>
      <c r="DH124" s="352" t="s">
        <v>69</v>
      </c>
      <c r="DI124" s="352" t="s">
        <v>69</v>
      </c>
      <c r="DJ124" s="352" t="s">
        <v>69</v>
      </c>
      <c r="DK124" s="352" t="s">
        <v>69</v>
      </c>
      <c r="DL124" s="352">
        <v>2</v>
      </c>
      <c r="DM124" s="352">
        <v>2</v>
      </c>
      <c r="DN124" s="352" t="s">
        <v>69</v>
      </c>
      <c r="DO124" s="352" t="s">
        <v>69</v>
      </c>
      <c r="DP124" s="352" t="s">
        <v>69</v>
      </c>
      <c r="DQ124" s="352" t="s">
        <v>69</v>
      </c>
      <c r="DR124" s="352" t="s">
        <v>69</v>
      </c>
      <c r="DS124" s="352" t="s">
        <v>69</v>
      </c>
      <c r="DT124" s="352" t="s">
        <v>69</v>
      </c>
      <c r="DU124" s="352" t="s">
        <v>69</v>
      </c>
      <c r="DV124" s="387"/>
      <c r="DW124" s="388"/>
    </row>
    <row r="125" spans="1:128" s="156" customFormat="1" ht="118.5" hidden="1" customHeight="1">
      <c r="A125" s="312">
        <v>110</v>
      </c>
      <c r="B125" s="508" t="s">
        <v>1276</v>
      </c>
      <c r="C125" s="384" t="s">
        <v>1275</v>
      </c>
      <c r="D125" s="376">
        <v>46118</v>
      </c>
      <c r="E125" s="320"/>
      <c r="F125" s="382" t="s">
        <v>633</v>
      </c>
      <c r="G125" s="352">
        <v>2</v>
      </c>
      <c r="H125" s="352" t="s">
        <v>69</v>
      </c>
      <c r="I125" s="352" t="s">
        <v>69</v>
      </c>
      <c r="J125" s="352">
        <v>3</v>
      </c>
      <c r="K125" s="352" t="s">
        <v>69</v>
      </c>
      <c r="L125" s="352" t="s">
        <v>69</v>
      </c>
      <c r="M125" s="352" t="s">
        <v>69</v>
      </c>
      <c r="N125" s="352" t="s">
        <v>69</v>
      </c>
      <c r="O125" s="352" t="s">
        <v>69</v>
      </c>
      <c r="P125" s="352">
        <v>2</v>
      </c>
      <c r="Q125" s="352" t="s">
        <v>69</v>
      </c>
      <c r="R125" s="352" t="s">
        <v>69</v>
      </c>
      <c r="S125" s="352" t="s">
        <v>69</v>
      </c>
      <c r="T125" s="352" t="s">
        <v>69</v>
      </c>
      <c r="U125" s="352" t="s">
        <v>69</v>
      </c>
      <c r="V125" s="352" t="s">
        <v>69</v>
      </c>
      <c r="W125" s="352" t="s">
        <v>69</v>
      </c>
      <c r="X125" s="352" t="s">
        <v>69</v>
      </c>
      <c r="Y125" s="352" t="s">
        <v>69</v>
      </c>
      <c r="Z125" s="352" t="s">
        <v>69</v>
      </c>
      <c r="AA125" s="352" t="s">
        <v>69</v>
      </c>
      <c r="AB125" s="352" t="s">
        <v>69</v>
      </c>
      <c r="AC125" s="352" t="s">
        <v>69</v>
      </c>
      <c r="AD125" s="352" t="s">
        <v>69</v>
      </c>
      <c r="AE125" s="352" t="s">
        <v>69</v>
      </c>
      <c r="AF125" s="352" t="s">
        <v>69</v>
      </c>
      <c r="AG125" s="352" t="s">
        <v>69</v>
      </c>
      <c r="AH125" s="352" t="s">
        <v>69</v>
      </c>
      <c r="AI125" s="352" t="s">
        <v>69</v>
      </c>
      <c r="AJ125" s="352" t="s">
        <v>69</v>
      </c>
      <c r="AK125" s="352" t="s">
        <v>69</v>
      </c>
      <c r="AL125" s="352" t="s">
        <v>69</v>
      </c>
      <c r="AM125" s="352" t="s">
        <v>69</v>
      </c>
      <c r="AN125" s="352" t="s">
        <v>69</v>
      </c>
      <c r="AO125" s="352" t="s">
        <v>69</v>
      </c>
      <c r="AP125" s="352" t="s">
        <v>69</v>
      </c>
      <c r="AQ125" s="352" t="s">
        <v>69</v>
      </c>
      <c r="AR125" s="352" t="s">
        <v>69</v>
      </c>
      <c r="AS125" s="352">
        <v>2</v>
      </c>
      <c r="AT125" s="352">
        <v>2</v>
      </c>
      <c r="AU125" s="352" t="s">
        <v>69</v>
      </c>
      <c r="AV125" s="352">
        <v>2</v>
      </c>
      <c r="AW125" s="352">
        <v>2</v>
      </c>
      <c r="AX125" s="352" t="s">
        <v>69</v>
      </c>
      <c r="AY125" s="352">
        <v>2</v>
      </c>
      <c r="AZ125" s="352" t="s">
        <v>69</v>
      </c>
      <c r="BA125" s="352" t="s">
        <v>69</v>
      </c>
      <c r="BB125" s="352" t="s">
        <v>69</v>
      </c>
      <c r="BC125" s="352" t="s">
        <v>69</v>
      </c>
      <c r="BD125" s="352" t="s">
        <v>69</v>
      </c>
      <c r="BE125" s="352" t="s">
        <v>69</v>
      </c>
      <c r="BF125" s="352">
        <v>2</v>
      </c>
      <c r="BG125" s="352" t="s">
        <v>69</v>
      </c>
      <c r="BH125" s="352" t="s">
        <v>69</v>
      </c>
      <c r="BI125" s="352" t="s">
        <v>69</v>
      </c>
      <c r="BJ125" s="352" t="s">
        <v>69</v>
      </c>
      <c r="BK125" s="352" t="s">
        <v>69</v>
      </c>
      <c r="BL125" s="352" t="s">
        <v>69</v>
      </c>
      <c r="BM125" s="352" t="s">
        <v>69</v>
      </c>
      <c r="BN125" s="352" t="s">
        <v>69</v>
      </c>
      <c r="BO125" s="352" t="s">
        <v>69</v>
      </c>
      <c r="BP125" s="352" t="s">
        <v>69</v>
      </c>
      <c r="BQ125" s="352" t="s">
        <v>69</v>
      </c>
      <c r="BR125" s="352" t="s">
        <v>69</v>
      </c>
      <c r="BS125" s="352">
        <v>3</v>
      </c>
      <c r="BT125" s="352" t="s">
        <v>69</v>
      </c>
      <c r="BU125" s="352" t="s">
        <v>69</v>
      </c>
      <c r="BV125" s="352" t="s">
        <v>69</v>
      </c>
      <c r="BW125" s="352" t="s">
        <v>69</v>
      </c>
      <c r="BX125" s="352" t="s">
        <v>69</v>
      </c>
      <c r="BY125" s="352" t="s">
        <v>69</v>
      </c>
      <c r="BZ125" s="352" t="s">
        <v>69</v>
      </c>
      <c r="CA125" s="352" t="s">
        <v>69</v>
      </c>
      <c r="CB125" s="352" t="s">
        <v>69</v>
      </c>
      <c r="CC125" s="352" t="s">
        <v>69</v>
      </c>
      <c r="CD125" s="352" t="s">
        <v>69</v>
      </c>
      <c r="CE125" s="352" t="s">
        <v>69</v>
      </c>
      <c r="CF125" s="352" t="s">
        <v>69</v>
      </c>
      <c r="CG125" s="352" t="s">
        <v>69</v>
      </c>
      <c r="CH125" s="352" t="s">
        <v>69</v>
      </c>
      <c r="CI125" s="352" t="s">
        <v>69</v>
      </c>
      <c r="CJ125" s="352" t="s">
        <v>69</v>
      </c>
      <c r="CK125" s="352" t="s">
        <v>69</v>
      </c>
      <c r="CL125" s="352" t="s">
        <v>69</v>
      </c>
      <c r="CM125" s="352" t="s">
        <v>69</v>
      </c>
      <c r="CN125" s="352" t="s">
        <v>69</v>
      </c>
      <c r="CO125" s="352" t="s">
        <v>69</v>
      </c>
      <c r="CP125" s="352" t="s">
        <v>69</v>
      </c>
      <c r="CQ125" s="352" t="s">
        <v>69</v>
      </c>
      <c r="CR125" s="352" t="s">
        <v>69</v>
      </c>
      <c r="CS125" s="352" t="s">
        <v>69</v>
      </c>
      <c r="CT125" s="352" t="s">
        <v>69</v>
      </c>
      <c r="CU125" s="352" t="s">
        <v>69</v>
      </c>
      <c r="CV125" s="352" t="s">
        <v>69</v>
      </c>
      <c r="CW125" s="352" t="s">
        <v>69</v>
      </c>
      <c r="CX125" s="352" t="s">
        <v>69</v>
      </c>
      <c r="CY125" s="352" t="s">
        <v>69</v>
      </c>
      <c r="CZ125" s="352" t="s">
        <v>69</v>
      </c>
      <c r="DA125" s="352" t="s">
        <v>69</v>
      </c>
      <c r="DB125" s="352" t="s">
        <v>69</v>
      </c>
      <c r="DC125" s="352" t="s">
        <v>69</v>
      </c>
      <c r="DD125" s="352" t="s">
        <v>69</v>
      </c>
      <c r="DE125" s="352" t="s">
        <v>69</v>
      </c>
      <c r="DF125" s="352" t="s">
        <v>69</v>
      </c>
      <c r="DG125" s="352" t="s">
        <v>69</v>
      </c>
      <c r="DH125" s="352" t="s">
        <v>69</v>
      </c>
      <c r="DI125" s="352" t="s">
        <v>69</v>
      </c>
      <c r="DJ125" s="352" t="s">
        <v>69</v>
      </c>
      <c r="DK125" s="352" t="s">
        <v>69</v>
      </c>
      <c r="DL125" s="352" t="s">
        <v>69</v>
      </c>
      <c r="DM125" s="352">
        <v>3</v>
      </c>
      <c r="DN125" s="352" t="s">
        <v>69</v>
      </c>
      <c r="DO125" s="352" t="s">
        <v>69</v>
      </c>
      <c r="DP125" s="352" t="s">
        <v>69</v>
      </c>
      <c r="DQ125" s="352" t="s">
        <v>69</v>
      </c>
      <c r="DR125" s="352" t="s">
        <v>69</v>
      </c>
      <c r="DS125" s="352" t="s">
        <v>69</v>
      </c>
      <c r="DT125" s="352" t="s">
        <v>69</v>
      </c>
      <c r="DU125" s="352" t="s">
        <v>69</v>
      </c>
      <c r="DV125" s="387"/>
      <c r="DW125" s="388"/>
    </row>
    <row r="126" spans="1:128" s="156" customFormat="1" ht="118.5" hidden="1" customHeight="1">
      <c r="A126" s="312">
        <v>111</v>
      </c>
      <c r="B126" s="508" t="s">
        <v>1274</v>
      </c>
      <c r="C126" s="384" t="s">
        <v>1273</v>
      </c>
      <c r="D126" s="376">
        <v>46118</v>
      </c>
      <c r="E126" s="320"/>
      <c r="F126" s="382" t="s">
        <v>633</v>
      </c>
      <c r="G126" s="352">
        <v>3</v>
      </c>
      <c r="H126" s="352" t="s">
        <v>69</v>
      </c>
      <c r="I126" s="352">
        <v>3</v>
      </c>
      <c r="J126" s="352">
        <v>3</v>
      </c>
      <c r="K126" s="352" t="s">
        <v>69</v>
      </c>
      <c r="L126" s="352" t="s">
        <v>69</v>
      </c>
      <c r="M126" s="352" t="s">
        <v>69</v>
      </c>
      <c r="N126" s="352" t="s">
        <v>69</v>
      </c>
      <c r="O126" s="352" t="s">
        <v>69</v>
      </c>
      <c r="P126" s="352" t="s">
        <v>69</v>
      </c>
      <c r="Q126" s="352" t="s">
        <v>69</v>
      </c>
      <c r="R126" s="352" t="s">
        <v>69</v>
      </c>
      <c r="S126" s="352" t="s">
        <v>69</v>
      </c>
      <c r="T126" s="352" t="s">
        <v>69</v>
      </c>
      <c r="U126" s="352" t="s">
        <v>69</v>
      </c>
      <c r="V126" s="352" t="s">
        <v>69</v>
      </c>
      <c r="W126" s="352" t="s">
        <v>69</v>
      </c>
      <c r="X126" s="352" t="s">
        <v>69</v>
      </c>
      <c r="Y126" s="352" t="s">
        <v>69</v>
      </c>
      <c r="Z126" s="352" t="s">
        <v>69</v>
      </c>
      <c r="AA126" s="352" t="s">
        <v>69</v>
      </c>
      <c r="AB126" s="352" t="s">
        <v>69</v>
      </c>
      <c r="AC126" s="352" t="s">
        <v>69</v>
      </c>
      <c r="AD126" s="352" t="s">
        <v>69</v>
      </c>
      <c r="AE126" s="352" t="s">
        <v>69</v>
      </c>
      <c r="AF126" s="352" t="s">
        <v>69</v>
      </c>
      <c r="AG126" s="352" t="s">
        <v>69</v>
      </c>
      <c r="AH126" s="352" t="s">
        <v>69</v>
      </c>
      <c r="AI126" s="352" t="s">
        <v>69</v>
      </c>
      <c r="AJ126" s="352" t="s">
        <v>69</v>
      </c>
      <c r="AK126" s="352" t="s">
        <v>69</v>
      </c>
      <c r="AL126" s="352" t="s">
        <v>69</v>
      </c>
      <c r="AM126" s="352" t="s">
        <v>69</v>
      </c>
      <c r="AN126" s="352" t="s">
        <v>69</v>
      </c>
      <c r="AO126" s="352" t="s">
        <v>69</v>
      </c>
      <c r="AP126" s="352" t="s">
        <v>69</v>
      </c>
      <c r="AQ126" s="352" t="s">
        <v>69</v>
      </c>
      <c r="AR126" s="352" t="s">
        <v>69</v>
      </c>
      <c r="AS126" s="352">
        <v>3</v>
      </c>
      <c r="AT126" s="352">
        <v>3</v>
      </c>
      <c r="AU126" s="352" t="s">
        <v>69</v>
      </c>
      <c r="AV126" s="352">
        <v>3</v>
      </c>
      <c r="AW126" s="352">
        <v>3</v>
      </c>
      <c r="AX126" s="352" t="s">
        <v>69</v>
      </c>
      <c r="AY126" s="352">
        <v>3</v>
      </c>
      <c r="AZ126" s="352" t="s">
        <v>69</v>
      </c>
      <c r="BA126" s="352" t="s">
        <v>69</v>
      </c>
      <c r="BB126" s="352" t="s">
        <v>69</v>
      </c>
      <c r="BC126" s="352" t="s">
        <v>69</v>
      </c>
      <c r="BD126" s="352" t="s">
        <v>69</v>
      </c>
      <c r="BE126" s="352">
        <v>3</v>
      </c>
      <c r="BF126" s="352">
        <v>3</v>
      </c>
      <c r="BG126" s="352" t="s">
        <v>69</v>
      </c>
      <c r="BH126" s="352" t="s">
        <v>69</v>
      </c>
      <c r="BI126" s="352" t="s">
        <v>69</v>
      </c>
      <c r="BJ126" s="352" t="s">
        <v>69</v>
      </c>
      <c r="BK126" s="352" t="s">
        <v>69</v>
      </c>
      <c r="BL126" s="352" t="s">
        <v>69</v>
      </c>
      <c r="BM126" s="352" t="s">
        <v>69</v>
      </c>
      <c r="BN126" s="352" t="s">
        <v>69</v>
      </c>
      <c r="BO126" s="352" t="s">
        <v>69</v>
      </c>
      <c r="BP126" s="352" t="s">
        <v>69</v>
      </c>
      <c r="BQ126" s="352" t="s">
        <v>69</v>
      </c>
      <c r="BR126" s="352" t="s">
        <v>69</v>
      </c>
      <c r="BS126" s="352">
        <v>3</v>
      </c>
      <c r="BT126" s="352">
        <v>3</v>
      </c>
      <c r="BU126" s="352" t="s">
        <v>69</v>
      </c>
      <c r="BV126" s="352" t="s">
        <v>69</v>
      </c>
      <c r="BW126" s="352" t="s">
        <v>69</v>
      </c>
      <c r="BX126" s="352" t="s">
        <v>69</v>
      </c>
      <c r="BY126" s="352" t="s">
        <v>69</v>
      </c>
      <c r="BZ126" s="352" t="s">
        <v>69</v>
      </c>
      <c r="CA126" s="352" t="s">
        <v>69</v>
      </c>
      <c r="CB126" s="352" t="s">
        <v>69</v>
      </c>
      <c r="CC126" s="352" t="s">
        <v>69</v>
      </c>
      <c r="CD126" s="352" t="s">
        <v>69</v>
      </c>
      <c r="CE126" s="352" t="s">
        <v>69</v>
      </c>
      <c r="CF126" s="352" t="s">
        <v>69</v>
      </c>
      <c r="CG126" s="352" t="s">
        <v>69</v>
      </c>
      <c r="CH126" s="352" t="s">
        <v>69</v>
      </c>
      <c r="CI126" s="352" t="s">
        <v>69</v>
      </c>
      <c r="CJ126" s="352" t="s">
        <v>69</v>
      </c>
      <c r="CK126" s="352" t="s">
        <v>69</v>
      </c>
      <c r="CL126" s="352" t="s">
        <v>69</v>
      </c>
      <c r="CM126" s="352" t="s">
        <v>69</v>
      </c>
      <c r="CN126" s="352" t="s">
        <v>69</v>
      </c>
      <c r="CO126" s="352" t="s">
        <v>69</v>
      </c>
      <c r="CP126" s="352" t="s">
        <v>69</v>
      </c>
      <c r="CQ126" s="352" t="s">
        <v>69</v>
      </c>
      <c r="CR126" s="352" t="s">
        <v>69</v>
      </c>
      <c r="CS126" s="352" t="s">
        <v>69</v>
      </c>
      <c r="CT126" s="352" t="s">
        <v>69</v>
      </c>
      <c r="CU126" s="352" t="s">
        <v>69</v>
      </c>
      <c r="CV126" s="352" t="s">
        <v>69</v>
      </c>
      <c r="CW126" s="352" t="s">
        <v>69</v>
      </c>
      <c r="CX126" s="352" t="s">
        <v>69</v>
      </c>
      <c r="CY126" s="352" t="s">
        <v>69</v>
      </c>
      <c r="CZ126" s="352" t="s">
        <v>69</v>
      </c>
      <c r="DA126" s="352" t="s">
        <v>69</v>
      </c>
      <c r="DB126" s="352" t="s">
        <v>69</v>
      </c>
      <c r="DC126" s="352" t="s">
        <v>69</v>
      </c>
      <c r="DD126" s="352" t="s">
        <v>69</v>
      </c>
      <c r="DE126" s="352" t="s">
        <v>69</v>
      </c>
      <c r="DF126" s="352" t="s">
        <v>69</v>
      </c>
      <c r="DG126" s="352" t="s">
        <v>69</v>
      </c>
      <c r="DH126" s="352" t="s">
        <v>69</v>
      </c>
      <c r="DI126" s="352" t="s">
        <v>69</v>
      </c>
      <c r="DJ126" s="352" t="s">
        <v>69</v>
      </c>
      <c r="DK126" s="352" t="s">
        <v>69</v>
      </c>
      <c r="DL126" s="352" t="s">
        <v>69</v>
      </c>
      <c r="DM126" s="352" t="s">
        <v>69</v>
      </c>
      <c r="DN126" s="352" t="s">
        <v>69</v>
      </c>
      <c r="DO126" s="352" t="s">
        <v>69</v>
      </c>
      <c r="DP126" s="352" t="s">
        <v>69</v>
      </c>
      <c r="DQ126" s="352" t="s">
        <v>69</v>
      </c>
      <c r="DR126" s="352" t="s">
        <v>69</v>
      </c>
      <c r="DS126" s="352" t="s">
        <v>69</v>
      </c>
      <c r="DT126" s="352" t="s">
        <v>69</v>
      </c>
      <c r="DU126" s="352" t="s">
        <v>69</v>
      </c>
      <c r="DV126" s="387"/>
      <c r="DW126" s="388"/>
    </row>
    <row r="127" spans="1:128" s="156" customFormat="1" ht="118.5" hidden="1" customHeight="1">
      <c r="A127" s="312">
        <v>112</v>
      </c>
      <c r="B127" s="508" t="s">
        <v>1272</v>
      </c>
      <c r="C127" s="384" t="s">
        <v>1271</v>
      </c>
      <c r="D127" s="376">
        <v>46118</v>
      </c>
      <c r="E127" s="320"/>
      <c r="F127" s="382" t="s">
        <v>633</v>
      </c>
      <c r="G127" s="352">
        <v>3</v>
      </c>
      <c r="H127" s="352" t="s">
        <v>69</v>
      </c>
      <c r="I127" s="352">
        <v>3</v>
      </c>
      <c r="J127" s="352" t="s">
        <v>69</v>
      </c>
      <c r="K127" s="352" t="s">
        <v>69</v>
      </c>
      <c r="L127" s="352" t="s">
        <v>69</v>
      </c>
      <c r="M127" s="352" t="s">
        <v>69</v>
      </c>
      <c r="N127" s="352" t="s">
        <v>69</v>
      </c>
      <c r="O127" s="352" t="s">
        <v>69</v>
      </c>
      <c r="P127" s="352">
        <v>3</v>
      </c>
      <c r="Q127" s="352" t="s">
        <v>69</v>
      </c>
      <c r="R127" s="352" t="s">
        <v>69</v>
      </c>
      <c r="S127" s="352" t="s">
        <v>69</v>
      </c>
      <c r="T127" s="352" t="s">
        <v>69</v>
      </c>
      <c r="U127" s="352" t="s">
        <v>69</v>
      </c>
      <c r="V127" s="352" t="s">
        <v>69</v>
      </c>
      <c r="W127" s="352" t="s">
        <v>69</v>
      </c>
      <c r="X127" s="352" t="s">
        <v>69</v>
      </c>
      <c r="Y127" s="352" t="s">
        <v>69</v>
      </c>
      <c r="Z127" s="352" t="s">
        <v>69</v>
      </c>
      <c r="AA127" s="352" t="s">
        <v>69</v>
      </c>
      <c r="AB127" s="352" t="s">
        <v>69</v>
      </c>
      <c r="AC127" s="352" t="s">
        <v>69</v>
      </c>
      <c r="AD127" s="352" t="s">
        <v>69</v>
      </c>
      <c r="AE127" s="352" t="s">
        <v>69</v>
      </c>
      <c r="AF127" s="352" t="s">
        <v>69</v>
      </c>
      <c r="AG127" s="352" t="s">
        <v>69</v>
      </c>
      <c r="AH127" s="352" t="s">
        <v>69</v>
      </c>
      <c r="AI127" s="352" t="s">
        <v>69</v>
      </c>
      <c r="AJ127" s="352" t="s">
        <v>69</v>
      </c>
      <c r="AK127" s="352" t="s">
        <v>69</v>
      </c>
      <c r="AL127" s="352" t="s">
        <v>69</v>
      </c>
      <c r="AM127" s="352" t="s">
        <v>69</v>
      </c>
      <c r="AN127" s="352" t="s">
        <v>69</v>
      </c>
      <c r="AO127" s="352" t="s">
        <v>69</v>
      </c>
      <c r="AP127" s="352" t="s">
        <v>69</v>
      </c>
      <c r="AQ127" s="352" t="s">
        <v>69</v>
      </c>
      <c r="AR127" s="352" t="s">
        <v>69</v>
      </c>
      <c r="AS127" s="352">
        <v>3</v>
      </c>
      <c r="AT127" s="352">
        <v>3</v>
      </c>
      <c r="AU127" s="352" t="s">
        <v>69</v>
      </c>
      <c r="AV127" s="352">
        <v>3</v>
      </c>
      <c r="AW127" s="352">
        <v>3</v>
      </c>
      <c r="AX127" s="352" t="s">
        <v>69</v>
      </c>
      <c r="AY127" s="352">
        <v>3</v>
      </c>
      <c r="AZ127" s="352">
        <v>3</v>
      </c>
      <c r="BA127" s="352" t="s">
        <v>69</v>
      </c>
      <c r="BB127" s="352" t="s">
        <v>69</v>
      </c>
      <c r="BC127" s="352" t="s">
        <v>69</v>
      </c>
      <c r="BD127" s="352" t="s">
        <v>69</v>
      </c>
      <c r="BE127" s="352">
        <v>2</v>
      </c>
      <c r="BF127" s="352">
        <v>2</v>
      </c>
      <c r="BG127" s="352" t="s">
        <v>69</v>
      </c>
      <c r="BH127" s="352" t="s">
        <v>69</v>
      </c>
      <c r="BI127" s="352" t="s">
        <v>69</v>
      </c>
      <c r="BJ127" s="352" t="s">
        <v>69</v>
      </c>
      <c r="BK127" s="352" t="s">
        <v>69</v>
      </c>
      <c r="BL127" s="352" t="s">
        <v>69</v>
      </c>
      <c r="BM127" s="352" t="s">
        <v>69</v>
      </c>
      <c r="BN127" s="352" t="s">
        <v>69</v>
      </c>
      <c r="BO127" s="352" t="s">
        <v>69</v>
      </c>
      <c r="BP127" s="352" t="s">
        <v>69</v>
      </c>
      <c r="BQ127" s="352" t="s">
        <v>69</v>
      </c>
      <c r="BR127" s="352" t="s">
        <v>69</v>
      </c>
      <c r="BS127" s="352">
        <v>2</v>
      </c>
      <c r="BT127" s="352" t="s">
        <v>69</v>
      </c>
      <c r="BU127" s="352" t="s">
        <v>69</v>
      </c>
      <c r="BV127" s="352" t="s">
        <v>69</v>
      </c>
      <c r="BW127" s="352" t="s">
        <v>69</v>
      </c>
      <c r="BX127" s="352" t="s">
        <v>69</v>
      </c>
      <c r="BY127" s="352" t="s">
        <v>69</v>
      </c>
      <c r="BZ127" s="352" t="s">
        <v>69</v>
      </c>
      <c r="CA127" s="352" t="s">
        <v>69</v>
      </c>
      <c r="CB127" s="352" t="s">
        <v>69</v>
      </c>
      <c r="CC127" s="352" t="s">
        <v>69</v>
      </c>
      <c r="CD127" s="352" t="s">
        <v>69</v>
      </c>
      <c r="CE127" s="352" t="s">
        <v>69</v>
      </c>
      <c r="CF127" s="352" t="s">
        <v>69</v>
      </c>
      <c r="CG127" s="352" t="s">
        <v>69</v>
      </c>
      <c r="CH127" s="352" t="s">
        <v>69</v>
      </c>
      <c r="CI127" s="352" t="s">
        <v>69</v>
      </c>
      <c r="CJ127" s="352" t="s">
        <v>69</v>
      </c>
      <c r="CK127" s="352" t="s">
        <v>69</v>
      </c>
      <c r="CL127" s="352" t="s">
        <v>69</v>
      </c>
      <c r="CM127" s="352" t="s">
        <v>69</v>
      </c>
      <c r="CN127" s="352" t="s">
        <v>69</v>
      </c>
      <c r="CO127" s="352">
        <v>2</v>
      </c>
      <c r="CP127" s="352">
        <v>2</v>
      </c>
      <c r="CQ127" s="352" t="s">
        <v>69</v>
      </c>
      <c r="CR127" s="352" t="s">
        <v>69</v>
      </c>
      <c r="CS127" s="352" t="s">
        <v>69</v>
      </c>
      <c r="CT127" s="352" t="s">
        <v>69</v>
      </c>
      <c r="CU127" s="352" t="s">
        <v>69</v>
      </c>
      <c r="CV127" s="352" t="s">
        <v>69</v>
      </c>
      <c r="CW127" s="352" t="s">
        <v>69</v>
      </c>
      <c r="CX127" s="352" t="s">
        <v>69</v>
      </c>
      <c r="CY127" s="352" t="s">
        <v>69</v>
      </c>
      <c r="CZ127" s="352" t="s">
        <v>69</v>
      </c>
      <c r="DA127" s="352" t="s">
        <v>69</v>
      </c>
      <c r="DB127" s="352" t="s">
        <v>69</v>
      </c>
      <c r="DC127" s="352" t="s">
        <v>69</v>
      </c>
      <c r="DD127" s="352" t="s">
        <v>69</v>
      </c>
      <c r="DE127" s="352" t="s">
        <v>69</v>
      </c>
      <c r="DF127" s="352" t="s">
        <v>69</v>
      </c>
      <c r="DG127" s="352" t="s">
        <v>69</v>
      </c>
      <c r="DH127" s="352" t="s">
        <v>69</v>
      </c>
      <c r="DI127" s="352" t="s">
        <v>69</v>
      </c>
      <c r="DJ127" s="352" t="s">
        <v>69</v>
      </c>
      <c r="DK127" s="352" t="s">
        <v>69</v>
      </c>
      <c r="DL127" s="352" t="s">
        <v>69</v>
      </c>
      <c r="DM127" s="352">
        <v>2</v>
      </c>
      <c r="DN127" s="352" t="s">
        <v>69</v>
      </c>
      <c r="DO127" s="352" t="s">
        <v>69</v>
      </c>
      <c r="DP127" s="352" t="s">
        <v>69</v>
      </c>
      <c r="DQ127" s="352" t="s">
        <v>69</v>
      </c>
      <c r="DR127" s="352" t="s">
        <v>69</v>
      </c>
      <c r="DS127" s="352" t="s">
        <v>69</v>
      </c>
      <c r="DT127" s="352" t="s">
        <v>69</v>
      </c>
      <c r="DU127" s="352" t="s">
        <v>69</v>
      </c>
      <c r="DV127" s="387"/>
      <c r="DW127" s="388"/>
    </row>
    <row r="128" spans="1:128" s="300" customFormat="1" ht="118.5" hidden="1" customHeight="1">
      <c r="A128" s="516">
        <v>113</v>
      </c>
      <c r="B128" s="517" t="s">
        <v>1270</v>
      </c>
      <c r="C128" s="385" t="s">
        <v>1269</v>
      </c>
      <c r="D128" s="376">
        <v>46118</v>
      </c>
      <c r="E128" s="320"/>
      <c r="F128" s="382" t="s">
        <v>633</v>
      </c>
      <c r="G128" s="352" t="s">
        <v>69</v>
      </c>
      <c r="H128" s="352" t="s">
        <v>69</v>
      </c>
      <c r="I128" s="352" t="s">
        <v>69</v>
      </c>
      <c r="J128" s="352" t="s">
        <v>69</v>
      </c>
      <c r="K128" s="352" t="s">
        <v>69</v>
      </c>
      <c r="L128" s="352" t="s">
        <v>69</v>
      </c>
      <c r="M128" s="352" t="s">
        <v>69</v>
      </c>
      <c r="N128" s="352" t="s">
        <v>69</v>
      </c>
      <c r="O128" s="352" t="s">
        <v>69</v>
      </c>
      <c r="P128" s="352" t="s">
        <v>69</v>
      </c>
      <c r="Q128" s="352" t="s">
        <v>69</v>
      </c>
      <c r="R128" s="352" t="s">
        <v>69</v>
      </c>
      <c r="S128" s="352" t="s">
        <v>69</v>
      </c>
      <c r="T128" s="352" t="s">
        <v>69</v>
      </c>
      <c r="U128" s="352" t="s">
        <v>69</v>
      </c>
      <c r="V128" s="352" t="s">
        <v>69</v>
      </c>
      <c r="W128" s="352" t="s">
        <v>69</v>
      </c>
      <c r="X128" s="352" t="s">
        <v>69</v>
      </c>
      <c r="Y128" s="352" t="s">
        <v>69</v>
      </c>
      <c r="Z128" s="352" t="s">
        <v>69</v>
      </c>
      <c r="AA128" s="352" t="s">
        <v>69</v>
      </c>
      <c r="AB128" s="352" t="s">
        <v>69</v>
      </c>
      <c r="AC128" s="352" t="s">
        <v>69</v>
      </c>
      <c r="AD128" s="352" t="s">
        <v>69</v>
      </c>
      <c r="AE128" s="352" t="s">
        <v>69</v>
      </c>
      <c r="AF128" s="352" t="s">
        <v>69</v>
      </c>
      <c r="AG128" s="352" t="s">
        <v>69</v>
      </c>
      <c r="AH128" s="352" t="s">
        <v>69</v>
      </c>
      <c r="AI128" s="352" t="s">
        <v>69</v>
      </c>
      <c r="AJ128" s="352" t="s">
        <v>69</v>
      </c>
      <c r="AK128" s="352" t="s">
        <v>69</v>
      </c>
      <c r="AL128" s="352" t="s">
        <v>69</v>
      </c>
      <c r="AM128" s="352" t="s">
        <v>69</v>
      </c>
      <c r="AN128" s="352" t="s">
        <v>69</v>
      </c>
      <c r="AO128" s="352" t="s">
        <v>69</v>
      </c>
      <c r="AP128" s="352" t="s">
        <v>69</v>
      </c>
      <c r="AQ128" s="352" t="s">
        <v>69</v>
      </c>
      <c r="AR128" s="352" t="s">
        <v>69</v>
      </c>
      <c r="AS128" s="352" t="s">
        <v>69</v>
      </c>
      <c r="AT128" s="352" t="s">
        <v>69</v>
      </c>
      <c r="AU128" s="352" t="s">
        <v>69</v>
      </c>
      <c r="AV128" s="352" t="s">
        <v>69</v>
      </c>
      <c r="AW128" s="352" t="s">
        <v>69</v>
      </c>
      <c r="AX128" s="352" t="s">
        <v>69</v>
      </c>
      <c r="AY128" s="352" t="s">
        <v>69</v>
      </c>
      <c r="AZ128" s="352" t="s">
        <v>69</v>
      </c>
      <c r="BA128" s="352" t="s">
        <v>69</v>
      </c>
      <c r="BB128" s="352" t="s">
        <v>69</v>
      </c>
      <c r="BC128" s="352" t="s">
        <v>69</v>
      </c>
      <c r="BD128" s="352" t="s">
        <v>69</v>
      </c>
      <c r="BE128" s="352" t="s">
        <v>69</v>
      </c>
      <c r="BF128" s="352" t="s">
        <v>69</v>
      </c>
      <c r="BG128" s="352" t="s">
        <v>69</v>
      </c>
      <c r="BH128" s="352" t="s">
        <v>69</v>
      </c>
      <c r="BI128" s="352" t="s">
        <v>69</v>
      </c>
      <c r="BJ128" s="352" t="s">
        <v>69</v>
      </c>
      <c r="BK128" s="352" t="s">
        <v>69</v>
      </c>
      <c r="BL128" s="352" t="s">
        <v>69</v>
      </c>
      <c r="BM128" s="352" t="s">
        <v>69</v>
      </c>
      <c r="BN128" s="352" t="s">
        <v>69</v>
      </c>
      <c r="BO128" s="352" t="s">
        <v>69</v>
      </c>
      <c r="BP128" s="352" t="s">
        <v>69</v>
      </c>
      <c r="BQ128" s="352" t="s">
        <v>69</v>
      </c>
      <c r="BR128" s="352" t="s">
        <v>69</v>
      </c>
      <c r="BS128" s="352" t="s">
        <v>69</v>
      </c>
      <c r="BT128" s="352" t="s">
        <v>69</v>
      </c>
      <c r="BU128" s="352" t="s">
        <v>69</v>
      </c>
      <c r="BV128" s="352" t="s">
        <v>69</v>
      </c>
      <c r="BW128" s="352" t="s">
        <v>69</v>
      </c>
      <c r="BX128" s="352" t="s">
        <v>69</v>
      </c>
      <c r="BY128" s="352" t="s">
        <v>69</v>
      </c>
      <c r="BZ128" s="352" t="s">
        <v>69</v>
      </c>
      <c r="CA128" s="352" t="s">
        <v>69</v>
      </c>
      <c r="CB128" s="352" t="s">
        <v>69</v>
      </c>
      <c r="CC128" s="352" t="s">
        <v>69</v>
      </c>
      <c r="CD128" s="352" t="s">
        <v>69</v>
      </c>
      <c r="CE128" s="352" t="s">
        <v>69</v>
      </c>
      <c r="CF128" s="352" t="s">
        <v>69</v>
      </c>
      <c r="CG128" s="352" t="s">
        <v>69</v>
      </c>
      <c r="CH128" s="352" t="s">
        <v>69</v>
      </c>
      <c r="CI128" s="352" t="s">
        <v>69</v>
      </c>
      <c r="CJ128" s="352" t="s">
        <v>69</v>
      </c>
      <c r="CK128" s="352" t="s">
        <v>69</v>
      </c>
      <c r="CL128" s="352" t="s">
        <v>69</v>
      </c>
      <c r="CM128" s="352" t="s">
        <v>69</v>
      </c>
      <c r="CN128" s="352" t="s">
        <v>69</v>
      </c>
      <c r="CO128" s="352" t="s">
        <v>69</v>
      </c>
      <c r="CP128" s="352" t="s">
        <v>69</v>
      </c>
      <c r="CQ128" s="352" t="s">
        <v>69</v>
      </c>
      <c r="CR128" s="352" t="s">
        <v>69</v>
      </c>
      <c r="CS128" s="352" t="s">
        <v>69</v>
      </c>
      <c r="CT128" s="352" t="s">
        <v>69</v>
      </c>
      <c r="CU128" s="352" t="s">
        <v>69</v>
      </c>
      <c r="CV128" s="352" t="s">
        <v>69</v>
      </c>
      <c r="CW128" s="352" t="s">
        <v>69</v>
      </c>
      <c r="CX128" s="352" t="s">
        <v>69</v>
      </c>
      <c r="CY128" s="352" t="s">
        <v>69</v>
      </c>
      <c r="CZ128" s="352" t="s">
        <v>69</v>
      </c>
      <c r="DA128" s="352" t="s">
        <v>69</v>
      </c>
      <c r="DB128" s="352" t="s">
        <v>69</v>
      </c>
      <c r="DC128" s="352" t="s">
        <v>69</v>
      </c>
      <c r="DD128" s="352" t="s">
        <v>69</v>
      </c>
      <c r="DE128" s="352" t="s">
        <v>69</v>
      </c>
      <c r="DF128" s="352">
        <v>3</v>
      </c>
      <c r="DG128" s="352" t="s">
        <v>69</v>
      </c>
      <c r="DH128" s="352" t="s">
        <v>69</v>
      </c>
      <c r="DI128" s="352" t="s">
        <v>69</v>
      </c>
      <c r="DJ128" s="352" t="s">
        <v>69</v>
      </c>
      <c r="DK128" s="352" t="s">
        <v>69</v>
      </c>
      <c r="DL128" s="352" t="s">
        <v>69</v>
      </c>
      <c r="DM128" s="352" t="s">
        <v>69</v>
      </c>
      <c r="DN128" s="352" t="s">
        <v>69</v>
      </c>
      <c r="DO128" s="352" t="s">
        <v>69</v>
      </c>
      <c r="DP128" s="352" t="s">
        <v>69</v>
      </c>
      <c r="DQ128" s="352" t="s">
        <v>69</v>
      </c>
      <c r="DR128" s="352" t="s">
        <v>69</v>
      </c>
      <c r="DS128" s="352" t="s">
        <v>69</v>
      </c>
      <c r="DT128" s="352" t="s">
        <v>69</v>
      </c>
      <c r="DU128" s="352" t="s">
        <v>69</v>
      </c>
      <c r="DV128" s="387"/>
      <c r="DW128" s="388"/>
    </row>
    <row r="129" spans="1:128" s="156" customFormat="1" ht="118.5" hidden="1" customHeight="1">
      <c r="A129" s="312">
        <v>114</v>
      </c>
      <c r="B129" s="508" t="s">
        <v>1268</v>
      </c>
      <c r="C129" s="384" t="s">
        <v>1267</v>
      </c>
      <c r="D129" s="376">
        <v>46118</v>
      </c>
      <c r="E129" s="320"/>
      <c r="F129" s="382" t="s">
        <v>633</v>
      </c>
      <c r="G129" s="352" t="s">
        <v>69</v>
      </c>
      <c r="H129" s="352">
        <v>3</v>
      </c>
      <c r="I129" s="352" t="s">
        <v>69</v>
      </c>
      <c r="J129" s="352">
        <v>3</v>
      </c>
      <c r="K129" s="352">
        <v>3</v>
      </c>
      <c r="L129" s="352" t="s">
        <v>69</v>
      </c>
      <c r="M129" s="352" t="s">
        <v>69</v>
      </c>
      <c r="N129" s="352" t="s">
        <v>69</v>
      </c>
      <c r="O129" s="352" t="s">
        <v>69</v>
      </c>
      <c r="P129" s="352">
        <v>3</v>
      </c>
      <c r="Q129" s="352" t="s">
        <v>69</v>
      </c>
      <c r="R129" s="352" t="s">
        <v>69</v>
      </c>
      <c r="S129" s="352" t="s">
        <v>69</v>
      </c>
      <c r="T129" s="352" t="s">
        <v>69</v>
      </c>
      <c r="U129" s="352" t="s">
        <v>69</v>
      </c>
      <c r="V129" s="352" t="s">
        <v>69</v>
      </c>
      <c r="W129" s="352" t="s">
        <v>69</v>
      </c>
      <c r="X129" s="352" t="s">
        <v>69</v>
      </c>
      <c r="Y129" s="352" t="s">
        <v>69</v>
      </c>
      <c r="Z129" s="352" t="s">
        <v>69</v>
      </c>
      <c r="AA129" s="352" t="s">
        <v>69</v>
      </c>
      <c r="AB129" s="352" t="s">
        <v>69</v>
      </c>
      <c r="AC129" s="352" t="s">
        <v>69</v>
      </c>
      <c r="AD129" s="352" t="s">
        <v>69</v>
      </c>
      <c r="AE129" s="352" t="s">
        <v>69</v>
      </c>
      <c r="AF129" s="352" t="s">
        <v>69</v>
      </c>
      <c r="AG129" s="352" t="s">
        <v>69</v>
      </c>
      <c r="AH129" s="352" t="s">
        <v>69</v>
      </c>
      <c r="AI129" s="352" t="s">
        <v>69</v>
      </c>
      <c r="AJ129" s="352" t="s">
        <v>69</v>
      </c>
      <c r="AK129" s="352" t="s">
        <v>69</v>
      </c>
      <c r="AL129" s="352" t="s">
        <v>69</v>
      </c>
      <c r="AM129" s="352" t="s">
        <v>69</v>
      </c>
      <c r="AN129" s="352" t="s">
        <v>69</v>
      </c>
      <c r="AO129" s="352" t="s">
        <v>69</v>
      </c>
      <c r="AP129" s="352" t="s">
        <v>69</v>
      </c>
      <c r="AQ129" s="352" t="s">
        <v>69</v>
      </c>
      <c r="AR129" s="352" t="s">
        <v>69</v>
      </c>
      <c r="AS129" s="352">
        <v>3</v>
      </c>
      <c r="AT129" s="352">
        <v>3</v>
      </c>
      <c r="AU129" s="352" t="s">
        <v>69</v>
      </c>
      <c r="AV129" s="352">
        <v>3</v>
      </c>
      <c r="AW129" s="352">
        <v>3</v>
      </c>
      <c r="AX129" s="352" t="s">
        <v>69</v>
      </c>
      <c r="AY129" s="352">
        <v>3</v>
      </c>
      <c r="AZ129" s="352">
        <v>2</v>
      </c>
      <c r="BA129" s="352" t="s">
        <v>69</v>
      </c>
      <c r="BB129" s="352" t="s">
        <v>69</v>
      </c>
      <c r="BC129" s="352" t="s">
        <v>69</v>
      </c>
      <c r="BD129" s="352" t="s">
        <v>69</v>
      </c>
      <c r="BE129" s="352">
        <v>2</v>
      </c>
      <c r="BF129" s="352">
        <v>2</v>
      </c>
      <c r="BG129" s="352" t="s">
        <v>69</v>
      </c>
      <c r="BH129" s="352" t="s">
        <v>69</v>
      </c>
      <c r="BI129" s="352" t="s">
        <v>69</v>
      </c>
      <c r="BJ129" s="352" t="s">
        <v>69</v>
      </c>
      <c r="BK129" s="352" t="s">
        <v>69</v>
      </c>
      <c r="BL129" s="352" t="s">
        <v>69</v>
      </c>
      <c r="BM129" s="352" t="s">
        <v>69</v>
      </c>
      <c r="BN129" s="352" t="s">
        <v>69</v>
      </c>
      <c r="BO129" s="352" t="s">
        <v>69</v>
      </c>
      <c r="BP129" s="352" t="s">
        <v>69</v>
      </c>
      <c r="BQ129" s="352" t="s">
        <v>69</v>
      </c>
      <c r="BR129" s="352" t="s">
        <v>69</v>
      </c>
      <c r="BS129" s="352" t="s">
        <v>69</v>
      </c>
      <c r="BT129" s="352" t="s">
        <v>69</v>
      </c>
      <c r="BU129" s="352" t="s">
        <v>69</v>
      </c>
      <c r="BV129" s="352" t="s">
        <v>69</v>
      </c>
      <c r="BW129" s="352" t="s">
        <v>69</v>
      </c>
      <c r="BX129" s="352" t="s">
        <v>69</v>
      </c>
      <c r="BY129" s="352" t="s">
        <v>69</v>
      </c>
      <c r="BZ129" s="352" t="s">
        <v>69</v>
      </c>
      <c r="CA129" s="352" t="s">
        <v>69</v>
      </c>
      <c r="CB129" s="352" t="s">
        <v>69</v>
      </c>
      <c r="CC129" s="352" t="s">
        <v>69</v>
      </c>
      <c r="CD129" s="352" t="s">
        <v>69</v>
      </c>
      <c r="CE129" s="352" t="s">
        <v>69</v>
      </c>
      <c r="CF129" s="352" t="s">
        <v>69</v>
      </c>
      <c r="CG129" s="352" t="s">
        <v>69</v>
      </c>
      <c r="CH129" s="352" t="s">
        <v>69</v>
      </c>
      <c r="CI129" s="352" t="s">
        <v>69</v>
      </c>
      <c r="CJ129" s="352" t="s">
        <v>69</v>
      </c>
      <c r="CK129" s="352" t="s">
        <v>69</v>
      </c>
      <c r="CL129" s="352" t="s">
        <v>69</v>
      </c>
      <c r="CM129" s="352" t="s">
        <v>69</v>
      </c>
      <c r="CN129" s="352" t="s">
        <v>69</v>
      </c>
      <c r="CO129" s="352" t="s">
        <v>69</v>
      </c>
      <c r="CP129" s="352">
        <v>3</v>
      </c>
      <c r="CQ129" s="352" t="s">
        <v>69</v>
      </c>
      <c r="CR129" s="352" t="s">
        <v>69</v>
      </c>
      <c r="CS129" s="352" t="s">
        <v>69</v>
      </c>
      <c r="CT129" s="352" t="s">
        <v>69</v>
      </c>
      <c r="CU129" s="352" t="s">
        <v>69</v>
      </c>
      <c r="CV129" s="352" t="s">
        <v>69</v>
      </c>
      <c r="CW129" s="352" t="s">
        <v>69</v>
      </c>
      <c r="CX129" s="352" t="s">
        <v>69</v>
      </c>
      <c r="CY129" s="352" t="s">
        <v>69</v>
      </c>
      <c r="CZ129" s="352" t="s">
        <v>69</v>
      </c>
      <c r="DA129" s="352" t="s">
        <v>69</v>
      </c>
      <c r="DB129" s="352" t="s">
        <v>69</v>
      </c>
      <c r="DC129" s="352" t="s">
        <v>69</v>
      </c>
      <c r="DD129" s="352" t="s">
        <v>69</v>
      </c>
      <c r="DE129" s="352" t="s">
        <v>69</v>
      </c>
      <c r="DF129" s="352" t="s">
        <v>69</v>
      </c>
      <c r="DG129" s="352" t="s">
        <v>69</v>
      </c>
      <c r="DH129" s="352" t="s">
        <v>69</v>
      </c>
      <c r="DI129" s="352" t="s">
        <v>69</v>
      </c>
      <c r="DJ129" s="352" t="s">
        <v>69</v>
      </c>
      <c r="DK129" s="352" t="s">
        <v>69</v>
      </c>
      <c r="DL129" s="352" t="s">
        <v>69</v>
      </c>
      <c r="DM129" s="352">
        <v>2</v>
      </c>
      <c r="DN129" s="352">
        <v>2</v>
      </c>
      <c r="DO129" s="352" t="s">
        <v>69</v>
      </c>
      <c r="DP129" s="352" t="s">
        <v>69</v>
      </c>
      <c r="DQ129" s="352" t="s">
        <v>69</v>
      </c>
      <c r="DR129" s="352" t="s">
        <v>69</v>
      </c>
      <c r="DS129" s="352" t="s">
        <v>69</v>
      </c>
      <c r="DT129" s="352" t="s">
        <v>69</v>
      </c>
      <c r="DU129" s="352" t="s">
        <v>69</v>
      </c>
      <c r="DV129" s="387"/>
      <c r="DW129" s="388"/>
    </row>
    <row r="130" spans="1:128" s="300" customFormat="1" ht="118.5" hidden="1" customHeight="1">
      <c r="A130" s="516">
        <v>115</v>
      </c>
      <c r="B130" s="517" t="s">
        <v>1266</v>
      </c>
      <c r="C130" s="385" t="s">
        <v>1265</v>
      </c>
      <c r="D130" s="376">
        <v>46118</v>
      </c>
      <c r="E130" s="320"/>
      <c r="F130" s="382" t="s">
        <v>633</v>
      </c>
      <c r="G130" s="352" t="s">
        <v>69</v>
      </c>
      <c r="H130" s="352" t="s">
        <v>69</v>
      </c>
      <c r="I130" s="352" t="s">
        <v>69</v>
      </c>
      <c r="J130" s="352" t="s">
        <v>69</v>
      </c>
      <c r="K130" s="352" t="s">
        <v>69</v>
      </c>
      <c r="L130" s="352" t="s">
        <v>69</v>
      </c>
      <c r="M130" s="352" t="s">
        <v>69</v>
      </c>
      <c r="N130" s="352" t="s">
        <v>69</v>
      </c>
      <c r="O130" s="352" t="s">
        <v>69</v>
      </c>
      <c r="P130" s="352" t="s">
        <v>69</v>
      </c>
      <c r="Q130" s="352" t="s">
        <v>69</v>
      </c>
      <c r="R130" s="352" t="s">
        <v>69</v>
      </c>
      <c r="S130" s="352" t="s">
        <v>69</v>
      </c>
      <c r="T130" s="352" t="s">
        <v>69</v>
      </c>
      <c r="U130" s="352" t="s">
        <v>69</v>
      </c>
      <c r="V130" s="352" t="s">
        <v>69</v>
      </c>
      <c r="W130" s="352" t="s">
        <v>69</v>
      </c>
      <c r="X130" s="352" t="s">
        <v>69</v>
      </c>
      <c r="Y130" s="352" t="s">
        <v>69</v>
      </c>
      <c r="Z130" s="352" t="s">
        <v>69</v>
      </c>
      <c r="AA130" s="352" t="s">
        <v>69</v>
      </c>
      <c r="AB130" s="352" t="s">
        <v>69</v>
      </c>
      <c r="AC130" s="352" t="s">
        <v>69</v>
      </c>
      <c r="AD130" s="352" t="s">
        <v>69</v>
      </c>
      <c r="AE130" s="352" t="s">
        <v>69</v>
      </c>
      <c r="AF130" s="352" t="s">
        <v>69</v>
      </c>
      <c r="AG130" s="352" t="s">
        <v>69</v>
      </c>
      <c r="AH130" s="352" t="s">
        <v>69</v>
      </c>
      <c r="AI130" s="352" t="s">
        <v>69</v>
      </c>
      <c r="AJ130" s="352" t="s">
        <v>69</v>
      </c>
      <c r="AK130" s="352" t="s">
        <v>69</v>
      </c>
      <c r="AL130" s="352" t="s">
        <v>69</v>
      </c>
      <c r="AM130" s="352" t="s">
        <v>69</v>
      </c>
      <c r="AN130" s="352" t="s">
        <v>69</v>
      </c>
      <c r="AO130" s="352" t="s">
        <v>69</v>
      </c>
      <c r="AP130" s="352" t="s">
        <v>69</v>
      </c>
      <c r="AQ130" s="352" t="s">
        <v>69</v>
      </c>
      <c r="AR130" s="352" t="s">
        <v>69</v>
      </c>
      <c r="AS130" s="352" t="s">
        <v>69</v>
      </c>
      <c r="AT130" s="352" t="s">
        <v>69</v>
      </c>
      <c r="AU130" s="352" t="s">
        <v>69</v>
      </c>
      <c r="AV130" s="352" t="s">
        <v>69</v>
      </c>
      <c r="AW130" s="352" t="s">
        <v>69</v>
      </c>
      <c r="AX130" s="352" t="s">
        <v>69</v>
      </c>
      <c r="AY130" s="352" t="s">
        <v>69</v>
      </c>
      <c r="AZ130" s="352" t="s">
        <v>69</v>
      </c>
      <c r="BA130" s="352" t="s">
        <v>69</v>
      </c>
      <c r="BB130" s="352" t="s">
        <v>69</v>
      </c>
      <c r="BC130" s="352" t="s">
        <v>69</v>
      </c>
      <c r="BD130" s="352" t="s">
        <v>69</v>
      </c>
      <c r="BE130" s="352" t="s">
        <v>69</v>
      </c>
      <c r="BF130" s="352" t="s">
        <v>69</v>
      </c>
      <c r="BG130" s="352" t="s">
        <v>69</v>
      </c>
      <c r="BH130" s="352" t="s">
        <v>69</v>
      </c>
      <c r="BI130" s="352" t="s">
        <v>69</v>
      </c>
      <c r="BJ130" s="352" t="s">
        <v>69</v>
      </c>
      <c r="BK130" s="352" t="s">
        <v>69</v>
      </c>
      <c r="BL130" s="352" t="s">
        <v>69</v>
      </c>
      <c r="BM130" s="352" t="s">
        <v>69</v>
      </c>
      <c r="BN130" s="352" t="s">
        <v>69</v>
      </c>
      <c r="BO130" s="352" t="s">
        <v>69</v>
      </c>
      <c r="BP130" s="352" t="s">
        <v>69</v>
      </c>
      <c r="BQ130" s="352" t="s">
        <v>69</v>
      </c>
      <c r="BR130" s="352" t="s">
        <v>69</v>
      </c>
      <c r="BS130" s="352" t="s">
        <v>69</v>
      </c>
      <c r="BT130" s="352" t="s">
        <v>69</v>
      </c>
      <c r="BU130" s="352" t="s">
        <v>69</v>
      </c>
      <c r="BV130" s="352" t="s">
        <v>69</v>
      </c>
      <c r="BW130" s="352" t="s">
        <v>69</v>
      </c>
      <c r="BX130" s="352" t="s">
        <v>69</v>
      </c>
      <c r="BY130" s="352" t="s">
        <v>69</v>
      </c>
      <c r="BZ130" s="352" t="s">
        <v>69</v>
      </c>
      <c r="CA130" s="352" t="s">
        <v>69</v>
      </c>
      <c r="CB130" s="352" t="s">
        <v>69</v>
      </c>
      <c r="CC130" s="352" t="s">
        <v>69</v>
      </c>
      <c r="CD130" s="352" t="s">
        <v>69</v>
      </c>
      <c r="CE130" s="352" t="s">
        <v>69</v>
      </c>
      <c r="CF130" s="352" t="s">
        <v>69</v>
      </c>
      <c r="CG130" s="352" t="s">
        <v>69</v>
      </c>
      <c r="CH130" s="352" t="s">
        <v>69</v>
      </c>
      <c r="CI130" s="352" t="s">
        <v>69</v>
      </c>
      <c r="CJ130" s="352" t="s">
        <v>69</v>
      </c>
      <c r="CK130" s="352" t="s">
        <v>69</v>
      </c>
      <c r="CL130" s="352" t="s">
        <v>69</v>
      </c>
      <c r="CM130" s="352" t="s">
        <v>69</v>
      </c>
      <c r="CN130" s="352">
        <v>3</v>
      </c>
      <c r="CO130" s="352" t="s">
        <v>69</v>
      </c>
      <c r="CP130" s="352" t="s">
        <v>69</v>
      </c>
      <c r="CQ130" s="352" t="s">
        <v>69</v>
      </c>
      <c r="CR130" s="352" t="s">
        <v>69</v>
      </c>
      <c r="CS130" s="352" t="s">
        <v>69</v>
      </c>
      <c r="CT130" s="352" t="s">
        <v>69</v>
      </c>
      <c r="CU130" s="352" t="s">
        <v>69</v>
      </c>
      <c r="CV130" s="352" t="s">
        <v>69</v>
      </c>
      <c r="CW130" s="352" t="s">
        <v>69</v>
      </c>
      <c r="CX130" s="352" t="s">
        <v>69</v>
      </c>
      <c r="CY130" s="352" t="s">
        <v>69</v>
      </c>
      <c r="CZ130" s="352" t="s">
        <v>69</v>
      </c>
      <c r="DA130" s="352" t="s">
        <v>69</v>
      </c>
      <c r="DB130" s="352" t="s">
        <v>69</v>
      </c>
      <c r="DC130" s="352" t="s">
        <v>69</v>
      </c>
      <c r="DD130" s="352" t="s">
        <v>69</v>
      </c>
      <c r="DE130" s="352" t="s">
        <v>69</v>
      </c>
      <c r="DF130" s="352" t="s">
        <v>69</v>
      </c>
      <c r="DG130" s="352" t="s">
        <v>69</v>
      </c>
      <c r="DH130" s="352" t="s">
        <v>69</v>
      </c>
      <c r="DI130" s="352" t="s">
        <v>69</v>
      </c>
      <c r="DJ130" s="352" t="s">
        <v>69</v>
      </c>
      <c r="DK130" s="352" t="s">
        <v>69</v>
      </c>
      <c r="DL130" s="352" t="s">
        <v>69</v>
      </c>
      <c r="DM130" s="352" t="s">
        <v>69</v>
      </c>
      <c r="DN130" s="352" t="s">
        <v>69</v>
      </c>
      <c r="DO130" s="352" t="s">
        <v>69</v>
      </c>
      <c r="DP130" s="352" t="s">
        <v>69</v>
      </c>
      <c r="DQ130" s="352" t="s">
        <v>69</v>
      </c>
      <c r="DR130" s="352" t="s">
        <v>69</v>
      </c>
      <c r="DS130" s="352" t="s">
        <v>69</v>
      </c>
      <c r="DT130" s="352" t="s">
        <v>69</v>
      </c>
      <c r="DU130" s="352" t="s">
        <v>69</v>
      </c>
      <c r="DV130" s="387"/>
      <c r="DW130" s="388"/>
    </row>
    <row r="131" spans="1:128" s="156" customFormat="1" ht="118.5" hidden="1" customHeight="1">
      <c r="A131" s="312">
        <v>116</v>
      </c>
      <c r="B131" s="508" t="s">
        <v>1264</v>
      </c>
      <c r="C131" s="384" t="s">
        <v>1263</v>
      </c>
      <c r="D131" s="376">
        <v>46127</v>
      </c>
      <c r="E131" s="320" t="s">
        <v>1293</v>
      </c>
      <c r="F131" s="382" t="s">
        <v>633</v>
      </c>
      <c r="G131" s="352" t="s">
        <v>69</v>
      </c>
      <c r="H131" s="352" t="s">
        <v>69</v>
      </c>
      <c r="I131" s="352" t="s">
        <v>69</v>
      </c>
      <c r="J131" s="352" t="s">
        <v>69</v>
      </c>
      <c r="K131" s="352" t="s">
        <v>69</v>
      </c>
      <c r="L131" s="352" t="s">
        <v>69</v>
      </c>
      <c r="M131" s="352" t="s">
        <v>69</v>
      </c>
      <c r="N131" s="352" t="s">
        <v>69</v>
      </c>
      <c r="O131" s="352" t="s">
        <v>69</v>
      </c>
      <c r="P131" s="352" t="s">
        <v>69</v>
      </c>
      <c r="Q131" s="352" t="s">
        <v>69</v>
      </c>
      <c r="R131" s="352" t="s">
        <v>69</v>
      </c>
      <c r="S131" s="352" t="s">
        <v>69</v>
      </c>
      <c r="T131" s="352" t="s">
        <v>69</v>
      </c>
      <c r="U131" s="352" t="s">
        <v>69</v>
      </c>
      <c r="V131" s="352" t="s">
        <v>69</v>
      </c>
      <c r="W131" s="352" t="s">
        <v>69</v>
      </c>
      <c r="X131" s="352" t="s">
        <v>69</v>
      </c>
      <c r="Y131" s="352" t="s">
        <v>69</v>
      </c>
      <c r="Z131" s="352" t="s">
        <v>69</v>
      </c>
      <c r="AA131" s="352" t="s">
        <v>69</v>
      </c>
      <c r="AB131" s="352" t="s">
        <v>69</v>
      </c>
      <c r="AC131" s="352" t="s">
        <v>69</v>
      </c>
      <c r="AD131" s="352" t="s">
        <v>69</v>
      </c>
      <c r="AE131" s="352" t="s">
        <v>69</v>
      </c>
      <c r="AF131" s="352" t="s">
        <v>69</v>
      </c>
      <c r="AG131" s="352" t="s">
        <v>69</v>
      </c>
      <c r="AH131" s="352" t="s">
        <v>69</v>
      </c>
      <c r="AI131" s="352" t="s">
        <v>69</v>
      </c>
      <c r="AJ131" s="352" t="s">
        <v>69</v>
      </c>
      <c r="AK131" s="352" t="s">
        <v>69</v>
      </c>
      <c r="AL131" s="352" t="s">
        <v>69</v>
      </c>
      <c r="AM131" s="352" t="s">
        <v>69</v>
      </c>
      <c r="AN131" s="352" t="s">
        <v>69</v>
      </c>
      <c r="AO131" s="352" t="s">
        <v>69</v>
      </c>
      <c r="AP131" s="352" t="s">
        <v>69</v>
      </c>
      <c r="AQ131" s="352" t="s">
        <v>69</v>
      </c>
      <c r="AR131" s="352" t="s">
        <v>69</v>
      </c>
      <c r="AS131" s="352" t="s">
        <v>69</v>
      </c>
      <c r="AT131" s="352" t="s">
        <v>69</v>
      </c>
      <c r="AU131" s="352" t="s">
        <v>69</v>
      </c>
      <c r="AV131" s="352" t="s">
        <v>69</v>
      </c>
      <c r="AW131" s="352" t="s">
        <v>69</v>
      </c>
      <c r="AX131" s="352" t="s">
        <v>69</v>
      </c>
      <c r="AY131" s="352" t="s">
        <v>69</v>
      </c>
      <c r="AZ131" s="352" t="s">
        <v>69</v>
      </c>
      <c r="BA131" s="352" t="s">
        <v>69</v>
      </c>
      <c r="BB131" s="352" t="s">
        <v>69</v>
      </c>
      <c r="BC131" s="352" t="s">
        <v>69</v>
      </c>
      <c r="BD131" s="352" t="s">
        <v>69</v>
      </c>
      <c r="BE131" s="352" t="s">
        <v>69</v>
      </c>
      <c r="BF131" s="352" t="s">
        <v>69</v>
      </c>
      <c r="BG131" s="352" t="s">
        <v>69</v>
      </c>
      <c r="BH131" s="352" t="s">
        <v>69</v>
      </c>
      <c r="BI131" s="352" t="s">
        <v>69</v>
      </c>
      <c r="BJ131" s="352" t="s">
        <v>69</v>
      </c>
      <c r="BK131" s="352" t="s">
        <v>69</v>
      </c>
      <c r="BL131" s="352" t="s">
        <v>69</v>
      </c>
      <c r="BM131" s="352" t="s">
        <v>69</v>
      </c>
      <c r="BN131" s="352" t="s">
        <v>69</v>
      </c>
      <c r="BO131" s="352" t="s">
        <v>69</v>
      </c>
      <c r="BP131" s="352" t="s">
        <v>69</v>
      </c>
      <c r="BQ131" s="352" t="s">
        <v>69</v>
      </c>
      <c r="BR131" s="352" t="s">
        <v>69</v>
      </c>
      <c r="BS131" s="352" t="s">
        <v>69</v>
      </c>
      <c r="BT131" s="352" t="s">
        <v>69</v>
      </c>
      <c r="BU131" s="352" t="s">
        <v>69</v>
      </c>
      <c r="BV131" s="352" t="s">
        <v>69</v>
      </c>
      <c r="BW131" s="352" t="s">
        <v>69</v>
      </c>
      <c r="BX131" s="352" t="s">
        <v>69</v>
      </c>
      <c r="BY131" s="352" t="s">
        <v>69</v>
      </c>
      <c r="BZ131" s="352">
        <v>1</v>
      </c>
      <c r="CA131" s="352" t="s">
        <v>69</v>
      </c>
      <c r="CB131" s="352" t="s">
        <v>69</v>
      </c>
      <c r="CC131" s="352" t="s">
        <v>69</v>
      </c>
      <c r="CD131" s="352" t="s">
        <v>69</v>
      </c>
      <c r="CE131" s="352" t="s">
        <v>69</v>
      </c>
      <c r="CF131" s="352" t="s">
        <v>69</v>
      </c>
      <c r="CG131" s="352" t="s">
        <v>69</v>
      </c>
      <c r="CH131" s="352" t="s">
        <v>69</v>
      </c>
      <c r="CI131" s="352" t="s">
        <v>69</v>
      </c>
      <c r="CJ131" s="352" t="s">
        <v>69</v>
      </c>
      <c r="CK131" s="352" t="s">
        <v>69</v>
      </c>
      <c r="CL131" s="352" t="s">
        <v>69</v>
      </c>
      <c r="CM131" s="352" t="s">
        <v>69</v>
      </c>
      <c r="CN131" s="352" t="s">
        <v>69</v>
      </c>
      <c r="CO131" s="352" t="s">
        <v>69</v>
      </c>
      <c r="CP131" s="352" t="s">
        <v>69</v>
      </c>
      <c r="CQ131" s="352" t="s">
        <v>69</v>
      </c>
      <c r="CR131" s="352" t="s">
        <v>69</v>
      </c>
      <c r="CS131" s="352" t="s">
        <v>69</v>
      </c>
      <c r="CT131" s="352" t="s">
        <v>69</v>
      </c>
      <c r="CU131" s="352" t="s">
        <v>69</v>
      </c>
      <c r="CV131" s="352" t="s">
        <v>69</v>
      </c>
      <c r="CW131" s="352" t="s">
        <v>69</v>
      </c>
      <c r="CX131" s="352" t="s">
        <v>69</v>
      </c>
      <c r="CY131" s="352" t="s">
        <v>69</v>
      </c>
      <c r="CZ131" s="352" t="s">
        <v>69</v>
      </c>
      <c r="DA131" s="352" t="s">
        <v>69</v>
      </c>
      <c r="DB131" s="352" t="s">
        <v>69</v>
      </c>
      <c r="DC131" s="352" t="s">
        <v>69</v>
      </c>
      <c r="DD131" s="352" t="s">
        <v>69</v>
      </c>
      <c r="DE131" s="352" t="s">
        <v>69</v>
      </c>
      <c r="DF131" s="352" t="s">
        <v>69</v>
      </c>
      <c r="DG131" s="352" t="s">
        <v>69</v>
      </c>
      <c r="DH131" s="352" t="s">
        <v>69</v>
      </c>
      <c r="DI131" s="352" t="s">
        <v>69</v>
      </c>
      <c r="DJ131" s="352" t="s">
        <v>69</v>
      </c>
      <c r="DK131" s="352" t="s">
        <v>69</v>
      </c>
      <c r="DL131" s="352" t="s">
        <v>69</v>
      </c>
      <c r="DM131" s="352" t="s">
        <v>69</v>
      </c>
      <c r="DN131" s="352" t="s">
        <v>69</v>
      </c>
      <c r="DO131" s="352" t="s">
        <v>69</v>
      </c>
      <c r="DP131" s="352" t="s">
        <v>69</v>
      </c>
      <c r="DQ131" s="352" t="s">
        <v>69</v>
      </c>
      <c r="DR131" s="352" t="s">
        <v>69</v>
      </c>
      <c r="DS131" s="352" t="s">
        <v>69</v>
      </c>
      <c r="DT131" s="352" t="s">
        <v>69</v>
      </c>
      <c r="DU131" s="352" t="s">
        <v>69</v>
      </c>
      <c r="DV131" s="387"/>
      <c r="DW131" s="388"/>
    </row>
    <row r="132" spans="1:128" s="300" customFormat="1" ht="118.5" hidden="1" customHeight="1">
      <c r="A132" s="516">
        <v>117</v>
      </c>
      <c r="B132" s="517" t="s">
        <v>1262</v>
      </c>
      <c r="C132" s="385" t="s">
        <v>1261</v>
      </c>
      <c r="D132" s="376">
        <v>46127</v>
      </c>
      <c r="E132" s="320"/>
      <c r="F132" s="382" t="s">
        <v>633</v>
      </c>
      <c r="G132" s="352" t="s">
        <v>69</v>
      </c>
      <c r="H132" s="352" t="s">
        <v>69</v>
      </c>
      <c r="I132" s="352" t="s">
        <v>69</v>
      </c>
      <c r="J132" s="352" t="s">
        <v>69</v>
      </c>
      <c r="K132" s="352" t="s">
        <v>69</v>
      </c>
      <c r="L132" s="352" t="s">
        <v>69</v>
      </c>
      <c r="M132" s="352" t="s">
        <v>69</v>
      </c>
      <c r="N132" s="352" t="s">
        <v>69</v>
      </c>
      <c r="O132" s="352" t="s">
        <v>69</v>
      </c>
      <c r="P132" s="352" t="s">
        <v>69</v>
      </c>
      <c r="Q132" s="352" t="s">
        <v>69</v>
      </c>
      <c r="R132" s="352" t="s">
        <v>69</v>
      </c>
      <c r="S132" s="352" t="s">
        <v>69</v>
      </c>
      <c r="T132" s="352" t="s">
        <v>69</v>
      </c>
      <c r="U132" s="352" t="s">
        <v>69</v>
      </c>
      <c r="V132" s="352" t="s">
        <v>69</v>
      </c>
      <c r="W132" s="352" t="s">
        <v>69</v>
      </c>
      <c r="X132" s="352" t="s">
        <v>69</v>
      </c>
      <c r="Y132" s="352" t="s">
        <v>69</v>
      </c>
      <c r="Z132" s="352" t="s">
        <v>69</v>
      </c>
      <c r="AA132" s="352" t="s">
        <v>69</v>
      </c>
      <c r="AB132" s="352" t="s">
        <v>69</v>
      </c>
      <c r="AC132" s="352" t="s">
        <v>69</v>
      </c>
      <c r="AD132" s="352" t="s">
        <v>69</v>
      </c>
      <c r="AE132" s="352" t="s">
        <v>69</v>
      </c>
      <c r="AF132" s="352" t="s">
        <v>69</v>
      </c>
      <c r="AG132" s="352" t="s">
        <v>69</v>
      </c>
      <c r="AH132" s="352" t="s">
        <v>69</v>
      </c>
      <c r="AI132" s="352" t="s">
        <v>69</v>
      </c>
      <c r="AJ132" s="352" t="s">
        <v>69</v>
      </c>
      <c r="AK132" s="352" t="s">
        <v>69</v>
      </c>
      <c r="AL132" s="352" t="s">
        <v>69</v>
      </c>
      <c r="AM132" s="352" t="s">
        <v>69</v>
      </c>
      <c r="AN132" s="352" t="s">
        <v>69</v>
      </c>
      <c r="AO132" s="352">
        <v>3</v>
      </c>
      <c r="AP132" s="352">
        <v>3</v>
      </c>
      <c r="AQ132" s="352" t="s">
        <v>69</v>
      </c>
      <c r="AR132" s="352" t="s">
        <v>69</v>
      </c>
      <c r="AS132" s="352" t="s">
        <v>69</v>
      </c>
      <c r="AT132" s="352" t="s">
        <v>69</v>
      </c>
      <c r="AU132" s="352" t="s">
        <v>69</v>
      </c>
      <c r="AV132" s="352" t="s">
        <v>69</v>
      </c>
      <c r="AW132" s="352" t="s">
        <v>69</v>
      </c>
      <c r="AX132" s="352" t="s">
        <v>69</v>
      </c>
      <c r="AY132" s="352" t="s">
        <v>69</v>
      </c>
      <c r="AZ132" s="352" t="s">
        <v>69</v>
      </c>
      <c r="BA132" s="352" t="s">
        <v>69</v>
      </c>
      <c r="BB132" s="352" t="s">
        <v>69</v>
      </c>
      <c r="BC132" s="352" t="s">
        <v>69</v>
      </c>
      <c r="BD132" s="352" t="s">
        <v>69</v>
      </c>
      <c r="BE132" s="352" t="s">
        <v>69</v>
      </c>
      <c r="BF132" s="352" t="s">
        <v>69</v>
      </c>
      <c r="BG132" s="352" t="s">
        <v>69</v>
      </c>
      <c r="BH132" s="352" t="s">
        <v>69</v>
      </c>
      <c r="BI132" s="352" t="s">
        <v>69</v>
      </c>
      <c r="BJ132" s="352" t="s">
        <v>69</v>
      </c>
      <c r="BK132" s="352" t="s">
        <v>69</v>
      </c>
      <c r="BL132" s="352" t="s">
        <v>69</v>
      </c>
      <c r="BM132" s="352" t="s">
        <v>69</v>
      </c>
      <c r="BN132" s="352" t="s">
        <v>69</v>
      </c>
      <c r="BO132" s="352" t="s">
        <v>69</v>
      </c>
      <c r="BP132" s="352" t="s">
        <v>69</v>
      </c>
      <c r="BQ132" s="352" t="s">
        <v>69</v>
      </c>
      <c r="BR132" s="352" t="s">
        <v>69</v>
      </c>
      <c r="BS132" s="352" t="s">
        <v>69</v>
      </c>
      <c r="BT132" s="352" t="s">
        <v>69</v>
      </c>
      <c r="BU132" s="352" t="s">
        <v>69</v>
      </c>
      <c r="BV132" s="352" t="s">
        <v>69</v>
      </c>
      <c r="BW132" s="352" t="s">
        <v>69</v>
      </c>
      <c r="BX132" s="352" t="s">
        <v>69</v>
      </c>
      <c r="BY132" s="352" t="s">
        <v>69</v>
      </c>
      <c r="BZ132" s="352" t="s">
        <v>69</v>
      </c>
      <c r="CA132" s="352" t="s">
        <v>69</v>
      </c>
      <c r="CB132" s="352" t="s">
        <v>69</v>
      </c>
      <c r="CC132" s="352" t="s">
        <v>69</v>
      </c>
      <c r="CD132" s="352" t="s">
        <v>69</v>
      </c>
      <c r="CE132" s="352" t="s">
        <v>69</v>
      </c>
      <c r="CF132" s="352" t="s">
        <v>69</v>
      </c>
      <c r="CG132" s="352" t="s">
        <v>69</v>
      </c>
      <c r="CH132" s="352" t="s">
        <v>69</v>
      </c>
      <c r="CI132" s="352" t="s">
        <v>69</v>
      </c>
      <c r="CJ132" s="352" t="s">
        <v>69</v>
      </c>
      <c r="CK132" s="352" t="s">
        <v>69</v>
      </c>
      <c r="CL132" s="352" t="s">
        <v>69</v>
      </c>
      <c r="CM132" s="352" t="s">
        <v>69</v>
      </c>
      <c r="CN132" s="352" t="s">
        <v>69</v>
      </c>
      <c r="CO132" s="352" t="s">
        <v>69</v>
      </c>
      <c r="CP132" s="352" t="s">
        <v>69</v>
      </c>
      <c r="CQ132" s="352" t="s">
        <v>69</v>
      </c>
      <c r="CR132" s="352" t="s">
        <v>69</v>
      </c>
      <c r="CS132" s="352" t="s">
        <v>69</v>
      </c>
      <c r="CT132" s="352" t="s">
        <v>69</v>
      </c>
      <c r="CU132" s="352" t="s">
        <v>69</v>
      </c>
      <c r="CV132" s="352" t="s">
        <v>69</v>
      </c>
      <c r="CW132" s="352" t="s">
        <v>69</v>
      </c>
      <c r="CX132" s="352" t="s">
        <v>69</v>
      </c>
      <c r="CY132" s="352" t="s">
        <v>69</v>
      </c>
      <c r="CZ132" s="352" t="s">
        <v>69</v>
      </c>
      <c r="DA132" s="352" t="s">
        <v>69</v>
      </c>
      <c r="DB132" s="352" t="s">
        <v>69</v>
      </c>
      <c r="DC132" s="352" t="s">
        <v>69</v>
      </c>
      <c r="DD132" s="352" t="s">
        <v>69</v>
      </c>
      <c r="DE132" s="352" t="s">
        <v>69</v>
      </c>
      <c r="DF132" s="352" t="s">
        <v>69</v>
      </c>
      <c r="DG132" s="352" t="s">
        <v>69</v>
      </c>
      <c r="DH132" s="352" t="s">
        <v>69</v>
      </c>
      <c r="DI132" s="352" t="s">
        <v>69</v>
      </c>
      <c r="DJ132" s="352" t="s">
        <v>69</v>
      </c>
      <c r="DK132" s="352" t="s">
        <v>69</v>
      </c>
      <c r="DL132" s="352" t="s">
        <v>69</v>
      </c>
      <c r="DM132" s="352" t="s">
        <v>69</v>
      </c>
      <c r="DN132" s="352" t="s">
        <v>69</v>
      </c>
      <c r="DO132" s="352" t="s">
        <v>69</v>
      </c>
      <c r="DP132" s="352" t="s">
        <v>69</v>
      </c>
      <c r="DQ132" s="352" t="s">
        <v>69</v>
      </c>
      <c r="DR132" s="352" t="s">
        <v>69</v>
      </c>
      <c r="DS132" s="352" t="s">
        <v>69</v>
      </c>
      <c r="DT132" s="352" t="s">
        <v>69</v>
      </c>
      <c r="DU132" s="352" t="s">
        <v>69</v>
      </c>
      <c r="DV132" s="387"/>
      <c r="DW132" s="388"/>
    </row>
    <row r="133" spans="1:128" s="156" customFormat="1" ht="118.5" hidden="1" customHeight="1">
      <c r="A133" s="312">
        <v>118</v>
      </c>
      <c r="B133" s="508" t="s">
        <v>1260</v>
      </c>
      <c r="C133" s="384" t="s">
        <v>1259</v>
      </c>
      <c r="D133" s="376">
        <v>46127</v>
      </c>
      <c r="E133" s="320"/>
      <c r="F133" s="382" t="s">
        <v>633</v>
      </c>
      <c r="G133" s="352">
        <v>3</v>
      </c>
      <c r="H133" s="352" t="s">
        <v>69</v>
      </c>
      <c r="I133" s="352">
        <v>2</v>
      </c>
      <c r="J133" s="352" t="s">
        <v>69</v>
      </c>
      <c r="K133" s="352" t="s">
        <v>69</v>
      </c>
      <c r="L133" s="352" t="s">
        <v>69</v>
      </c>
      <c r="M133" s="352" t="s">
        <v>69</v>
      </c>
      <c r="N133" s="352" t="s">
        <v>69</v>
      </c>
      <c r="O133" s="352" t="s">
        <v>69</v>
      </c>
      <c r="P133" s="352" t="s">
        <v>69</v>
      </c>
      <c r="Q133" s="352" t="s">
        <v>69</v>
      </c>
      <c r="R133" s="352" t="s">
        <v>69</v>
      </c>
      <c r="S133" s="352" t="s">
        <v>69</v>
      </c>
      <c r="T133" s="352" t="s">
        <v>69</v>
      </c>
      <c r="U133" s="352" t="s">
        <v>69</v>
      </c>
      <c r="V133" s="352" t="s">
        <v>69</v>
      </c>
      <c r="W133" s="352" t="s">
        <v>69</v>
      </c>
      <c r="X133" s="352" t="s">
        <v>69</v>
      </c>
      <c r="Y133" s="352" t="s">
        <v>69</v>
      </c>
      <c r="Z133" s="352" t="s">
        <v>69</v>
      </c>
      <c r="AA133" s="352" t="s">
        <v>69</v>
      </c>
      <c r="AB133" s="352" t="s">
        <v>69</v>
      </c>
      <c r="AC133" s="352" t="s">
        <v>69</v>
      </c>
      <c r="AD133" s="352" t="s">
        <v>69</v>
      </c>
      <c r="AE133" s="352" t="s">
        <v>69</v>
      </c>
      <c r="AF133" s="352" t="s">
        <v>69</v>
      </c>
      <c r="AG133" s="352" t="s">
        <v>69</v>
      </c>
      <c r="AH133" s="352" t="s">
        <v>69</v>
      </c>
      <c r="AI133" s="352" t="s">
        <v>69</v>
      </c>
      <c r="AJ133" s="352" t="s">
        <v>69</v>
      </c>
      <c r="AK133" s="352" t="s">
        <v>69</v>
      </c>
      <c r="AL133" s="352" t="s">
        <v>69</v>
      </c>
      <c r="AM133" s="352" t="s">
        <v>69</v>
      </c>
      <c r="AN133" s="352" t="s">
        <v>69</v>
      </c>
      <c r="AO133" s="352" t="s">
        <v>69</v>
      </c>
      <c r="AP133" s="352" t="s">
        <v>69</v>
      </c>
      <c r="AQ133" s="352" t="s">
        <v>69</v>
      </c>
      <c r="AR133" s="352" t="s">
        <v>69</v>
      </c>
      <c r="AS133" s="352" t="s">
        <v>69</v>
      </c>
      <c r="AT133" s="352" t="s">
        <v>69</v>
      </c>
      <c r="AU133" s="352" t="s">
        <v>69</v>
      </c>
      <c r="AV133" s="352" t="s">
        <v>69</v>
      </c>
      <c r="AW133" s="352" t="s">
        <v>69</v>
      </c>
      <c r="AX133" s="352" t="s">
        <v>69</v>
      </c>
      <c r="AY133" s="352" t="s">
        <v>69</v>
      </c>
      <c r="AZ133" s="352" t="s">
        <v>69</v>
      </c>
      <c r="BA133" s="352" t="s">
        <v>69</v>
      </c>
      <c r="BB133" s="352" t="s">
        <v>69</v>
      </c>
      <c r="BC133" s="352" t="s">
        <v>69</v>
      </c>
      <c r="BD133" s="352" t="s">
        <v>69</v>
      </c>
      <c r="BE133" s="352" t="s">
        <v>69</v>
      </c>
      <c r="BF133" s="352" t="s">
        <v>69</v>
      </c>
      <c r="BG133" s="352" t="s">
        <v>69</v>
      </c>
      <c r="BH133" s="352" t="s">
        <v>69</v>
      </c>
      <c r="BI133" s="352" t="s">
        <v>69</v>
      </c>
      <c r="BJ133" s="352" t="s">
        <v>69</v>
      </c>
      <c r="BK133" s="352" t="s">
        <v>69</v>
      </c>
      <c r="BL133" s="352" t="s">
        <v>69</v>
      </c>
      <c r="BM133" s="352" t="s">
        <v>69</v>
      </c>
      <c r="BN133" s="352" t="s">
        <v>69</v>
      </c>
      <c r="BO133" s="352" t="s">
        <v>69</v>
      </c>
      <c r="BP133" s="352" t="s">
        <v>69</v>
      </c>
      <c r="BQ133" s="352" t="s">
        <v>69</v>
      </c>
      <c r="BR133" s="352" t="s">
        <v>69</v>
      </c>
      <c r="BS133" s="352" t="s">
        <v>69</v>
      </c>
      <c r="BT133" s="352" t="s">
        <v>69</v>
      </c>
      <c r="BU133" s="352" t="s">
        <v>69</v>
      </c>
      <c r="BV133" s="352" t="s">
        <v>69</v>
      </c>
      <c r="BW133" s="352" t="s">
        <v>69</v>
      </c>
      <c r="BX133" s="352" t="s">
        <v>69</v>
      </c>
      <c r="BY133" s="352" t="s">
        <v>69</v>
      </c>
      <c r="BZ133" s="352" t="s">
        <v>69</v>
      </c>
      <c r="CA133" s="352" t="s">
        <v>69</v>
      </c>
      <c r="CB133" s="352" t="s">
        <v>69</v>
      </c>
      <c r="CC133" s="352" t="s">
        <v>69</v>
      </c>
      <c r="CD133" s="352" t="s">
        <v>69</v>
      </c>
      <c r="CE133" s="352" t="s">
        <v>69</v>
      </c>
      <c r="CF133" s="352" t="s">
        <v>69</v>
      </c>
      <c r="CG133" s="352" t="s">
        <v>69</v>
      </c>
      <c r="CH133" s="352" t="s">
        <v>69</v>
      </c>
      <c r="CI133" s="352">
        <v>3</v>
      </c>
      <c r="CJ133" s="352">
        <v>3</v>
      </c>
      <c r="CK133" s="352">
        <v>2</v>
      </c>
      <c r="CL133" s="352">
        <v>2</v>
      </c>
      <c r="CM133" s="352" t="s">
        <v>69</v>
      </c>
      <c r="CN133" s="352" t="s">
        <v>69</v>
      </c>
      <c r="CO133" s="352" t="s">
        <v>69</v>
      </c>
      <c r="CP133" s="352" t="s">
        <v>69</v>
      </c>
      <c r="CQ133" s="352" t="s">
        <v>69</v>
      </c>
      <c r="CR133" s="352" t="s">
        <v>69</v>
      </c>
      <c r="CS133" s="352" t="s">
        <v>69</v>
      </c>
      <c r="CT133" s="352" t="s">
        <v>69</v>
      </c>
      <c r="CU133" s="352" t="s">
        <v>69</v>
      </c>
      <c r="CV133" s="352" t="s">
        <v>69</v>
      </c>
      <c r="CW133" s="352" t="s">
        <v>69</v>
      </c>
      <c r="CX133" s="352" t="s">
        <v>69</v>
      </c>
      <c r="CY133" s="352" t="s">
        <v>69</v>
      </c>
      <c r="CZ133" s="352" t="s">
        <v>69</v>
      </c>
      <c r="DA133" s="352" t="s">
        <v>69</v>
      </c>
      <c r="DB133" s="352" t="s">
        <v>69</v>
      </c>
      <c r="DC133" s="352" t="s">
        <v>69</v>
      </c>
      <c r="DD133" s="352" t="s">
        <v>69</v>
      </c>
      <c r="DE133" s="352" t="s">
        <v>69</v>
      </c>
      <c r="DF133" s="352" t="s">
        <v>69</v>
      </c>
      <c r="DG133" s="352" t="s">
        <v>69</v>
      </c>
      <c r="DH133" s="352" t="s">
        <v>69</v>
      </c>
      <c r="DI133" s="352" t="s">
        <v>69</v>
      </c>
      <c r="DJ133" s="352" t="s">
        <v>69</v>
      </c>
      <c r="DK133" s="352" t="s">
        <v>69</v>
      </c>
      <c r="DL133" s="352" t="s">
        <v>69</v>
      </c>
      <c r="DM133" s="352" t="s">
        <v>69</v>
      </c>
      <c r="DN133" s="352" t="s">
        <v>69</v>
      </c>
      <c r="DO133" s="352" t="s">
        <v>69</v>
      </c>
      <c r="DP133" s="352" t="s">
        <v>69</v>
      </c>
      <c r="DQ133" s="352" t="s">
        <v>69</v>
      </c>
      <c r="DR133" s="352" t="s">
        <v>69</v>
      </c>
      <c r="DS133" s="352" t="s">
        <v>69</v>
      </c>
      <c r="DT133" s="352" t="s">
        <v>69</v>
      </c>
      <c r="DU133" s="352" t="s">
        <v>69</v>
      </c>
      <c r="DV133" s="387"/>
      <c r="DW133" s="388"/>
    </row>
    <row r="134" spans="1:128" s="300" customFormat="1" ht="121.5" hidden="1" customHeight="1">
      <c r="A134" s="516">
        <v>119</v>
      </c>
      <c r="B134" s="517" t="s">
        <v>1258</v>
      </c>
      <c r="C134" s="385" t="s">
        <v>1257</v>
      </c>
      <c r="D134" s="376">
        <v>46127</v>
      </c>
      <c r="E134" s="320"/>
      <c r="F134" s="382" t="s">
        <v>633</v>
      </c>
      <c r="G134" s="352" t="s">
        <v>69</v>
      </c>
      <c r="H134" s="352" t="s">
        <v>69</v>
      </c>
      <c r="I134" s="352" t="s">
        <v>69</v>
      </c>
      <c r="J134" s="352" t="s">
        <v>69</v>
      </c>
      <c r="K134" s="352" t="s">
        <v>69</v>
      </c>
      <c r="L134" s="352" t="s">
        <v>69</v>
      </c>
      <c r="M134" s="352" t="s">
        <v>69</v>
      </c>
      <c r="N134" s="352" t="s">
        <v>69</v>
      </c>
      <c r="O134" s="352" t="s">
        <v>69</v>
      </c>
      <c r="P134" s="352" t="s">
        <v>69</v>
      </c>
      <c r="Q134" s="352" t="s">
        <v>69</v>
      </c>
      <c r="R134" s="352" t="s">
        <v>69</v>
      </c>
      <c r="S134" s="352" t="s">
        <v>69</v>
      </c>
      <c r="T134" s="352" t="s">
        <v>69</v>
      </c>
      <c r="U134" s="352" t="s">
        <v>69</v>
      </c>
      <c r="V134" s="352" t="s">
        <v>69</v>
      </c>
      <c r="W134" s="352" t="s">
        <v>69</v>
      </c>
      <c r="X134" s="352" t="s">
        <v>69</v>
      </c>
      <c r="Y134" s="352" t="s">
        <v>69</v>
      </c>
      <c r="Z134" s="352" t="s">
        <v>69</v>
      </c>
      <c r="AA134" s="352" t="s">
        <v>69</v>
      </c>
      <c r="AB134" s="352" t="s">
        <v>69</v>
      </c>
      <c r="AC134" s="352" t="s">
        <v>69</v>
      </c>
      <c r="AD134" s="352" t="s">
        <v>69</v>
      </c>
      <c r="AE134" s="352" t="s">
        <v>69</v>
      </c>
      <c r="AF134" s="352" t="s">
        <v>69</v>
      </c>
      <c r="AG134" s="352" t="s">
        <v>69</v>
      </c>
      <c r="AH134" s="352" t="s">
        <v>69</v>
      </c>
      <c r="AI134" s="352" t="s">
        <v>69</v>
      </c>
      <c r="AJ134" s="352" t="s">
        <v>69</v>
      </c>
      <c r="AK134" s="352" t="s">
        <v>69</v>
      </c>
      <c r="AL134" s="352" t="s">
        <v>69</v>
      </c>
      <c r="AM134" s="352" t="s">
        <v>69</v>
      </c>
      <c r="AN134" s="352" t="s">
        <v>69</v>
      </c>
      <c r="AO134" s="352" t="s">
        <v>69</v>
      </c>
      <c r="AP134" s="352" t="s">
        <v>69</v>
      </c>
      <c r="AQ134" s="352" t="s">
        <v>69</v>
      </c>
      <c r="AR134" s="352" t="s">
        <v>69</v>
      </c>
      <c r="AS134" s="352" t="s">
        <v>69</v>
      </c>
      <c r="AT134" s="352" t="s">
        <v>69</v>
      </c>
      <c r="AU134" s="352" t="s">
        <v>69</v>
      </c>
      <c r="AV134" s="352" t="s">
        <v>69</v>
      </c>
      <c r="AW134" s="352" t="s">
        <v>69</v>
      </c>
      <c r="AX134" s="352" t="s">
        <v>69</v>
      </c>
      <c r="AY134" s="352" t="s">
        <v>69</v>
      </c>
      <c r="AZ134" s="352" t="s">
        <v>69</v>
      </c>
      <c r="BA134" s="352" t="s">
        <v>69</v>
      </c>
      <c r="BB134" s="352" t="s">
        <v>69</v>
      </c>
      <c r="BC134" s="352" t="s">
        <v>69</v>
      </c>
      <c r="BD134" s="352" t="s">
        <v>69</v>
      </c>
      <c r="BE134" s="352" t="s">
        <v>69</v>
      </c>
      <c r="BF134" s="352" t="s">
        <v>69</v>
      </c>
      <c r="BG134" s="352" t="s">
        <v>69</v>
      </c>
      <c r="BH134" s="352" t="s">
        <v>69</v>
      </c>
      <c r="BI134" s="352" t="s">
        <v>69</v>
      </c>
      <c r="BJ134" s="352" t="s">
        <v>69</v>
      </c>
      <c r="BK134" s="352" t="s">
        <v>69</v>
      </c>
      <c r="BL134" s="352" t="s">
        <v>69</v>
      </c>
      <c r="BM134" s="352" t="s">
        <v>69</v>
      </c>
      <c r="BN134" s="352" t="s">
        <v>69</v>
      </c>
      <c r="BO134" s="352" t="s">
        <v>69</v>
      </c>
      <c r="BP134" s="352" t="s">
        <v>69</v>
      </c>
      <c r="BQ134" s="352" t="s">
        <v>69</v>
      </c>
      <c r="BR134" s="352" t="s">
        <v>69</v>
      </c>
      <c r="BS134" s="352" t="s">
        <v>69</v>
      </c>
      <c r="BT134" s="352" t="s">
        <v>69</v>
      </c>
      <c r="BU134" s="352" t="s">
        <v>69</v>
      </c>
      <c r="BV134" s="352" t="s">
        <v>69</v>
      </c>
      <c r="BW134" s="352" t="s">
        <v>69</v>
      </c>
      <c r="BX134" s="352" t="s">
        <v>69</v>
      </c>
      <c r="BY134" s="352" t="s">
        <v>69</v>
      </c>
      <c r="BZ134" s="352" t="s">
        <v>69</v>
      </c>
      <c r="CA134" s="352" t="s">
        <v>69</v>
      </c>
      <c r="CB134" s="352" t="s">
        <v>69</v>
      </c>
      <c r="CC134" s="352" t="s">
        <v>69</v>
      </c>
      <c r="CD134" s="352" t="s">
        <v>69</v>
      </c>
      <c r="CE134" s="352" t="s">
        <v>69</v>
      </c>
      <c r="CF134" s="352" t="s">
        <v>69</v>
      </c>
      <c r="CG134" s="352" t="s">
        <v>69</v>
      </c>
      <c r="CH134" s="352" t="s">
        <v>69</v>
      </c>
      <c r="CI134" s="352" t="s">
        <v>69</v>
      </c>
      <c r="CJ134" s="352" t="s">
        <v>69</v>
      </c>
      <c r="CK134" s="352" t="s">
        <v>69</v>
      </c>
      <c r="CL134" s="352" t="s">
        <v>69</v>
      </c>
      <c r="CM134" s="352" t="s">
        <v>69</v>
      </c>
      <c r="CN134" s="352">
        <v>3</v>
      </c>
      <c r="CO134" s="352" t="s">
        <v>69</v>
      </c>
      <c r="CP134" s="352" t="s">
        <v>69</v>
      </c>
      <c r="CQ134" s="352" t="s">
        <v>69</v>
      </c>
      <c r="CR134" s="352" t="s">
        <v>69</v>
      </c>
      <c r="CS134" s="352" t="s">
        <v>69</v>
      </c>
      <c r="CT134" s="352" t="s">
        <v>69</v>
      </c>
      <c r="CU134" s="352" t="s">
        <v>69</v>
      </c>
      <c r="CV134" s="352" t="s">
        <v>69</v>
      </c>
      <c r="CW134" s="352" t="s">
        <v>69</v>
      </c>
      <c r="CX134" s="352" t="s">
        <v>69</v>
      </c>
      <c r="CY134" s="352" t="s">
        <v>69</v>
      </c>
      <c r="CZ134" s="352" t="s">
        <v>69</v>
      </c>
      <c r="DA134" s="352" t="s">
        <v>69</v>
      </c>
      <c r="DB134" s="352" t="s">
        <v>69</v>
      </c>
      <c r="DC134" s="352" t="s">
        <v>69</v>
      </c>
      <c r="DD134" s="352" t="s">
        <v>69</v>
      </c>
      <c r="DE134" s="352" t="s">
        <v>69</v>
      </c>
      <c r="DF134" s="352" t="s">
        <v>69</v>
      </c>
      <c r="DG134" s="352" t="s">
        <v>69</v>
      </c>
      <c r="DH134" s="352" t="s">
        <v>69</v>
      </c>
      <c r="DI134" s="352" t="s">
        <v>69</v>
      </c>
      <c r="DJ134" s="352" t="s">
        <v>69</v>
      </c>
      <c r="DK134" s="352" t="s">
        <v>69</v>
      </c>
      <c r="DL134" s="352" t="s">
        <v>69</v>
      </c>
      <c r="DM134" s="352" t="s">
        <v>69</v>
      </c>
      <c r="DN134" s="352" t="s">
        <v>69</v>
      </c>
      <c r="DO134" s="352" t="s">
        <v>69</v>
      </c>
      <c r="DP134" s="352" t="s">
        <v>69</v>
      </c>
      <c r="DQ134" s="352" t="s">
        <v>69</v>
      </c>
      <c r="DR134" s="352" t="s">
        <v>69</v>
      </c>
      <c r="DS134" s="352" t="s">
        <v>69</v>
      </c>
      <c r="DT134" s="352" t="s">
        <v>69</v>
      </c>
      <c r="DU134" s="352" t="s">
        <v>69</v>
      </c>
      <c r="DV134" s="387"/>
      <c r="DW134" s="388"/>
    </row>
    <row r="135" spans="1:128" s="156" customFormat="1" ht="118.5" hidden="1" customHeight="1">
      <c r="A135" s="312">
        <v>120</v>
      </c>
      <c r="B135" s="508" t="s">
        <v>1256</v>
      </c>
      <c r="C135" s="384" t="s">
        <v>1255</v>
      </c>
      <c r="D135" s="376">
        <v>46127</v>
      </c>
      <c r="E135" s="320"/>
      <c r="F135" s="382" t="s">
        <v>633</v>
      </c>
      <c r="G135" s="352">
        <v>3</v>
      </c>
      <c r="H135" s="352" t="s">
        <v>69</v>
      </c>
      <c r="I135" s="352">
        <v>3</v>
      </c>
      <c r="J135" s="352">
        <v>3</v>
      </c>
      <c r="K135" s="352" t="s">
        <v>69</v>
      </c>
      <c r="L135" s="352" t="s">
        <v>69</v>
      </c>
      <c r="M135" s="352" t="s">
        <v>69</v>
      </c>
      <c r="N135" s="352" t="s">
        <v>69</v>
      </c>
      <c r="O135" s="352" t="s">
        <v>69</v>
      </c>
      <c r="P135" s="352">
        <v>3</v>
      </c>
      <c r="Q135" s="352" t="s">
        <v>69</v>
      </c>
      <c r="R135" s="352" t="s">
        <v>69</v>
      </c>
      <c r="S135" s="352" t="s">
        <v>69</v>
      </c>
      <c r="T135" s="352" t="s">
        <v>69</v>
      </c>
      <c r="U135" s="352" t="s">
        <v>69</v>
      </c>
      <c r="V135" s="352" t="s">
        <v>69</v>
      </c>
      <c r="W135" s="352" t="s">
        <v>69</v>
      </c>
      <c r="X135" s="352" t="s">
        <v>69</v>
      </c>
      <c r="Y135" s="352" t="s">
        <v>69</v>
      </c>
      <c r="Z135" s="352" t="s">
        <v>69</v>
      </c>
      <c r="AA135" s="352" t="s">
        <v>69</v>
      </c>
      <c r="AB135" s="352" t="s">
        <v>69</v>
      </c>
      <c r="AC135" s="352" t="s">
        <v>69</v>
      </c>
      <c r="AD135" s="352" t="s">
        <v>69</v>
      </c>
      <c r="AE135" s="352" t="s">
        <v>69</v>
      </c>
      <c r="AF135" s="352" t="s">
        <v>69</v>
      </c>
      <c r="AG135" s="352" t="s">
        <v>69</v>
      </c>
      <c r="AH135" s="352" t="s">
        <v>69</v>
      </c>
      <c r="AI135" s="352" t="s">
        <v>69</v>
      </c>
      <c r="AJ135" s="352" t="s">
        <v>69</v>
      </c>
      <c r="AK135" s="352" t="s">
        <v>69</v>
      </c>
      <c r="AL135" s="352" t="s">
        <v>69</v>
      </c>
      <c r="AM135" s="352" t="s">
        <v>69</v>
      </c>
      <c r="AN135" s="352" t="s">
        <v>69</v>
      </c>
      <c r="AO135" s="352" t="s">
        <v>69</v>
      </c>
      <c r="AP135" s="352" t="s">
        <v>69</v>
      </c>
      <c r="AQ135" s="352" t="s">
        <v>69</v>
      </c>
      <c r="AR135" s="352" t="s">
        <v>69</v>
      </c>
      <c r="AS135" s="352">
        <v>3</v>
      </c>
      <c r="AT135" s="352">
        <v>3</v>
      </c>
      <c r="AU135" s="352" t="s">
        <v>69</v>
      </c>
      <c r="AV135" s="352">
        <v>3</v>
      </c>
      <c r="AW135" s="352">
        <v>3</v>
      </c>
      <c r="AX135" s="352" t="s">
        <v>69</v>
      </c>
      <c r="AY135" s="352">
        <v>3</v>
      </c>
      <c r="AZ135" s="352">
        <v>2</v>
      </c>
      <c r="BA135" s="352" t="s">
        <v>69</v>
      </c>
      <c r="BB135" s="352" t="s">
        <v>69</v>
      </c>
      <c r="BC135" s="352" t="s">
        <v>69</v>
      </c>
      <c r="BD135" s="352" t="s">
        <v>69</v>
      </c>
      <c r="BE135" s="352">
        <v>2</v>
      </c>
      <c r="BF135" s="352">
        <v>2</v>
      </c>
      <c r="BG135" s="352" t="s">
        <v>69</v>
      </c>
      <c r="BH135" s="352" t="s">
        <v>69</v>
      </c>
      <c r="BI135" s="352" t="s">
        <v>69</v>
      </c>
      <c r="BJ135" s="352" t="s">
        <v>69</v>
      </c>
      <c r="BK135" s="352" t="s">
        <v>69</v>
      </c>
      <c r="BL135" s="352" t="s">
        <v>69</v>
      </c>
      <c r="BM135" s="352" t="s">
        <v>69</v>
      </c>
      <c r="BN135" s="352" t="s">
        <v>69</v>
      </c>
      <c r="BO135" s="352" t="s">
        <v>69</v>
      </c>
      <c r="BP135" s="352" t="s">
        <v>69</v>
      </c>
      <c r="BQ135" s="352" t="s">
        <v>69</v>
      </c>
      <c r="BR135" s="352" t="s">
        <v>69</v>
      </c>
      <c r="BS135" s="352">
        <v>2</v>
      </c>
      <c r="BT135" s="352" t="s">
        <v>69</v>
      </c>
      <c r="BU135" s="352" t="s">
        <v>69</v>
      </c>
      <c r="BV135" s="352" t="s">
        <v>69</v>
      </c>
      <c r="BW135" s="352" t="s">
        <v>69</v>
      </c>
      <c r="BX135" s="352" t="s">
        <v>69</v>
      </c>
      <c r="BY135" s="352" t="s">
        <v>69</v>
      </c>
      <c r="BZ135" s="352" t="s">
        <v>69</v>
      </c>
      <c r="CA135" s="352" t="s">
        <v>69</v>
      </c>
      <c r="CB135" s="352" t="s">
        <v>69</v>
      </c>
      <c r="CC135" s="352" t="s">
        <v>69</v>
      </c>
      <c r="CD135" s="352" t="s">
        <v>69</v>
      </c>
      <c r="CE135" s="352" t="s">
        <v>69</v>
      </c>
      <c r="CF135" s="352" t="s">
        <v>69</v>
      </c>
      <c r="CG135" s="352" t="s">
        <v>69</v>
      </c>
      <c r="CH135" s="352" t="s">
        <v>69</v>
      </c>
      <c r="CI135" s="352" t="s">
        <v>69</v>
      </c>
      <c r="CJ135" s="352" t="s">
        <v>69</v>
      </c>
      <c r="CK135" s="352" t="s">
        <v>69</v>
      </c>
      <c r="CL135" s="352" t="s">
        <v>69</v>
      </c>
      <c r="CM135" s="352" t="s">
        <v>69</v>
      </c>
      <c r="CN135" s="352" t="s">
        <v>69</v>
      </c>
      <c r="CO135" s="352" t="s">
        <v>69</v>
      </c>
      <c r="CP135" s="352" t="s">
        <v>69</v>
      </c>
      <c r="CQ135" s="352" t="s">
        <v>69</v>
      </c>
      <c r="CR135" s="352" t="s">
        <v>69</v>
      </c>
      <c r="CS135" s="352" t="s">
        <v>69</v>
      </c>
      <c r="CT135" s="352" t="s">
        <v>69</v>
      </c>
      <c r="CU135" s="352" t="s">
        <v>69</v>
      </c>
      <c r="CV135" s="352" t="s">
        <v>69</v>
      </c>
      <c r="CW135" s="352" t="s">
        <v>69</v>
      </c>
      <c r="CX135" s="352" t="s">
        <v>69</v>
      </c>
      <c r="CY135" s="352" t="s">
        <v>69</v>
      </c>
      <c r="CZ135" s="352" t="s">
        <v>69</v>
      </c>
      <c r="DA135" s="352" t="s">
        <v>69</v>
      </c>
      <c r="DB135" s="352" t="s">
        <v>69</v>
      </c>
      <c r="DC135" s="352" t="s">
        <v>69</v>
      </c>
      <c r="DD135" s="352" t="s">
        <v>69</v>
      </c>
      <c r="DE135" s="352" t="s">
        <v>69</v>
      </c>
      <c r="DF135" s="352" t="s">
        <v>69</v>
      </c>
      <c r="DG135" s="352" t="s">
        <v>69</v>
      </c>
      <c r="DH135" s="352" t="s">
        <v>69</v>
      </c>
      <c r="DI135" s="352" t="s">
        <v>69</v>
      </c>
      <c r="DJ135" s="352" t="s">
        <v>69</v>
      </c>
      <c r="DK135" s="352" t="s">
        <v>69</v>
      </c>
      <c r="DL135" s="352">
        <v>2</v>
      </c>
      <c r="DM135" s="352">
        <v>2</v>
      </c>
      <c r="DN135" s="352" t="s">
        <v>69</v>
      </c>
      <c r="DO135" s="352" t="s">
        <v>69</v>
      </c>
      <c r="DP135" s="352" t="s">
        <v>69</v>
      </c>
      <c r="DQ135" s="352" t="s">
        <v>69</v>
      </c>
      <c r="DR135" s="352" t="s">
        <v>69</v>
      </c>
      <c r="DS135" s="352" t="s">
        <v>69</v>
      </c>
      <c r="DT135" s="352" t="s">
        <v>69</v>
      </c>
      <c r="DU135" s="352" t="s">
        <v>69</v>
      </c>
      <c r="DV135" s="387"/>
      <c r="DW135" s="388"/>
    </row>
    <row r="136" spans="1:128" s="156" customFormat="1" ht="118.5" customHeight="1">
      <c r="A136" s="312">
        <v>121</v>
      </c>
      <c r="B136" s="508" t="s">
        <v>1254</v>
      </c>
      <c r="C136" s="384" t="s">
        <v>1253</v>
      </c>
      <c r="D136" s="376">
        <v>46127</v>
      </c>
      <c r="E136" s="320"/>
      <c r="F136" s="382" t="s">
        <v>633</v>
      </c>
      <c r="G136" s="352" t="s">
        <v>69</v>
      </c>
      <c r="H136" s="352" t="s">
        <v>69</v>
      </c>
      <c r="I136" s="352" t="s">
        <v>69</v>
      </c>
      <c r="J136" s="352" t="s">
        <v>69</v>
      </c>
      <c r="K136" s="352" t="s">
        <v>69</v>
      </c>
      <c r="L136" s="352" t="s">
        <v>69</v>
      </c>
      <c r="M136" s="352" t="s">
        <v>69</v>
      </c>
      <c r="N136" s="352">
        <v>4</v>
      </c>
      <c r="O136" s="352" t="s">
        <v>69</v>
      </c>
      <c r="P136" s="352" t="s">
        <v>69</v>
      </c>
      <c r="Q136" s="352" t="s">
        <v>69</v>
      </c>
      <c r="R136" s="352" t="s">
        <v>69</v>
      </c>
      <c r="S136" s="352" t="s">
        <v>69</v>
      </c>
      <c r="T136" s="352" t="s">
        <v>69</v>
      </c>
      <c r="U136" s="352" t="s">
        <v>69</v>
      </c>
      <c r="V136" s="352" t="s">
        <v>69</v>
      </c>
      <c r="W136" s="352" t="s">
        <v>69</v>
      </c>
      <c r="X136" s="352" t="s">
        <v>69</v>
      </c>
      <c r="Y136" s="352" t="s">
        <v>69</v>
      </c>
      <c r="Z136" s="352" t="s">
        <v>69</v>
      </c>
      <c r="AA136" s="352" t="s">
        <v>69</v>
      </c>
      <c r="AB136" s="352" t="s">
        <v>69</v>
      </c>
      <c r="AC136" s="352" t="s">
        <v>69</v>
      </c>
      <c r="AD136" s="352" t="s">
        <v>69</v>
      </c>
      <c r="AE136" s="352" t="s">
        <v>69</v>
      </c>
      <c r="AF136" s="352" t="s">
        <v>69</v>
      </c>
      <c r="AG136" s="352" t="s">
        <v>69</v>
      </c>
      <c r="AH136" s="352" t="s">
        <v>69</v>
      </c>
      <c r="AI136" s="352" t="s">
        <v>69</v>
      </c>
      <c r="AJ136" s="352" t="s">
        <v>69</v>
      </c>
      <c r="AK136" s="352" t="s">
        <v>69</v>
      </c>
      <c r="AL136" s="352" t="s">
        <v>69</v>
      </c>
      <c r="AM136" s="352" t="s">
        <v>69</v>
      </c>
      <c r="AN136" s="352" t="s">
        <v>69</v>
      </c>
      <c r="AO136" s="352" t="s">
        <v>69</v>
      </c>
      <c r="AP136" s="352" t="s">
        <v>69</v>
      </c>
      <c r="AQ136" s="352">
        <v>4</v>
      </c>
      <c r="AR136" s="352" t="s">
        <v>69</v>
      </c>
      <c r="AS136" s="352" t="s">
        <v>69</v>
      </c>
      <c r="AT136" s="352" t="s">
        <v>69</v>
      </c>
      <c r="AU136" s="352" t="s">
        <v>69</v>
      </c>
      <c r="AV136" s="352" t="s">
        <v>69</v>
      </c>
      <c r="AW136" s="352" t="s">
        <v>69</v>
      </c>
      <c r="AX136" s="352" t="s">
        <v>69</v>
      </c>
      <c r="AY136" s="352" t="s">
        <v>69</v>
      </c>
      <c r="AZ136" s="352" t="s">
        <v>69</v>
      </c>
      <c r="BA136" s="352" t="s">
        <v>69</v>
      </c>
      <c r="BB136" s="352" t="s">
        <v>69</v>
      </c>
      <c r="BC136" s="352" t="s">
        <v>69</v>
      </c>
      <c r="BD136" s="352" t="s">
        <v>69</v>
      </c>
      <c r="BE136" s="352" t="s">
        <v>69</v>
      </c>
      <c r="BF136" s="352" t="s">
        <v>69</v>
      </c>
      <c r="BG136" s="352" t="s">
        <v>69</v>
      </c>
      <c r="BH136" s="352" t="s">
        <v>69</v>
      </c>
      <c r="BI136" s="352" t="s">
        <v>69</v>
      </c>
      <c r="BJ136" s="352" t="s">
        <v>69</v>
      </c>
      <c r="BK136" s="352" t="s">
        <v>69</v>
      </c>
      <c r="BL136" s="352" t="s">
        <v>69</v>
      </c>
      <c r="BM136" s="352" t="s">
        <v>69</v>
      </c>
      <c r="BN136" s="352" t="s">
        <v>69</v>
      </c>
      <c r="BO136" s="352" t="s">
        <v>69</v>
      </c>
      <c r="BP136" s="352">
        <v>3</v>
      </c>
      <c r="BQ136" s="352" t="s">
        <v>69</v>
      </c>
      <c r="BR136" s="352" t="s">
        <v>69</v>
      </c>
      <c r="BS136" s="352" t="s">
        <v>69</v>
      </c>
      <c r="BT136" s="352" t="s">
        <v>69</v>
      </c>
      <c r="BU136" s="352" t="s">
        <v>69</v>
      </c>
      <c r="BV136" s="352" t="s">
        <v>69</v>
      </c>
      <c r="BW136" s="352" t="s">
        <v>69</v>
      </c>
      <c r="BX136" s="352" t="s">
        <v>69</v>
      </c>
      <c r="BY136" s="352" t="s">
        <v>69</v>
      </c>
      <c r="BZ136" s="352" t="s">
        <v>69</v>
      </c>
      <c r="CA136" s="352" t="s">
        <v>69</v>
      </c>
      <c r="CB136" s="352">
        <v>4</v>
      </c>
      <c r="CC136" s="352" t="s">
        <v>69</v>
      </c>
      <c r="CD136" s="352" t="s">
        <v>69</v>
      </c>
      <c r="CE136" s="352" t="s">
        <v>69</v>
      </c>
      <c r="CF136" s="352" t="s">
        <v>69</v>
      </c>
      <c r="CG136" s="352">
        <v>4</v>
      </c>
      <c r="CH136" s="352" t="s">
        <v>69</v>
      </c>
      <c r="CI136" s="352" t="s">
        <v>69</v>
      </c>
      <c r="CJ136" s="352" t="s">
        <v>69</v>
      </c>
      <c r="CK136" s="352" t="s">
        <v>69</v>
      </c>
      <c r="CL136" s="352" t="s">
        <v>69</v>
      </c>
      <c r="CM136" s="352" t="s">
        <v>69</v>
      </c>
      <c r="CN136" s="352" t="s">
        <v>69</v>
      </c>
      <c r="CO136" s="352" t="s">
        <v>69</v>
      </c>
      <c r="CP136" s="352" t="s">
        <v>69</v>
      </c>
      <c r="CQ136" s="352" t="s">
        <v>69</v>
      </c>
      <c r="CR136" s="352" t="s">
        <v>69</v>
      </c>
      <c r="CS136" s="352">
        <v>4</v>
      </c>
      <c r="CT136" s="352" t="s">
        <v>69</v>
      </c>
      <c r="CU136" s="352" t="s">
        <v>69</v>
      </c>
      <c r="CV136" s="352" t="s">
        <v>69</v>
      </c>
      <c r="CW136" s="352" t="s">
        <v>69</v>
      </c>
      <c r="CX136" s="352">
        <v>1</v>
      </c>
      <c r="CY136" s="352" t="s">
        <v>69</v>
      </c>
      <c r="CZ136" s="352" t="s">
        <v>69</v>
      </c>
      <c r="DA136" s="352" t="s">
        <v>69</v>
      </c>
      <c r="DB136" s="352" t="s">
        <v>69</v>
      </c>
      <c r="DC136" s="352" t="s">
        <v>69</v>
      </c>
      <c r="DD136" s="352" t="s">
        <v>69</v>
      </c>
      <c r="DE136" s="352" t="s">
        <v>69</v>
      </c>
      <c r="DF136" s="352" t="s">
        <v>69</v>
      </c>
      <c r="DG136" s="352" t="s">
        <v>69</v>
      </c>
      <c r="DH136" s="352" t="s">
        <v>69</v>
      </c>
      <c r="DI136" s="352" t="s">
        <v>69</v>
      </c>
      <c r="DJ136" s="352" t="s">
        <v>69</v>
      </c>
      <c r="DK136" s="352" t="s">
        <v>69</v>
      </c>
      <c r="DL136" s="352" t="s">
        <v>69</v>
      </c>
      <c r="DM136" s="352" t="s">
        <v>69</v>
      </c>
      <c r="DN136" s="352" t="s">
        <v>69</v>
      </c>
      <c r="DO136" s="352" t="s">
        <v>69</v>
      </c>
      <c r="DP136" s="352" t="s">
        <v>69</v>
      </c>
      <c r="DQ136" s="352" t="s">
        <v>69</v>
      </c>
      <c r="DR136" s="352" t="s">
        <v>69</v>
      </c>
      <c r="DS136" s="352" t="s">
        <v>69</v>
      </c>
      <c r="DT136" s="352" t="s">
        <v>69</v>
      </c>
      <c r="DU136" s="352" t="s">
        <v>69</v>
      </c>
      <c r="DV136" s="387"/>
      <c r="DW136" s="388"/>
    </row>
    <row r="137" spans="1:128" s="156" customFormat="1" ht="118.5" hidden="1" customHeight="1">
      <c r="A137" s="312">
        <v>122</v>
      </c>
      <c r="B137" s="508" t="s">
        <v>1252</v>
      </c>
      <c r="C137" s="384" t="s">
        <v>1251</v>
      </c>
      <c r="D137" s="376">
        <v>46127</v>
      </c>
      <c r="E137" s="320"/>
      <c r="F137" s="382" t="s">
        <v>633</v>
      </c>
      <c r="G137" s="352" t="s">
        <v>69</v>
      </c>
      <c r="H137" s="352" t="s">
        <v>69</v>
      </c>
      <c r="I137" s="352" t="s">
        <v>69</v>
      </c>
      <c r="J137" s="352" t="s">
        <v>69</v>
      </c>
      <c r="K137" s="352" t="s">
        <v>69</v>
      </c>
      <c r="L137" s="352" t="s">
        <v>69</v>
      </c>
      <c r="M137" s="352" t="s">
        <v>69</v>
      </c>
      <c r="N137" s="352" t="s">
        <v>69</v>
      </c>
      <c r="O137" s="352" t="s">
        <v>69</v>
      </c>
      <c r="P137" s="352" t="s">
        <v>69</v>
      </c>
      <c r="Q137" s="352" t="s">
        <v>69</v>
      </c>
      <c r="R137" s="352" t="s">
        <v>69</v>
      </c>
      <c r="S137" s="352" t="s">
        <v>69</v>
      </c>
      <c r="T137" s="352" t="s">
        <v>69</v>
      </c>
      <c r="U137" s="352" t="s">
        <v>69</v>
      </c>
      <c r="V137" s="352" t="s">
        <v>69</v>
      </c>
      <c r="W137" s="352" t="s">
        <v>69</v>
      </c>
      <c r="X137" s="352" t="s">
        <v>69</v>
      </c>
      <c r="Y137" s="352" t="s">
        <v>69</v>
      </c>
      <c r="Z137" s="352" t="s">
        <v>69</v>
      </c>
      <c r="AA137" s="352" t="s">
        <v>69</v>
      </c>
      <c r="AB137" s="352" t="s">
        <v>69</v>
      </c>
      <c r="AC137" s="352" t="s">
        <v>69</v>
      </c>
      <c r="AD137" s="352" t="s">
        <v>69</v>
      </c>
      <c r="AE137" s="352" t="s">
        <v>69</v>
      </c>
      <c r="AF137" s="352" t="s">
        <v>69</v>
      </c>
      <c r="AG137" s="352" t="s">
        <v>69</v>
      </c>
      <c r="AH137" s="352" t="s">
        <v>69</v>
      </c>
      <c r="AI137" s="352" t="s">
        <v>69</v>
      </c>
      <c r="AJ137" s="352" t="s">
        <v>69</v>
      </c>
      <c r="AK137" s="352" t="s">
        <v>69</v>
      </c>
      <c r="AL137" s="352" t="s">
        <v>69</v>
      </c>
      <c r="AM137" s="352" t="s">
        <v>69</v>
      </c>
      <c r="AN137" s="352" t="s">
        <v>69</v>
      </c>
      <c r="AO137" s="352" t="s">
        <v>69</v>
      </c>
      <c r="AP137" s="352" t="s">
        <v>69</v>
      </c>
      <c r="AQ137" s="352" t="s">
        <v>69</v>
      </c>
      <c r="AR137" s="352" t="s">
        <v>69</v>
      </c>
      <c r="AS137" s="352" t="s">
        <v>69</v>
      </c>
      <c r="AT137" s="352" t="s">
        <v>69</v>
      </c>
      <c r="AU137" s="352" t="s">
        <v>69</v>
      </c>
      <c r="AV137" s="352" t="s">
        <v>69</v>
      </c>
      <c r="AW137" s="352" t="s">
        <v>69</v>
      </c>
      <c r="AX137" s="352" t="s">
        <v>69</v>
      </c>
      <c r="AY137" s="352" t="s">
        <v>69</v>
      </c>
      <c r="AZ137" s="352" t="s">
        <v>69</v>
      </c>
      <c r="BA137" s="352" t="s">
        <v>69</v>
      </c>
      <c r="BB137" s="352" t="s">
        <v>69</v>
      </c>
      <c r="BC137" s="352" t="s">
        <v>69</v>
      </c>
      <c r="BD137" s="352" t="s">
        <v>69</v>
      </c>
      <c r="BE137" s="352" t="s">
        <v>69</v>
      </c>
      <c r="BF137" s="352" t="s">
        <v>69</v>
      </c>
      <c r="BG137" s="352" t="s">
        <v>69</v>
      </c>
      <c r="BH137" s="352" t="s">
        <v>69</v>
      </c>
      <c r="BI137" s="352" t="s">
        <v>69</v>
      </c>
      <c r="BJ137" s="352" t="s">
        <v>69</v>
      </c>
      <c r="BK137" s="352" t="s">
        <v>69</v>
      </c>
      <c r="BL137" s="352" t="s">
        <v>69</v>
      </c>
      <c r="BM137" s="352" t="s">
        <v>69</v>
      </c>
      <c r="BN137" s="352" t="s">
        <v>69</v>
      </c>
      <c r="BO137" s="352" t="s">
        <v>69</v>
      </c>
      <c r="BP137" s="352" t="s">
        <v>69</v>
      </c>
      <c r="BQ137" s="352" t="s">
        <v>69</v>
      </c>
      <c r="BR137" s="352" t="s">
        <v>69</v>
      </c>
      <c r="BS137" s="352" t="s">
        <v>69</v>
      </c>
      <c r="BT137" s="352" t="s">
        <v>69</v>
      </c>
      <c r="BU137" s="352" t="s">
        <v>69</v>
      </c>
      <c r="BV137" s="352" t="s">
        <v>69</v>
      </c>
      <c r="BW137" s="352" t="s">
        <v>69</v>
      </c>
      <c r="BX137" s="352" t="s">
        <v>69</v>
      </c>
      <c r="BY137" s="352" t="s">
        <v>69</v>
      </c>
      <c r="BZ137" s="352">
        <v>4</v>
      </c>
      <c r="CA137" s="352" t="s">
        <v>69</v>
      </c>
      <c r="CB137" s="352" t="s">
        <v>69</v>
      </c>
      <c r="CC137" s="352" t="s">
        <v>69</v>
      </c>
      <c r="CD137" s="352" t="s">
        <v>69</v>
      </c>
      <c r="CE137" s="352" t="s">
        <v>69</v>
      </c>
      <c r="CF137" s="352" t="s">
        <v>69</v>
      </c>
      <c r="CG137" s="352" t="s">
        <v>69</v>
      </c>
      <c r="CH137" s="352" t="s">
        <v>69</v>
      </c>
      <c r="CI137" s="352" t="s">
        <v>69</v>
      </c>
      <c r="CJ137" s="352" t="s">
        <v>69</v>
      </c>
      <c r="CK137" s="352" t="s">
        <v>69</v>
      </c>
      <c r="CL137" s="352" t="s">
        <v>69</v>
      </c>
      <c r="CM137" s="352" t="s">
        <v>69</v>
      </c>
      <c r="CN137" s="352" t="s">
        <v>69</v>
      </c>
      <c r="CO137" s="352" t="s">
        <v>69</v>
      </c>
      <c r="CP137" s="352" t="s">
        <v>69</v>
      </c>
      <c r="CQ137" s="352" t="s">
        <v>69</v>
      </c>
      <c r="CR137" s="352">
        <v>4</v>
      </c>
      <c r="CS137" s="352" t="s">
        <v>69</v>
      </c>
      <c r="CT137" s="352" t="s">
        <v>69</v>
      </c>
      <c r="CU137" s="352" t="s">
        <v>69</v>
      </c>
      <c r="CV137" s="352" t="s">
        <v>69</v>
      </c>
      <c r="CW137" s="352" t="s">
        <v>69</v>
      </c>
      <c r="CX137" s="352" t="s">
        <v>69</v>
      </c>
      <c r="CY137" s="352" t="s">
        <v>69</v>
      </c>
      <c r="CZ137" s="352" t="s">
        <v>69</v>
      </c>
      <c r="DA137" s="352" t="s">
        <v>69</v>
      </c>
      <c r="DB137" s="352" t="s">
        <v>69</v>
      </c>
      <c r="DC137" s="352" t="s">
        <v>69</v>
      </c>
      <c r="DD137" s="352" t="s">
        <v>69</v>
      </c>
      <c r="DE137" s="352" t="s">
        <v>69</v>
      </c>
      <c r="DF137" s="352" t="s">
        <v>69</v>
      </c>
      <c r="DG137" s="352" t="s">
        <v>69</v>
      </c>
      <c r="DH137" s="352" t="s">
        <v>69</v>
      </c>
      <c r="DI137" s="352" t="s">
        <v>69</v>
      </c>
      <c r="DJ137" s="352" t="s">
        <v>69</v>
      </c>
      <c r="DK137" s="352">
        <v>4</v>
      </c>
      <c r="DL137" s="352" t="s">
        <v>69</v>
      </c>
      <c r="DM137" s="352" t="s">
        <v>69</v>
      </c>
      <c r="DN137" s="352" t="s">
        <v>69</v>
      </c>
      <c r="DO137" s="352" t="s">
        <v>69</v>
      </c>
      <c r="DP137" s="352" t="s">
        <v>69</v>
      </c>
      <c r="DQ137" s="352" t="s">
        <v>69</v>
      </c>
      <c r="DR137" s="352" t="s">
        <v>69</v>
      </c>
      <c r="DS137" s="352" t="s">
        <v>69</v>
      </c>
      <c r="DT137" s="352" t="s">
        <v>69</v>
      </c>
      <c r="DU137" s="352" t="s">
        <v>69</v>
      </c>
      <c r="DV137" s="387"/>
      <c r="DW137" s="388"/>
    </row>
    <row r="138" spans="1:128" s="156" customFormat="1" ht="118.5" hidden="1" customHeight="1">
      <c r="A138" s="312">
        <v>123</v>
      </c>
      <c r="B138" s="508" t="s">
        <v>1250</v>
      </c>
      <c r="C138" s="384" t="s">
        <v>1249</v>
      </c>
      <c r="D138" s="376">
        <v>46127</v>
      </c>
      <c r="E138" s="320"/>
      <c r="F138" s="382" t="s">
        <v>633</v>
      </c>
      <c r="G138" s="352" t="s">
        <v>69</v>
      </c>
      <c r="H138" s="352" t="s">
        <v>69</v>
      </c>
      <c r="I138" s="352" t="s">
        <v>69</v>
      </c>
      <c r="J138" s="352" t="s">
        <v>69</v>
      </c>
      <c r="K138" s="352" t="s">
        <v>69</v>
      </c>
      <c r="L138" s="352" t="s">
        <v>69</v>
      </c>
      <c r="M138" s="352" t="s">
        <v>69</v>
      </c>
      <c r="N138" s="352" t="s">
        <v>69</v>
      </c>
      <c r="O138" s="352" t="s">
        <v>69</v>
      </c>
      <c r="P138" s="352">
        <v>3</v>
      </c>
      <c r="Q138" s="352" t="s">
        <v>69</v>
      </c>
      <c r="R138" s="352" t="s">
        <v>69</v>
      </c>
      <c r="S138" s="352" t="s">
        <v>69</v>
      </c>
      <c r="T138" s="352" t="s">
        <v>69</v>
      </c>
      <c r="U138" s="352" t="s">
        <v>69</v>
      </c>
      <c r="V138" s="352" t="s">
        <v>69</v>
      </c>
      <c r="W138" s="352" t="s">
        <v>69</v>
      </c>
      <c r="X138" s="352" t="s">
        <v>69</v>
      </c>
      <c r="Y138" s="352" t="s">
        <v>69</v>
      </c>
      <c r="Z138" s="352" t="s">
        <v>69</v>
      </c>
      <c r="AA138" s="352" t="s">
        <v>69</v>
      </c>
      <c r="AB138" s="352" t="s">
        <v>69</v>
      </c>
      <c r="AC138" s="352" t="s">
        <v>69</v>
      </c>
      <c r="AD138" s="352" t="s">
        <v>69</v>
      </c>
      <c r="AE138" s="352" t="s">
        <v>69</v>
      </c>
      <c r="AF138" s="352" t="s">
        <v>69</v>
      </c>
      <c r="AG138" s="352" t="s">
        <v>69</v>
      </c>
      <c r="AH138" s="352" t="s">
        <v>69</v>
      </c>
      <c r="AI138" s="352" t="s">
        <v>69</v>
      </c>
      <c r="AJ138" s="352" t="s">
        <v>69</v>
      </c>
      <c r="AK138" s="352" t="s">
        <v>69</v>
      </c>
      <c r="AL138" s="352" t="s">
        <v>69</v>
      </c>
      <c r="AM138" s="352" t="s">
        <v>69</v>
      </c>
      <c r="AN138" s="352" t="s">
        <v>69</v>
      </c>
      <c r="AO138" s="352" t="s">
        <v>69</v>
      </c>
      <c r="AP138" s="352" t="s">
        <v>69</v>
      </c>
      <c r="AQ138" s="352" t="s">
        <v>69</v>
      </c>
      <c r="AR138" s="352" t="s">
        <v>69</v>
      </c>
      <c r="AS138" s="352">
        <v>3</v>
      </c>
      <c r="AT138" s="352">
        <v>2</v>
      </c>
      <c r="AU138" s="352" t="s">
        <v>69</v>
      </c>
      <c r="AV138" s="352">
        <v>3</v>
      </c>
      <c r="AW138" s="352">
        <v>3</v>
      </c>
      <c r="AX138" s="352" t="s">
        <v>69</v>
      </c>
      <c r="AY138" s="352">
        <v>3</v>
      </c>
      <c r="AZ138" s="352" t="s">
        <v>69</v>
      </c>
      <c r="BA138" s="352" t="s">
        <v>69</v>
      </c>
      <c r="BB138" s="352" t="s">
        <v>69</v>
      </c>
      <c r="BC138" s="352" t="s">
        <v>69</v>
      </c>
      <c r="BD138" s="352" t="s">
        <v>69</v>
      </c>
      <c r="BE138" s="352">
        <v>3</v>
      </c>
      <c r="BF138" s="352">
        <v>3</v>
      </c>
      <c r="BG138" s="352" t="s">
        <v>69</v>
      </c>
      <c r="BH138" s="352" t="s">
        <v>69</v>
      </c>
      <c r="BI138" s="352" t="s">
        <v>69</v>
      </c>
      <c r="BJ138" s="352" t="s">
        <v>69</v>
      </c>
      <c r="BK138" s="352" t="s">
        <v>69</v>
      </c>
      <c r="BL138" s="352" t="s">
        <v>69</v>
      </c>
      <c r="BM138" s="352" t="s">
        <v>69</v>
      </c>
      <c r="BN138" s="352" t="s">
        <v>69</v>
      </c>
      <c r="BO138" s="352" t="s">
        <v>69</v>
      </c>
      <c r="BP138" s="352" t="s">
        <v>69</v>
      </c>
      <c r="BQ138" s="352" t="s">
        <v>69</v>
      </c>
      <c r="BR138" s="352" t="s">
        <v>69</v>
      </c>
      <c r="BS138" s="352" t="s">
        <v>69</v>
      </c>
      <c r="BT138" s="352" t="s">
        <v>69</v>
      </c>
      <c r="BU138" s="352" t="s">
        <v>69</v>
      </c>
      <c r="BV138" s="352" t="s">
        <v>69</v>
      </c>
      <c r="BW138" s="352" t="s">
        <v>69</v>
      </c>
      <c r="BX138" s="352" t="s">
        <v>69</v>
      </c>
      <c r="BY138" s="352" t="s">
        <v>69</v>
      </c>
      <c r="BZ138" s="352" t="s">
        <v>69</v>
      </c>
      <c r="CA138" s="352" t="s">
        <v>69</v>
      </c>
      <c r="CB138" s="352" t="s">
        <v>69</v>
      </c>
      <c r="CC138" s="352" t="s">
        <v>69</v>
      </c>
      <c r="CD138" s="352" t="s">
        <v>69</v>
      </c>
      <c r="CE138" s="352" t="s">
        <v>69</v>
      </c>
      <c r="CF138" s="352" t="s">
        <v>69</v>
      </c>
      <c r="CG138" s="352" t="s">
        <v>69</v>
      </c>
      <c r="CH138" s="352" t="s">
        <v>69</v>
      </c>
      <c r="CI138" s="352">
        <v>3</v>
      </c>
      <c r="CJ138" s="352" t="s">
        <v>69</v>
      </c>
      <c r="CK138" s="352">
        <v>3</v>
      </c>
      <c r="CL138" s="352" t="s">
        <v>69</v>
      </c>
      <c r="CM138" s="352" t="s">
        <v>69</v>
      </c>
      <c r="CN138" s="352" t="s">
        <v>69</v>
      </c>
      <c r="CO138" s="352" t="s">
        <v>69</v>
      </c>
      <c r="CP138" s="352" t="s">
        <v>69</v>
      </c>
      <c r="CQ138" s="352" t="s">
        <v>69</v>
      </c>
      <c r="CR138" s="352" t="s">
        <v>69</v>
      </c>
      <c r="CS138" s="352" t="s">
        <v>69</v>
      </c>
      <c r="CT138" s="352" t="s">
        <v>69</v>
      </c>
      <c r="CU138" s="352" t="s">
        <v>69</v>
      </c>
      <c r="CV138" s="352" t="s">
        <v>69</v>
      </c>
      <c r="CW138" s="352" t="s">
        <v>69</v>
      </c>
      <c r="CX138" s="352" t="s">
        <v>69</v>
      </c>
      <c r="CY138" s="352" t="s">
        <v>69</v>
      </c>
      <c r="CZ138" s="352" t="s">
        <v>69</v>
      </c>
      <c r="DA138" s="352" t="s">
        <v>69</v>
      </c>
      <c r="DB138" s="352" t="s">
        <v>69</v>
      </c>
      <c r="DC138" s="352" t="s">
        <v>69</v>
      </c>
      <c r="DD138" s="352" t="s">
        <v>69</v>
      </c>
      <c r="DE138" s="352" t="s">
        <v>69</v>
      </c>
      <c r="DF138" s="352" t="s">
        <v>69</v>
      </c>
      <c r="DG138" s="352" t="s">
        <v>69</v>
      </c>
      <c r="DH138" s="352" t="s">
        <v>69</v>
      </c>
      <c r="DI138" s="352" t="s">
        <v>69</v>
      </c>
      <c r="DJ138" s="352" t="s">
        <v>69</v>
      </c>
      <c r="DK138" s="352" t="s">
        <v>69</v>
      </c>
      <c r="DL138" s="352">
        <v>3</v>
      </c>
      <c r="DM138" s="352">
        <v>3</v>
      </c>
      <c r="DN138" s="352" t="s">
        <v>69</v>
      </c>
      <c r="DO138" s="352" t="s">
        <v>69</v>
      </c>
      <c r="DP138" s="352" t="s">
        <v>69</v>
      </c>
      <c r="DQ138" s="352" t="s">
        <v>69</v>
      </c>
      <c r="DR138" s="352" t="s">
        <v>69</v>
      </c>
      <c r="DS138" s="352" t="s">
        <v>69</v>
      </c>
      <c r="DT138" s="352" t="s">
        <v>69</v>
      </c>
      <c r="DU138" s="352" t="s">
        <v>69</v>
      </c>
      <c r="DV138" s="387"/>
      <c r="DW138" s="388"/>
    </row>
    <row r="139" spans="1:128" s="156" customFormat="1" ht="118.5" hidden="1" customHeight="1">
      <c r="A139" s="312">
        <v>124</v>
      </c>
      <c r="B139" s="508" t="s">
        <v>1248</v>
      </c>
      <c r="C139" s="384" t="s">
        <v>1247</v>
      </c>
      <c r="D139" s="376">
        <v>46127</v>
      </c>
      <c r="E139" s="320"/>
      <c r="F139" s="382" t="s">
        <v>633</v>
      </c>
      <c r="G139" s="352" t="s">
        <v>69</v>
      </c>
      <c r="H139" s="352" t="s">
        <v>69</v>
      </c>
      <c r="I139" s="352" t="s">
        <v>69</v>
      </c>
      <c r="J139" s="352" t="s">
        <v>69</v>
      </c>
      <c r="K139" s="352" t="s">
        <v>69</v>
      </c>
      <c r="L139" s="352" t="s">
        <v>69</v>
      </c>
      <c r="M139" s="352" t="s">
        <v>69</v>
      </c>
      <c r="N139" s="352" t="s">
        <v>69</v>
      </c>
      <c r="O139" s="352" t="s">
        <v>69</v>
      </c>
      <c r="P139" s="352" t="s">
        <v>69</v>
      </c>
      <c r="Q139" s="352" t="s">
        <v>69</v>
      </c>
      <c r="R139" s="352" t="s">
        <v>69</v>
      </c>
      <c r="S139" s="352" t="s">
        <v>69</v>
      </c>
      <c r="T139" s="352" t="s">
        <v>69</v>
      </c>
      <c r="U139" s="352" t="s">
        <v>69</v>
      </c>
      <c r="V139" s="352" t="s">
        <v>69</v>
      </c>
      <c r="W139" s="352" t="s">
        <v>69</v>
      </c>
      <c r="X139" s="352" t="s">
        <v>69</v>
      </c>
      <c r="Y139" s="352" t="s">
        <v>69</v>
      </c>
      <c r="Z139" s="352" t="s">
        <v>69</v>
      </c>
      <c r="AA139" s="352" t="s">
        <v>69</v>
      </c>
      <c r="AB139" s="352" t="s">
        <v>69</v>
      </c>
      <c r="AC139" s="352" t="s">
        <v>69</v>
      </c>
      <c r="AD139" s="352" t="s">
        <v>69</v>
      </c>
      <c r="AE139" s="352" t="s">
        <v>69</v>
      </c>
      <c r="AF139" s="352" t="s">
        <v>69</v>
      </c>
      <c r="AG139" s="352" t="s">
        <v>69</v>
      </c>
      <c r="AH139" s="352" t="s">
        <v>69</v>
      </c>
      <c r="AI139" s="352" t="s">
        <v>69</v>
      </c>
      <c r="AJ139" s="352" t="s">
        <v>69</v>
      </c>
      <c r="AK139" s="352" t="s">
        <v>69</v>
      </c>
      <c r="AL139" s="352" t="s">
        <v>69</v>
      </c>
      <c r="AM139" s="352">
        <v>3</v>
      </c>
      <c r="AN139" s="352" t="s">
        <v>69</v>
      </c>
      <c r="AO139" s="352">
        <v>3</v>
      </c>
      <c r="AP139" s="352">
        <v>3</v>
      </c>
      <c r="AQ139" s="352" t="s">
        <v>69</v>
      </c>
      <c r="AR139" s="352" t="s">
        <v>69</v>
      </c>
      <c r="AS139" s="352" t="s">
        <v>69</v>
      </c>
      <c r="AT139" s="352" t="s">
        <v>69</v>
      </c>
      <c r="AU139" s="352" t="s">
        <v>69</v>
      </c>
      <c r="AV139" s="352" t="s">
        <v>69</v>
      </c>
      <c r="AW139" s="352" t="s">
        <v>69</v>
      </c>
      <c r="AX139" s="352" t="s">
        <v>69</v>
      </c>
      <c r="AY139" s="352" t="s">
        <v>69</v>
      </c>
      <c r="AZ139" s="352" t="s">
        <v>69</v>
      </c>
      <c r="BA139" s="352" t="s">
        <v>69</v>
      </c>
      <c r="BB139" s="352" t="s">
        <v>69</v>
      </c>
      <c r="BC139" s="352" t="s">
        <v>69</v>
      </c>
      <c r="BD139" s="352" t="s">
        <v>69</v>
      </c>
      <c r="BE139" s="352" t="s">
        <v>69</v>
      </c>
      <c r="BF139" s="352" t="s">
        <v>69</v>
      </c>
      <c r="BG139" s="352" t="s">
        <v>69</v>
      </c>
      <c r="BH139" s="352" t="s">
        <v>69</v>
      </c>
      <c r="BI139" s="352" t="s">
        <v>69</v>
      </c>
      <c r="BJ139" s="352" t="s">
        <v>69</v>
      </c>
      <c r="BK139" s="352" t="s">
        <v>69</v>
      </c>
      <c r="BL139" s="352" t="s">
        <v>69</v>
      </c>
      <c r="BM139" s="352" t="s">
        <v>69</v>
      </c>
      <c r="BN139" s="352" t="s">
        <v>69</v>
      </c>
      <c r="BO139" s="352" t="s">
        <v>69</v>
      </c>
      <c r="BP139" s="352" t="s">
        <v>69</v>
      </c>
      <c r="BQ139" s="352" t="s">
        <v>69</v>
      </c>
      <c r="BR139" s="352" t="s">
        <v>69</v>
      </c>
      <c r="BS139" s="352" t="s">
        <v>69</v>
      </c>
      <c r="BT139" s="352" t="s">
        <v>69</v>
      </c>
      <c r="BU139" s="352" t="s">
        <v>69</v>
      </c>
      <c r="BV139" s="352" t="s">
        <v>69</v>
      </c>
      <c r="BW139" s="352" t="s">
        <v>69</v>
      </c>
      <c r="BX139" s="352" t="s">
        <v>69</v>
      </c>
      <c r="BY139" s="352" t="s">
        <v>69</v>
      </c>
      <c r="BZ139" s="352" t="s">
        <v>69</v>
      </c>
      <c r="CA139" s="352" t="s">
        <v>69</v>
      </c>
      <c r="CB139" s="352" t="s">
        <v>69</v>
      </c>
      <c r="CC139" s="352" t="s">
        <v>69</v>
      </c>
      <c r="CD139" s="352" t="s">
        <v>69</v>
      </c>
      <c r="CE139" s="352" t="s">
        <v>69</v>
      </c>
      <c r="CF139" s="352" t="s">
        <v>69</v>
      </c>
      <c r="CG139" s="352" t="s">
        <v>69</v>
      </c>
      <c r="CH139" s="352" t="s">
        <v>69</v>
      </c>
      <c r="CI139" s="352" t="s">
        <v>69</v>
      </c>
      <c r="CJ139" s="352" t="s">
        <v>69</v>
      </c>
      <c r="CK139" s="352" t="s">
        <v>69</v>
      </c>
      <c r="CL139" s="352" t="s">
        <v>69</v>
      </c>
      <c r="CM139" s="352" t="s">
        <v>69</v>
      </c>
      <c r="CN139" s="352" t="s">
        <v>69</v>
      </c>
      <c r="CO139" s="352" t="s">
        <v>69</v>
      </c>
      <c r="CP139" s="352" t="s">
        <v>69</v>
      </c>
      <c r="CQ139" s="352" t="s">
        <v>69</v>
      </c>
      <c r="CR139" s="352" t="s">
        <v>69</v>
      </c>
      <c r="CS139" s="352" t="s">
        <v>69</v>
      </c>
      <c r="CT139" s="352" t="s">
        <v>69</v>
      </c>
      <c r="CU139" s="352" t="s">
        <v>69</v>
      </c>
      <c r="CV139" s="352" t="s">
        <v>69</v>
      </c>
      <c r="CW139" s="352" t="s">
        <v>69</v>
      </c>
      <c r="CX139" s="352" t="s">
        <v>69</v>
      </c>
      <c r="CY139" s="352" t="s">
        <v>69</v>
      </c>
      <c r="CZ139" s="352" t="s">
        <v>69</v>
      </c>
      <c r="DA139" s="352" t="s">
        <v>69</v>
      </c>
      <c r="DB139" s="352" t="s">
        <v>69</v>
      </c>
      <c r="DC139" s="352" t="s">
        <v>69</v>
      </c>
      <c r="DD139" s="352" t="s">
        <v>69</v>
      </c>
      <c r="DE139" s="352" t="s">
        <v>69</v>
      </c>
      <c r="DF139" s="352" t="s">
        <v>69</v>
      </c>
      <c r="DG139" s="352" t="s">
        <v>69</v>
      </c>
      <c r="DH139" s="352" t="s">
        <v>69</v>
      </c>
      <c r="DI139" s="352" t="s">
        <v>69</v>
      </c>
      <c r="DJ139" s="352" t="s">
        <v>69</v>
      </c>
      <c r="DK139" s="352" t="s">
        <v>69</v>
      </c>
      <c r="DL139" s="352" t="s">
        <v>69</v>
      </c>
      <c r="DM139" s="352" t="s">
        <v>69</v>
      </c>
      <c r="DN139" s="352" t="s">
        <v>69</v>
      </c>
      <c r="DO139" s="352" t="s">
        <v>69</v>
      </c>
      <c r="DP139" s="352" t="s">
        <v>69</v>
      </c>
      <c r="DQ139" s="352" t="s">
        <v>69</v>
      </c>
      <c r="DR139" s="352" t="s">
        <v>69</v>
      </c>
      <c r="DS139" s="352" t="s">
        <v>69</v>
      </c>
      <c r="DT139" s="352" t="s">
        <v>69</v>
      </c>
      <c r="DU139" s="352" t="s">
        <v>69</v>
      </c>
      <c r="DV139" s="387"/>
      <c r="DW139" s="388"/>
    </row>
    <row r="140" spans="1:128" s="156" customFormat="1" ht="118.5" hidden="1" customHeight="1">
      <c r="A140" s="312">
        <v>125</v>
      </c>
      <c r="B140" s="508" t="s">
        <v>1246</v>
      </c>
      <c r="C140" s="384" t="s">
        <v>1245</v>
      </c>
      <c r="D140" s="376">
        <v>46127</v>
      </c>
      <c r="E140" s="320"/>
      <c r="F140" s="382" t="s">
        <v>633</v>
      </c>
      <c r="G140" s="352" t="s">
        <v>69</v>
      </c>
      <c r="H140" s="352" t="s">
        <v>69</v>
      </c>
      <c r="I140" s="352" t="s">
        <v>69</v>
      </c>
      <c r="J140" s="352" t="s">
        <v>69</v>
      </c>
      <c r="K140" s="352" t="s">
        <v>69</v>
      </c>
      <c r="L140" s="352" t="s">
        <v>69</v>
      </c>
      <c r="M140" s="352" t="s">
        <v>69</v>
      </c>
      <c r="N140" s="352">
        <v>2</v>
      </c>
      <c r="O140" s="352" t="s">
        <v>69</v>
      </c>
      <c r="P140" s="352" t="s">
        <v>69</v>
      </c>
      <c r="Q140" s="352" t="s">
        <v>69</v>
      </c>
      <c r="R140" s="352">
        <v>2</v>
      </c>
      <c r="S140" s="352" t="s">
        <v>69</v>
      </c>
      <c r="T140" s="352" t="s">
        <v>69</v>
      </c>
      <c r="U140" s="352" t="s">
        <v>69</v>
      </c>
      <c r="V140" s="352" t="s">
        <v>69</v>
      </c>
      <c r="W140" s="352" t="s">
        <v>69</v>
      </c>
      <c r="X140" s="352" t="s">
        <v>69</v>
      </c>
      <c r="Y140" s="352" t="s">
        <v>69</v>
      </c>
      <c r="Z140" s="352" t="s">
        <v>69</v>
      </c>
      <c r="AA140" s="352" t="s">
        <v>69</v>
      </c>
      <c r="AB140" s="352" t="s">
        <v>69</v>
      </c>
      <c r="AC140" s="352" t="s">
        <v>69</v>
      </c>
      <c r="AD140" s="352" t="s">
        <v>69</v>
      </c>
      <c r="AE140" s="352" t="s">
        <v>69</v>
      </c>
      <c r="AF140" s="352" t="s">
        <v>69</v>
      </c>
      <c r="AG140" s="352" t="s">
        <v>69</v>
      </c>
      <c r="AH140" s="352" t="s">
        <v>69</v>
      </c>
      <c r="AI140" s="352" t="s">
        <v>69</v>
      </c>
      <c r="AJ140" s="352" t="s">
        <v>69</v>
      </c>
      <c r="AK140" s="352" t="s">
        <v>69</v>
      </c>
      <c r="AL140" s="352" t="s">
        <v>69</v>
      </c>
      <c r="AM140" s="352" t="s">
        <v>69</v>
      </c>
      <c r="AN140" s="352" t="s">
        <v>69</v>
      </c>
      <c r="AO140" s="352" t="s">
        <v>69</v>
      </c>
      <c r="AP140" s="352" t="s">
        <v>69</v>
      </c>
      <c r="AQ140" s="352" t="s">
        <v>69</v>
      </c>
      <c r="AR140" s="352" t="s">
        <v>69</v>
      </c>
      <c r="AS140" s="352" t="s">
        <v>69</v>
      </c>
      <c r="AT140" s="352" t="s">
        <v>69</v>
      </c>
      <c r="AU140" s="352" t="s">
        <v>69</v>
      </c>
      <c r="AV140" s="352" t="s">
        <v>69</v>
      </c>
      <c r="AW140" s="352" t="s">
        <v>69</v>
      </c>
      <c r="AX140" s="352" t="s">
        <v>69</v>
      </c>
      <c r="AY140" s="352" t="s">
        <v>69</v>
      </c>
      <c r="AZ140" s="352" t="s">
        <v>69</v>
      </c>
      <c r="BA140" s="352" t="s">
        <v>69</v>
      </c>
      <c r="BB140" s="352" t="s">
        <v>69</v>
      </c>
      <c r="BC140" s="352" t="s">
        <v>69</v>
      </c>
      <c r="BD140" s="352" t="s">
        <v>69</v>
      </c>
      <c r="BE140" s="352" t="s">
        <v>69</v>
      </c>
      <c r="BF140" s="352" t="s">
        <v>69</v>
      </c>
      <c r="BG140" s="352" t="s">
        <v>69</v>
      </c>
      <c r="BH140" s="352" t="s">
        <v>69</v>
      </c>
      <c r="BI140" s="352" t="s">
        <v>69</v>
      </c>
      <c r="BJ140" s="352" t="s">
        <v>69</v>
      </c>
      <c r="BK140" s="352" t="s">
        <v>69</v>
      </c>
      <c r="BL140" s="352" t="s">
        <v>69</v>
      </c>
      <c r="BM140" s="352" t="s">
        <v>69</v>
      </c>
      <c r="BN140" s="352" t="s">
        <v>69</v>
      </c>
      <c r="BO140" s="352" t="s">
        <v>69</v>
      </c>
      <c r="BP140" s="352" t="s">
        <v>69</v>
      </c>
      <c r="BQ140" s="352" t="s">
        <v>69</v>
      </c>
      <c r="BR140" s="352" t="s">
        <v>69</v>
      </c>
      <c r="BS140" s="352" t="s">
        <v>69</v>
      </c>
      <c r="BT140" s="352" t="s">
        <v>69</v>
      </c>
      <c r="BU140" s="352" t="s">
        <v>69</v>
      </c>
      <c r="BV140" s="352" t="s">
        <v>69</v>
      </c>
      <c r="BW140" s="352" t="s">
        <v>69</v>
      </c>
      <c r="BX140" s="352" t="s">
        <v>69</v>
      </c>
      <c r="BY140" s="352" t="s">
        <v>69</v>
      </c>
      <c r="BZ140" s="352" t="s">
        <v>69</v>
      </c>
      <c r="CA140" s="352">
        <v>4</v>
      </c>
      <c r="CB140" s="352" t="s">
        <v>69</v>
      </c>
      <c r="CC140" s="352" t="s">
        <v>69</v>
      </c>
      <c r="CD140" s="352" t="s">
        <v>69</v>
      </c>
      <c r="CE140" s="352" t="s">
        <v>69</v>
      </c>
      <c r="CF140" s="352" t="s">
        <v>69</v>
      </c>
      <c r="CG140" s="352">
        <v>4</v>
      </c>
      <c r="CH140" s="352" t="s">
        <v>69</v>
      </c>
      <c r="CI140" s="352" t="s">
        <v>69</v>
      </c>
      <c r="CJ140" s="352" t="s">
        <v>69</v>
      </c>
      <c r="CK140" s="352" t="s">
        <v>69</v>
      </c>
      <c r="CL140" s="352" t="s">
        <v>69</v>
      </c>
      <c r="CM140" s="352" t="s">
        <v>69</v>
      </c>
      <c r="CN140" s="352" t="s">
        <v>69</v>
      </c>
      <c r="CO140" s="352" t="s">
        <v>69</v>
      </c>
      <c r="CP140" s="352" t="s">
        <v>69</v>
      </c>
      <c r="CQ140" s="352" t="s">
        <v>69</v>
      </c>
      <c r="CR140" s="352" t="s">
        <v>69</v>
      </c>
      <c r="CS140" s="352" t="s">
        <v>69</v>
      </c>
      <c r="CT140" s="352">
        <v>4</v>
      </c>
      <c r="CU140" s="352" t="s">
        <v>69</v>
      </c>
      <c r="CV140" s="352" t="s">
        <v>69</v>
      </c>
      <c r="CW140" s="352" t="s">
        <v>69</v>
      </c>
      <c r="CX140" s="352">
        <v>4</v>
      </c>
      <c r="CY140" s="352" t="s">
        <v>69</v>
      </c>
      <c r="CZ140" s="352" t="s">
        <v>69</v>
      </c>
      <c r="DA140" s="352" t="s">
        <v>69</v>
      </c>
      <c r="DB140" s="352" t="s">
        <v>69</v>
      </c>
      <c r="DC140" s="352" t="s">
        <v>69</v>
      </c>
      <c r="DD140" s="352" t="s">
        <v>69</v>
      </c>
      <c r="DE140" s="352" t="s">
        <v>69</v>
      </c>
      <c r="DF140" s="352" t="s">
        <v>69</v>
      </c>
      <c r="DG140" s="352" t="s">
        <v>69</v>
      </c>
      <c r="DH140" s="352" t="s">
        <v>69</v>
      </c>
      <c r="DI140" s="352" t="s">
        <v>69</v>
      </c>
      <c r="DJ140" s="352" t="s">
        <v>69</v>
      </c>
      <c r="DK140" s="352" t="s">
        <v>69</v>
      </c>
      <c r="DL140" s="352" t="s">
        <v>69</v>
      </c>
      <c r="DM140" s="352" t="s">
        <v>69</v>
      </c>
      <c r="DN140" s="352" t="s">
        <v>69</v>
      </c>
      <c r="DO140" s="352" t="s">
        <v>69</v>
      </c>
      <c r="DP140" s="352" t="s">
        <v>69</v>
      </c>
      <c r="DQ140" s="352" t="s">
        <v>69</v>
      </c>
      <c r="DR140" s="352" t="s">
        <v>69</v>
      </c>
      <c r="DS140" s="352" t="s">
        <v>69</v>
      </c>
      <c r="DT140" s="352" t="s">
        <v>69</v>
      </c>
      <c r="DU140" s="352" t="s">
        <v>69</v>
      </c>
      <c r="DV140" s="387"/>
      <c r="DW140" s="388"/>
    </row>
    <row r="141" spans="1:128" s="156" customFormat="1" ht="118.5" hidden="1" customHeight="1">
      <c r="A141" s="312">
        <v>126</v>
      </c>
      <c r="B141" s="508" t="s">
        <v>1231</v>
      </c>
      <c r="C141" s="384" t="s">
        <v>1232</v>
      </c>
      <c r="D141" s="376">
        <v>46127</v>
      </c>
      <c r="E141" s="320"/>
      <c r="F141" s="382" t="s">
        <v>633</v>
      </c>
      <c r="G141" s="352" t="s">
        <v>69</v>
      </c>
      <c r="H141" s="352" t="s">
        <v>69</v>
      </c>
      <c r="I141" s="352" t="s">
        <v>69</v>
      </c>
      <c r="J141" s="352" t="s">
        <v>69</v>
      </c>
      <c r="K141" s="352" t="s">
        <v>69</v>
      </c>
      <c r="L141" s="352">
        <v>4</v>
      </c>
      <c r="M141" s="352" t="s">
        <v>69</v>
      </c>
      <c r="N141" s="352" t="s">
        <v>69</v>
      </c>
      <c r="O141" s="352" t="s">
        <v>69</v>
      </c>
      <c r="P141" s="352" t="s">
        <v>69</v>
      </c>
      <c r="Q141" s="352" t="s">
        <v>69</v>
      </c>
      <c r="R141" s="352" t="s">
        <v>69</v>
      </c>
      <c r="S141" s="352" t="s">
        <v>69</v>
      </c>
      <c r="T141" s="352" t="s">
        <v>69</v>
      </c>
      <c r="U141" s="352" t="s">
        <v>69</v>
      </c>
      <c r="V141" s="352" t="s">
        <v>69</v>
      </c>
      <c r="W141" s="352" t="s">
        <v>69</v>
      </c>
      <c r="X141" s="352" t="s">
        <v>69</v>
      </c>
      <c r="Y141" s="352" t="s">
        <v>69</v>
      </c>
      <c r="Z141" s="352" t="s">
        <v>69</v>
      </c>
      <c r="AA141" s="352" t="s">
        <v>69</v>
      </c>
      <c r="AB141" s="352" t="s">
        <v>69</v>
      </c>
      <c r="AC141" s="352" t="s">
        <v>69</v>
      </c>
      <c r="AD141" s="352" t="s">
        <v>69</v>
      </c>
      <c r="AE141" s="352" t="s">
        <v>69</v>
      </c>
      <c r="AF141" s="352" t="s">
        <v>69</v>
      </c>
      <c r="AG141" s="352" t="s">
        <v>69</v>
      </c>
      <c r="AH141" s="352" t="s">
        <v>69</v>
      </c>
      <c r="AI141" s="352" t="s">
        <v>69</v>
      </c>
      <c r="AJ141" s="352" t="s">
        <v>69</v>
      </c>
      <c r="AK141" s="352" t="s">
        <v>69</v>
      </c>
      <c r="AL141" s="352" t="s">
        <v>69</v>
      </c>
      <c r="AM141" s="352" t="s">
        <v>69</v>
      </c>
      <c r="AN141" s="352" t="s">
        <v>69</v>
      </c>
      <c r="AO141" s="352" t="s">
        <v>69</v>
      </c>
      <c r="AP141" s="352" t="s">
        <v>69</v>
      </c>
      <c r="AQ141" s="352" t="s">
        <v>69</v>
      </c>
      <c r="AR141" s="352" t="s">
        <v>69</v>
      </c>
      <c r="AS141" s="352" t="s">
        <v>69</v>
      </c>
      <c r="AT141" s="352" t="s">
        <v>69</v>
      </c>
      <c r="AU141" s="352" t="s">
        <v>69</v>
      </c>
      <c r="AV141" s="352" t="s">
        <v>69</v>
      </c>
      <c r="AW141" s="352" t="s">
        <v>69</v>
      </c>
      <c r="AX141" s="352" t="s">
        <v>69</v>
      </c>
      <c r="AY141" s="352" t="s">
        <v>69</v>
      </c>
      <c r="AZ141" s="352" t="s">
        <v>69</v>
      </c>
      <c r="BA141" s="352" t="s">
        <v>69</v>
      </c>
      <c r="BB141" s="352">
        <v>2</v>
      </c>
      <c r="BC141" s="352" t="s">
        <v>69</v>
      </c>
      <c r="BD141" s="352" t="s">
        <v>69</v>
      </c>
      <c r="BE141" s="352" t="s">
        <v>69</v>
      </c>
      <c r="BF141" s="352" t="s">
        <v>69</v>
      </c>
      <c r="BG141" s="352" t="s">
        <v>69</v>
      </c>
      <c r="BH141" s="352" t="s">
        <v>69</v>
      </c>
      <c r="BI141" s="352" t="s">
        <v>69</v>
      </c>
      <c r="BJ141" s="352" t="s">
        <v>69</v>
      </c>
      <c r="BK141" s="352" t="s">
        <v>69</v>
      </c>
      <c r="BL141" s="352" t="s">
        <v>69</v>
      </c>
      <c r="BM141" s="352" t="s">
        <v>69</v>
      </c>
      <c r="BN141" s="352" t="s">
        <v>69</v>
      </c>
      <c r="BO141" s="352" t="s">
        <v>69</v>
      </c>
      <c r="BP141" s="352" t="s">
        <v>69</v>
      </c>
      <c r="BQ141" s="352" t="s">
        <v>69</v>
      </c>
      <c r="BR141" s="352" t="s">
        <v>69</v>
      </c>
      <c r="BS141" s="352" t="s">
        <v>69</v>
      </c>
      <c r="BT141" s="352" t="s">
        <v>69</v>
      </c>
      <c r="BU141" s="352" t="s">
        <v>69</v>
      </c>
      <c r="BV141" s="352" t="s">
        <v>69</v>
      </c>
      <c r="BW141" s="352" t="s">
        <v>69</v>
      </c>
      <c r="BX141" s="352" t="s">
        <v>69</v>
      </c>
      <c r="BY141" s="352" t="s">
        <v>69</v>
      </c>
      <c r="BZ141" s="352" t="s">
        <v>69</v>
      </c>
      <c r="CA141" s="352" t="s">
        <v>69</v>
      </c>
      <c r="CB141" s="352" t="s">
        <v>69</v>
      </c>
      <c r="CC141" s="352" t="s">
        <v>69</v>
      </c>
      <c r="CD141" s="352" t="s">
        <v>69</v>
      </c>
      <c r="CE141" s="352" t="s">
        <v>69</v>
      </c>
      <c r="CF141" s="352" t="s">
        <v>69</v>
      </c>
      <c r="CG141" s="352" t="s">
        <v>69</v>
      </c>
      <c r="CH141" s="352" t="s">
        <v>69</v>
      </c>
      <c r="CI141" s="352" t="s">
        <v>69</v>
      </c>
      <c r="CJ141" s="352" t="s">
        <v>69</v>
      </c>
      <c r="CK141" s="352" t="s">
        <v>69</v>
      </c>
      <c r="CL141" s="352" t="s">
        <v>69</v>
      </c>
      <c r="CM141" s="352" t="s">
        <v>69</v>
      </c>
      <c r="CN141" s="352" t="s">
        <v>69</v>
      </c>
      <c r="CO141" s="352" t="s">
        <v>69</v>
      </c>
      <c r="CP141" s="352" t="s">
        <v>69</v>
      </c>
      <c r="CQ141" s="352" t="s">
        <v>69</v>
      </c>
      <c r="CR141" s="352" t="s">
        <v>69</v>
      </c>
      <c r="CS141" s="352" t="s">
        <v>69</v>
      </c>
      <c r="CT141" s="352" t="s">
        <v>69</v>
      </c>
      <c r="CU141" s="352" t="s">
        <v>69</v>
      </c>
      <c r="CV141" s="352" t="s">
        <v>69</v>
      </c>
      <c r="CW141" s="352" t="s">
        <v>69</v>
      </c>
      <c r="CX141" s="352" t="s">
        <v>69</v>
      </c>
      <c r="CY141" s="352" t="s">
        <v>69</v>
      </c>
      <c r="CZ141" s="352" t="s">
        <v>69</v>
      </c>
      <c r="DA141" s="352" t="s">
        <v>69</v>
      </c>
      <c r="DB141" s="352" t="s">
        <v>69</v>
      </c>
      <c r="DC141" s="352" t="s">
        <v>69</v>
      </c>
      <c r="DD141" s="352" t="s">
        <v>69</v>
      </c>
      <c r="DE141" s="352" t="s">
        <v>69</v>
      </c>
      <c r="DF141" s="352" t="s">
        <v>69</v>
      </c>
      <c r="DG141" s="352" t="s">
        <v>69</v>
      </c>
      <c r="DH141" s="352" t="s">
        <v>69</v>
      </c>
      <c r="DI141" s="352" t="s">
        <v>69</v>
      </c>
      <c r="DJ141" s="352" t="s">
        <v>69</v>
      </c>
      <c r="DK141" s="352" t="s">
        <v>69</v>
      </c>
      <c r="DL141" s="352" t="s">
        <v>69</v>
      </c>
      <c r="DM141" s="352" t="s">
        <v>69</v>
      </c>
      <c r="DN141" s="352" t="s">
        <v>69</v>
      </c>
      <c r="DO141" s="352" t="s">
        <v>69</v>
      </c>
      <c r="DP141" s="352" t="s">
        <v>69</v>
      </c>
      <c r="DQ141" s="352" t="s">
        <v>69</v>
      </c>
      <c r="DR141" s="352" t="s">
        <v>69</v>
      </c>
      <c r="DS141" s="352" t="s">
        <v>69</v>
      </c>
      <c r="DT141" s="352" t="s">
        <v>69</v>
      </c>
      <c r="DU141" s="352" t="s">
        <v>69</v>
      </c>
      <c r="DV141" s="387"/>
      <c r="DW141" s="388"/>
    </row>
    <row r="142" spans="1:128" s="156" customFormat="1" ht="118.5" hidden="1" customHeight="1">
      <c r="A142" s="312">
        <v>127</v>
      </c>
      <c r="B142" s="464" t="s">
        <v>1001</v>
      </c>
      <c r="C142" s="462" t="s">
        <v>1002</v>
      </c>
      <c r="D142" s="465">
        <v>45992</v>
      </c>
      <c r="E142" s="320" t="s">
        <v>1294</v>
      </c>
      <c r="F142" s="382" t="s">
        <v>633</v>
      </c>
      <c r="G142" s="352" t="s">
        <v>69</v>
      </c>
      <c r="H142" s="352" t="s">
        <v>69</v>
      </c>
      <c r="I142" s="352" t="s">
        <v>69</v>
      </c>
      <c r="J142" s="352" t="s">
        <v>69</v>
      </c>
      <c r="K142" s="352" t="s">
        <v>69</v>
      </c>
      <c r="L142" s="352" t="s">
        <v>69</v>
      </c>
      <c r="M142" s="352" t="s">
        <v>69</v>
      </c>
      <c r="N142" s="352" t="s">
        <v>69</v>
      </c>
      <c r="O142" s="352" t="s">
        <v>69</v>
      </c>
      <c r="P142" s="352" t="s">
        <v>69</v>
      </c>
      <c r="Q142" s="352" t="s">
        <v>69</v>
      </c>
      <c r="R142" s="352" t="s">
        <v>69</v>
      </c>
      <c r="S142" s="352" t="s">
        <v>69</v>
      </c>
      <c r="T142" s="352" t="s">
        <v>69</v>
      </c>
      <c r="U142" s="352" t="s">
        <v>69</v>
      </c>
      <c r="V142" s="352" t="s">
        <v>69</v>
      </c>
      <c r="W142" s="352" t="s">
        <v>69</v>
      </c>
      <c r="X142" s="352" t="s">
        <v>69</v>
      </c>
      <c r="Y142" s="352" t="s">
        <v>69</v>
      </c>
      <c r="Z142" s="352" t="s">
        <v>69</v>
      </c>
      <c r="AA142" s="352" t="s">
        <v>69</v>
      </c>
      <c r="AB142" s="352" t="s">
        <v>69</v>
      </c>
      <c r="AC142" s="352" t="s">
        <v>69</v>
      </c>
      <c r="AD142" s="352" t="s">
        <v>69</v>
      </c>
      <c r="AE142" s="352" t="s">
        <v>69</v>
      </c>
      <c r="AF142" s="352" t="s">
        <v>69</v>
      </c>
      <c r="AG142" s="352" t="s">
        <v>69</v>
      </c>
      <c r="AH142" s="352" t="s">
        <v>69</v>
      </c>
      <c r="AI142" s="352" t="s">
        <v>69</v>
      </c>
      <c r="AJ142" s="352" t="s">
        <v>69</v>
      </c>
      <c r="AK142" s="352" t="s">
        <v>69</v>
      </c>
      <c r="AL142" s="352" t="s">
        <v>69</v>
      </c>
      <c r="AM142" s="352" t="s">
        <v>69</v>
      </c>
      <c r="AN142" s="352" t="s">
        <v>69</v>
      </c>
      <c r="AO142" s="352" t="s">
        <v>69</v>
      </c>
      <c r="AP142" s="352" t="s">
        <v>69</v>
      </c>
      <c r="AQ142" s="352" t="s">
        <v>69</v>
      </c>
      <c r="AR142" s="352" t="s">
        <v>69</v>
      </c>
      <c r="AS142" s="352" t="s">
        <v>69</v>
      </c>
      <c r="AT142" s="352" t="s">
        <v>69</v>
      </c>
      <c r="AU142" s="352" t="s">
        <v>69</v>
      </c>
      <c r="AV142" s="352" t="s">
        <v>69</v>
      </c>
      <c r="AW142" s="352" t="s">
        <v>69</v>
      </c>
      <c r="AX142" s="352" t="s">
        <v>69</v>
      </c>
      <c r="AY142" s="352" t="s">
        <v>69</v>
      </c>
      <c r="AZ142" s="352" t="s">
        <v>69</v>
      </c>
      <c r="BA142" s="352" t="s">
        <v>69</v>
      </c>
      <c r="BB142" s="352" t="s">
        <v>69</v>
      </c>
      <c r="BC142" s="352" t="s">
        <v>69</v>
      </c>
      <c r="BD142" s="352" t="s">
        <v>69</v>
      </c>
      <c r="BE142" s="352" t="s">
        <v>69</v>
      </c>
      <c r="BF142" s="352" t="s">
        <v>69</v>
      </c>
      <c r="BG142" s="352" t="s">
        <v>69</v>
      </c>
      <c r="BH142" s="352" t="s">
        <v>69</v>
      </c>
      <c r="BI142" s="352" t="s">
        <v>69</v>
      </c>
      <c r="BJ142" s="352" t="s">
        <v>69</v>
      </c>
      <c r="BK142" s="352" t="s">
        <v>69</v>
      </c>
      <c r="BL142" s="352" t="s">
        <v>69</v>
      </c>
      <c r="BM142" s="352" t="s">
        <v>69</v>
      </c>
      <c r="BN142" s="352" t="s">
        <v>69</v>
      </c>
      <c r="BO142" s="352" t="s">
        <v>69</v>
      </c>
      <c r="BP142" s="352" t="s">
        <v>69</v>
      </c>
      <c r="BQ142" s="352" t="s">
        <v>69</v>
      </c>
      <c r="BR142" s="352" t="s">
        <v>69</v>
      </c>
      <c r="BS142" s="352" t="s">
        <v>69</v>
      </c>
      <c r="BT142" s="352" t="s">
        <v>69</v>
      </c>
      <c r="BU142" s="352" t="s">
        <v>69</v>
      </c>
      <c r="BV142" s="352" t="s">
        <v>69</v>
      </c>
      <c r="BW142" s="352" t="s">
        <v>69</v>
      </c>
      <c r="BX142" s="352" t="s">
        <v>69</v>
      </c>
      <c r="BY142" s="352" t="s">
        <v>69</v>
      </c>
      <c r="BZ142" s="352">
        <v>4</v>
      </c>
      <c r="CA142" s="352" t="s">
        <v>69</v>
      </c>
      <c r="CB142" s="352" t="s">
        <v>69</v>
      </c>
      <c r="CC142" s="352" t="s">
        <v>69</v>
      </c>
      <c r="CD142" s="352" t="s">
        <v>69</v>
      </c>
      <c r="CE142" s="352" t="s">
        <v>69</v>
      </c>
      <c r="CF142" s="352" t="s">
        <v>69</v>
      </c>
      <c r="CG142" s="352" t="s">
        <v>69</v>
      </c>
      <c r="CH142" s="352" t="s">
        <v>69</v>
      </c>
      <c r="CI142" s="352" t="s">
        <v>69</v>
      </c>
      <c r="CJ142" s="352" t="s">
        <v>69</v>
      </c>
      <c r="CK142" s="352" t="s">
        <v>69</v>
      </c>
      <c r="CL142" s="352" t="s">
        <v>69</v>
      </c>
      <c r="CM142" s="352" t="s">
        <v>69</v>
      </c>
      <c r="CN142" s="352" t="s">
        <v>69</v>
      </c>
      <c r="CO142" s="352" t="s">
        <v>69</v>
      </c>
      <c r="CP142" s="352" t="s">
        <v>69</v>
      </c>
      <c r="CQ142" s="352" t="s">
        <v>69</v>
      </c>
      <c r="CR142" s="352" t="s">
        <v>69</v>
      </c>
      <c r="CS142" s="352" t="s">
        <v>69</v>
      </c>
      <c r="CT142" s="352" t="s">
        <v>69</v>
      </c>
      <c r="CU142" s="352" t="s">
        <v>69</v>
      </c>
      <c r="CV142" s="352" t="s">
        <v>69</v>
      </c>
      <c r="CW142" s="352" t="s">
        <v>69</v>
      </c>
      <c r="CX142" s="352" t="s">
        <v>69</v>
      </c>
      <c r="CY142" s="352" t="s">
        <v>69</v>
      </c>
      <c r="CZ142" s="352" t="s">
        <v>69</v>
      </c>
      <c r="DA142" s="352" t="s">
        <v>69</v>
      </c>
      <c r="DB142" s="352" t="s">
        <v>69</v>
      </c>
      <c r="DC142" s="352" t="s">
        <v>69</v>
      </c>
      <c r="DD142" s="352" t="s">
        <v>69</v>
      </c>
      <c r="DE142" s="352" t="s">
        <v>69</v>
      </c>
      <c r="DF142" s="352" t="s">
        <v>69</v>
      </c>
      <c r="DG142" s="352" t="s">
        <v>69</v>
      </c>
      <c r="DH142" s="352" t="s">
        <v>69</v>
      </c>
      <c r="DI142" s="352" t="s">
        <v>69</v>
      </c>
      <c r="DJ142" s="352" t="s">
        <v>69</v>
      </c>
      <c r="DK142" s="352" t="s">
        <v>69</v>
      </c>
      <c r="DL142" s="352" t="s">
        <v>69</v>
      </c>
      <c r="DM142" s="352" t="s">
        <v>69</v>
      </c>
      <c r="DN142" s="352" t="s">
        <v>69</v>
      </c>
      <c r="DO142" s="352" t="s">
        <v>69</v>
      </c>
      <c r="DP142" s="352" t="s">
        <v>69</v>
      </c>
      <c r="DQ142" s="352" t="s">
        <v>69</v>
      </c>
      <c r="DR142" s="352" t="s">
        <v>69</v>
      </c>
      <c r="DS142" s="352" t="s">
        <v>69</v>
      </c>
      <c r="DT142" s="352" t="s">
        <v>69</v>
      </c>
      <c r="DU142" s="352" t="s">
        <v>69</v>
      </c>
      <c r="DV142" s="387"/>
      <c r="DW142" s="388"/>
    </row>
    <row r="143" spans="1:128" s="156" customFormat="1" ht="118.5" hidden="1" customHeight="1">
      <c r="A143" s="312"/>
      <c r="B143" s="508"/>
      <c r="C143" s="384"/>
      <c r="D143" s="376"/>
      <c r="E143" s="320"/>
      <c r="F143" s="38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 s="352"/>
      <c r="AM143" s="352"/>
      <c r="AN143" s="352"/>
      <c r="AO143" s="352"/>
      <c r="AP143" s="352"/>
      <c r="AQ143" s="352"/>
      <c r="AR143" s="352"/>
      <c r="AS143" s="352"/>
      <c r="AT143" s="352"/>
      <c r="AU143" s="352"/>
      <c r="AV143" s="352"/>
      <c r="AW143" s="352"/>
      <c r="AX143" s="352"/>
      <c r="AY143" s="352"/>
      <c r="AZ143" s="352"/>
      <c r="BA143" s="352"/>
      <c r="BB143" s="352"/>
      <c r="BC143" s="352"/>
      <c r="BD143" s="352"/>
      <c r="BE143" s="352"/>
      <c r="BF143" s="352"/>
      <c r="BG143" s="352"/>
      <c r="BH143" s="352"/>
      <c r="BI143" s="352"/>
      <c r="BJ143" s="352"/>
      <c r="BK143" s="352"/>
      <c r="BL143" s="352"/>
      <c r="BM143" s="352"/>
      <c r="BN143" s="352"/>
      <c r="BO143" s="352"/>
      <c r="BP143" s="352"/>
      <c r="BQ143" s="352"/>
      <c r="BR143" s="352"/>
      <c r="BS143" s="352"/>
      <c r="BT143" s="352"/>
      <c r="BU143" s="352"/>
      <c r="BV143" s="352"/>
      <c r="BW143" s="352"/>
      <c r="BX143" s="352"/>
      <c r="BY143" s="352"/>
      <c r="BZ143" s="352"/>
      <c r="CA143" s="352"/>
      <c r="CB143" s="352"/>
      <c r="CC143" s="352"/>
      <c r="CD143" s="352"/>
      <c r="CE143" s="352"/>
      <c r="CF143" s="352"/>
      <c r="CG143" s="352"/>
      <c r="CH143" s="352"/>
      <c r="CI143" s="352"/>
      <c r="CJ143" s="352"/>
      <c r="CK143" s="352"/>
      <c r="CL143" s="352"/>
      <c r="CM143" s="352"/>
      <c r="CN143" s="352"/>
      <c r="CO143" s="352"/>
      <c r="CP143" s="352"/>
      <c r="CQ143" s="352"/>
      <c r="CR143" s="352"/>
      <c r="CS143" s="352"/>
      <c r="CT143" s="352"/>
      <c r="CU143" s="352"/>
      <c r="CV143" s="352"/>
      <c r="CW143" s="352"/>
      <c r="CX143" s="352"/>
      <c r="CY143" s="352"/>
      <c r="CZ143" s="352"/>
      <c r="DA143" s="352"/>
      <c r="DB143" s="352"/>
      <c r="DC143" s="352"/>
      <c r="DD143" s="352"/>
      <c r="DE143" s="352"/>
      <c r="DF143" s="352"/>
      <c r="DG143" s="352"/>
      <c r="DH143" s="352"/>
      <c r="DI143" s="352"/>
      <c r="DJ143" s="352"/>
      <c r="DK143" s="352"/>
      <c r="DL143" s="352"/>
      <c r="DM143" s="352"/>
      <c r="DN143" s="352"/>
      <c r="DO143" s="352"/>
      <c r="DP143" s="352"/>
      <c r="DQ143" s="352"/>
      <c r="DR143" s="352"/>
      <c r="DS143" s="352"/>
      <c r="DT143" s="352"/>
      <c r="DU143" s="352"/>
      <c r="DV143" s="387"/>
      <c r="DW143" s="388"/>
    </row>
    <row r="144" spans="1:128" ht="38.4" hidden="1">
      <c r="A144" s="312"/>
      <c r="B144" s="358"/>
      <c r="C144" s="384"/>
      <c r="DV144" s="359"/>
      <c r="DW144" s="360"/>
      <c r="DX144" t="e">
        <f>VLOOKUP(B144,[1]Pointage!$A:$D,4,0)</f>
        <v>#N/A</v>
      </c>
    </row>
    <row r="145" spans="1:247" ht="148.5" hidden="1" customHeight="1" thickBot="1">
      <c r="A145" s="312"/>
      <c r="B145" s="889" t="s">
        <v>17</v>
      </c>
      <c r="C145" s="890"/>
      <c r="D145" s="890"/>
      <c r="E145" s="890"/>
      <c r="F145" s="891"/>
      <c r="G145" s="361">
        <f t="shared" ref="G145:AL145" si="5">COUNTIF(G15:G56,"&gt;1")</f>
        <v>25</v>
      </c>
      <c r="H145" s="361">
        <f t="shared" si="5"/>
        <v>8</v>
      </c>
      <c r="I145" s="361">
        <f t="shared" si="5"/>
        <v>22</v>
      </c>
      <c r="J145" s="361">
        <f t="shared" si="5"/>
        <v>7</v>
      </c>
      <c r="K145" s="361">
        <f t="shared" si="5"/>
        <v>7</v>
      </c>
      <c r="L145" s="361">
        <f t="shared" si="5"/>
        <v>6</v>
      </c>
      <c r="M145" s="361">
        <f t="shared" si="5"/>
        <v>3</v>
      </c>
      <c r="N145" s="361">
        <f t="shared" si="5"/>
        <v>7</v>
      </c>
      <c r="O145" s="361">
        <f t="shared" si="5"/>
        <v>3</v>
      </c>
      <c r="P145" s="361">
        <f t="shared" si="5"/>
        <v>9</v>
      </c>
      <c r="Q145" s="361">
        <f t="shared" si="5"/>
        <v>7</v>
      </c>
      <c r="R145" s="361">
        <f t="shared" si="5"/>
        <v>16</v>
      </c>
      <c r="S145" s="361">
        <f t="shared" si="5"/>
        <v>5</v>
      </c>
      <c r="T145" s="361">
        <f t="shared" si="5"/>
        <v>2</v>
      </c>
      <c r="U145" s="361">
        <f t="shared" si="5"/>
        <v>2</v>
      </c>
      <c r="V145" s="361">
        <f t="shared" si="5"/>
        <v>9</v>
      </c>
      <c r="W145" s="361">
        <f t="shared" si="5"/>
        <v>7</v>
      </c>
      <c r="X145" s="361">
        <f t="shared" si="5"/>
        <v>5</v>
      </c>
      <c r="Y145" s="361">
        <f t="shared" si="5"/>
        <v>2</v>
      </c>
      <c r="Z145" s="361">
        <f t="shared" si="5"/>
        <v>4</v>
      </c>
      <c r="AA145" s="361">
        <f t="shared" si="5"/>
        <v>12</v>
      </c>
      <c r="AB145" s="361">
        <f t="shared" si="5"/>
        <v>17</v>
      </c>
      <c r="AC145" s="361">
        <f t="shared" si="5"/>
        <v>4</v>
      </c>
      <c r="AD145" s="361">
        <f t="shared" si="5"/>
        <v>10</v>
      </c>
      <c r="AE145" s="361">
        <f t="shared" si="5"/>
        <v>10</v>
      </c>
      <c r="AF145" s="361">
        <f t="shared" si="5"/>
        <v>4</v>
      </c>
      <c r="AG145" s="361">
        <f t="shared" si="5"/>
        <v>8</v>
      </c>
      <c r="AH145" s="361">
        <f t="shared" si="5"/>
        <v>3</v>
      </c>
      <c r="AI145" s="361">
        <f t="shared" si="5"/>
        <v>7</v>
      </c>
      <c r="AJ145" s="361">
        <f t="shared" si="5"/>
        <v>2</v>
      </c>
      <c r="AK145" s="361">
        <f t="shared" si="5"/>
        <v>10</v>
      </c>
      <c r="AL145" s="361">
        <f t="shared" si="5"/>
        <v>4</v>
      </c>
      <c r="AM145" s="361">
        <f t="shared" ref="AM145:BR145" si="6">COUNTIF(AM15:AM56,"&gt;1")</f>
        <v>9</v>
      </c>
      <c r="AN145" s="361">
        <f t="shared" si="6"/>
        <v>7</v>
      </c>
      <c r="AO145" s="361">
        <f t="shared" si="6"/>
        <v>9</v>
      </c>
      <c r="AP145" s="361">
        <f t="shared" si="6"/>
        <v>8</v>
      </c>
      <c r="AQ145" s="361">
        <f t="shared" si="6"/>
        <v>17</v>
      </c>
      <c r="AR145" s="361">
        <f t="shared" si="6"/>
        <v>6</v>
      </c>
      <c r="AS145" s="361">
        <f t="shared" si="6"/>
        <v>13</v>
      </c>
      <c r="AT145" s="361">
        <f t="shared" si="6"/>
        <v>11</v>
      </c>
      <c r="AU145" s="361">
        <f t="shared" si="6"/>
        <v>8</v>
      </c>
      <c r="AV145" s="361">
        <f t="shared" si="6"/>
        <v>17</v>
      </c>
      <c r="AW145" s="361">
        <f t="shared" si="6"/>
        <v>8</v>
      </c>
      <c r="AX145" s="361">
        <f t="shared" si="6"/>
        <v>6</v>
      </c>
      <c r="AY145" s="361">
        <f t="shared" si="6"/>
        <v>15</v>
      </c>
      <c r="AZ145" s="361">
        <f t="shared" si="6"/>
        <v>6</v>
      </c>
      <c r="BA145" s="361">
        <f t="shared" si="6"/>
        <v>4</v>
      </c>
      <c r="BB145" s="361">
        <f t="shared" si="6"/>
        <v>10</v>
      </c>
      <c r="BC145" s="361">
        <f t="shared" si="6"/>
        <v>9</v>
      </c>
      <c r="BD145" s="361">
        <f t="shared" si="6"/>
        <v>1</v>
      </c>
      <c r="BE145" s="361">
        <f t="shared" si="6"/>
        <v>24</v>
      </c>
      <c r="BF145" s="361">
        <f t="shared" si="6"/>
        <v>11</v>
      </c>
      <c r="BG145" s="361">
        <f t="shared" si="6"/>
        <v>7</v>
      </c>
      <c r="BH145" s="361">
        <f t="shared" si="6"/>
        <v>0</v>
      </c>
      <c r="BI145" s="361">
        <f t="shared" si="6"/>
        <v>1</v>
      </c>
      <c r="BJ145" s="361">
        <f t="shared" si="6"/>
        <v>4</v>
      </c>
      <c r="BK145" s="361">
        <f t="shared" si="6"/>
        <v>9</v>
      </c>
      <c r="BL145" s="361">
        <f t="shared" si="6"/>
        <v>3</v>
      </c>
      <c r="BM145" s="361">
        <f t="shared" si="6"/>
        <v>5</v>
      </c>
      <c r="BN145" s="361">
        <f t="shared" si="6"/>
        <v>4</v>
      </c>
      <c r="BO145" s="361">
        <f t="shared" si="6"/>
        <v>7</v>
      </c>
      <c r="BP145" s="361">
        <f t="shared" si="6"/>
        <v>4</v>
      </c>
      <c r="BQ145" s="361">
        <f t="shared" si="6"/>
        <v>11</v>
      </c>
      <c r="BR145" s="361">
        <f t="shared" si="6"/>
        <v>6</v>
      </c>
      <c r="BS145" s="361">
        <f t="shared" ref="BS145:CX145" si="7">COUNTIF(BS15:BS56,"&gt;1")</f>
        <v>25</v>
      </c>
      <c r="BT145" s="361">
        <f t="shared" si="7"/>
        <v>11</v>
      </c>
      <c r="BU145" s="361">
        <f t="shared" si="7"/>
        <v>6</v>
      </c>
      <c r="BV145" s="361">
        <f t="shared" si="7"/>
        <v>1</v>
      </c>
      <c r="BW145" s="361">
        <f t="shared" si="7"/>
        <v>0</v>
      </c>
      <c r="BX145" s="361">
        <f t="shared" si="7"/>
        <v>13</v>
      </c>
      <c r="BY145" s="361">
        <f t="shared" si="7"/>
        <v>8</v>
      </c>
      <c r="BZ145" s="361">
        <f t="shared" si="7"/>
        <v>7</v>
      </c>
      <c r="CA145" s="361">
        <f t="shared" si="7"/>
        <v>10</v>
      </c>
      <c r="CB145" s="361">
        <f t="shared" si="7"/>
        <v>9</v>
      </c>
      <c r="CC145" s="361">
        <f t="shared" si="7"/>
        <v>3</v>
      </c>
      <c r="CD145" s="361">
        <f t="shared" si="7"/>
        <v>1</v>
      </c>
      <c r="CE145" s="361">
        <f t="shared" si="7"/>
        <v>2</v>
      </c>
      <c r="CF145" s="361">
        <f t="shared" si="7"/>
        <v>2</v>
      </c>
      <c r="CG145" s="361">
        <f t="shared" si="7"/>
        <v>23</v>
      </c>
      <c r="CH145" s="361">
        <f t="shared" si="7"/>
        <v>6</v>
      </c>
      <c r="CI145" s="361">
        <f t="shared" si="7"/>
        <v>7</v>
      </c>
      <c r="CJ145" s="361">
        <f t="shared" si="7"/>
        <v>5</v>
      </c>
      <c r="CK145" s="361">
        <f t="shared" si="7"/>
        <v>4</v>
      </c>
      <c r="CL145" s="361">
        <f t="shared" si="7"/>
        <v>4</v>
      </c>
      <c r="CM145" s="361">
        <f t="shared" si="7"/>
        <v>7</v>
      </c>
      <c r="CN145" s="361">
        <f t="shared" si="7"/>
        <v>13</v>
      </c>
      <c r="CO145" s="361">
        <f t="shared" si="7"/>
        <v>19</v>
      </c>
      <c r="CP145" s="361">
        <f t="shared" si="7"/>
        <v>13</v>
      </c>
      <c r="CQ145" s="361">
        <f t="shared" si="7"/>
        <v>10</v>
      </c>
      <c r="CR145" s="361">
        <f t="shared" si="7"/>
        <v>11</v>
      </c>
      <c r="CS145" s="361">
        <f t="shared" si="7"/>
        <v>16</v>
      </c>
      <c r="CT145" s="361">
        <f t="shared" si="7"/>
        <v>15</v>
      </c>
      <c r="CU145" s="361">
        <f t="shared" si="7"/>
        <v>9</v>
      </c>
      <c r="CV145" s="361">
        <f t="shared" si="7"/>
        <v>20</v>
      </c>
      <c r="CW145" s="361">
        <f t="shared" si="7"/>
        <v>9</v>
      </c>
      <c r="CX145" s="361">
        <f t="shared" si="7"/>
        <v>19</v>
      </c>
      <c r="CY145" s="361">
        <f t="shared" ref="CY145:DU145" si="8">COUNTIF(CY15:CY56,"&gt;1")</f>
        <v>3</v>
      </c>
      <c r="CZ145" s="361">
        <f t="shared" si="8"/>
        <v>3</v>
      </c>
      <c r="DA145" s="361">
        <f t="shared" si="8"/>
        <v>24</v>
      </c>
      <c r="DB145" s="361">
        <f t="shared" si="8"/>
        <v>9</v>
      </c>
      <c r="DC145" s="361">
        <f t="shared" si="8"/>
        <v>22</v>
      </c>
      <c r="DD145" s="361">
        <f t="shared" si="8"/>
        <v>9</v>
      </c>
      <c r="DE145" s="361">
        <f t="shared" si="8"/>
        <v>13</v>
      </c>
      <c r="DF145" s="361">
        <f t="shared" si="8"/>
        <v>16</v>
      </c>
      <c r="DG145" s="361">
        <f t="shared" si="8"/>
        <v>5</v>
      </c>
      <c r="DH145" s="361">
        <f t="shared" si="8"/>
        <v>3</v>
      </c>
      <c r="DI145" s="361">
        <f t="shared" si="8"/>
        <v>2</v>
      </c>
      <c r="DJ145" s="361">
        <f t="shared" si="8"/>
        <v>2</v>
      </c>
      <c r="DK145" s="361">
        <f t="shared" si="8"/>
        <v>2</v>
      </c>
      <c r="DL145" s="361">
        <f t="shared" si="8"/>
        <v>9</v>
      </c>
      <c r="DM145" s="361">
        <f t="shared" si="8"/>
        <v>10</v>
      </c>
      <c r="DN145" s="361">
        <f t="shared" si="8"/>
        <v>5</v>
      </c>
      <c r="DO145" s="361">
        <f t="shared" si="8"/>
        <v>1</v>
      </c>
      <c r="DP145" s="361">
        <f t="shared" si="8"/>
        <v>1</v>
      </c>
      <c r="DQ145" s="361">
        <f t="shared" si="8"/>
        <v>0</v>
      </c>
      <c r="DR145" s="361">
        <f t="shared" si="8"/>
        <v>0</v>
      </c>
      <c r="DS145" s="361">
        <f t="shared" si="8"/>
        <v>8</v>
      </c>
      <c r="DT145" s="361">
        <f t="shared" si="8"/>
        <v>4</v>
      </c>
      <c r="DU145" s="361">
        <f t="shared" si="8"/>
        <v>32</v>
      </c>
      <c r="DV145" s="362">
        <f t="shared" ref="DV145:DV146" si="9">COUNTIF(G145:DU145,"&gt;0")/63</f>
        <v>1.8253968253968254</v>
      </c>
      <c r="DW145" s="363">
        <f t="shared" ref="DW145:DW146" si="10">+COUNTIF(G145:DU145,"&gt;2")/COUNTIF(G145:DU145,"&gt;1")</f>
        <v>0.91743119266055051</v>
      </c>
      <c r="DX145" t="e">
        <f>VLOOKUP(#REF!,[1]Pointage!$A:$D,4,0)</f>
        <v>#REF!</v>
      </c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</row>
    <row r="146" spans="1:247" ht="148.5" hidden="1" customHeight="1" thickBot="1">
      <c r="A146" s="312"/>
      <c r="B146" s="892" t="s">
        <v>12</v>
      </c>
      <c r="C146" s="892"/>
      <c r="D146" s="892"/>
      <c r="E146" s="892"/>
      <c r="F146" s="892"/>
      <c r="G146" s="361">
        <v>3</v>
      </c>
      <c r="H146" s="361">
        <v>3</v>
      </c>
      <c r="I146" s="361">
        <v>3</v>
      </c>
      <c r="J146" s="361">
        <v>3</v>
      </c>
      <c r="K146" s="361">
        <v>3</v>
      </c>
      <c r="L146" s="361">
        <v>3</v>
      </c>
      <c r="M146" s="361">
        <v>3</v>
      </c>
      <c r="N146" s="361">
        <v>3</v>
      </c>
      <c r="O146" s="361">
        <v>3</v>
      </c>
      <c r="P146" s="361">
        <v>3</v>
      </c>
      <c r="Q146" s="361">
        <v>3</v>
      </c>
      <c r="R146" s="361">
        <v>3</v>
      </c>
      <c r="S146" s="361">
        <v>3</v>
      </c>
      <c r="T146" s="361">
        <v>3</v>
      </c>
      <c r="U146" s="361">
        <v>3</v>
      </c>
      <c r="V146" s="361">
        <v>3</v>
      </c>
      <c r="W146" s="361">
        <v>3</v>
      </c>
      <c r="X146" s="361">
        <v>3</v>
      </c>
      <c r="Y146" s="361">
        <v>3</v>
      </c>
      <c r="Z146" s="361">
        <v>3</v>
      </c>
      <c r="AA146" s="361">
        <v>3</v>
      </c>
      <c r="AB146" s="361">
        <v>3</v>
      </c>
      <c r="AC146" s="361">
        <v>3</v>
      </c>
      <c r="AD146" s="361">
        <v>3</v>
      </c>
      <c r="AE146" s="361">
        <v>3</v>
      </c>
      <c r="AF146" s="361">
        <v>3</v>
      </c>
      <c r="AG146" s="361">
        <v>3</v>
      </c>
      <c r="AH146" s="361">
        <v>3</v>
      </c>
      <c r="AI146" s="361">
        <v>3</v>
      </c>
      <c r="AJ146" s="361">
        <v>3</v>
      </c>
      <c r="AK146" s="361">
        <v>3</v>
      </c>
      <c r="AL146" s="361">
        <v>3</v>
      </c>
      <c r="AM146" s="361">
        <v>3</v>
      </c>
      <c r="AN146" s="361">
        <v>3</v>
      </c>
      <c r="AO146" s="361">
        <v>3</v>
      </c>
      <c r="AP146" s="361">
        <v>3</v>
      </c>
      <c r="AQ146" s="361">
        <v>3</v>
      </c>
      <c r="AR146" s="361">
        <v>3</v>
      </c>
      <c r="AS146" s="361">
        <v>3</v>
      </c>
      <c r="AT146" s="361">
        <v>3</v>
      </c>
      <c r="AU146" s="361">
        <v>3</v>
      </c>
      <c r="AV146" s="361">
        <v>3</v>
      </c>
      <c r="AW146" s="361">
        <v>3</v>
      </c>
      <c r="AX146" s="361">
        <v>3</v>
      </c>
      <c r="AY146" s="361">
        <v>3</v>
      </c>
      <c r="AZ146" s="361">
        <v>3</v>
      </c>
      <c r="BA146" s="361">
        <v>3</v>
      </c>
      <c r="BB146" s="361">
        <v>3</v>
      </c>
      <c r="BC146" s="361">
        <v>3</v>
      </c>
      <c r="BD146" s="361">
        <v>3</v>
      </c>
      <c r="BE146" s="361">
        <v>3</v>
      </c>
      <c r="BF146" s="361">
        <v>3</v>
      </c>
      <c r="BG146" s="361">
        <v>3</v>
      </c>
      <c r="BH146" s="361">
        <v>3</v>
      </c>
      <c r="BI146" s="361">
        <v>3</v>
      </c>
      <c r="BJ146" s="361">
        <v>3</v>
      </c>
      <c r="BK146" s="361">
        <v>3</v>
      </c>
      <c r="BL146" s="361">
        <v>3</v>
      </c>
      <c r="BM146" s="361">
        <v>3</v>
      </c>
      <c r="BN146" s="361">
        <v>3</v>
      </c>
      <c r="BO146" s="361">
        <v>3</v>
      </c>
      <c r="BP146" s="361">
        <v>3</v>
      </c>
      <c r="BQ146" s="361">
        <v>3</v>
      </c>
      <c r="BR146" s="361">
        <v>3</v>
      </c>
      <c r="BS146" s="361">
        <v>3</v>
      </c>
      <c r="BT146" s="361">
        <v>3</v>
      </c>
      <c r="BU146" s="361">
        <v>3</v>
      </c>
      <c r="BV146" s="361">
        <v>3</v>
      </c>
      <c r="BW146" s="361">
        <v>3</v>
      </c>
      <c r="BX146" s="361">
        <v>3</v>
      </c>
      <c r="BY146" s="361">
        <v>3</v>
      </c>
      <c r="BZ146" s="361">
        <v>3</v>
      </c>
      <c r="CA146" s="361">
        <v>3</v>
      </c>
      <c r="CB146" s="361">
        <v>3</v>
      </c>
      <c r="CC146" s="361">
        <v>3</v>
      </c>
      <c r="CD146" s="361">
        <v>3</v>
      </c>
      <c r="CE146" s="361">
        <v>3</v>
      </c>
      <c r="CF146" s="361">
        <v>3</v>
      </c>
      <c r="CG146" s="361">
        <v>3</v>
      </c>
      <c r="CH146" s="361">
        <v>3</v>
      </c>
      <c r="CI146" s="361">
        <v>3</v>
      </c>
      <c r="CJ146" s="361">
        <v>3</v>
      </c>
      <c r="CK146" s="361">
        <v>3</v>
      </c>
      <c r="CL146" s="361">
        <v>3</v>
      </c>
      <c r="CM146" s="361">
        <v>3</v>
      </c>
      <c r="CN146" s="361">
        <v>3</v>
      </c>
      <c r="CO146" s="361">
        <v>3</v>
      </c>
      <c r="CP146" s="361">
        <v>3</v>
      </c>
      <c r="CQ146" s="361">
        <v>3</v>
      </c>
      <c r="CR146" s="361">
        <v>3</v>
      </c>
      <c r="CS146" s="361">
        <v>3</v>
      </c>
      <c r="CT146" s="361">
        <v>3</v>
      </c>
      <c r="CU146" s="361">
        <v>3</v>
      </c>
      <c r="CV146" s="361">
        <v>3</v>
      </c>
      <c r="CW146" s="361">
        <v>3</v>
      </c>
      <c r="CX146" s="361">
        <v>3</v>
      </c>
      <c r="CY146" s="361">
        <v>3</v>
      </c>
      <c r="CZ146" s="361">
        <v>3</v>
      </c>
      <c r="DA146" s="361">
        <v>3</v>
      </c>
      <c r="DB146" s="361">
        <v>3</v>
      </c>
      <c r="DC146" s="361">
        <v>3</v>
      </c>
      <c r="DD146" s="361">
        <v>3</v>
      </c>
      <c r="DE146" s="361">
        <v>3</v>
      </c>
      <c r="DF146" s="361">
        <v>3</v>
      </c>
      <c r="DG146" s="361">
        <v>3</v>
      </c>
      <c r="DH146" s="361">
        <v>3</v>
      </c>
      <c r="DI146" s="361">
        <v>3</v>
      </c>
      <c r="DJ146" s="361">
        <v>3</v>
      </c>
      <c r="DK146" s="361">
        <v>3</v>
      </c>
      <c r="DL146" s="361">
        <v>3</v>
      </c>
      <c r="DM146" s="361">
        <v>3</v>
      </c>
      <c r="DN146" s="361">
        <v>3</v>
      </c>
      <c r="DO146" s="361">
        <v>3</v>
      </c>
      <c r="DP146" s="361">
        <v>3</v>
      </c>
      <c r="DQ146" s="361">
        <v>3</v>
      </c>
      <c r="DR146" s="361">
        <v>3</v>
      </c>
      <c r="DS146" s="361">
        <v>3</v>
      </c>
      <c r="DT146" s="361">
        <v>3</v>
      </c>
      <c r="DU146" s="361">
        <v>3</v>
      </c>
      <c r="DV146" s="362">
        <f t="shared" si="9"/>
        <v>1.8888888888888888</v>
      </c>
      <c r="DW146" s="363">
        <f t="shared" si="10"/>
        <v>1</v>
      </c>
      <c r="DX146" t="e">
        <f>VLOOKUP(B146,[1]Pointage!$A:$D,4,0)</f>
        <v>#N/A</v>
      </c>
    </row>
    <row r="147" spans="1:247" ht="82.5" hidden="1" customHeight="1">
      <c r="A147" s="312"/>
      <c r="B147" s="309"/>
      <c r="C147" s="174"/>
      <c r="D147" s="368"/>
      <c r="E147" s="309"/>
      <c r="F147" s="174"/>
      <c r="G147" s="275"/>
      <c r="H147" s="275"/>
      <c r="I147" s="275"/>
      <c r="J147" s="275"/>
      <c r="K147" s="275"/>
      <c r="L147" s="275">
        <v>3</v>
      </c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  <c r="AD147" s="275"/>
      <c r="AE147" s="275"/>
      <c r="AF147" s="275"/>
      <c r="AG147" s="275"/>
      <c r="AH147" s="275"/>
      <c r="AI147" s="275"/>
      <c r="AJ147" s="275"/>
      <c r="AK147" s="275"/>
      <c r="AL147" s="275"/>
      <c r="AM147" s="275"/>
      <c r="AN147" s="275"/>
      <c r="AO147" s="275"/>
      <c r="AP147" s="275"/>
      <c r="AQ147" s="275"/>
      <c r="AR147" s="275"/>
      <c r="AS147" s="275"/>
      <c r="AT147" s="275"/>
      <c r="AU147" s="275"/>
      <c r="AV147" s="275"/>
      <c r="AW147" s="275"/>
      <c r="AX147" s="275"/>
      <c r="AY147" s="275"/>
      <c r="AZ147" s="275"/>
      <c r="BA147" s="275"/>
      <c r="BB147" s="275"/>
      <c r="BC147" s="275"/>
      <c r="BD147" s="275"/>
      <c r="BE147" s="275"/>
      <c r="BF147" s="275"/>
      <c r="BG147" s="275"/>
      <c r="BH147" s="275"/>
      <c r="BI147" s="275"/>
      <c r="BJ147" s="275"/>
      <c r="BK147" s="275"/>
      <c r="BL147" s="275"/>
      <c r="BM147" s="275"/>
      <c r="BN147" s="275"/>
      <c r="BO147" s="275"/>
      <c r="BP147" s="275"/>
      <c r="BQ147" s="275"/>
      <c r="BR147" s="275"/>
      <c r="BS147" s="275"/>
      <c r="BT147" s="275"/>
      <c r="BU147" s="275"/>
      <c r="BV147" s="275"/>
      <c r="BW147" s="275"/>
      <c r="BX147" s="275"/>
      <c r="BY147" s="275"/>
      <c r="BZ147" s="275"/>
      <c r="CA147" s="275"/>
      <c r="CB147" s="275"/>
      <c r="CC147" s="275"/>
      <c r="CD147" s="275"/>
      <c r="CE147" s="275"/>
      <c r="CF147" s="275"/>
      <c r="CG147" s="275"/>
      <c r="CH147" s="275"/>
      <c r="CI147" s="275"/>
      <c r="CJ147" s="275"/>
      <c r="CK147" s="275"/>
      <c r="CL147" s="275"/>
      <c r="CM147" s="275"/>
      <c r="CN147" s="275"/>
      <c r="CO147" s="275"/>
      <c r="CP147" s="275"/>
      <c r="CQ147" s="275"/>
      <c r="CR147" s="275"/>
      <c r="CS147" s="275"/>
      <c r="CT147" s="275"/>
      <c r="CU147" s="275"/>
      <c r="CV147" s="275"/>
      <c r="CW147" s="275"/>
      <c r="CX147" s="275"/>
      <c r="CY147" s="275"/>
      <c r="CZ147" s="275"/>
      <c r="DA147" s="275"/>
      <c r="DB147" s="275"/>
      <c r="DC147" s="275"/>
      <c r="DD147" s="275"/>
      <c r="DE147" s="275"/>
      <c r="DF147" s="275"/>
      <c r="DG147" s="275"/>
      <c r="DH147" s="275"/>
      <c r="DI147" s="275"/>
      <c r="DJ147" s="275"/>
      <c r="DK147" s="275"/>
      <c r="DL147" s="275"/>
      <c r="DM147" s="275"/>
      <c r="DN147" s="275"/>
      <c r="DO147" s="275"/>
      <c r="DP147" s="275"/>
      <c r="DQ147" s="275"/>
      <c r="DR147" s="275"/>
      <c r="DS147" s="275"/>
      <c r="DT147" s="275"/>
      <c r="DU147" s="275"/>
      <c r="DV147" s="276"/>
      <c r="DW147" s="276"/>
    </row>
    <row r="149" spans="1:247" s="370" customFormat="1" ht="65.25" customHeight="1">
      <c r="B149" s="893" t="s">
        <v>13</v>
      </c>
      <c r="C149" s="893"/>
      <c r="D149" s="893"/>
      <c r="E149" s="893"/>
      <c r="F149" s="893"/>
      <c r="G149" s="893"/>
      <c r="H149" s="893"/>
      <c r="I149" s="893"/>
      <c r="J149" s="893"/>
      <c r="K149" s="893"/>
      <c r="L149" s="893"/>
      <c r="M149" s="893"/>
      <c r="N149" s="893"/>
      <c r="O149" s="893"/>
      <c r="P149" s="893"/>
      <c r="Q149" s="893"/>
      <c r="R149" s="893"/>
      <c r="S149" s="893"/>
      <c r="T149" s="893"/>
      <c r="U149" s="893"/>
      <c r="V149" s="893"/>
      <c r="W149" s="893"/>
      <c r="X149" s="893"/>
      <c r="Y149" s="893"/>
      <c r="Z149" s="893" t="s">
        <v>14</v>
      </c>
      <c r="AA149" s="893"/>
      <c r="AB149" s="893"/>
      <c r="AC149" s="893"/>
      <c r="AD149" s="893"/>
      <c r="AE149" s="893"/>
      <c r="AF149" s="893"/>
      <c r="AG149" s="893"/>
      <c r="AH149" s="893"/>
      <c r="AI149" s="893"/>
      <c r="AJ149" s="893"/>
      <c r="AK149" s="893"/>
      <c r="AL149" s="893"/>
      <c r="AM149" s="893"/>
      <c r="AN149" s="893"/>
      <c r="AO149" s="893"/>
      <c r="AP149" s="893"/>
      <c r="AQ149" s="893"/>
      <c r="AR149" s="893"/>
      <c r="AS149" s="893"/>
      <c r="AT149" s="893"/>
      <c r="AU149" s="893"/>
      <c r="AV149" s="893"/>
      <c r="AW149" s="893"/>
      <c r="AX149" s="893" t="s">
        <v>15</v>
      </c>
      <c r="AY149" s="893"/>
      <c r="AZ149" s="893"/>
      <c r="BA149" s="893"/>
      <c r="BB149" s="893"/>
      <c r="BC149" s="893"/>
      <c r="BD149" s="893"/>
      <c r="BE149" s="893"/>
      <c r="BF149" s="893"/>
      <c r="BG149" s="893"/>
      <c r="BH149" s="893"/>
      <c r="BI149" s="893"/>
      <c r="BJ149" s="893"/>
      <c r="BK149" s="893"/>
      <c r="BL149" s="893"/>
      <c r="BM149" s="893"/>
      <c r="BN149" s="893"/>
      <c r="BO149" s="893"/>
      <c r="BP149" s="893"/>
      <c r="BQ149" s="893"/>
      <c r="BR149" s="893"/>
      <c r="BS149" s="893"/>
      <c r="BT149" s="893"/>
      <c r="BU149" s="893"/>
      <c r="BV149" s="893"/>
      <c r="BW149" s="893"/>
    </row>
    <row r="150" spans="1:247" s="370" customFormat="1" ht="65.25" customHeight="1">
      <c r="B150" s="893"/>
      <c r="C150" s="893"/>
      <c r="D150" s="893"/>
      <c r="E150" s="893"/>
      <c r="F150" s="893"/>
      <c r="G150" s="893"/>
      <c r="H150" s="893"/>
      <c r="I150" s="893"/>
      <c r="J150" s="893"/>
      <c r="K150" s="893"/>
      <c r="L150" s="893"/>
      <c r="M150" s="893"/>
      <c r="N150" s="893"/>
      <c r="O150" s="893"/>
      <c r="P150" s="893"/>
      <c r="Q150" s="893"/>
      <c r="R150" s="893"/>
      <c r="S150" s="893"/>
      <c r="T150" s="893"/>
      <c r="U150" s="893"/>
      <c r="V150" s="893"/>
      <c r="W150" s="893"/>
      <c r="X150" s="893"/>
      <c r="Y150" s="893"/>
      <c r="Z150" s="893"/>
      <c r="AA150" s="893"/>
      <c r="AB150" s="893"/>
      <c r="AC150" s="893"/>
      <c r="AD150" s="893"/>
      <c r="AE150" s="893"/>
      <c r="AF150" s="893"/>
      <c r="AG150" s="893"/>
      <c r="AH150" s="893"/>
      <c r="AI150" s="893"/>
      <c r="AJ150" s="893"/>
      <c r="AK150" s="893"/>
      <c r="AL150" s="893"/>
      <c r="AM150" s="893"/>
      <c r="AN150" s="893"/>
      <c r="AO150" s="893"/>
      <c r="AP150" s="893"/>
      <c r="AQ150" s="893"/>
      <c r="AR150" s="893"/>
      <c r="AS150" s="893"/>
      <c r="AT150" s="893"/>
      <c r="AU150" s="893"/>
      <c r="AV150" s="893"/>
      <c r="AW150" s="893"/>
      <c r="AX150" s="893"/>
      <c r="AY150" s="893"/>
      <c r="AZ150" s="893"/>
      <c r="BA150" s="893"/>
      <c r="BB150" s="893"/>
      <c r="BC150" s="893"/>
      <c r="BD150" s="893"/>
      <c r="BE150" s="893"/>
      <c r="BF150" s="893"/>
      <c r="BG150" s="893"/>
      <c r="BH150" s="893"/>
      <c r="BI150" s="893"/>
      <c r="BJ150" s="893"/>
      <c r="BK150" s="893"/>
      <c r="BL150" s="893"/>
      <c r="BM150" s="893"/>
      <c r="BN150" s="893"/>
      <c r="BO150" s="893"/>
      <c r="BP150" s="893"/>
      <c r="BQ150" s="893"/>
      <c r="BR150" s="893"/>
      <c r="BS150" s="893"/>
      <c r="BT150" s="893"/>
      <c r="BU150" s="893"/>
      <c r="BV150" s="893"/>
      <c r="BW150" s="893"/>
    </row>
    <row r="151" spans="1:247" ht="15" customHeight="1">
      <c r="B151" s="894" t="s">
        <v>1170</v>
      </c>
      <c r="C151" s="894"/>
      <c r="D151" s="894"/>
      <c r="E151" s="894"/>
      <c r="F151" s="894"/>
      <c r="G151" s="894"/>
      <c r="H151" s="894"/>
      <c r="I151" s="894"/>
      <c r="J151" s="894"/>
      <c r="K151" s="894"/>
      <c r="L151" s="894"/>
      <c r="M151" s="894"/>
      <c r="N151" s="894"/>
      <c r="O151" s="894"/>
      <c r="P151" s="894"/>
      <c r="Q151" s="894"/>
      <c r="R151" s="894"/>
      <c r="S151" s="894"/>
      <c r="T151" s="894"/>
      <c r="U151" s="894"/>
      <c r="V151" s="894"/>
      <c r="W151" s="894"/>
      <c r="X151" s="894"/>
      <c r="Y151" s="894"/>
      <c r="Z151" s="894" t="s">
        <v>1171</v>
      </c>
      <c r="AA151" s="894"/>
      <c r="AB151" s="894"/>
      <c r="AC151" s="894"/>
      <c r="AD151" s="894"/>
      <c r="AE151" s="894"/>
      <c r="AF151" s="894"/>
      <c r="AG151" s="894"/>
      <c r="AH151" s="894"/>
      <c r="AI151" s="894"/>
      <c r="AJ151" s="894"/>
      <c r="AK151" s="894"/>
      <c r="AL151" s="894"/>
      <c r="AM151" s="894"/>
      <c r="AN151" s="894"/>
      <c r="AO151" s="894"/>
      <c r="AP151" s="894"/>
      <c r="AQ151" s="894"/>
      <c r="AR151" s="894"/>
      <c r="AS151" s="894"/>
      <c r="AT151" s="894"/>
      <c r="AU151" s="894"/>
      <c r="AV151" s="894"/>
      <c r="AW151" s="894"/>
      <c r="AX151" s="895" t="s">
        <v>1172</v>
      </c>
      <c r="AY151" s="895"/>
      <c r="AZ151" s="895"/>
      <c r="BA151" s="895"/>
      <c r="BB151" s="895"/>
      <c r="BC151" s="895"/>
      <c r="BD151" s="895"/>
      <c r="BE151" s="895"/>
      <c r="BF151" s="895"/>
      <c r="BG151" s="895"/>
      <c r="BH151" s="895"/>
      <c r="BI151" s="895"/>
      <c r="BJ151" s="895"/>
      <c r="BK151" s="895"/>
      <c r="BL151" s="895"/>
      <c r="BM151" s="895"/>
      <c r="BN151" s="895"/>
      <c r="BO151" s="895"/>
      <c r="BP151" s="895"/>
      <c r="BQ151" s="895"/>
      <c r="BR151" s="895"/>
      <c r="BS151" s="895"/>
      <c r="BT151" s="895"/>
      <c r="BU151" s="895"/>
      <c r="BV151" s="895"/>
      <c r="BW151" s="895"/>
    </row>
    <row r="152" spans="1:247" ht="15" customHeight="1">
      <c r="B152" s="894"/>
      <c r="C152" s="894"/>
      <c r="D152" s="894"/>
      <c r="E152" s="894"/>
      <c r="F152" s="894"/>
      <c r="G152" s="894"/>
      <c r="H152" s="894"/>
      <c r="I152" s="894"/>
      <c r="J152" s="894"/>
      <c r="K152" s="894"/>
      <c r="L152" s="894"/>
      <c r="M152" s="894"/>
      <c r="N152" s="894"/>
      <c r="O152" s="894"/>
      <c r="P152" s="894"/>
      <c r="Q152" s="894"/>
      <c r="R152" s="894"/>
      <c r="S152" s="894"/>
      <c r="T152" s="894"/>
      <c r="U152" s="894"/>
      <c r="V152" s="894"/>
      <c r="W152" s="894"/>
      <c r="X152" s="894"/>
      <c r="Y152" s="894"/>
      <c r="Z152" s="894"/>
      <c r="AA152" s="894"/>
      <c r="AB152" s="894"/>
      <c r="AC152" s="894"/>
      <c r="AD152" s="894"/>
      <c r="AE152" s="894"/>
      <c r="AF152" s="894"/>
      <c r="AG152" s="894"/>
      <c r="AH152" s="894"/>
      <c r="AI152" s="894"/>
      <c r="AJ152" s="894"/>
      <c r="AK152" s="894"/>
      <c r="AL152" s="894"/>
      <c r="AM152" s="894"/>
      <c r="AN152" s="894"/>
      <c r="AO152" s="894"/>
      <c r="AP152" s="894"/>
      <c r="AQ152" s="894"/>
      <c r="AR152" s="894"/>
      <c r="AS152" s="894"/>
      <c r="AT152" s="894"/>
      <c r="AU152" s="894"/>
      <c r="AV152" s="894"/>
      <c r="AW152" s="894"/>
      <c r="AX152" s="895"/>
      <c r="AY152" s="895"/>
      <c r="AZ152" s="895"/>
      <c r="BA152" s="895"/>
      <c r="BB152" s="895"/>
      <c r="BC152" s="895"/>
      <c r="BD152" s="895"/>
      <c r="BE152" s="895"/>
      <c r="BF152" s="895"/>
      <c r="BG152" s="895"/>
      <c r="BH152" s="895"/>
      <c r="BI152" s="895"/>
      <c r="BJ152" s="895"/>
      <c r="BK152" s="895"/>
      <c r="BL152" s="895"/>
      <c r="BM152" s="895"/>
      <c r="BN152" s="895"/>
      <c r="BO152" s="895"/>
      <c r="BP152" s="895"/>
      <c r="BQ152" s="895"/>
      <c r="BR152" s="895"/>
      <c r="BS152" s="895"/>
      <c r="BT152" s="895"/>
      <c r="BU152" s="895"/>
      <c r="BV152" s="895"/>
      <c r="BW152" s="895"/>
    </row>
    <row r="153" spans="1:247" ht="15" customHeight="1">
      <c r="B153" s="894"/>
      <c r="C153" s="894"/>
      <c r="D153" s="894"/>
      <c r="E153" s="894"/>
      <c r="F153" s="894"/>
      <c r="G153" s="894"/>
      <c r="H153" s="894"/>
      <c r="I153" s="894"/>
      <c r="J153" s="894"/>
      <c r="K153" s="894"/>
      <c r="L153" s="894"/>
      <c r="M153" s="894"/>
      <c r="N153" s="894"/>
      <c r="O153" s="894"/>
      <c r="P153" s="894"/>
      <c r="Q153" s="894"/>
      <c r="R153" s="894"/>
      <c r="S153" s="894"/>
      <c r="T153" s="894"/>
      <c r="U153" s="894"/>
      <c r="V153" s="894"/>
      <c r="W153" s="894"/>
      <c r="X153" s="894"/>
      <c r="Y153" s="894"/>
      <c r="Z153" s="894"/>
      <c r="AA153" s="894"/>
      <c r="AB153" s="894"/>
      <c r="AC153" s="894"/>
      <c r="AD153" s="894"/>
      <c r="AE153" s="894"/>
      <c r="AF153" s="894"/>
      <c r="AG153" s="894"/>
      <c r="AH153" s="894"/>
      <c r="AI153" s="894"/>
      <c r="AJ153" s="894"/>
      <c r="AK153" s="894"/>
      <c r="AL153" s="894"/>
      <c r="AM153" s="894"/>
      <c r="AN153" s="894"/>
      <c r="AO153" s="894"/>
      <c r="AP153" s="894"/>
      <c r="AQ153" s="894"/>
      <c r="AR153" s="894"/>
      <c r="AS153" s="894"/>
      <c r="AT153" s="894"/>
      <c r="AU153" s="894"/>
      <c r="AV153" s="894"/>
      <c r="AW153" s="894"/>
      <c r="AX153" s="895"/>
      <c r="AY153" s="895"/>
      <c r="AZ153" s="895"/>
      <c r="BA153" s="895"/>
      <c r="BB153" s="895"/>
      <c r="BC153" s="895"/>
      <c r="BD153" s="895"/>
      <c r="BE153" s="895"/>
      <c r="BF153" s="895"/>
      <c r="BG153" s="895"/>
      <c r="BH153" s="895"/>
      <c r="BI153" s="895"/>
      <c r="BJ153" s="895"/>
      <c r="BK153" s="895"/>
      <c r="BL153" s="895"/>
      <c r="BM153" s="895"/>
      <c r="BN153" s="895"/>
      <c r="BO153" s="895"/>
      <c r="BP153" s="895"/>
      <c r="BQ153" s="895"/>
      <c r="BR153" s="895"/>
      <c r="BS153" s="895"/>
      <c r="BT153" s="895"/>
      <c r="BU153" s="895"/>
      <c r="BV153" s="895"/>
      <c r="BW153" s="895"/>
    </row>
    <row r="154" spans="1:247" s="369" customFormat="1" ht="105.75" customHeight="1">
      <c r="B154" s="894"/>
      <c r="C154" s="894"/>
      <c r="D154" s="894"/>
      <c r="E154" s="894"/>
      <c r="F154" s="894"/>
      <c r="G154" s="894"/>
      <c r="H154" s="894"/>
      <c r="I154" s="894"/>
      <c r="J154" s="894"/>
      <c r="K154" s="894"/>
      <c r="L154" s="894"/>
      <c r="M154" s="894"/>
      <c r="N154" s="894"/>
      <c r="O154" s="894"/>
      <c r="P154" s="894"/>
      <c r="Q154" s="894"/>
      <c r="R154" s="894"/>
      <c r="S154" s="894"/>
      <c r="T154" s="894"/>
      <c r="U154" s="894"/>
      <c r="V154" s="894"/>
      <c r="W154" s="894"/>
      <c r="X154" s="894"/>
      <c r="Y154" s="894"/>
      <c r="Z154" s="894"/>
      <c r="AA154" s="894"/>
      <c r="AB154" s="894"/>
      <c r="AC154" s="894"/>
      <c r="AD154" s="894"/>
      <c r="AE154" s="894"/>
      <c r="AF154" s="894"/>
      <c r="AG154" s="894"/>
      <c r="AH154" s="894"/>
      <c r="AI154" s="894"/>
      <c r="AJ154" s="894"/>
      <c r="AK154" s="894"/>
      <c r="AL154" s="894"/>
      <c r="AM154" s="894"/>
      <c r="AN154" s="894"/>
      <c r="AO154" s="894"/>
      <c r="AP154" s="894"/>
      <c r="AQ154" s="894"/>
      <c r="AR154" s="894"/>
      <c r="AS154" s="894"/>
      <c r="AT154" s="894"/>
      <c r="AU154" s="894"/>
      <c r="AV154" s="894"/>
      <c r="AW154" s="894"/>
      <c r="AX154" s="895"/>
      <c r="AY154" s="895"/>
      <c r="AZ154" s="895"/>
      <c r="BA154" s="895"/>
      <c r="BB154" s="895"/>
      <c r="BC154" s="895"/>
      <c r="BD154" s="895"/>
      <c r="BE154" s="895"/>
      <c r="BF154" s="895"/>
      <c r="BG154" s="895"/>
      <c r="BH154" s="895"/>
      <c r="BI154" s="895"/>
      <c r="BJ154" s="895"/>
      <c r="BK154" s="895"/>
      <c r="BL154" s="895"/>
      <c r="BM154" s="895"/>
      <c r="BN154" s="895"/>
      <c r="BO154" s="895"/>
      <c r="BP154" s="895"/>
      <c r="BQ154" s="895"/>
      <c r="BR154" s="895"/>
      <c r="BS154" s="895"/>
      <c r="BT154" s="895"/>
      <c r="BU154" s="895"/>
      <c r="BV154" s="895"/>
      <c r="BW154" s="895"/>
    </row>
    <row r="155" spans="1:247" s="369" customFormat="1" ht="215.25" customHeight="1">
      <c r="B155" s="894"/>
      <c r="C155" s="894"/>
      <c r="D155" s="894"/>
      <c r="E155" s="894"/>
      <c r="F155" s="894"/>
      <c r="G155" s="894"/>
      <c r="H155" s="894"/>
      <c r="I155" s="894"/>
      <c r="J155" s="894"/>
      <c r="K155" s="894"/>
      <c r="L155" s="894"/>
      <c r="M155" s="894"/>
      <c r="N155" s="894"/>
      <c r="O155" s="894"/>
      <c r="P155" s="894"/>
      <c r="Q155" s="894"/>
      <c r="R155" s="894"/>
      <c r="S155" s="894"/>
      <c r="T155" s="894"/>
      <c r="U155" s="894"/>
      <c r="V155" s="894"/>
      <c r="W155" s="894"/>
      <c r="X155" s="894"/>
      <c r="Y155" s="894"/>
      <c r="Z155" s="894"/>
      <c r="AA155" s="894"/>
      <c r="AB155" s="894"/>
      <c r="AC155" s="894"/>
      <c r="AD155" s="894"/>
      <c r="AE155" s="894"/>
      <c r="AF155" s="894"/>
      <c r="AG155" s="894"/>
      <c r="AH155" s="894"/>
      <c r="AI155" s="894"/>
      <c r="AJ155" s="894"/>
      <c r="AK155" s="894"/>
      <c r="AL155" s="894"/>
      <c r="AM155" s="894"/>
      <c r="AN155" s="894"/>
      <c r="AO155" s="894"/>
      <c r="AP155" s="894"/>
      <c r="AQ155" s="894"/>
      <c r="AR155" s="894"/>
      <c r="AS155" s="894"/>
      <c r="AT155" s="894"/>
      <c r="AU155" s="894"/>
      <c r="AV155" s="894"/>
      <c r="AW155" s="894"/>
      <c r="AX155" s="895"/>
      <c r="AY155" s="895"/>
      <c r="AZ155" s="895"/>
      <c r="BA155" s="895"/>
      <c r="BB155" s="895"/>
      <c r="BC155" s="895"/>
      <c r="BD155" s="895"/>
      <c r="BE155" s="895"/>
      <c r="BF155" s="895"/>
      <c r="BG155" s="895"/>
      <c r="BH155" s="895"/>
      <c r="BI155" s="895"/>
      <c r="BJ155" s="895"/>
      <c r="BK155" s="895"/>
      <c r="BL155" s="895"/>
      <c r="BM155" s="895"/>
      <c r="BN155" s="895"/>
      <c r="BO155" s="895"/>
      <c r="BP155" s="895"/>
      <c r="BQ155" s="895"/>
      <c r="BR155" s="895"/>
      <c r="BS155" s="895"/>
      <c r="BT155" s="895"/>
      <c r="BU155" s="895"/>
      <c r="BV155" s="895"/>
      <c r="BW155" s="895"/>
    </row>
    <row r="156" spans="1:247" s="369" customFormat="1" ht="215.25" customHeight="1">
      <c r="B156" s="894"/>
      <c r="C156" s="894"/>
      <c r="D156" s="894"/>
      <c r="E156" s="894"/>
      <c r="F156" s="894"/>
      <c r="G156" s="894"/>
      <c r="H156" s="894"/>
      <c r="I156" s="894"/>
      <c r="J156" s="894"/>
      <c r="K156" s="894"/>
      <c r="L156" s="894"/>
      <c r="M156" s="894"/>
      <c r="N156" s="894"/>
      <c r="O156" s="894"/>
      <c r="P156" s="894"/>
      <c r="Q156" s="894"/>
      <c r="R156" s="894"/>
      <c r="S156" s="894"/>
      <c r="T156" s="894"/>
      <c r="U156" s="894"/>
      <c r="V156" s="894"/>
      <c r="W156" s="894"/>
      <c r="X156" s="894"/>
      <c r="Y156" s="894"/>
      <c r="Z156" s="894"/>
      <c r="AA156" s="894"/>
      <c r="AB156" s="894"/>
      <c r="AC156" s="894"/>
      <c r="AD156" s="894"/>
      <c r="AE156" s="894"/>
      <c r="AF156" s="894"/>
      <c r="AG156" s="894"/>
      <c r="AH156" s="894"/>
      <c r="AI156" s="894"/>
      <c r="AJ156" s="894"/>
      <c r="AK156" s="894"/>
      <c r="AL156" s="894"/>
      <c r="AM156" s="894"/>
      <c r="AN156" s="894"/>
      <c r="AO156" s="894"/>
      <c r="AP156" s="894"/>
      <c r="AQ156" s="894"/>
      <c r="AR156" s="894"/>
      <c r="AS156" s="894"/>
      <c r="AT156" s="894"/>
      <c r="AU156" s="894"/>
      <c r="AV156" s="894"/>
      <c r="AW156" s="894"/>
      <c r="AX156" s="895"/>
      <c r="AY156" s="895"/>
      <c r="AZ156" s="895"/>
      <c r="BA156" s="895"/>
      <c r="BB156" s="895"/>
      <c r="BC156" s="895"/>
      <c r="BD156" s="895"/>
      <c r="BE156" s="895"/>
      <c r="BF156" s="895"/>
      <c r="BG156" s="895"/>
      <c r="BH156" s="895"/>
      <c r="BI156" s="895"/>
      <c r="BJ156" s="895"/>
      <c r="BK156" s="895"/>
      <c r="BL156" s="895"/>
      <c r="BM156" s="895"/>
      <c r="BN156" s="895"/>
      <c r="BO156" s="895"/>
      <c r="BP156" s="895"/>
      <c r="BQ156" s="895"/>
      <c r="BR156" s="895"/>
      <c r="BS156" s="895"/>
      <c r="BT156" s="895"/>
      <c r="BU156" s="895"/>
      <c r="BV156" s="895"/>
      <c r="BW156" s="895"/>
    </row>
    <row r="157" spans="1:247" s="369" customFormat="1" ht="77.25" customHeight="1">
      <c r="B157" s="894"/>
      <c r="C157" s="894"/>
      <c r="D157" s="894"/>
      <c r="E157" s="894"/>
      <c r="F157" s="894"/>
      <c r="G157" s="894"/>
      <c r="H157" s="894"/>
      <c r="I157" s="894"/>
      <c r="J157" s="894"/>
      <c r="K157" s="894"/>
      <c r="L157" s="894"/>
      <c r="M157" s="894"/>
      <c r="N157" s="894"/>
      <c r="O157" s="894"/>
      <c r="P157" s="894"/>
      <c r="Q157" s="894"/>
      <c r="R157" s="894"/>
      <c r="S157" s="894"/>
      <c r="T157" s="894"/>
      <c r="U157" s="894"/>
      <c r="V157" s="894"/>
      <c r="W157" s="894"/>
      <c r="X157" s="894"/>
      <c r="Y157" s="894"/>
      <c r="Z157" s="894"/>
      <c r="AA157" s="894"/>
      <c r="AB157" s="894"/>
      <c r="AC157" s="894"/>
      <c r="AD157" s="894"/>
      <c r="AE157" s="894"/>
      <c r="AF157" s="894"/>
      <c r="AG157" s="894"/>
      <c r="AH157" s="894"/>
      <c r="AI157" s="894"/>
      <c r="AJ157" s="894"/>
      <c r="AK157" s="894"/>
      <c r="AL157" s="894"/>
      <c r="AM157" s="894"/>
      <c r="AN157" s="894"/>
      <c r="AO157" s="894"/>
      <c r="AP157" s="894"/>
      <c r="AQ157" s="894"/>
      <c r="AR157" s="894"/>
      <c r="AS157" s="894"/>
      <c r="AT157" s="894"/>
      <c r="AU157" s="894"/>
      <c r="AV157" s="894"/>
      <c r="AW157" s="894"/>
      <c r="AX157" s="895"/>
      <c r="AY157" s="895"/>
      <c r="AZ157" s="895"/>
      <c r="BA157" s="895"/>
      <c r="BB157" s="895"/>
      <c r="BC157" s="895"/>
      <c r="BD157" s="895"/>
      <c r="BE157" s="895"/>
      <c r="BF157" s="895"/>
      <c r="BG157" s="895"/>
      <c r="BH157" s="895"/>
      <c r="BI157" s="895"/>
      <c r="BJ157" s="895"/>
      <c r="BK157" s="895"/>
      <c r="BL157" s="895"/>
      <c r="BM157" s="895"/>
      <c r="BN157" s="895"/>
      <c r="BO157" s="895"/>
      <c r="BP157" s="895"/>
      <c r="BQ157" s="895"/>
      <c r="BR157" s="895"/>
      <c r="BS157" s="895"/>
      <c r="BT157" s="895"/>
      <c r="BU157" s="895"/>
      <c r="BV157" s="895"/>
      <c r="BW157" s="895"/>
    </row>
    <row r="158" spans="1:247" ht="15" customHeight="1">
      <c r="B158" s="894"/>
      <c r="C158" s="894"/>
      <c r="D158" s="894"/>
      <c r="E158" s="894"/>
      <c r="F158" s="894"/>
      <c r="G158" s="894"/>
      <c r="H158" s="894"/>
      <c r="I158" s="894"/>
      <c r="J158" s="894"/>
      <c r="K158" s="894"/>
      <c r="L158" s="894"/>
      <c r="M158" s="894"/>
      <c r="N158" s="894"/>
      <c r="O158" s="894"/>
      <c r="P158" s="894"/>
      <c r="Q158" s="894"/>
      <c r="R158" s="894"/>
      <c r="S158" s="894"/>
      <c r="T158" s="894"/>
      <c r="U158" s="894"/>
      <c r="V158" s="894"/>
      <c r="W158" s="894"/>
      <c r="X158" s="894"/>
      <c r="Y158" s="894"/>
      <c r="Z158" s="894"/>
      <c r="AA158" s="894"/>
      <c r="AB158" s="894"/>
      <c r="AC158" s="894"/>
      <c r="AD158" s="894"/>
      <c r="AE158" s="894"/>
      <c r="AF158" s="894"/>
      <c r="AG158" s="894"/>
      <c r="AH158" s="894"/>
      <c r="AI158" s="894"/>
      <c r="AJ158" s="894"/>
      <c r="AK158" s="894"/>
      <c r="AL158" s="894"/>
      <c r="AM158" s="894"/>
      <c r="AN158" s="894"/>
      <c r="AO158" s="894"/>
      <c r="AP158" s="894"/>
      <c r="AQ158" s="894"/>
      <c r="AR158" s="894"/>
      <c r="AS158" s="894"/>
      <c r="AT158" s="894"/>
      <c r="AU158" s="894"/>
      <c r="AV158" s="894"/>
      <c r="AW158" s="894"/>
      <c r="AX158" s="895"/>
      <c r="AY158" s="895"/>
      <c r="AZ158" s="895"/>
      <c r="BA158" s="895"/>
      <c r="BB158" s="895"/>
      <c r="BC158" s="895"/>
      <c r="BD158" s="895"/>
      <c r="BE158" s="895"/>
      <c r="BF158" s="895"/>
      <c r="BG158" s="895"/>
      <c r="BH158" s="895"/>
      <c r="BI158" s="895"/>
      <c r="BJ158" s="895"/>
      <c r="BK158" s="895"/>
      <c r="BL158" s="895"/>
      <c r="BM158" s="895"/>
      <c r="BN158" s="895"/>
      <c r="BO158" s="895"/>
      <c r="BP158" s="895"/>
      <c r="BQ158" s="895"/>
      <c r="BR158" s="895"/>
      <c r="BS158" s="895"/>
      <c r="BT158" s="895"/>
      <c r="BU158" s="895"/>
      <c r="BV158" s="895"/>
      <c r="BW158" s="895"/>
    </row>
    <row r="159" spans="1:247" ht="15" customHeight="1">
      <c r="B159" s="894"/>
      <c r="C159" s="894"/>
      <c r="D159" s="894"/>
      <c r="E159" s="894"/>
      <c r="F159" s="894"/>
      <c r="G159" s="894"/>
      <c r="H159" s="894"/>
      <c r="I159" s="894"/>
      <c r="J159" s="894"/>
      <c r="K159" s="894"/>
      <c r="L159" s="894"/>
      <c r="M159" s="894"/>
      <c r="N159" s="894"/>
      <c r="O159" s="894"/>
      <c r="P159" s="894"/>
      <c r="Q159" s="894"/>
      <c r="R159" s="894"/>
      <c r="S159" s="894"/>
      <c r="T159" s="894"/>
      <c r="U159" s="894"/>
      <c r="V159" s="894"/>
      <c r="W159" s="894"/>
      <c r="X159" s="894"/>
      <c r="Y159" s="894"/>
      <c r="Z159" s="894"/>
      <c r="AA159" s="894"/>
      <c r="AB159" s="894"/>
      <c r="AC159" s="894"/>
      <c r="AD159" s="894"/>
      <c r="AE159" s="894"/>
      <c r="AF159" s="894"/>
      <c r="AG159" s="894"/>
      <c r="AH159" s="894"/>
      <c r="AI159" s="894"/>
      <c r="AJ159" s="894"/>
      <c r="AK159" s="894"/>
      <c r="AL159" s="894"/>
      <c r="AM159" s="894"/>
      <c r="AN159" s="894"/>
      <c r="AO159" s="894"/>
      <c r="AP159" s="894"/>
      <c r="AQ159" s="894"/>
      <c r="AR159" s="894"/>
      <c r="AS159" s="894"/>
      <c r="AT159" s="894"/>
      <c r="AU159" s="894"/>
      <c r="AV159" s="894"/>
      <c r="AW159" s="894"/>
      <c r="AX159" s="895"/>
      <c r="AY159" s="895"/>
      <c r="AZ159" s="895"/>
      <c r="BA159" s="895"/>
      <c r="BB159" s="895"/>
      <c r="BC159" s="895"/>
      <c r="BD159" s="895"/>
      <c r="BE159" s="895"/>
      <c r="BF159" s="895"/>
      <c r="BG159" s="895"/>
      <c r="BH159" s="895"/>
      <c r="BI159" s="895"/>
      <c r="BJ159" s="895"/>
      <c r="BK159" s="895"/>
      <c r="BL159" s="895"/>
      <c r="BM159" s="895"/>
      <c r="BN159" s="895"/>
      <c r="BO159" s="895"/>
      <c r="BP159" s="895"/>
      <c r="BQ159" s="895"/>
      <c r="BR159" s="895"/>
      <c r="BS159" s="895"/>
      <c r="BT159" s="895"/>
      <c r="BU159" s="895"/>
      <c r="BV159" s="895"/>
      <c r="BW159" s="895"/>
    </row>
    <row r="160" spans="1:247" ht="15.75" customHeight="1">
      <c r="B160" s="894"/>
      <c r="C160" s="894"/>
      <c r="D160" s="894"/>
      <c r="E160" s="894"/>
      <c r="F160" s="894"/>
      <c r="G160" s="894"/>
      <c r="H160" s="894"/>
      <c r="I160" s="894"/>
      <c r="J160" s="894"/>
      <c r="K160" s="894"/>
      <c r="L160" s="894"/>
      <c r="M160" s="894"/>
      <c r="N160" s="894"/>
      <c r="O160" s="894"/>
      <c r="P160" s="894"/>
      <c r="Q160" s="894"/>
      <c r="R160" s="894"/>
      <c r="S160" s="894"/>
      <c r="T160" s="894"/>
      <c r="U160" s="894"/>
      <c r="V160" s="894"/>
      <c r="W160" s="894"/>
      <c r="X160" s="894"/>
      <c r="Y160" s="894"/>
      <c r="Z160" s="894"/>
      <c r="AA160" s="894"/>
      <c r="AB160" s="894"/>
      <c r="AC160" s="894"/>
      <c r="AD160" s="894"/>
      <c r="AE160" s="894"/>
      <c r="AF160" s="894"/>
      <c r="AG160" s="894"/>
      <c r="AH160" s="894"/>
      <c r="AI160" s="894"/>
      <c r="AJ160" s="894"/>
      <c r="AK160" s="894"/>
      <c r="AL160" s="894"/>
      <c r="AM160" s="894"/>
      <c r="AN160" s="894"/>
      <c r="AO160" s="894"/>
      <c r="AP160" s="894"/>
      <c r="AQ160" s="894"/>
      <c r="AR160" s="894"/>
      <c r="AS160" s="894"/>
      <c r="AT160" s="894"/>
      <c r="AU160" s="894"/>
      <c r="AV160" s="894"/>
      <c r="AW160" s="894"/>
      <c r="AX160" s="895"/>
      <c r="AY160" s="895"/>
      <c r="AZ160" s="895"/>
      <c r="BA160" s="895"/>
      <c r="BB160" s="895"/>
      <c r="BC160" s="895"/>
      <c r="BD160" s="895"/>
      <c r="BE160" s="895"/>
      <c r="BF160" s="895"/>
      <c r="BG160" s="895"/>
      <c r="BH160" s="895"/>
      <c r="BI160" s="895"/>
      <c r="BJ160" s="895"/>
      <c r="BK160" s="895"/>
      <c r="BL160" s="895"/>
      <c r="BM160" s="895"/>
      <c r="BN160" s="895"/>
      <c r="BO160" s="895"/>
      <c r="BP160" s="895"/>
      <c r="BQ160" s="895"/>
      <c r="BR160" s="895"/>
      <c r="BS160" s="895"/>
      <c r="BT160" s="895"/>
      <c r="BU160" s="895"/>
      <c r="BV160" s="895"/>
      <c r="BW160" s="895"/>
    </row>
    <row r="161" spans="2:75" ht="15" customHeight="1">
      <c r="B161" s="894"/>
      <c r="C161" s="894"/>
      <c r="D161" s="894"/>
      <c r="E161" s="894"/>
      <c r="F161" s="894"/>
      <c r="G161" s="894"/>
      <c r="H161" s="894"/>
      <c r="I161" s="894"/>
      <c r="J161" s="894"/>
      <c r="K161" s="894"/>
      <c r="L161" s="894"/>
      <c r="M161" s="894"/>
      <c r="N161" s="894"/>
      <c r="O161" s="894"/>
      <c r="P161" s="894"/>
      <c r="Q161" s="894"/>
      <c r="R161" s="894"/>
      <c r="S161" s="894"/>
      <c r="T161" s="894"/>
      <c r="U161" s="894"/>
      <c r="V161" s="894"/>
      <c r="W161" s="894"/>
      <c r="X161" s="894"/>
      <c r="Y161" s="894"/>
      <c r="Z161" s="894"/>
      <c r="AA161" s="894"/>
      <c r="AB161" s="894"/>
      <c r="AC161" s="894"/>
      <c r="AD161" s="894"/>
      <c r="AE161" s="894"/>
      <c r="AF161" s="894"/>
      <c r="AG161" s="894"/>
      <c r="AH161" s="894"/>
      <c r="AI161" s="894"/>
      <c r="AJ161" s="894"/>
      <c r="AK161" s="894"/>
      <c r="AL161" s="894"/>
      <c r="AM161" s="894"/>
      <c r="AN161" s="894"/>
      <c r="AO161" s="894"/>
      <c r="AP161" s="894"/>
      <c r="AQ161" s="894"/>
      <c r="AR161" s="894"/>
      <c r="AS161" s="894"/>
      <c r="AT161" s="894"/>
      <c r="AU161" s="894"/>
      <c r="AV161" s="894"/>
      <c r="AW161" s="894"/>
      <c r="AX161" s="895"/>
      <c r="AY161" s="895"/>
      <c r="AZ161" s="895"/>
      <c r="BA161" s="895"/>
      <c r="BB161" s="895"/>
      <c r="BC161" s="895"/>
      <c r="BD161" s="895"/>
      <c r="BE161" s="895"/>
      <c r="BF161" s="895"/>
      <c r="BG161" s="895"/>
      <c r="BH161" s="895"/>
      <c r="BI161" s="895"/>
      <c r="BJ161" s="895"/>
      <c r="BK161" s="895"/>
      <c r="BL161" s="895"/>
      <c r="BM161" s="895"/>
      <c r="BN161" s="895"/>
      <c r="BO161" s="895"/>
      <c r="BP161" s="895"/>
      <c r="BQ161" s="895"/>
      <c r="BR161" s="895"/>
      <c r="BS161" s="895"/>
      <c r="BT161" s="895"/>
      <c r="BU161" s="895"/>
      <c r="BV161" s="895"/>
      <c r="BW161" s="895"/>
    </row>
    <row r="162" spans="2:75" ht="15" customHeight="1">
      <c r="B162" s="894"/>
      <c r="C162" s="894"/>
      <c r="D162" s="894"/>
      <c r="E162" s="894"/>
      <c r="F162" s="894"/>
      <c r="G162" s="894"/>
      <c r="H162" s="894"/>
      <c r="I162" s="894"/>
      <c r="J162" s="894"/>
      <c r="K162" s="894"/>
      <c r="L162" s="894"/>
      <c r="M162" s="894"/>
      <c r="N162" s="894"/>
      <c r="O162" s="894"/>
      <c r="P162" s="894"/>
      <c r="Q162" s="894"/>
      <c r="R162" s="894"/>
      <c r="S162" s="894"/>
      <c r="T162" s="894"/>
      <c r="U162" s="894"/>
      <c r="V162" s="894"/>
      <c r="W162" s="894"/>
      <c r="X162" s="894"/>
      <c r="Y162" s="894"/>
      <c r="Z162" s="894"/>
      <c r="AA162" s="894"/>
      <c r="AB162" s="894"/>
      <c r="AC162" s="894"/>
      <c r="AD162" s="894"/>
      <c r="AE162" s="894"/>
      <c r="AF162" s="894"/>
      <c r="AG162" s="894"/>
      <c r="AH162" s="894"/>
      <c r="AI162" s="894"/>
      <c r="AJ162" s="894"/>
      <c r="AK162" s="894"/>
      <c r="AL162" s="894"/>
      <c r="AM162" s="894"/>
      <c r="AN162" s="894"/>
      <c r="AO162" s="894"/>
      <c r="AP162" s="894"/>
      <c r="AQ162" s="894"/>
      <c r="AR162" s="894"/>
      <c r="AS162" s="894"/>
      <c r="AT162" s="894"/>
      <c r="AU162" s="894"/>
      <c r="AV162" s="894"/>
      <c r="AW162" s="894"/>
      <c r="AX162" s="895"/>
      <c r="AY162" s="895"/>
      <c r="AZ162" s="895"/>
      <c r="BA162" s="895"/>
      <c r="BB162" s="895"/>
      <c r="BC162" s="895"/>
      <c r="BD162" s="895"/>
      <c r="BE162" s="895"/>
      <c r="BF162" s="895"/>
      <c r="BG162" s="895"/>
      <c r="BH162" s="895"/>
      <c r="BI162" s="895"/>
      <c r="BJ162" s="895"/>
      <c r="BK162" s="895"/>
      <c r="BL162" s="895"/>
      <c r="BM162" s="895"/>
      <c r="BN162" s="895"/>
      <c r="BO162" s="895"/>
      <c r="BP162" s="895"/>
      <c r="BQ162" s="895"/>
      <c r="BR162" s="895"/>
      <c r="BS162" s="895"/>
      <c r="BT162" s="895"/>
      <c r="BU162" s="895"/>
      <c r="BV162" s="895"/>
      <c r="BW162" s="895"/>
    </row>
    <row r="163" spans="2:75" ht="15.75" customHeight="1">
      <c r="B163" s="894"/>
      <c r="C163" s="894"/>
      <c r="D163" s="894"/>
      <c r="E163" s="894"/>
      <c r="F163" s="894"/>
      <c r="G163" s="894"/>
      <c r="H163" s="894"/>
      <c r="I163" s="894"/>
      <c r="J163" s="894"/>
      <c r="K163" s="894"/>
      <c r="L163" s="894"/>
      <c r="M163" s="894"/>
      <c r="N163" s="894"/>
      <c r="O163" s="894"/>
      <c r="P163" s="894"/>
      <c r="Q163" s="894"/>
      <c r="R163" s="894"/>
      <c r="S163" s="894"/>
      <c r="T163" s="894"/>
      <c r="U163" s="894"/>
      <c r="V163" s="894"/>
      <c r="W163" s="894"/>
      <c r="X163" s="894"/>
      <c r="Y163" s="894"/>
      <c r="Z163" s="894"/>
      <c r="AA163" s="894"/>
      <c r="AB163" s="894"/>
      <c r="AC163" s="894"/>
      <c r="AD163" s="894"/>
      <c r="AE163" s="894"/>
      <c r="AF163" s="894"/>
      <c r="AG163" s="894"/>
      <c r="AH163" s="894"/>
      <c r="AI163" s="894"/>
      <c r="AJ163" s="894"/>
      <c r="AK163" s="894"/>
      <c r="AL163" s="894"/>
      <c r="AM163" s="894"/>
      <c r="AN163" s="894"/>
      <c r="AO163" s="894"/>
      <c r="AP163" s="894"/>
      <c r="AQ163" s="894"/>
      <c r="AR163" s="894"/>
      <c r="AS163" s="894"/>
      <c r="AT163" s="894"/>
      <c r="AU163" s="894"/>
      <c r="AV163" s="894"/>
      <c r="AW163" s="894"/>
      <c r="AX163" s="895"/>
      <c r="AY163" s="895"/>
      <c r="AZ163" s="895"/>
      <c r="BA163" s="895"/>
      <c r="BB163" s="895"/>
      <c r="BC163" s="895"/>
      <c r="BD163" s="895"/>
      <c r="BE163" s="895"/>
      <c r="BF163" s="895"/>
      <c r="BG163" s="895"/>
      <c r="BH163" s="895"/>
      <c r="BI163" s="895"/>
      <c r="BJ163" s="895"/>
      <c r="BK163" s="895"/>
      <c r="BL163" s="895"/>
      <c r="BM163" s="895"/>
      <c r="BN163" s="895"/>
      <c r="BO163" s="895"/>
      <c r="BP163" s="895"/>
      <c r="BQ163" s="895"/>
      <c r="BR163" s="895"/>
      <c r="BS163" s="895"/>
      <c r="BT163" s="895"/>
      <c r="BU163" s="895"/>
      <c r="BV163" s="895"/>
      <c r="BW163" s="895"/>
    </row>
    <row r="166" spans="2:75" s="371" customFormat="1" ht="159" customHeight="1">
      <c r="B166" s="888" t="s">
        <v>1129</v>
      </c>
      <c r="C166" s="888"/>
      <c r="D166" s="888"/>
      <c r="E166" s="888"/>
      <c r="F166" s="888"/>
      <c r="G166" s="888"/>
      <c r="H166" s="888"/>
      <c r="I166" s="888"/>
      <c r="J166" s="888"/>
      <c r="K166" s="888"/>
      <c r="L166" s="888"/>
      <c r="M166" s="888"/>
      <c r="N166" s="888"/>
    </row>
    <row r="167" spans="2:75" s="371" customFormat="1" ht="159" customHeight="1">
      <c r="B167" s="566" t="s">
        <v>19</v>
      </c>
      <c r="C167" s="566"/>
      <c r="D167" s="566"/>
      <c r="E167" s="566"/>
      <c r="F167" s="566"/>
      <c r="G167" s="566"/>
      <c r="H167" s="566"/>
      <c r="I167" s="566"/>
      <c r="J167" s="566"/>
      <c r="K167" s="566"/>
      <c r="L167" s="566"/>
      <c r="M167" s="566"/>
      <c r="N167" s="566"/>
    </row>
    <row r="172" spans="2:75" ht="15" customHeight="1"/>
    <row r="173" spans="2:75" ht="15" customHeight="1"/>
    <row r="174" spans="2:75" ht="15" customHeight="1"/>
    <row r="175" spans="2:75" ht="15" customHeight="1"/>
    <row r="176" spans="2:75" ht="15" customHeight="1"/>
    <row r="177" ht="15" customHeight="1"/>
    <row r="178" ht="15" customHeight="1"/>
    <row r="179" ht="15" customHeight="1"/>
    <row r="180" ht="15" customHeight="1"/>
    <row r="181" ht="15.75" customHeight="1"/>
  </sheetData>
  <autoFilter ref="A17:OV147" xr:uid="{EE9ACA25-83F8-402A-AD2D-A31414E13CA9}">
    <filterColumn colId="2">
      <filters>
        <filter val="NISRINE EL BAHRY"/>
      </filters>
    </filterColumn>
  </autoFilter>
  <mergeCells count="233">
    <mergeCell ref="B11:B16"/>
    <mergeCell ref="C11:C16"/>
    <mergeCell ref="D11:D16"/>
    <mergeCell ref="E11:E16"/>
    <mergeCell ref="F11:F16"/>
    <mergeCell ref="E1:DO1"/>
    <mergeCell ref="DP1:DT1"/>
    <mergeCell ref="DU1:DW1"/>
    <mergeCell ref="E2:DO2"/>
    <mergeCell ref="DP2:DT2"/>
    <mergeCell ref="DU2:DW2"/>
    <mergeCell ref="G11:S12"/>
    <mergeCell ref="T11:AD12"/>
    <mergeCell ref="AE11:AL12"/>
    <mergeCell ref="AM11:AR12"/>
    <mergeCell ref="AS11:BG12"/>
    <mergeCell ref="BH11:BJ12"/>
    <mergeCell ref="DS3:DU9"/>
    <mergeCell ref="DV3:DV9"/>
    <mergeCell ref="DW3:DW9"/>
    <mergeCell ref="G7:DB7"/>
    <mergeCell ref="DU10:DW10"/>
    <mergeCell ref="DA11:DG12"/>
    <mergeCell ref="DH11:DI12"/>
    <mergeCell ref="CA11:CC12"/>
    <mergeCell ref="CD11:CD12"/>
    <mergeCell ref="CE11:CF12"/>
    <mergeCell ref="CG11:CH12"/>
    <mergeCell ref="CI11:CL12"/>
    <mergeCell ref="CM11:CQ12"/>
    <mergeCell ref="BK11:BK12"/>
    <mergeCell ref="BL11:BL12"/>
    <mergeCell ref="BM11:BO12"/>
    <mergeCell ref="BP11:BT12"/>
    <mergeCell ref="BU11:BW12"/>
    <mergeCell ref="BX11:BZ12"/>
    <mergeCell ref="DV11:DV15"/>
    <mergeCell ref="DW11:DW15"/>
    <mergeCell ref="G13:H14"/>
    <mergeCell ref="I13:K14"/>
    <mergeCell ref="L13:M14"/>
    <mergeCell ref="N13:O14"/>
    <mergeCell ref="P13:Q14"/>
    <mergeCell ref="R13:S14"/>
    <mergeCell ref="T13:V14"/>
    <mergeCell ref="W13:X14"/>
    <mergeCell ref="DJ11:DK12"/>
    <mergeCell ref="DL11:DN12"/>
    <mergeCell ref="DO11:DR12"/>
    <mergeCell ref="DS11:DS16"/>
    <mergeCell ref="DT11:DT16"/>
    <mergeCell ref="DU11:DU16"/>
    <mergeCell ref="DL13:DN14"/>
    <mergeCell ref="DO13:DP14"/>
    <mergeCell ref="DQ13:DR14"/>
    <mergeCell ref="DK15:DK16"/>
    <mergeCell ref="CR11:CU12"/>
    <mergeCell ref="CV11:CW12"/>
    <mergeCell ref="CX11:CY12"/>
    <mergeCell ref="CZ11:CZ12"/>
    <mergeCell ref="AM13:AN14"/>
    <mergeCell ref="AO13:AP14"/>
    <mergeCell ref="AQ13:AR14"/>
    <mergeCell ref="AS13:AU14"/>
    <mergeCell ref="AV13:AX14"/>
    <mergeCell ref="AY13:BA14"/>
    <mergeCell ref="Y13:AA14"/>
    <mergeCell ref="AB13:AD14"/>
    <mergeCell ref="AE13:AF14"/>
    <mergeCell ref="AG13:AH14"/>
    <mergeCell ref="AI13:AJ14"/>
    <mergeCell ref="AK13:AL14"/>
    <mergeCell ref="BO13:BO14"/>
    <mergeCell ref="BP13:BP14"/>
    <mergeCell ref="BQ13:BQ14"/>
    <mergeCell ref="BB13:BD14"/>
    <mergeCell ref="BE13:BG14"/>
    <mergeCell ref="BH13:BH14"/>
    <mergeCell ref="BI13:BI14"/>
    <mergeCell ref="BJ13:BJ14"/>
    <mergeCell ref="BK13:BK14"/>
    <mergeCell ref="DH13:DI14"/>
    <mergeCell ref="DJ13:DJ14"/>
    <mergeCell ref="DK13:DK14"/>
    <mergeCell ref="CM13:CQ14"/>
    <mergeCell ref="CR13:CU14"/>
    <mergeCell ref="CV13:CW14"/>
    <mergeCell ref="CX13:CY14"/>
    <mergeCell ref="CZ13:CZ14"/>
    <mergeCell ref="DA13:DB14"/>
    <mergeCell ref="G15:G16"/>
    <mergeCell ref="H15:H16"/>
    <mergeCell ref="I15:I16"/>
    <mergeCell ref="J15:J16"/>
    <mergeCell ref="K15:K16"/>
    <mergeCell ref="L15:L16"/>
    <mergeCell ref="DC13:DD14"/>
    <mergeCell ref="DE13:DE14"/>
    <mergeCell ref="DF13:DG14"/>
    <mergeCell ref="CA13:CC14"/>
    <mergeCell ref="CD13:CD14"/>
    <mergeCell ref="CE13:CF14"/>
    <mergeCell ref="CG13:CH14"/>
    <mergeCell ref="CI13:CJ14"/>
    <mergeCell ref="CK13:CL14"/>
    <mergeCell ref="BR13:BR14"/>
    <mergeCell ref="BS13:BT14"/>
    <mergeCell ref="BU13:BU14"/>
    <mergeCell ref="BV13:BW14"/>
    <mergeCell ref="BX13:BY14"/>
    <mergeCell ref="BZ13:BZ14"/>
    <mergeCell ref="BL13:BL14"/>
    <mergeCell ref="BM13:BM14"/>
    <mergeCell ref="BN13:BN14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AE15:AE16"/>
    <mergeCell ref="AF15:AF16"/>
    <mergeCell ref="AG15:AG16"/>
    <mergeCell ref="AH15:AH16"/>
    <mergeCell ref="AI15:AI16"/>
    <mergeCell ref="AJ15:AJ16"/>
    <mergeCell ref="Y15:Y16"/>
    <mergeCell ref="Z15:Z16"/>
    <mergeCell ref="AA15:AA16"/>
    <mergeCell ref="AB15:AB16"/>
    <mergeCell ref="AC15:AC16"/>
    <mergeCell ref="AD15:AD16"/>
    <mergeCell ref="AQ15:AQ16"/>
    <mergeCell ref="AR15:AR16"/>
    <mergeCell ref="AS15:AS16"/>
    <mergeCell ref="AT15:AT16"/>
    <mergeCell ref="AU15:AU16"/>
    <mergeCell ref="AV15:AV16"/>
    <mergeCell ref="AK15:AK16"/>
    <mergeCell ref="AL15:AL16"/>
    <mergeCell ref="AM15:AM16"/>
    <mergeCell ref="AN15:AN16"/>
    <mergeCell ref="AO15:AO16"/>
    <mergeCell ref="AP15:AP16"/>
    <mergeCell ref="BC15:BC16"/>
    <mergeCell ref="BD15:BD16"/>
    <mergeCell ref="BE15:BE16"/>
    <mergeCell ref="BF15:BF16"/>
    <mergeCell ref="BG15:BG16"/>
    <mergeCell ref="BH15:BH16"/>
    <mergeCell ref="AW15:AW16"/>
    <mergeCell ref="AX15:AX16"/>
    <mergeCell ref="AY15:AY16"/>
    <mergeCell ref="AZ15:AZ16"/>
    <mergeCell ref="BA15:BA16"/>
    <mergeCell ref="BB15:BB16"/>
    <mergeCell ref="BO15:BO16"/>
    <mergeCell ref="BP15:BP16"/>
    <mergeCell ref="BQ15:BQ16"/>
    <mergeCell ref="BR15:BR16"/>
    <mergeCell ref="BS15:BS16"/>
    <mergeCell ref="BT15:BT16"/>
    <mergeCell ref="BI15:BI16"/>
    <mergeCell ref="BJ15:BJ16"/>
    <mergeCell ref="BK15:BK16"/>
    <mergeCell ref="BL15:BL16"/>
    <mergeCell ref="BM15:BM16"/>
    <mergeCell ref="BN15:BN16"/>
    <mergeCell ref="CA15:CA16"/>
    <mergeCell ref="CB15:CB16"/>
    <mergeCell ref="CC15:CC16"/>
    <mergeCell ref="CD15:CD16"/>
    <mergeCell ref="CE15:CE16"/>
    <mergeCell ref="CF15:CF16"/>
    <mergeCell ref="BU15:BU16"/>
    <mergeCell ref="BV15:BV16"/>
    <mergeCell ref="BW15:BW16"/>
    <mergeCell ref="BX15:BX16"/>
    <mergeCell ref="BY15:BY16"/>
    <mergeCell ref="BZ15:BZ16"/>
    <mergeCell ref="CM15:CM16"/>
    <mergeCell ref="CN15:CN16"/>
    <mergeCell ref="CO15:CO16"/>
    <mergeCell ref="CP15:CP16"/>
    <mergeCell ref="CQ15:CQ16"/>
    <mergeCell ref="CR15:CR16"/>
    <mergeCell ref="CG15:CG16"/>
    <mergeCell ref="CH15:CH16"/>
    <mergeCell ref="CI15:CI16"/>
    <mergeCell ref="CJ15:CJ16"/>
    <mergeCell ref="CK15:CK16"/>
    <mergeCell ref="CL15:CL16"/>
    <mergeCell ref="CY15:CY16"/>
    <mergeCell ref="CZ15:CZ16"/>
    <mergeCell ref="DA15:DA16"/>
    <mergeCell ref="DB15:DB16"/>
    <mergeCell ref="DC15:DC16"/>
    <mergeCell ref="DD15:DD16"/>
    <mergeCell ref="CS15:CS16"/>
    <mergeCell ref="CT15:CT16"/>
    <mergeCell ref="CU15:CU16"/>
    <mergeCell ref="CV15:CV16"/>
    <mergeCell ref="CW15:CW16"/>
    <mergeCell ref="CX15:CX16"/>
    <mergeCell ref="DR15:DR16"/>
    <mergeCell ref="DL15:DL16"/>
    <mergeCell ref="DM15:DM16"/>
    <mergeCell ref="DN15:DN16"/>
    <mergeCell ref="DO15:DO16"/>
    <mergeCell ref="DP15:DP16"/>
    <mergeCell ref="DQ15:DQ16"/>
    <mergeCell ref="DE15:DE16"/>
    <mergeCell ref="DF15:DF16"/>
    <mergeCell ref="DG15:DG16"/>
    <mergeCell ref="DH15:DH16"/>
    <mergeCell ref="DI15:DI16"/>
    <mergeCell ref="DJ15:DJ16"/>
    <mergeCell ref="B166:N166"/>
    <mergeCell ref="B167:N167"/>
    <mergeCell ref="B145:F145"/>
    <mergeCell ref="B146:F146"/>
    <mergeCell ref="B149:Y150"/>
    <mergeCell ref="Z149:AW150"/>
    <mergeCell ref="AX149:BW150"/>
    <mergeCell ref="B151:Y163"/>
    <mergeCell ref="Z151:AW163"/>
    <mergeCell ref="AX151:BW163"/>
  </mergeCells>
  <conditionalFormatting sqref="B30">
    <cfRule type="duplicateValues" dxfId="1817" priority="1905"/>
  </conditionalFormatting>
  <conditionalFormatting sqref="B56">
    <cfRule type="duplicateValues" dxfId="1816" priority="1903"/>
    <cfRule type="duplicateValues" dxfId="1815" priority="1894"/>
    <cfRule type="duplicateValues" dxfId="1814" priority="1890"/>
    <cfRule type="duplicateValues" dxfId="1813" priority="1891"/>
    <cfRule type="duplicateValues" dxfId="1812" priority="1892"/>
    <cfRule type="duplicateValues" dxfId="1811" priority="1893"/>
    <cfRule type="duplicateValues" dxfId="1810" priority="1904"/>
    <cfRule type="duplicateValues" dxfId="1809" priority="1902"/>
    <cfRule type="duplicateValues" dxfId="1808" priority="1901"/>
    <cfRule type="duplicateValues" dxfId="1807" priority="1900"/>
    <cfRule type="duplicateValues" dxfId="1806" priority="1899"/>
    <cfRule type="duplicateValues" dxfId="1805" priority="1898"/>
    <cfRule type="duplicateValues" dxfId="1804" priority="1897"/>
    <cfRule type="duplicateValues" dxfId="1803" priority="1896"/>
    <cfRule type="duplicateValues" dxfId="1802" priority="1895"/>
  </conditionalFormatting>
  <conditionalFormatting sqref="B84">
    <cfRule type="duplicateValues" dxfId="1801" priority="1889"/>
    <cfRule type="duplicateValues" dxfId="1800" priority="1888"/>
  </conditionalFormatting>
  <conditionalFormatting sqref="B85:B102 B80:B83">
    <cfRule type="duplicateValues" dxfId="1799" priority="1884"/>
    <cfRule type="duplicateValues" dxfId="1798" priority="1880"/>
    <cfRule type="duplicateValues" dxfId="1797" priority="1885"/>
    <cfRule type="duplicateValues" dxfId="1796" priority="1886"/>
    <cfRule type="duplicateValues" dxfId="1795" priority="1887"/>
    <cfRule type="duplicateValues" dxfId="1794" priority="1881"/>
    <cfRule type="duplicateValues" dxfId="1793" priority="1883"/>
    <cfRule type="duplicateValues" dxfId="1792" priority="1876"/>
    <cfRule type="duplicateValues" dxfId="1791" priority="1877"/>
    <cfRule type="duplicateValues" dxfId="1790" priority="1882"/>
    <cfRule type="duplicateValues" dxfId="1789" priority="1878"/>
    <cfRule type="duplicateValues" dxfId="1788" priority="1879"/>
  </conditionalFormatting>
  <conditionalFormatting sqref="B92">
    <cfRule type="duplicateValues" dxfId="1787" priority="1875"/>
  </conditionalFormatting>
  <conditionalFormatting sqref="B93:B102">
    <cfRule type="duplicateValues" dxfId="1786" priority="1874"/>
  </conditionalFormatting>
  <conditionalFormatting sqref="B111:B141 B143">
    <cfRule type="duplicateValues" dxfId="1785" priority="317937"/>
    <cfRule type="duplicateValues" dxfId="1784" priority="317938"/>
    <cfRule type="duplicateValues" dxfId="1783" priority="317939"/>
    <cfRule type="duplicateValues" dxfId="1782" priority="317936"/>
    <cfRule type="duplicateValues" dxfId="1781" priority="317940"/>
    <cfRule type="duplicateValues" dxfId="1780" priority="317934"/>
    <cfRule type="duplicateValues" dxfId="1779" priority="317933"/>
    <cfRule type="duplicateValues" dxfId="1778" priority="317941"/>
    <cfRule type="duplicateValues" dxfId="1777" priority="317932"/>
    <cfRule type="duplicateValues" dxfId="1776" priority="317927"/>
    <cfRule type="duplicateValues" dxfId="1775" priority="317928"/>
    <cfRule type="duplicateValues" dxfId="1774" priority="317929"/>
    <cfRule type="duplicateValues" dxfId="1773" priority="317930"/>
    <cfRule type="duplicateValues" dxfId="1772" priority="317931"/>
    <cfRule type="duplicateValues" dxfId="1771" priority="317935"/>
  </conditionalFormatting>
  <conditionalFormatting sqref="B142">
    <cfRule type="duplicateValues" dxfId="1770" priority="7"/>
    <cfRule type="duplicateValues" dxfId="1769" priority="8"/>
  </conditionalFormatting>
  <conditionalFormatting sqref="B144">
    <cfRule type="duplicateValues" dxfId="1768" priority="1871"/>
    <cfRule type="duplicateValues" dxfId="1767" priority="1870"/>
    <cfRule type="duplicateValues" dxfId="1766" priority="1869"/>
    <cfRule type="duplicateValues" dxfId="1765" priority="1868"/>
    <cfRule type="duplicateValues" dxfId="1764" priority="1866"/>
    <cfRule type="duplicateValues" dxfId="1763" priority="1865"/>
    <cfRule type="duplicateValues" dxfId="1762" priority="1864"/>
    <cfRule type="duplicateValues" dxfId="1761" priority="1863"/>
    <cfRule type="duplicateValues" dxfId="1760" priority="1862"/>
    <cfRule type="duplicateValues" dxfId="1759" priority="1861"/>
    <cfRule type="duplicateValues" dxfId="1758" priority="1860"/>
    <cfRule type="duplicateValues" dxfId="1757" priority="1867"/>
    <cfRule type="duplicateValues" dxfId="1756" priority="1873"/>
    <cfRule type="duplicateValues" dxfId="1755" priority="1872"/>
  </conditionalFormatting>
  <conditionalFormatting sqref="B85:C90 B80:C83 B91 C91:C141 C143:C144">
    <cfRule type="duplicateValues" dxfId="1754" priority="317957"/>
  </conditionalFormatting>
  <conditionalFormatting sqref="C52">
    <cfRule type="duplicateValues" dxfId="1753" priority="1859"/>
    <cfRule type="duplicateValues" dxfId="1752" priority="1858"/>
    <cfRule type="duplicateValues" dxfId="1751" priority="1857"/>
    <cfRule type="duplicateValues" dxfId="1750" priority="1856"/>
    <cfRule type="duplicateValues" dxfId="1749" priority="1855"/>
    <cfRule type="duplicateValues" dxfId="1748" priority="1854"/>
    <cfRule type="duplicateValues" dxfId="1747" priority="1853"/>
  </conditionalFormatting>
  <conditionalFormatting sqref="C70:C79">
    <cfRule type="duplicateValues" dxfId="1746" priority="1852"/>
  </conditionalFormatting>
  <conditionalFormatting sqref="C70:C83 C85:C141 C143:C144">
    <cfRule type="duplicateValues" dxfId="1745" priority="317962"/>
  </conditionalFormatting>
  <conditionalFormatting sqref="C84">
    <cfRule type="containsText" dxfId="1744" priority="1851" operator="containsText" text="Mt">
      <formula>NOT(ISERROR(SEARCH("Mt",C84)))</formula>
    </cfRule>
    <cfRule type="duplicateValues" dxfId="1743" priority="1848"/>
    <cfRule type="duplicateValues" dxfId="1742" priority="1849"/>
    <cfRule type="duplicateValues" dxfId="1741" priority="1850"/>
  </conditionalFormatting>
  <conditionalFormatting sqref="C142">
    <cfRule type="duplicateValues" dxfId="1740" priority="3"/>
    <cfRule type="duplicateValues" dxfId="1739" priority="4"/>
    <cfRule type="duplicateValues" dxfId="1738" priority="5"/>
    <cfRule type="containsText" dxfId="1737" priority="6" operator="containsText" text="Mt">
      <formula>NOT(ISERROR(SEARCH("Mt",C142)))</formula>
    </cfRule>
  </conditionalFormatting>
  <conditionalFormatting sqref="C144">
    <cfRule type="duplicateValues" dxfId="1736" priority="1842"/>
    <cfRule type="duplicateValues" dxfId="1735" priority="1843"/>
    <cfRule type="duplicateValues" dxfId="1734" priority="1844"/>
    <cfRule type="duplicateValues" dxfId="1733" priority="1845"/>
  </conditionalFormatting>
  <conditionalFormatting sqref="D84">
    <cfRule type="duplicateValues" dxfId="1732" priority="1840"/>
    <cfRule type="duplicateValues" dxfId="1731" priority="1841"/>
  </conditionalFormatting>
  <conditionalFormatting sqref="D142">
    <cfRule type="duplicateValues" dxfId="1730" priority="2"/>
    <cfRule type="duplicateValues" dxfId="1729" priority="1"/>
  </conditionalFormatting>
  <conditionalFormatting sqref="G25">
    <cfRule type="cellIs" dxfId="1728" priority="1838" operator="equal">
      <formula>3</formula>
    </cfRule>
    <cfRule type="cellIs" dxfId="1727" priority="1839" operator="equal">
      <formula>4</formula>
    </cfRule>
    <cfRule type="top10" dxfId="1726" priority="1837" rank="10"/>
    <cfRule type="cellIs" dxfId="1725" priority="1836" operator="equal">
      <formula>2</formula>
    </cfRule>
  </conditionalFormatting>
  <conditionalFormatting sqref="G30">
    <cfRule type="containsText" dxfId="1724" priority="1828" operator="containsText" text="1">
      <formula>NOT(ISERROR(SEARCH("1",G30)))</formula>
    </cfRule>
    <cfRule type="cellIs" dxfId="1723" priority="1835" operator="equal">
      <formula>2</formula>
    </cfRule>
    <cfRule type="top10" dxfId="1722" priority="1834" rank="10"/>
    <cfRule type="containsText" dxfId="1721" priority="1833" operator="containsText" text="2">
      <formula>NOT(ISERROR(SEARCH("2",G30)))</formula>
    </cfRule>
    <cfRule type="containsText" dxfId="1720" priority="1832" operator="containsText" text="3">
      <formula>NOT(ISERROR(SEARCH("3",G30)))</formula>
    </cfRule>
    <cfRule type="containsText" dxfId="1719" priority="1831" operator="containsText" text="4">
      <formula>NOT(ISERROR(SEARCH("4",G30)))</formula>
    </cfRule>
    <cfRule type="containsText" dxfId="1718" priority="1830" operator="containsText" text="3">
      <formula>NOT(ISERROR(SEARCH("3",G30)))</formula>
    </cfRule>
    <cfRule type="containsText" dxfId="1717" priority="1829" operator="containsText" text="1">
      <formula>NOT(ISERROR(SEARCH("1",G30)))</formula>
    </cfRule>
  </conditionalFormatting>
  <conditionalFormatting sqref="G30:G32 G37:H37 G39:H46 K32:K37 AD40:AL56 DG29:DG32 DL30:DR51 H31 AK31:AL31 BL31 I31:I32 BE31:BG32 BS31:BU32 DH31:DI32 CV31:CY33 CM31:CT36 V31:V37 AD31:AD37 BO31:BO37 CG31:CK37 CU31:CU37 DK31:DK37 DS31:DU37 CL31:CL38 BE33:BE37 DE33:DG38 BS34:BU37 DH34:DI37 CV35:CY42 AA37 AK37:AL37 AQ37 BJ37:BL37 BQ37 BZ37:CC37 CP37:CQ37 AR37:AR38 CM37:CM40 AD39 AK39:AL39 BE39:BF40 CG39:CL40 CQ39:CQ40 CU39:CU40 DS39:DT40 CA39:CC43 DA39:DB45 DK39:DK47 BJ39:BL49 BO39:BO49 AQ39:AR50 DE39:DI50 AA39:AA51 BQ40:BR48 K41:K46 DS41:DU46 I41:I47 V41:V51 BU43:BU44 BZ44:CC44 BE44:BG45 BS45:BU51 BG47 CA47:CC47 DS47:DT48 CV47:CY50 DA47:DB50 G48:I48 K48 CL48:CU50 K50:K51 BE50:BG51">
    <cfRule type="cellIs" dxfId="1716" priority="1827" operator="equal">
      <formula>1</formula>
    </cfRule>
  </conditionalFormatting>
  <conditionalFormatting sqref="G31">
    <cfRule type="top10" dxfId="1715" priority="1826" rank="10"/>
  </conditionalFormatting>
  <conditionalFormatting sqref="G33">
    <cfRule type="top10" dxfId="1714" priority="1825" rank="10"/>
    <cfRule type="cellIs" dxfId="1713" priority="1824" operator="equal">
      <formula>1</formula>
    </cfRule>
    <cfRule type="top10" dxfId="1712" priority="1823" rank="10"/>
  </conditionalFormatting>
  <conditionalFormatting sqref="G33:G34 DL19:DR23 BQ23:BU23 BU25 DL25:DR27 BS26:BU27 BQ28:BU28 DH28:DI29 AD29 BO29 BS29:BU29 CG29:CY29 DF29 DK29:DT29 DA29:DB37 BZ31:CC34 AQ31:AR35 BJ32:BL32 BT33:BU33 AA33:AA35 BQ34:BR35 BF35 BG35:BG37 K39 BQ39:BU39 BS40:BU41 BG43 BS43:BT43 CI43:CL43 CW43:CY43 CG46:CL46 CW46:CY46 CQ46:CQ47 CG47:CJ47 CL47 CU47 DU47 G51:H51 AR51 BR51 DA51:DD51 BG53 V53:V55 G53:H56 AA53:AA56 AQ53:AR56 BJ53:BL56 BO53:BO56 BQ53:BU56 BZ53:CD56 CR53:CY56 DA53:DB56 DE53:DI56 DK53:DU56 I53:I57 BE54:BG55 CH54:CQ56 K55:K56 CF55:CG56">
    <cfRule type="cellIs" dxfId="1711" priority="1822" operator="equal">
      <formula>1</formula>
    </cfRule>
  </conditionalFormatting>
  <conditionalFormatting sqref="G34">
    <cfRule type="top10" dxfId="1710" priority="1821" rank="10"/>
  </conditionalFormatting>
  <conditionalFormatting sqref="G35">
    <cfRule type="cellIs" dxfId="1709" priority="1819" operator="equal">
      <formula>3</formula>
    </cfRule>
    <cfRule type="cellIs" dxfId="1708" priority="1820" operator="equal">
      <formula>4</formula>
    </cfRule>
    <cfRule type="top10" dxfId="1707" priority="1814" rank="10"/>
    <cfRule type="cellIs" dxfId="1706" priority="1813" operator="equal">
      <formula>1</formula>
    </cfRule>
    <cfRule type="top10" dxfId="1705" priority="1812" rank="10"/>
    <cfRule type="cellIs" dxfId="1704" priority="1815" operator="equal">
      <formula>4</formula>
    </cfRule>
    <cfRule type="cellIs" dxfId="1703" priority="1816" operator="equal">
      <formula>3</formula>
    </cfRule>
    <cfRule type="cellIs" dxfId="1702" priority="1817" operator="equal">
      <formula>1</formula>
    </cfRule>
    <cfRule type="top10" dxfId="1701" priority="1818" rank="10"/>
  </conditionalFormatting>
  <conditionalFormatting sqref="G37">
    <cfRule type="top10" dxfId="1700" priority="1811" rank="10"/>
    <cfRule type="top10" dxfId="1699" priority="1809" rank="10"/>
    <cfRule type="cellIs" dxfId="1698" priority="1810" operator="equal">
      <formula>1</formula>
    </cfRule>
  </conditionalFormatting>
  <conditionalFormatting sqref="G39">
    <cfRule type="cellIs" dxfId="1697" priority="1806" operator="equal">
      <formula>1</formula>
    </cfRule>
    <cfRule type="cellIs" dxfId="1696" priority="1805" operator="equal">
      <formula>3</formula>
    </cfRule>
    <cfRule type="cellIs" dxfId="1695" priority="1804" operator="equal">
      <formula>4</formula>
    </cfRule>
    <cfRule type="top10" dxfId="1694" priority="1803" rank="10"/>
    <cfRule type="cellIs" dxfId="1693" priority="1802" operator="equal">
      <formula>1</formula>
    </cfRule>
    <cfRule type="cellIs" dxfId="1692" priority="1801" operator="equal">
      <formula>3</formula>
    </cfRule>
    <cfRule type="cellIs" dxfId="1691" priority="1800" operator="equal">
      <formula>4</formula>
    </cfRule>
    <cfRule type="top10" dxfId="1690" priority="1799" rank="10"/>
    <cfRule type="cellIs" dxfId="1689" priority="1798" operator="equal">
      <formula>1</formula>
    </cfRule>
    <cfRule type="top10" dxfId="1688" priority="1797" rank="10"/>
    <cfRule type="cellIs" dxfId="1687" priority="1796" operator="equal">
      <formula>3</formula>
    </cfRule>
    <cfRule type="cellIs" dxfId="1686" priority="1795" operator="equal">
      <formula>4</formula>
    </cfRule>
    <cfRule type="cellIs" dxfId="1685" priority="1808" operator="equal">
      <formula>1</formula>
    </cfRule>
    <cfRule type="top10" dxfId="1684" priority="1807" rank="10"/>
  </conditionalFormatting>
  <conditionalFormatting sqref="G17:H21 BE17:BG22 DJ17:DJ23 AD18 AB18:AC23 I21 AB25:AC29 DJ25:DJ29 J26:J29 BM27:BN29 AE28:AJ29 BP28:BP29 BV31:BY32 DJ31:DJ34 J31:J35 AE31:AJ39 AB31:AC42 BM31:BN49 BP31:BP51 DJ48:DJ51 BP53:BP56 DJ53:DJ56">
    <cfRule type="cellIs" dxfId="1683" priority="1794" operator="equal">
      <formula>4</formula>
    </cfRule>
    <cfRule type="cellIs" dxfId="1682" priority="1793" operator="equal">
      <formula>4</formula>
    </cfRule>
  </conditionalFormatting>
  <conditionalFormatting sqref="G28:H28">
    <cfRule type="top10" dxfId="1681" priority="1792" rank="10"/>
  </conditionalFormatting>
  <conditionalFormatting sqref="G23:I23 G25:I29 DK29 AA31:AA35 BZ31:CC35 AK34:AL37 AA37 AQ37 BZ37:CC37 CG37:CK37 CN37:CU37 I39 K39 BQ45:BU45 BQ46:BR49 DF46:DI50 BS46:BU51 DE46:DE51 CA47:CC47 CO47:CP47 CS47:CY47 DA47:DB50 G48:I48 K48 CH48:CJ48 CL48:CY50 K50:K51 BE50:BG51 G51:I51 AR51 V53:V55 K53:K56 I53:I57 CF54:CG56 G66:DU115 G116:T116 V116:DU116">
    <cfRule type="cellIs" dxfId="1680" priority="1789" operator="equal">
      <formula>2</formula>
    </cfRule>
  </conditionalFormatting>
  <conditionalFormatting sqref="G23:I23">
    <cfRule type="top10" dxfId="1679" priority="1788" rank="10"/>
    <cfRule type="cellIs" dxfId="1678" priority="1787" operator="equal">
      <formula>1</formula>
    </cfRule>
  </conditionalFormatting>
  <conditionalFormatting sqref="G25:I29">
    <cfRule type="cellIs" dxfId="1677" priority="1785" operator="equal">
      <formula>1</formula>
    </cfRule>
  </conditionalFormatting>
  <conditionalFormatting sqref="G35:I35">
    <cfRule type="cellIs" dxfId="1676" priority="1784" operator="equal">
      <formula>1</formula>
    </cfRule>
  </conditionalFormatting>
  <conditionalFormatting sqref="G38:I38">
    <cfRule type="cellIs" dxfId="1675" priority="1782" operator="equal">
      <formula>4</formula>
    </cfRule>
    <cfRule type="cellIs" dxfId="1674" priority="1781" operator="equal">
      <formula>4</formula>
    </cfRule>
    <cfRule type="cellIs" dxfId="1673" priority="1783" operator="equal">
      <formula>1</formula>
    </cfRule>
  </conditionalFormatting>
  <conditionalFormatting sqref="G36:J36">
    <cfRule type="cellIs" dxfId="1672" priority="1779" operator="equal">
      <formula>1</formula>
    </cfRule>
  </conditionalFormatting>
  <conditionalFormatting sqref="G36:K36">
    <cfRule type="top10" dxfId="1671" priority="1778" rank="10"/>
  </conditionalFormatting>
  <conditionalFormatting sqref="G52:V52">
    <cfRule type="cellIs" dxfId="1670" priority="1777" operator="equal">
      <formula>1</formula>
    </cfRule>
  </conditionalFormatting>
  <conditionalFormatting sqref="G24:AD24 CP24 DC24">
    <cfRule type="cellIs" dxfId="1669" priority="1775" operator="equal">
      <formula>4</formula>
    </cfRule>
    <cfRule type="cellIs" dxfId="1668" priority="1774" operator="equal">
      <formula>3</formula>
    </cfRule>
    <cfRule type="containsText" dxfId="1667" priority="1772" operator="containsText" text="4">
      <formula>NOT(ISERROR(SEARCH("4",G24)))</formula>
    </cfRule>
    <cfRule type="containsText" dxfId="1666" priority="1771" operator="containsText" text="3">
      <formula>NOT(ISERROR(SEARCH("3",G24)))</formula>
    </cfRule>
    <cfRule type="cellIs" dxfId="1665" priority="1770" operator="lessThan">
      <formula>2</formula>
    </cfRule>
    <cfRule type="cellIs" dxfId="1664" priority="1768" operator="lessThan">
      <formula>1</formula>
    </cfRule>
    <cfRule type="containsText" dxfId="1663" priority="1767" operator="containsText" text="2">
      <formula>NOT(ISERROR(SEARCH("2",G24)))</formula>
    </cfRule>
    <cfRule type="containsText" dxfId="1662" priority="1766" operator="containsText" text="1">
      <formula>NOT(ISERROR(SEARCH("1",G24)))</formula>
    </cfRule>
    <cfRule type="containsText" dxfId="1661" priority="1765" operator="containsText" text="3">
      <formula>NOT(ISERROR(SEARCH("3",G24)))</formula>
    </cfRule>
    <cfRule type="containsText" dxfId="1660" priority="1764" operator="containsText" text="1">
      <formula>NOT(ISERROR(SEARCH("1",G24)))</formula>
    </cfRule>
    <cfRule type="containsText" dxfId="1659" priority="276" operator="containsText" text="1">
      <formula>NOT(ISERROR(SEARCH("1",G24)))</formula>
    </cfRule>
    <cfRule type="cellIs" dxfId="1658" priority="1769" operator="lessThan">
      <formula>1</formula>
    </cfRule>
    <cfRule type="cellIs" dxfId="1657" priority="1773" operator="equal">
      <formula>2</formula>
    </cfRule>
    <cfRule type="cellIs" dxfId="1656" priority="1776" operator="equal">
      <formula>1</formula>
    </cfRule>
  </conditionalFormatting>
  <conditionalFormatting sqref="G52:CM52 CW52:DR52">
    <cfRule type="top10" dxfId="1655" priority="1763" rank="10"/>
  </conditionalFormatting>
  <conditionalFormatting sqref="G17:DU23 G25:DU29 G31:DU51 G53:DU92 U116">
    <cfRule type="containsText" dxfId="1654" priority="1762" operator="containsText" text="4">
      <formula>NOT(ISERROR(SEARCH("4",G17)))</formula>
    </cfRule>
    <cfRule type="containsText" dxfId="1653" priority="1761" operator="containsText" text="3">
      <formula>NOT(ISERROR(SEARCH("3",G17)))</formula>
    </cfRule>
    <cfRule type="cellIs" dxfId="1652" priority="1760" operator="lessThan">
      <formula>2</formula>
    </cfRule>
    <cfRule type="cellIs" dxfId="1651" priority="1759" operator="lessThan">
      <formula>1</formula>
    </cfRule>
    <cfRule type="cellIs" dxfId="1650" priority="1758" operator="lessThan">
      <formula>1</formula>
    </cfRule>
    <cfRule type="containsText" dxfId="1649" priority="1757" operator="containsText" text="2">
      <formula>NOT(ISERROR(SEARCH("2",G17)))</formula>
    </cfRule>
    <cfRule type="containsText" dxfId="1648" priority="1756" operator="containsText" text="1">
      <formula>NOT(ISERROR(SEARCH("1",G17)))</formula>
    </cfRule>
  </conditionalFormatting>
  <conditionalFormatting sqref="G17:DU29 U116">
    <cfRule type="containsText" dxfId="1647" priority="1751" operator="containsText" text="1">
      <formula>NOT(ISERROR(SEARCH("1",G17)))</formula>
    </cfRule>
  </conditionalFormatting>
  <conditionalFormatting sqref="G24:DU24">
    <cfRule type="top10" dxfId="1646" priority="1753" rank="10"/>
    <cfRule type="top10" dxfId="1645" priority="1752" rank="10"/>
    <cfRule type="containsText" dxfId="1644" priority="1750" operator="containsText" text="4">
      <formula>NOT(ISERROR(SEARCH("4",G24)))</formula>
    </cfRule>
    <cfRule type="containsText" dxfId="1643" priority="1749" operator="containsText" text="2">
      <formula>NOT(ISERROR(SEARCH("2",G24)))</formula>
    </cfRule>
    <cfRule type="containsText" dxfId="1642" priority="1747" operator="containsText" text="1">
      <formula>NOT(ISERROR(SEARCH("1",G24)))</formula>
    </cfRule>
    <cfRule type="containsText" dxfId="1641" priority="1746" operator="containsText" text="1">
      <formula>NOT(ISERROR(SEARCH("1",G24)))</formula>
    </cfRule>
    <cfRule type="cellIs" dxfId="1640" priority="1745" operator="equal">
      <formula>1</formula>
    </cfRule>
    <cfRule type="cellIs" dxfId="1639" priority="1743" operator="equal">
      <formula>4</formula>
    </cfRule>
    <cfRule type="cellIs" dxfId="1638" priority="1742" operator="equal">
      <formula>3</formula>
    </cfRule>
    <cfRule type="cellIs" dxfId="1637" priority="1438" operator="equal">
      <formula>2</formula>
    </cfRule>
    <cfRule type="containsText" dxfId="1636" priority="1748" operator="containsText" text="3">
      <formula>NOT(ISERROR(SEARCH("3",G24)))</formula>
    </cfRule>
  </conditionalFormatting>
  <conditionalFormatting sqref="G30:DU30">
    <cfRule type="containsText" dxfId="1635" priority="1740" operator="containsText" text="4">
      <formula>NOT(ISERROR(SEARCH("4",G30)))</formula>
    </cfRule>
    <cfRule type="containsText" dxfId="1634" priority="1739" operator="containsText" text="1">
      <formula>NOT(ISERROR(SEARCH("1",G30)))</formula>
    </cfRule>
  </conditionalFormatting>
  <conditionalFormatting sqref="G31:DU51 G53:DU92 G17:DU23 G25:DU29 U116">
    <cfRule type="containsText" dxfId="1633" priority="1755" operator="containsText" text="3">
      <formula>NOT(ISERROR(SEARCH("3",G17)))</formula>
    </cfRule>
  </conditionalFormatting>
  <conditionalFormatting sqref="G31:DU51 G53:DU92">
    <cfRule type="containsText" dxfId="1632" priority="1754" operator="containsText" text="1">
      <formula>NOT(ISERROR(SEARCH("1",G31)))</formula>
    </cfRule>
  </conditionalFormatting>
  <conditionalFormatting sqref="G52:DU52">
    <cfRule type="containsText" dxfId="1631" priority="1736" operator="containsText" text="1">
      <formula>NOT(ISERROR(SEARCH("1",G52)))</formula>
    </cfRule>
    <cfRule type="containsText" dxfId="1630" priority="1735" operator="containsText" text="4">
      <formula>NOT(ISERROR(SEARCH("4",G52)))</formula>
    </cfRule>
    <cfRule type="containsText" dxfId="1629" priority="1734" operator="containsText" text="2">
      <formula>NOT(ISERROR(SEARCH("2",G52)))</formula>
    </cfRule>
    <cfRule type="containsText" dxfId="1628" priority="1733" operator="containsText" text="3">
      <formula>NOT(ISERROR(SEARCH("3",G52)))</formula>
    </cfRule>
    <cfRule type="containsText" dxfId="1627" priority="1732" operator="containsText" text="1">
      <formula>NOT(ISERROR(SEARCH("1",G52)))</formula>
    </cfRule>
    <cfRule type="containsText" dxfId="1626" priority="1731" operator="containsText" text="1">
      <formula>NOT(ISERROR(SEARCH("1",G52)))</formula>
    </cfRule>
    <cfRule type="cellIs" dxfId="1625" priority="1738" operator="equal">
      <formula>3</formula>
    </cfRule>
    <cfRule type="cellIs" dxfId="1624" priority="1737" operator="equal">
      <formula>4</formula>
    </cfRule>
  </conditionalFormatting>
  <conditionalFormatting sqref="G53:DU92 G25:DU29 G31:DU51 G17:DU23 U116">
    <cfRule type="containsText" dxfId="1623" priority="1741" operator="containsText" text="1">
      <formula>NOT(ISERROR(SEARCH("1",G17)))</formula>
    </cfRule>
  </conditionalFormatting>
  <conditionalFormatting sqref="G66:DU92">
    <cfRule type="top10" dxfId="1622" priority="1725" rank="10"/>
    <cfRule type="top10" dxfId="1621" priority="1715" rank="10"/>
    <cfRule type="cellIs" dxfId="1620" priority="1713" operator="equal">
      <formula>4</formula>
    </cfRule>
    <cfRule type="cellIs" dxfId="1619" priority="1712" operator="equal">
      <formula>1</formula>
    </cfRule>
    <cfRule type="cellIs" dxfId="1618" priority="1720" operator="equal">
      <formula>3</formula>
    </cfRule>
    <cfRule type="top10" dxfId="1617" priority="1711" rank="10"/>
    <cfRule type="cellIs" dxfId="1616" priority="1710" operator="equal">
      <formula>1</formula>
    </cfRule>
    <cfRule type="top10" dxfId="1615" priority="1709" rank="10"/>
    <cfRule type="cellIs" dxfId="1614" priority="1708" operator="equal">
      <formula>1</formula>
    </cfRule>
    <cfRule type="top10" dxfId="1613" priority="1707" rank="10"/>
    <cfRule type="cellIs" dxfId="1612" priority="1719" operator="equal">
      <formula>4</formula>
    </cfRule>
    <cfRule type="cellIs" dxfId="1611" priority="1714" operator="equal">
      <formula>3</formula>
    </cfRule>
    <cfRule type="cellIs" dxfId="1610" priority="1718" operator="equal">
      <formula>1</formula>
    </cfRule>
    <cfRule type="top10" dxfId="1609" priority="1717" rank="10"/>
    <cfRule type="top10" dxfId="1608" priority="1730" rank="10"/>
    <cfRule type="top10" dxfId="1607" priority="1729" rank="10"/>
    <cfRule type="cellIs" dxfId="1606" priority="1728" operator="equal">
      <formula>1</formula>
    </cfRule>
    <cfRule type="cellIs" dxfId="1605" priority="1727" operator="equal">
      <formula>4</formula>
    </cfRule>
    <cfRule type="cellIs" dxfId="1604" priority="1726" operator="equal">
      <formula>3</formula>
    </cfRule>
    <cfRule type="cellIs" dxfId="1603" priority="1716" operator="equal">
      <formula>1</formula>
    </cfRule>
    <cfRule type="cellIs" dxfId="1602" priority="1724" operator="equal">
      <formula>3</formula>
    </cfRule>
    <cfRule type="cellIs" dxfId="1601" priority="1723" operator="equal">
      <formula>4</formula>
    </cfRule>
    <cfRule type="cellIs" dxfId="1600" priority="1722" operator="equal">
      <formula>1</formula>
    </cfRule>
    <cfRule type="top10" dxfId="1599" priority="1721" rank="10"/>
  </conditionalFormatting>
  <conditionalFormatting sqref="G93:DU115 G116:T116 V116:DU116 G117:DU119 G142:DU143">
    <cfRule type="containsText" dxfId="1598" priority="317990" operator="containsText" text="4">
      <formula>NOT(ISERROR(SEARCH("4",G93)))</formula>
    </cfRule>
    <cfRule type="containsText" dxfId="1597" priority="317989" operator="containsText" text="3">
      <formula>NOT(ISERROR(SEARCH("3",G93)))</formula>
    </cfRule>
    <cfRule type="cellIs" dxfId="1596" priority="317988" operator="lessThan">
      <formula>2</formula>
    </cfRule>
    <cfRule type="cellIs" dxfId="1595" priority="317978" operator="equal">
      <formula>1</formula>
    </cfRule>
    <cfRule type="containsText" dxfId="1594" priority="317981" operator="containsText" text="1">
      <formula>NOT(ISERROR(SEARCH("1",G93)))</formula>
    </cfRule>
    <cfRule type="cellIs" dxfId="1593" priority="317979" operator="equal">
      <formula>4</formula>
    </cfRule>
    <cfRule type="cellIs" dxfId="1592" priority="317980" operator="equal">
      <formula>3</formula>
    </cfRule>
    <cfRule type="cellIs" dxfId="1591" priority="317987" operator="lessThan">
      <formula>1</formula>
    </cfRule>
    <cfRule type="containsText" dxfId="1590" priority="317982" operator="containsText" text="1">
      <formula>NOT(ISERROR(SEARCH("1",G93)))</formula>
    </cfRule>
    <cfRule type="containsText" dxfId="1589" priority="317983" operator="containsText" text="3">
      <formula>NOT(ISERROR(SEARCH("3",G93)))</formula>
    </cfRule>
    <cfRule type="containsText" dxfId="1588" priority="317984" operator="containsText" text="1">
      <formula>NOT(ISERROR(SEARCH("1",G93)))</formula>
    </cfRule>
    <cfRule type="containsText" dxfId="1587" priority="317985" operator="containsText" text="2">
      <formula>NOT(ISERROR(SEARCH("2",G93)))</formula>
    </cfRule>
    <cfRule type="cellIs" dxfId="1586" priority="317986" operator="lessThan">
      <formula>1</formula>
    </cfRule>
  </conditionalFormatting>
  <conditionalFormatting sqref="G93:DU115 G142:DU143 G117:DU119 G116:T116 V116:DU116">
    <cfRule type="top10" dxfId="1585" priority="317970" rank="10"/>
    <cfRule type="top10" dxfId="1584" priority="317969" rank="10"/>
    <cfRule type="top10" dxfId="1583" priority="317971" rank="10"/>
    <cfRule type="top10" dxfId="1582" priority="317972" rank="10"/>
    <cfRule type="top10" dxfId="1581" priority="317973" rank="10"/>
    <cfRule type="top10" dxfId="1580" priority="317975" rank="10"/>
    <cfRule type="top10" dxfId="1579" priority="317976" rank="10"/>
    <cfRule type="top10" dxfId="1578" priority="317977" rank="10"/>
    <cfRule type="top10" dxfId="1577" priority="317974" rank="10"/>
  </conditionalFormatting>
  <conditionalFormatting sqref="G117:DU120 G121:CL121 CN121:CO121 CQ121:DU121 G122:DU143 G79:DU115 G116:T116 V116:DU116">
    <cfRule type="cellIs" dxfId="1576" priority="57" operator="equal">
      <formula>1</formula>
    </cfRule>
  </conditionalFormatting>
  <conditionalFormatting sqref="G117:DU120 G121:CL121 CN121:CO121 CQ121:DU121 G122:DU143">
    <cfRule type="cellIs" dxfId="1575" priority="58" operator="equal">
      <formula>2</formula>
    </cfRule>
  </conditionalFormatting>
  <conditionalFormatting sqref="G120:DU120 G121:CL121 CN121:CO121 CQ121:DU121 G122:DU142">
    <cfRule type="top10" dxfId="1574" priority="51" rank="10"/>
    <cfRule type="top10" dxfId="1573" priority="50" rank="10"/>
    <cfRule type="top10" dxfId="1572" priority="49" rank="10"/>
    <cfRule type="containsText" dxfId="1571" priority="39" operator="containsText" text="1">
      <formula>NOT(ISERROR(SEARCH("1",G120)))</formula>
    </cfRule>
    <cfRule type="containsText" dxfId="1570" priority="40" operator="containsText" text="3">
      <formula>NOT(ISERROR(SEARCH("3",G120)))</formula>
    </cfRule>
    <cfRule type="containsText" dxfId="1569" priority="41" operator="containsText" text="1">
      <formula>NOT(ISERROR(SEARCH("1",G120)))</formula>
    </cfRule>
    <cfRule type="containsText" dxfId="1568" priority="42" operator="containsText" text="2">
      <formula>NOT(ISERROR(SEARCH("2",G120)))</formula>
    </cfRule>
    <cfRule type="cellIs" dxfId="1567" priority="43" operator="lessThan">
      <formula>1</formula>
    </cfRule>
    <cfRule type="cellIs" dxfId="1566" priority="44" operator="lessThan">
      <formula>1</formula>
    </cfRule>
    <cfRule type="cellIs" dxfId="1565" priority="45" operator="lessThan">
      <formula>2</formula>
    </cfRule>
    <cfRule type="containsText" dxfId="1564" priority="46" operator="containsText" text="3">
      <formula>NOT(ISERROR(SEARCH("3",G120)))</formula>
    </cfRule>
    <cfRule type="cellIs" dxfId="1563" priority="37" operator="equal">
      <formula>3</formula>
    </cfRule>
    <cfRule type="top10" dxfId="1562" priority="48" rank="10"/>
    <cfRule type="cellIs" dxfId="1561" priority="36" operator="equal">
      <formula>4</formula>
    </cfRule>
    <cfRule type="containsText" dxfId="1560" priority="47" operator="containsText" text="4">
      <formula>NOT(ISERROR(SEARCH("4",G120)))</formula>
    </cfRule>
    <cfRule type="cellIs" dxfId="1559" priority="35" operator="equal">
      <formula>1</formula>
    </cfRule>
    <cfRule type="containsText" dxfId="1558" priority="38" operator="containsText" text="1">
      <formula>NOT(ISERROR(SEARCH("1",G120)))</formula>
    </cfRule>
    <cfRule type="top10" dxfId="1557" priority="56" rank="10"/>
    <cfRule type="top10" dxfId="1556" priority="55" rank="10"/>
    <cfRule type="top10" dxfId="1555" priority="54" rank="10"/>
    <cfRule type="top10" dxfId="1554" priority="53" rank="10"/>
    <cfRule type="top10" dxfId="1553" priority="52" rank="10"/>
  </conditionalFormatting>
  <conditionalFormatting sqref="H25:H26 K25:K26">
    <cfRule type="top10" dxfId="1552" priority="1670" rank="10"/>
    <cfRule type="cellIs" dxfId="1551" priority="1671" operator="equal">
      <formula>1</formula>
    </cfRule>
  </conditionalFormatting>
  <conditionalFormatting sqref="H27 K27">
    <cfRule type="top10" dxfId="1550" priority="1669" rank="10"/>
  </conditionalFormatting>
  <conditionalFormatting sqref="H29 K29">
    <cfRule type="top10" dxfId="1549" priority="1662" rank="10"/>
    <cfRule type="top10" dxfId="1548" priority="1668" rank="10"/>
    <cfRule type="cellIs" dxfId="1547" priority="1663" operator="equal">
      <formula>1</formula>
    </cfRule>
    <cfRule type="cellIs" dxfId="1546" priority="1667" operator="equal">
      <formula>1</formula>
    </cfRule>
    <cfRule type="cellIs" dxfId="1545" priority="1666" operator="equal">
      <formula>3</formula>
    </cfRule>
    <cfRule type="cellIs" dxfId="1544" priority="1665" operator="equal">
      <formula>4</formula>
    </cfRule>
    <cfRule type="top10" dxfId="1543" priority="1664" rank="10"/>
  </conditionalFormatting>
  <conditionalFormatting sqref="H30 AR30 J30">
    <cfRule type="top10" dxfId="1542" priority="1661" rank="10"/>
  </conditionalFormatting>
  <conditionalFormatting sqref="H33:H34 K33:K34">
    <cfRule type="top10" dxfId="1541" priority="1660" rank="10"/>
  </conditionalFormatting>
  <conditionalFormatting sqref="H35 K35">
    <cfRule type="top10" dxfId="1540" priority="1659" rank="10"/>
  </conditionalFormatting>
  <conditionalFormatting sqref="H37 K37">
    <cfRule type="top10" dxfId="1539" priority="1658" rank="10"/>
  </conditionalFormatting>
  <conditionalFormatting sqref="H76:H78">
    <cfRule type="cellIs" dxfId="1538" priority="1657" operator="equal">
      <formula>1</formula>
    </cfRule>
  </conditionalFormatting>
  <conditionalFormatting sqref="H31:I31">
    <cfRule type="top10" dxfId="1537" priority="1656" rank="10"/>
    <cfRule type="top10" dxfId="1536" priority="1655" rank="10"/>
    <cfRule type="cellIs" dxfId="1535" priority="1654" operator="equal">
      <formula>1</formula>
    </cfRule>
    <cfRule type="top10" dxfId="1534" priority="1653" rank="10"/>
  </conditionalFormatting>
  <conditionalFormatting sqref="H33:I34">
    <cfRule type="cellIs" dxfId="1533" priority="1652" operator="equal">
      <formula>1</formula>
    </cfRule>
  </conditionalFormatting>
  <conditionalFormatting sqref="H30:J30">
    <cfRule type="cellIs" dxfId="1532" priority="1651" operator="equal">
      <formula>1</formula>
    </cfRule>
  </conditionalFormatting>
  <conditionalFormatting sqref="H52:J52">
    <cfRule type="top10" dxfId="1531" priority="1650" rank="10"/>
    <cfRule type="top10" dxfId="1530" priority="1649" rank="10"/>
    <cfRule type="top10" dxfId="1529" priority="1648" rank="10"/>
    <cfRule type="top10" dxfId="1528" priority="1647" rank="10"/>
    <cfRule type="top10" dxfId="1527" priority="1646" rank="10"/>
  </conditionalFormatting>
  <conditionalFormatting sqref="H30:DD30">
    <cfRule type="cellIs" dxfId="1526" priority="1645" operator="equal">
      <formula>2</formula>
    </cfRule>
  </conditionalFormatting>
  <conditionalFormatting sqref="H30:DU30">
    <cfRule type="containsText" dxfId="1525" priority="1641" operator="containsText" text="1">
      <formula>NOT(ISERROR(SEARCH("1",H30)))</formula>
    </cfRule>
    <cfRule type="containsText" dxfId="1524" priority="1644" operator="containsText" text="2">
      <formula>NOT(ISERROR(SEARCH("2",H30)))</formula>
    </cfRule>
    <cfRule type="containsText" dxfId="1523" priority="1642" operator="containsText" text="3">
      <formula>NOT(ISERROR(SEARCH("3",H30)))</formula>
    </cfRule>
    <cfRule type="containsText" dxfId="1522" priority="1639" operator="containsText" text="4">
      <formula>NOT(ISERROR(SEARCH("4",H30)))</formula>
    </cfRule>
    <cfRule type="containsText" dxfId="1521" priority="1640" operator="containsText" text="1">
      <formula>NOT(ISERROR(SEARCH("1",H30)))</formula>
    </cfRule>
  </conditionalFormatting>
  <conditionalFormatting sqref="I17:I19 AA17:AA22 BO17:BO22 BH17:BI23 BM17:BN23 BP17:BP23 CC18 AQ18:AR22 DK18:DK22 DS18:DU22 AM18:AP23 AS18:BD23 CZ18:CZ23 DC18:DC23 J21:K21 L31:S36 T31:U43 DC31:DD50 W31:Z51 AM31:AP51 AS31:BD51 BH31:BI51 CD31:CF51 CZ31:CZ51 BV33:BW36 BY33:BY36 DJ35:DJ47 P37:S43 J37:J46 BV37:BY50 L37:O51 AB43:AC51 G48:I48 K48 BQ17:DC17 BQ21:BR21 CG22:CW22 DA22:DB22 BX22:BY23 AE23:AH23 BM25:BO25 W25:W26 AK25:AP26 AE25:AH27 BX25:BY27 V27:AA27 AI27:AP27 BJ27:BK27 BP27:BR27 K31 AK33 AA36 BQ38:BR38 V40 CG43:CH43 BE46 G47:H47 J47:K47 BZ47 BZ48:CA48 H49:K49 G49:G50 I50:J50 CG51:CW51 L53:U56 W53:Z56 V56 BE56:BF56">
    <cfRule type="cellIs" dxfId="1520" priority="1589" operator="equal">
      <formula>4</formula>
    </cfRule>
  </conditionalFormatting>
  <conditionalFormatting sqref="I31 H31:H32">
    <cfRule type="cellIs" dxfId="1519" priority="1638" operator="equal">
      <formula>1</formula>
    </cfRule>
  </conditionalFormatting>
  <conditionalFormatting sqref="I31:I32 V25:V26 I25:I27 G31:H34 I53:I57 J25 AA39:AA51 AK31:AL32 AQ39:AR50 AE40:AL43 K41:K46 I41:I47 V41:V51 G48:I48 AD53:AL56 BE31:BG34 AL33 AK39:AL39 K48 H50 BE27:BF27 BE29:BF29 BQ25 BL31 BE39:BF42 BE44:BG45 BQ39:BU41 BJ39:BL49 BO39:BO49 BQ42:BT42 BQ43:BU43 BQ44:BR44 BQ45:BT49 BF46:BG46 BE47 BG47 BE48:BG48 K53:K54 G53:H56 AA53:AA56 AQ53:AR56 BJ53:BL56 BO53:BO56 CV53:CY56 CF54:CG54 BE54:BG55 BG56 BR50:BT50 BQ31:BU32 BU25 BT33:BU33 BS51:BT51 CA25:CC25 BZ26:CC27 BZ29:CC29 BZ31:CC35 CA36:CC36 BZ23:CC23 BZ39:BZ41 CA39:CC43 BZ44:CC44 CA45:CC45 CG23:CY23 CG25:CU27 CG31:CG36 CH31:CJ37 CG39:CL41 CG49:CJ50 CG29:CY29 CG44:CL44 CH45:CL45 CG46:CH47 CH48:CJ48 CI43:CL43 CL47:CM47 CL48:CQ49 CK50:CQ50 CK31:CU34 CL35:CO36 CL37:CM38 CR48:CU50 CU35:CU37 CQ37 CV39:CV42 CW39:CY43 CR42:CU42 CV47:CY50 CV26:CY27 CV31:CW33 CV34 CV35:CX38 CY25 CX31:CY34 DA23:DB23 DA26:DB27 DA47:DB50 DE23:DI23 DE25 DE26:DI27 DE33:DG33 DE34:DI38 DE46:DI50 DH25:DI25 DI33 DK23 DK31:DK37 DS49:DU50 DS23:DU23 CF53:CQ53 H35:H36">
    <cfRule type="cellIs" dxfId="1518" priority="1637" operator="equal">
      <formula>3</formula>
    </cfRule>
  </conditionalFormatting>
  <conditionalFormatting sqref="I32">
    <cfRule type="top10" dxfId="1517" priority="1636" rank="10"/>
  </conditionalFormatting>
  <conditionalFormatting sqref="I33">
    <cfRule type="cellIs" dxfId="1516" priority="1635" operator="equal">
      <formula>1</formula>
    </cfRule>
    <cfRule type="top10" dxfId="1515" priority="1634" rank="10"/>
  </conditionalFormatting>
  <conditionalFormatting sqref="I33:I34 AQ25:AR25 V25 H25:H26 AD25 AA25 I26:I27 K25:K26 G25:G27 G32:G33 G29 I29 I31">
    <cfRule type="top10" dxfId="1514" priority="1633" rank="10"/>
  </conditionalFormatting>
  <conditionalFormatting sqref="I33:I34">
    <cfRule type="top10" dxfId="1513" priority="1630" rank="10"/>
    <cfRule type="cellIs" dxfId="1512" priority="1631" operator="equal">
      <formula>1</formula>
    </cfRule>
    <cfRule type="top10" dxfId="1511" priority="1632" rank="10"/>
  </conditionalFormatting>
  <conditionalFormatting sqref="I35">
    <cfRule type="top10" dxfId="1510" priority="1624" rank="10"/>
    <cfRule type="cellIs" dxfId="1509" priority="1623" operator="equal">
      <formula>1</formula>
    </cfRule>
    <cfRule type="top10" dxfId="1508" priority="1626" rank="10"/>
    <cfRule type="cellIs" dxfId="1507" priority="1627" operator="equal">
      <formula>4</formula>
    </cfRule>
    <cfRule type="cellIs" dxfId="1506" priority="1628" operator="equal">
      <formula>3</formula>
    </cfRule>
    <cfRule type="cellIs" dxfId="1505" priority="1625" operator="equal">
      <formula>1</formula>
    </cfRule>
    <cfRule type="top10" dxfId="1504" priority="1629" rank="10"/>
  </conditionalFormatting>
  <conditionalFormatting sqref="I37">
    <cfRule type="cellIs" dxfId="1503" priority="1619" operator="equal">
      <formula>4</formula>
    </cfRule>
    <cfRule type="cellIs" dxfId="1502" priority="1620" operator="equal">
      <formula>3</formula>
    </cfRule>
    <cfRule type="top10" dxfId="1501" priority="1621" rank="10"/>
    <cfRule type="cellIs" dxfId="1500" priority="1622" operator="equal">
      <formula>1</formula>
    </cfRule>
  </conditionalFormatting>
  <conditionalFormatting sqref="I39">
    <cfRule type="cellIs" dxfId="1499" priority="1617" operator="equal">
      <formula>1</formula>
    </cfRule>
    <cfRule type="top10" dxfId="1498" priority="1618" rank="10"/>
  </conditionalFormatting>
  <conditionalFormatting sqref="I53">
    <cfRule type="top10" dxfId="1497" priority="1616" rank="10"/>
  </conditionalFormatting>
  <conditionalFormatting sqref="I25:J25">
    <cfRule type="top10" dxfId="1496" priority="1614" rank="10"/>
  </conditionalFormatting>
  <conditionalFormatting sqref="I36:J36">
    <cfRule type="cellIs" dxfId="1495" priority="1609" operator="equal">
      <formula>2</formula>
    </cfRule>
    <cfRule type="cellIs" dxfId="1494" priority="1610" operator="equal">
      <formula>3</formula>
    </cfRule>
    <cfRule type="cellIs" dxfId="1493" priority="1611" operator="equal">
      <formula>4</formula>
    </cfRule>
  </conditionalFormatting>
  <conditionalFormatting sqref="I52:J52">
    <cfRule type="top10" dxfId="1492" priority="1607" rank="10"/>
    <cfRule type="cellIs" dxfId="1491" priority="1608" operator="equal">
      <formula>1</formula>
    </cfRule>
  </conditionalFormatting>
  <conditionalFormatting sqref="J25 I25:I27 V25:V26 AD53:AL56 AL33 H50 BE27:BF27 BE29:BF29 BE33:BG34 BQ25 BQ42:BT42 BQ43:BU43 BQ44:BR44 BF46:BG46 BE47 BE48:BG48 K53:K54 G53:H56 AA53:AA56 AQ53:AR56 BJ53:BL56 BO53:BO56 CV53:CY56 I53:I57 CF54:CG54 BE54:BG55 BG56 BR50:BT50 BQ31:BU32 BU25 BT33:BU33 CA25:CC25 BZ26:CC27 BZ29:CC29 BZ31:CC35 CA36:CC36 BZ23:CC23 BZ39:BZ41 CA45:CC45 CG23:CY23 CG25:CU27 CG49:CJ50 CG29:CY29 CH45:CL45 CG46:CH47 CI43:CL43 CL47:CM47 CK50:CQ50 CL35:CO36 CR42:CU42 CV26:CY27 CV34 CY25 DA23:DB23 DA26:DB27 DE23:DI23 DE25 DE26:DI27 DE33:DG33 DH25:DI25 DI33 DK23 DS49:DU50 DS23:DU23 CF53:CQ53 H35:H36">
    <cfRule type="cellIs" dxfId="1490" priority="1615" operator="equal">
      <formula>4</formula>
    </cfRule>
  </conditionalFormatting>
  <conditionalFormatting sqref="J36">
    <cfRule type="cellIs" dxfId="1489" priority="1604" operator="equal">
      <formula>1</formula>
    </cfRule>
    <cfRule type="top10" dxfId="1488" priority="1603" rank="10"/>
  </conditionalFormatting>
  <conditionalFormatting sqref="J17:Z18 BJ17:BL18 AD18:AL18 J19:N19 U116 BY17:BY21">
    <cfRule type="cellIs" dxfId="1487" priority="1601" operator="equal">
      <formula>4</formula>
    </cfRule>
  </conditionalFormatting>
  <conditionalFormatting sqref="J17:Z18 BJ17:BL18 BY17:BY21 AD18:AL18 J19:N19 U116">
    <cfRule type="cellIs" dxfId="1486" priority="1602" operator="equal">
      <formula>1</formula>
    </cfRule>
  </conditionalFormatting>
  <conditionalFormatting sqref="K25:K28">
    <cfRule type="cellIs" dxfId="1485" priority="1786" operator="equal">
      <formula>1</formula>
    </cfRule>
  </conditionalFormatting>
  <conditionalFormatting sqref="K25:K30">
    <cfRule type="cellIs" dxfId="1484" priority="1600" operator="equal">
      <formula>4</formula>
    </cfRule>
  </conditionalFormatting>
  <conditionalFormatting sqref="K28 G28:I28">
    <cfRule type="top10" dxfId="1483" priority="1599" rank="10"/>
  </conditionalFormatting>
  <conditionalFormatting sqref="K29:K30">
    <cfRule type="cellIs" dxfId="1482" priority="1598" operator="equal">
      <formula>1</formula>
    </cfRule>
  </conditionalFormatting>
  <conditionalFormatting sqref="K30">
    <cfRule type="top10" dxfId="1481" priority="1597" rank="10"/>
  </conditionalFormatting>
  <conditionalFormatting sqref="K32 H31:H32 I31">
    <cfRule type="top10" dxfId="1480" priority="1596" rank="10"/>
  </conditionalFormatting>
  <conditionalFormatting sqref="K33:K37 BJ26:BU26 BS27:BU27 BQ28:BU29 V29 BO29 AK31 AQ31:AR35 AD31:AD36 V31:V37 BO31:BO37 BJ32:BL32 BE32:BE36 I33:I35 AA33:AA35 BJ34:BL37 BF35:BG35 CP35:CT36 CY35:CY36 CK35:CK37 BF36 G37:H37 AA37 BE37:BG37 BQ37:BR37 CN37:CP37 CR37:CT37 K39 BE39:BE40 AD39:AD43 DE39:DE45 G39:H46 BG41:BG43 CM44:CM46 BU44:BU51 CA47:CC47">
    <cfRule type="cellIs" dxfId="1479" priority="1791" operator="equal">
      <formula>3</formula>
    </cfRule>
  </conditionalFormatting>
  <conditionalFormatting sqref="K33:K37 BJ26:BU26 BS27:BU27 BQ28:BU29 V29 BO29 AK31 AQ31:AR35 AD31:AD36 V31:V37 BO31:BO37 BJ32:BL32 BE32:BE36 AA33:AA35 BJ34:BL37 BF35:BG35 CP35:CT36 CY35:CY36 CK35:CK37 BF36 G37:H37 AA37 BE37:BG37 BQ37:BR37 K39 BE39:BE40 AD39:AD43 DE39:DE45 G39:H46 BG41:BG43 CM44:CM46 BU44:BU51 CA47:CC47">
    <cfRule type="cellIs" dxfId="1478" priority="1790" operator="equal">
      <formula>4</formula>
    </cfRule>
  </conditionalFormatting>
  <conditionalFormatting sqref="K38 I40 CG45 CG48">
    <cfRule type="cellIs" dxfId="1477" priority="1593" operator="equal">
      <formula>4</formula>
    </cfRule>
    <cfRule type="cellIs" dxfId="1476" priority="1595" operator="equal">
      <formula>1</formula>
    </cfRule>
    <cfRule type="cellIs" dxfId="1475" priority="1594" operator="equal">
      <formula>4</formula>
    </cfRule>
  </conditionalFormatting>
  <conditionalFormatting sqref="K53:K54">
    <cfRule type="cellIs" dxfId="1474" priority="1592" operator="equal">
      <formula>1</formula>
    </cfRule>
  </conditionalFormatting>
  <conditionalFormatting sqref="K52:S52">
    <cfRule type="top10" dxfId="1473" priority="1591" rank="10"/>
  </conditionalFormatting>
  <conditionalFormatting sqref="L30 I30">
    <cfRule type="top10" dxfId="1472" priority="1590" rank="10"/>
  </conditionalFormatting>
  <conditionalFormatting sqref="L31:S36 AD18:AL18 AS31:BD51 BF36:BG36 BZ18:CC22 CD18:CF23 AD19:AH22 T19:Z23 AK20:AL22 AI20:AJ23 DH21:DI22 J21:S23 L25:U27 BH25:BI27 CD25:CF27 CZ25:CZ27 L29:U29 W29:Z29 BH29:BI29 CD29:CF29 CZ29 DC29:DD29 BX33:BX35 K40 BZ42:BZ43 P44:U51 BM50:BO51 J51 AB53:AC56 AM53:AP56 AS53:BD56 BH53:BI56 BM53:BN56 BV53:BY56 CE53:CE56 CZ53:CZ56 DC53:DD56 G58:DU65 BV33:BW51 BY33:BY51 BX37:BX51 O19:S20 I20:N20 BQ22:BU22 BE53:BF53 G57:H57 DC18:DD23 DC25:DD27 J17:Z18 BJ17:BL18 I17:I19 AA17:AA22 BO17:BO22 BH17:BI23 BM17:BN23 BP17:BP23 AQ18:AR22 DK18:DK22 DS18:DU22 AM18:AP23 AS18:BD23 CZ18:CZ23 J19:N19 T31:U43 DC31:DD50 W31:Z51 AM31:AP51 BH31:BI51 CD31:CF51 CZ31:CZ51 DJ35:DJ47 P37:S43 J37:J46 L37:O51 AB43:AC51 U116">
    <cfRule type="cellIs" dxfId="1471" priority="1584" operator="equal">
      <formula>4</formula>
    </cfRule>
  </conditionalFormatting>
  <conditionalFormatting sqref="L28:Z28 BF28:BI28 CC28:CG28 CZ28:DD28 DF28:DG28">
    <cfRule type="cellIs" dxfId="1470" priority="1588" operator="equal">
      <formula>1</formula>
    </cfRule>
  </conditionalFormatting>
  <conditionalFormatting sqref="L30:AI30 AT30:BE30 BN30:BO30 BQ30 BT30 BW30:BY30">
    <cfRule type="cellIs" dxfId="1469" priority="1587" operator="equal">
      <formula>1</formula>
    </cfRule>
  </conditionalFormatting>
  <conditionalFormatting sqref="L30:BE30 G30:J30">
    <cfRule type="cellIs" dxfId="1468" priority="1586" operator="equal">
      <formula>3</formula>
    </cfRule>
  </conditionalFormatting>
  <conditionalFormatting sqref="M30:T30">
    <cfRule type="top10" dxfId="1467" priority="1585" rank="10"/>
  </conditionalFormatting>
  <conditionalFormatting sqref="P36">
    <cfRule type="cellIs" dxfId="1466" priority="1582" operator="equal">
      <formula>3</formula>
    </cfRule>
    <cfRule type="cellIs" dxfId="1465" priority="1583" operator="equal">
      <formula>4</formula>
    </cfRule>
    <cfRule type="cellIs" dxfId="1464" priority="1579" operator="equal">
      <formula>2</formula>
    </cfRule>
    <cfRule type="top10" dxfId="1463" priority="1580" rank="10"/>
    <cfRule type="cellIs" dxfId="1462" priority="1581" operator="equal">
      <formula>1</formula>
    </cfRule>
  </conditionalFormatting>
  <conditionalFormatting sqref="S30:T30 AC30:AI30">
    <cfRule type="cellIs" dxfId="1461" priority="1578" operator="equal">
      <formula>1</formula>
    </cfRule>
    <cfRule type="cellIs" dxfId="1460" priority="1577" operator="equal">
      <formula>4</formula>
    </cfRule>
    <cfRule type="cellIs" dxfId="1459" priority="1576" operator="equal">
      <formula>4</formula>
    </cfRule>
    <cfRule type="cellIs" dxfId="1458" priority="1575" operator="equal">
      <formula>1</formula>
    </cfRule>
    <cfRule type="top10" dxfId="1457" priority="1574" rank="10"/>
  </conditionalFormatting>
  <conditionalFormatting sqref="S30:T30">
    <cfRule type="cellIs" dxfId="1456" priority="1573" operator="equal">
      <formula>1</formula>
    </cfRule>
    <cfRule type="top10" dxfId="1455" priority="1572" rank="10"/>
    <cfRule type="top10" dxfId="1454" priority="1571" rank="10"/>
  </conditionalFormatting>
  <conditionalFormatting sqref="T52">
    <cfRule type="top10" dxfId="1453" priority="1570" rank="10"/>
    <cfRule type="top10" dxfId="1452" priority="1569" rank="10"/>
  </conditionalFormatting>
  <conditionalFormatting sqref="U52">
    <cfRule type="top10" dxfId="1451" priority="1567" rank="10"/>
    <cfRule type="top10" dxfId="1450" priority="1566" rank="10"/>
    <cfRule type="cellIs" dxfId="1449" priority="1565" operator="equal">
      <formula>3</formula>
    </cfRule>
    <cfRule type="cellIs" dxfId="1448" priority="1564" operator="equal">
      <formula>4</formula>
    </cfRule>
    <cfRule type="cellIs" dxfId="1447" priority="1563" operator="equal">
      <formula>1</formula>
    </cfRule>
    <cfRule type="top10" dxfId="1446" priority="1562" rank="10"/>
    <cfRule type="cellIs" dxfId="1445" priority="1561" operator="equal">
      <formula>1</formula>
    </cfRule>
    <cfRule type="top10" dxfId="1444" priority="1560" rank="10"/>
    <cfRule type="cellIs" dxfId="1443" priority="1559" operator="equal">
      <formula>3</formula>
    </cfRule>
    <cfRule type="top10" dxfId="1442" priority="1568" rank="10"/>
    <cfRule type="cellIs" dxfId="1441" priority="1558" operator="equal">
      <formula>4</formula>
    </cfRule>
  </conditionalFormatting>
  <conditionalFormatting sqref="V25 AA31:AA32 AK32 H50 I51 BE33:BG34 BJ33:BK33 BE41:BG42 BF46:BG46 BE23:BG23 BJ23:BL23 BO23 CF54:CG54 BG56 BR49:BR50 BQ31:BR32 BQ29:BR29 BS42:BT42 CA25:CC25 BZ26:CC27 BZ29:CC29 BZ35:CC35 CA36:CC36 BZ23:CC23 BZ39:BZ41 CA45:CC45 CA49:CC50 BZ50 CB48:CC48 CG23:CK23 CG49:CJ50 CG41:CN42 CG44:CM44 CH48:CJ48 CK50 CR41 CR42:CU42 CV44:CY44 CV34 CX34:CY34 DA23:DB23 DA26:DB27 DE23:DI23 DE25 DE26:DI27 DH25:DI25 DI33 DK23 DK25:DK27 DK48:DK50 DO18:DR18 DS49:DU50 DS23:DU23 DS25:DU27 DU29 J25">
    <cfRule type="cellIs" dxfId="1440" priority="1605" operator="equal">
      <formula>1</formula>
    </cfRule>
  </conditionalFormatting>
  <conditionalFormatting sqref="V25">
    <cfRule type="cellIs" dxfId="1439" priority="1552" operator="equal">
      <formula>4</formula>
    </cfRule>
    <cfRule type="top10" dxfId="1438" priority="1551" rank="10"/>
    <cfRule type="cellIs" dxfId="1437" priority="1554" operator="equal">
      <formula>1</formula>
    </cfRule>
    <cfRule type="top10" dxfId="1436" priority="1555" rank="10"/>
    <cfRule type="cellIs" dxfId="1435" priority="1556" operator="equal">
      <formula>1</formula>
    </cfRule>
    <cfRule type="top10" dxfId="1434" priority="1557" rank="10"/>
    <cfRule type="cellIs" dxfId="1433" priority="1553" operator="equal">
      <formula>3</formula>
    </cfRule>
    <cfRule type="top10" dxfId="1432" priority="1549" rank="10"/>
    <cfRule type="cellIs" dxfId="1431" priority="1550" operator="equal">
      <formula>1</formula>
    </cfRule>
  </conditionalFormatting>
  <conditionalFormatting sqref="V26 AD26 AA26">
    <cfRule type="top10" dxfId="1430" priority="1548" rank="10"/>
  </conditionalFormatting>
  <conditionalFormatting sqref="V26">
    <cfRule type="cellIs" dxfId="1429" priority="1547" operator="equal">
      <formula>1</formula>
    </cfRule>
  </conditionalFormatting>
  <conditionalFormatting sqref="V29">
    <cfRule type="cellIs" dxfId="1428" priority="1546" operator="equal">
      <formula>1</formula>
    </cfRule>
  </conditionalFormatting>
  <conditionalFormatting sqref="V32">
    <cfRule type="cellIs" dxfId="1427" priority="1543" operator="equal">
      <formula>1</formula>
    </cfRule>
    <cfRule type="cellIs" dxfId="1426" priority="1542" operator="equal">
      <formula>3</formula>
    </cfRule>
    <cfRule type="cellIs" dxfId="1425" priority="1541" operator="equal">
      <formula>4</formula>
    </cfRule>
    <cfRule type="top10" dxfId="1424" priority="1540" rank="10"/>
    <cfRule type="cellIs" dxfId="1423" priority="1539" operator="equal">
      <formula>1</formula>
    </cfRule>
    <cfRule type="top10" dxfId="1422" priority="1538" rank="10"/>
    <cfRule type="top10" dxfId="1421" priority="1544" rank="10"/>
    <cfRule type="cellIs" dxfId="1420" priority="1545" operator="equal">
      <formula>1</formula>
    </cfRule>
  </conditionalFormatting>
  <conditionalFormatting sqref="V33">
    <cfRule type="top10" dxfId="1419" priority="1537" rank="10"/>
  </conditionalFormatting>
  <conditionalFormatting sqref="V34">
    <cfRule type="top10" dxfId="1418" priority="1536" rank="10"/>
    <cfRule type="top10" dxfId="1417" priority="1531" rank="10"/>
    <cfRule type="cellIs" dxfId="1416" priority="1532" operator="equal">
      <formula>1</formula>
    </cfRule>
    <cfRule type="top10" dxfId="1415" priority="1533" rank="10"/>
    <cfRule type="cellIs" dxfId="1414" priority="1534" operator="equal">
      <formula>4</formula>
    </cfRule>
    <cfRule type="cellIs" dxfId="1413" priority="1535" operator="equal">
      <formula>3</formula>
    </cfRule>
  </conditionalFormatting>
  <conditionalFormatting sqref="V35">
    <cfRule type="top10" dxfId="1412" priority="1530" rank="10"/>
  </conditionalFormatting>
  <conditionalFormatting sqref="V36">
    <cfRule type="top10" dxfId="1411" priority="1520" rank="10"/>
    <cfRule type="cellIs" dxfId="1410" priority="1521" operator="equal">
      <formula>1</formula>
    </cfRule>
    <cfRule type="cellIs" dxfId="1409" priority="1529" operator="equal">
      <formula>1</formula>
    </cfRule>
    <cfRule type="cellIs" dxfId="1408" priority="1528" operator="equal">
      <formula>3</formula>
    </cfRule>
    <cfRule type="cellIs" dxfId="1407" priority="1527" operator="equal">
      <formula>4</formula>
    </cfRule>
    <cfRule type="top10" dxfId="1406" priority="1526" rank="10"/>
    <cfRule type="cellIs" dxfId="1405" priority="1518" operator="equal">
      <formula>4</formula>
    </cfRule>
    <cfRule type="cellIs" dxfId="1404" priority="1519" operator="equal">
      <formula>3</formula>
    </cfRule>
    <cfRule type="cellIs" dxfId="1403" priority="1525" operator="equal">
      <formula>1</formula>
    </cfRule>
    <cfRule type="cellIs" dxfId="1402" priority="1524" operator="equal">
      <formula>3</formula>
    </cfRule>
    <cfRule type="cellIs" dxfId="1401" priority="1523" operator="equal">
      <formula>4</formula>
    </cfRule>
    <cfRule type="top10" dxfId="1400" priority="1522" rank="10"/>
  </conditionalFormatting>
  <conditionalFormatting sqref="V37">
    <cfRule type="top10" dxfId="1399" priority="1517" rank="10"/>
  </conditionalFormatting>
  <conditionalFormatting sqref="V39">
    <cfRule type="top10" dxfId="1398" priority="1505" rank="10"/>
    <cfRule type="cellIs" dxfId="1397" priority="1516" operator="equal">
      <formula>1</formula>
    </cfRule>
    <cfRule type="top10" dxfId="1396" priority="1515" rank="10"/>
    <cfRule type="cellIs" dxfId="1395" priority="1514" operator="equal">
      <formula>1</formula>
    </cfRule>
    <cfRule type="cellIs" dxfId="1394" priority="1513" operator="equal">
      <formula>3</formula>
    </cfRule>
    <cfRule type="cellIs" dxfId="1393" priority="1512" operator="equal">
      <formula>4</formula>
    </cfRule>
    <cfRule type="top10" dxfId="1392" priority="1511" rank="10"/>
    <cfRule type="cellIs" dxfId="1391" priority="1510" operator="equal">
      <formula>1</formula>
    </cfRule>
    <cfRule type="cellIs" dxfId="1390" priority="1509" operator="equal">
      <formula>3</formula>
    </cfRule>
    <cfRule type="cellIs" dxfId="1389" priority="1508" operator="equal">
      <formula>4</formula>
    </cfRule>
    <cfRule type="top10" dxfId="1388" priority="1507" rank="10"/>
    <cfRule type="cellIs" dxfId="1387" priority="1506" operator="equal">
      <formula>1</formula>
    </cfRule>
  </conditionalFormatting>
  <conditionalFormatting sqref="V52">
    <cfRule type="cellIs" dxfId="1386" priority="1504" operator="equal">
      <formula>1</formula>
    </cfRule>
    <cfRule type="top10" dxfId="1385" priority="1503" rank="10"/>
  </conditionalFormatting>
  <conditionalFormatting sqref="W52:AC52">
    <cfRule type="top10" dxfId="1384" priority="1501" rank="10"/>
    <cfRule type="cellIs" dxfId="1383" priority="1502" operator="equal">
      <formula>1</formula>
    </cfRule>
  </conditionalFormatting>
  <conditionalFormatting sqref="X30:AB30">
    <cfRule type="top10" dxfId="1382" priority="1500" rank="10"/>
  </conditionalFormatting>
  <conditionalFormatting sqref="AA23 AK23:AL23 BJ23:BL23 BO23 BZ23:CC23 DS23:DU23 BJ25:BL25 BQ25 CA25:CC25 AA25:AA26 BZ26:CC27 BJ29:BL29 BZ29:CC29 BL31 AL33 BJ33:BK33 BQ33 DF33:DG33 DI33 CA36:CC36 V39 BZ39:BZ41 CV41:CY42 CR42:CU42 CA45:CC45 BF46:BG46 CB48:CC48 CA49:CC50 CG49:CJ50 BR50 BZ50 BG56">
    <cfRule type="cellIs" dxfId="1381" priority="1499" operator="equal">
      <formula>2</formula>
    </cfRule>
  </conditionalFormatting>
  <conditionalFormatting sqref="AA23">
    <cfRule type="cellIs" dxfId="1380" priority="1498" operator="equal">
      <formula>1</formula>
    </cfRule>
    <cfRule type="top10" dxfId="1379" priority="1497" rank="10"/>
  </conditionalFormatting>
  <conditionalFormatting sqref="AA28">
    <cfRule type="top10" dxfId="1378" priority="1494" rank="10"/>
    <cfRule type="cellIs" dxfId="1377" priority="1495" operator="equal">
      <formula>1</formula>
    </cfRule>
    <cfRule type="top10" dxfId="1376" priority="1496" rank="10"/>
    <cfRule type="top10" dxfId="1375" priority="1492" rank="10"/>
    <cfRule type="cellIs" dxfId="1374" priority="1493" operator="equal">
      <formula>1</formula>
    </cfRule>
  </conditionalFormatting>
  <conditionalFormatting sqref="AA32">
    <cfRule type="top10" dxfId="1373" priority="1485" rank="10"/>
    <cfRule type="cellIs" dxfId="1372" priority="1486" operator="equal">
      <formula>1</formula>
    </cfRule>
    <cfRule type="top10" dxfId="1371" priority="1487" rank="10"/>
    <cfRule type="cellIs" dxfId="1370" priority="1488" operator="equal">
      <formula>4</formula>
    </cfRule>
    <cfRule type="cellIs" dxfId="1369" priority="1489" operator="equal">
      <formula>3</formula>
    </cfRule>
    <cfRule type="cellIs" dxfId="1368" priority="1490" operator="equal">
      <formula>1</formula>
    </cfRule>
    <cfRule type="top10" dxfId="1367" priority="1491" rank="10"/>
  </conditionalFormatting>
  <conditionalFormatting sqref="AA33:AA34">
    <cfRule type="top10" dxfId="1366" priority="1484" rank="10"/>
  </conditionalFormatting>
  <conditionalFormatting sqref="AA35">
    <cfRule type="top10" dxfId="1365" priority="1483" rank="10"/>
  </conditionalFormatting>
  <conditionalFormatting sqref="AA37 AD37">
    <cfRule type="top10" dxfId="1364" priority="1482" rank="10"/>
  </conditionalFormatting>
  <conditionalFormatting sqref="AA39 AD39">
    <cfRule type="cellIs" dxfId="1363" priority="1479" operator="equal">
      <formula>3</formula>
    </cfRule>
    <cfRule type="cellIs" dxfId="1362" priority="1478" operator="equal">
      <formula>4</formula>
    </cfRule>
    <cfRule type="top10" dxfId="1361" priority="1477" rank="10"/>
    <cfRule type="cellIs" dxfId="1360" priority="1475" operator="equal">
      <formula>3</formula>
    </cfRule>
    <cfRule type="cellIs" dxfId="1359" priority="1474" operator="equal">
      <formula>4</formula>
    </cfRule>
    <cfRule type="top10" dxfId="1358" priority="1473" rank="10"/>
    <cfRule type="cellIs" dxfId="1357" priority="1472" operator="equal">
      <formula>1</formula>
    </cfRule>
    <cfRule type="top10" dxfId="1356" priority="1471" rank="10"/>
    <cfRule type="cellIs" dxfId="1355" priority="1476" operator="equal">
      <formula>1</formula>
    </cfRule>
    <cfRule type="top10" dxfId="1354" priority="1481" rank="10"/>
    <cfRule type="cellIs" dxfId="1353" priority="1480" operator="equal">
      <formula>1</formula>
    </cfRule>
  </conditionalFormatting>
  <conditionalFormatting sqref="AB17:BD17">
    <cfRule type="cellIs" dxfId="1352" priority="1468" operator="equal">
      <formula>4</formula>
    </cfRule>
    <cfRule type="cellIs" dxfId="1351" priority="1469" operator="equal">
      <formula>4</formula>
    </cfRule>
  </conditionalFormatting>
  <conditionalFormatting sqref="AC22">
    <cfRule type="cellIs" dxfId="1350" priority="1467" operator="equal">
      <formula>4</formula>
    </cfRule>
    <cfRule type="cellIs" dxfId="1349" priority="1466" operator="equal">
      <formula>4</formula>
    </cfRule>
  </conditionalFormatting>
  <conditionalFormatting sqref="AC18:AD18">
    <cfRule type="cellIs" dxfId="1348" priority="1465" operator="equal">
      <formula>4</formula>
    </cfRule>
    <cfRule type="cellIs" dxfId="1347" priority="1464" operator="equal">
      <formula>4</formula>
    </cfRule>
  </conditionalFormatting>
  <conditionalFormatting sqref="AC30:AI30">
    <cfRule type="top10" dxfId="1346" priority="1463" rank="10"/>
  </conditionalFormatting>
  <conditionalFormatting sqref="AD23">
    <cfRule type="top10" dxfId="1345" priority="1462" rank="10"/>
  </conditionalFormatting>
  <conditionalFormatting sqref="AD25:AD27 AD23">
    <cfRule type="cellIs" dxfId="1344" priority="1461" operator="equal">
      <formula>1</formula>
    </cfRule>
  </conditionalFormatting>
  <conditionalFormatting sqref="AD25:AD29 AD23">
    <cfRule type="cellIs" dxfId="1343" priority="1460" operator="equal">
      <formula>3</formula>
    </cfRule>
    <cfRule type="cellIs" dxfId="1342" priority="1459" operator="equal">
      <formula>4</formula>
    </cfRule>
  </conditionalFormatting>
  <conditionalFormatting sqref="AD27">
    <cfRule type="top10" dxfId="1341" priority="1458" rank="10"/>
  </conditionalFormatting>
  <conditionalFormatting sqref="AD28 AQ27:AR29 AA28:AA29 AK28:AL29 BO27:BO28 BL27:BL29 CA28:CB28 CH28:CU28 CY28 DK28:DR28 DT28:DU28">
    <cfRule type="cellIs" dxfId="1340" priority="1457" operator="equal">
      <formula>1</formula>
    </cfRule>
  </conditionalFormatting>
  <conditionalFormatting sqref="AD28">
    <cfRule type="top10" dxfId="1339" priority="1452" rank="10"/>
    <cfRule type="cellIs" dxfId="1338" priority="1453" operator="equal">
      <formula>1</formula>
    </cfRule>
    <cfRule type="top10" dxfId="1337" priority="1454" rank="10"/>
    <cfRule type="cellIs" dxfId="1336" priority="1455" operator="equal">
      <formula>1</formula>
    </cfRule>
    <cfRule type="top10" dxfId="1335" priority="1456" rank="10"/>
  </conditionalFormatting>
  <conditionalFormatting sqref="AD29 AD31:AD32">
    <cfRule type="top10" dxfId="1334" priority="1451" rank="10"/>
  </conditionalFormatting>
  <conditionalFormatting sqref="AD33:AD34">
    <cfRule type="top10" dxfId="1333" priority="1450" rank="10"/>
  </conditionalFormatting>
  <conditionalFormatting sqref="AD52 T52">
    <cfRule type="top10" dxfId="1332" priority="1449" rank="10"/>
  </conditionalFormatting>
  <conditionalFormatting sqref="AD52">
    <cfRule type="top10" dxfId="1331" priority="1447" rank="10"/>
    <cfRule type="top10" dxfId="1330" priority="1445" rank="10"/>
    <cfRule type="top10" dxfId="1329" priority="1446" rank="10"/>
    <cfRule type="top10" dxfId="1328" priority="1444" rank="10"/>
    <cfRule type="top10" dxfId="1327" priority="1448" rank="10"/>
  </conditionalFormatting>
  <conditionalFormatting sqref="AE24">
    <cfRule type="top10" dxfId="1326" priority="1443" rank="10"/>
  </conditionalFormatting>
  <conditionalFormatting sqref="AE52:AF52">
    <cfRule type="top10" dxfId="1325" priority="1442" rank="10"/>
  </conditionalFormatting>
  <conditionalFormatting sqref="AF24:BC24">
    <cfRule type="cellIs" dxfId="1324" priority="1440" operator="equal">
      <formula>3</formula>
    </cfRule>
    <cfRule type="cellIs" dxfId="1323" priority="1439" operator="equal">
      <formula>4</formula>
    </cfRule>
    <cfRule type="containsText" dxfId="1322" priority="1437" operator="containsText" text="1">
      <formula>NOT(ISERROR(SEARCH("1",AF24)))</formula>
    </cfRule>
    <cfRule type="containsText" dxfId="1321" priority="1436" operator="containsText" text="4">
      <formula>NOT(ISERROR(SEARCH("4",AF24)))</formula>
    </cfRule>
    <cfRule type="containsText" dxfId="1320" priority="1435" operator="containsText" text="2">
      <formula>NOT(ISERROR(SEARCH("2",AF24)))</formula>
    </cfRule>
    <cfRule type="containsText" dxfId="1319" priority="1434" operator="containsText" text="3">
      <formula>NOT(ISERROR(SEARCH("3",AF24)))</formula>
    </cfRule>
    <cfRule type="containsText" dxfId="1318" priority="1433" operator="containsText" text="1">
      <formula>NOT(ISERROR(SEARCH("1",AF24)))</formula>
    </cfRule>
    <cfRule type="containsText" dxfId="1317" priority="1432" operator="containsText" text="1">
      <formula>NOT(ISERROR(SEARCH("1",AF24)))</formula>
    </cfRule>
    <cfRule type="top10" dxfId="1316" priority="1431" rank="10"/>
    <cfRule type="top10" dxfId="1315" priority="1430" rank="10"/>
    <cfRule type="cellIs" dxfId="1314" priority="1441" operator="equal">
      <formula>1</formula>
    </cfRule>
  </conditionalFormatting>
  <conditionalFormatting sqref="AG52:AK52">
    <cfRule type="cellIs" dxfId="1313" priority="1429" operator="equal">
      <formula>1</formula>
    </cfRule>
    <cfRule type="top10" dxfId="1312" priority="1428" rank="10"/>
  </conditionalFormatting>
  <conditionalFormatting sqref="AG52:AP52">
    <cfRule type="top10" dxfId="1311" priority="1426" rank="10"/>
    <cfRule type="cellIs" dxfId="1310" priority="1427" operator="equal">
      <formula>1</formula>
    </cfRule>
  </conditionalFormatting>
  <conditionalFormatting sqref="AI19:AL19 CX19 CY19:CY20">
    <cfRule type="cellIs" dxfId="1309" priority="1425" operator="equal">
      <formula>4</formula>
    </cfRule>
  </conditionalFormatting>
  <conditionalFormatting sqref="AJ30:AK30">
    <cfRule type="top10" dxfId="1308" priority="1423" rank="10"/>
  </conditionalFormatting>
  <conditionalFormatting sqref="AJ30:AQ30">
    <cfRule type="cellIs" dxfId="1307" priority="1424" operator="equal">
      <formula>1</formula>
    </cfRule>
  </conditionalFormatting>
  <conditionalFormatting sqref="AK23">
    <cfRule type="top10" dxfId="1306" priority="1422" rank="10"/>
  </conditionalFormatting>
  <conditionalFormatting sqref="AK28 AQ28:AR28 AD28 AA28">
    <cfRule type="top10" dxfId="1305" priority="1421" rank="10"/>
  </conditionalFormatting>
  <conditionalFormatting sqref="AK28">
    <cfRule type="top10" dxfId="1304" priority="1420" rank="10"/>
    <cfRule type="top10" dxfId="1303" priority="1419" rank="10"/>
    <cfRule type="top10" dxfId="1302" priority="1418" rank="10"/>
  </conditionalFormatting>
  <conditionalFormatting sqref="AK29 AK31">
    <cfRule type="top10" dxfId="1301" priority="1417" rank="10"/>
    <cfRule type="top10" dxfId="1300" priority="1416" rank="10"/>
    <cfRule type="top10" dxfId="1299" priority="1415" rank="10"/>
  </conditionalFormatting>
  <conditionalFormatting sqref="AK32">
    <cfRule type="top10" dxfId="1298" priority="1414" rank="10"/>
  </conditionalFormatting>
  <conditionalFormatting sqref="AK34">
    <cfRule type="cellIs" dxfId="1297" priority="1413" operator="equal">
      <formula>1</formula>
    </cfRule>
    <cfRule type="cellIs" dxfId="1296" priority="1402" operator="equal">
      <formula>4</formula>
    </cfRule>
    <cfRule type="top10" dxfId="1295" priority="1404" rank="10"/>
    <cfRule type="cellIs" dxfId="1294" priority="1403" operator="equal">
      <formula>3</formula>
    </cfRule>
    <cfRule type="cellIs" dxfId="1293" priority="1412" operator="equal">
      <formula>3</formula>
    </cfRule>
    <cfRule type="cellIs" dxfId="1292" priority="1405" operator="equal">
      <formula>1</formula>
    </cfRule>
    <cfRule type="top10" dxfId="1291" priority="1406" rank="10"/>
    <cfRule type="cellIs" dxfId="1290" priority="1407" operator="equal">
      <formula>4</formula>
    </cfRule>
    <cfRule type="cellIs" dxfId="1289" priority="1408" operator="equal">
      <formula>3</formula>
    </cfRule>
    <cfRule type="cellIs" dxfId="1288" priority="1409" operator="equal">
      <formula>1</formula>
    </cfRule>
    <cfRule type="top10" dxfId="1287" priority="1410" rank="10"/>
    <cfRule type="cellIs" dxfId="1286" priority="1411" operator="equal">
      <formula>4</formula>
    </cfRule>
  </conditionalFormatting>
  <conditionalFormatting sqref="AK23:AL23 CF53:CQ53">
    <cfRule type="cellIs" dxfId="1285" priority="1401" operator="equal">
      <formula>1</formula>
    </cfRule>
  </conditionalFormatting>
  <conditionalFormatting sqref="AK34:AL35">
    <cfRule type="cellIs" dxfId="1284" priority="1398" operator="equal">
      <formula>4</formula>
    </cfRule>
    <cfRule type="cellIs" dxfId="1283" priority="1399" operator="equal">
      <formula>3</formula>
    </cfRule>
    <cfRule type="cellIs" dxfId="1282" priority="1400" operator="equal">
      <formula>1</formula>
    </cfRule>
  </conditionalFormatting>
  <conditionalFormatting sqref="AK35:AL35">
    <cfRule type="cellIs" dxfId="1281" priority="1395" operator="equal">
      <formula>3</formula>
    </cfRule>
    <cfRule type="cellIs" dxfId="1280" priority="1394" operator="equal">
      <formula>4</formula>
    </cfRule>
    <cfRule type="top10" dxfId="1279" priority="1393" rank="10"/>
    <cfRule type="cellIs" dxfId="1278" priority="1392" operator="equal">
      <formula>1</formula>
    </cfRule>
    <cfRule type="top10" dxfId="1277" priority="1391" rank="10"/>
    <cfRule type="cellIs" dxfId="1276" priority="1396" operator="equal">
      <formula>1</formula>
    </cfRule>
    <cfRule type="top10" dxfId="1275" priority="1397" rank="10"/>
  </conditionalFormatting>
  <conditionalFormatting sqref="AK36:AL36">
    <cfRule type="cellIs" dxfId="1274" priority="1390" operator="equal">
      <formula>1</formula>
    </cfRule>
    <cfRule type="top10" dxfId="1273" priority="1389" rank="10"/>
    <cfRule type="cellIs" dxfId="1272" priority="1388" operator="equal">
      <formula>1</formula>
    </cfRule>
    <cfRule type="top10" dxfId="1271" priority="1387" rank="10"/>
  </conditionalFormatting>
  <conditionalFormatting sqref="AK37:AL37 AD35:AD36">
    <cfRule type="top10" dxfId="1270" priority="1386" rank="10"/>
  </conditionalFormatting>
  <conditionalFormatting sqref="AK54:AL54 AD44:AD47 AA40:AA47 V41:V47 AK40:AL47 AQ40:AR47 G40:H46 K41:K46 I41:I48 AE44:AJ51 AE53:AJ56">
    <cfRule type="top10" dxfId="1269" priority="1385" rank="10"/>
  </conditionalFormatting>
  <conditionalFormatting sqref="AL28">
    <cfRule type="top10" dxfId="1268" priority="1384" rank="10"/>
  </conditionalFormatting>
  <conditionalFormatting sqref="AL29">
    <cfRule type="top10" dxfId="1267" priority="1383" rank="10"/>
    <cfRule type="cellIs" dxfId="1266" priority="1382" operator="equal">
      <formula>1</formula>
    </cfRule>
    <cfRule type="cellIs" dxfId="1265" priority="1381" operator="equal">
      <formula>3</formula>
    </cfRule>
    <cfRule type="cellIs" dxfId="1264" priority="1378" operator="equal">
      <formula>1</formula>
    </cfRule>
    <cfRule type="top10" dxfId="1263" priority="1377" rank="10"/>
    <cfRule type="top10" dxfId="1262" priority="1379" rank="10"/>
    <cfRule type="cellIs" dxfId="1261" priority="1380" operator="equal">
      <formula>4</formula>
    </cfRule>
  </conditionalFormatting>
  <conditionalFormatting sqref="AL31">
    <cfRule type="cellIs" dxfId="1260" priority="1371" operator="equal">
      <formula>1</formula>
    </cfRule>
    <cfRule type="top10" dxfId="1259" priority="1370" rank="10"/>
    <cfRule type="top10" dxfId="1258" priority="1372" rank="10"/>
    <cfRule type="cellIs" dxfId="1257" priority="1373" operator="equal">
      <formula>4</formula>
    </cfRule>
    <cfRule type="cellIs" dxfId="1256" priority="1374" operator="equal">
      <formula>3</formula>
    </cfRule>
    <cfRule type="cellIs" dxfId="1255" priority="1375" operator="equal">
      <formula>1</formula>
    </cfRule>
    <cfRule type="top10" dxfId="1254" priority="1376" rank="10"/>
  </conditionalFormatting>
  <conditionalFormatting sqref="AL32">
    <cfRule type="top10" dxfId="1253" priority="1368" rank="10"/>
  </conditionalFormatting>
  <conditionalFormatting sqref="AL32:AL33">
    <cfRule type="cellIs" dxfId="1252" priority="1369" operator="equal">
      <formula>1</formula>
    </cfRule>
  </conditionalFormatting>
  <conditionalFormatting sqref="AL52:AP52">
    <cfRule type="cellIs" dxfId="1251" priority="1367" operator="equal">
      <formula>1</formula>
    </cfRule>
    <cfRule type="top10" dxfId="1250" priority="1366" rank="10"/>
  </conditionalFormatting>
  <conditionalFormatting sqref="AL30:AQ30 AT30:BE30">
    <cfRule type="cellIs" dxfId="1249" priority="1365" operator="equal">
      <formula>1</formula>
    </cfRule>
    <cfRule type="cellIs" dxfId="1248" priority="1363" operator="equal">
      <formula>4</formula>
    </cfRule>
    <cfRule type="cellIs" dxfId="1247" priority="1362" operator="equal">
      <formula>1</formula>
    </cfRule>
    <cfRule type="top10" dxfId="1246" priority="1361" rank="10"/>
    <cfRule type="cellIs" dxfId="1245" priority="1364" operator="equal">
      <formula>4</formula>
    </cfRule>
  </conditionalFormatting>
  <conditionalFormatting sqref="AL30:AQ30">
    <cfRule type="top10" dxfId="1244" priority="1360" rank="10"/>
  </conditionalFormatting>
  <conditionalFormatting sqref="AM30:AQ30">
    <cfRule type="top10" dxfId="1243" priority="1359" rank="10"/>
  </conditionalFormatting>
  <conditionalFormatting sqref="AN30:AQ30 AT30:BE30 BI30:BJ30 BN30:BO30 BQ30 BT30 BW30:BY30">
    <cfRule type="cellIs" dxfId="1242" priority="1358" operator="equal">
      <formula>4</formula>
    </cfRule>
    <cfRule type="cellIs" dxfId="1241" priority="1357" operator="equal">
      <formula>4</formula>
    </cfRule>
    <cfRule type="cellIs" dxfId="1240" priority="1356" operator="equal">
      <formula>1</formula>
    </cfRule>
  </conditionalFormatting>
  <conditionalFormatting sqref="AN30:AQ30">
    <cfRule type="cellIs" dxfId="1239" priority="1355" operator="equal">
      <formula>1</formula>
    </cfRule>
    <cfRule type="top10" dxfId="1238" priority="1354" rank="10"/>
    <cfRule type="top10" dxfId="1237" priority="1353" rank="10"/>
  </conditionalFormatting>
  <conditionalFormatting sqref="AQ27 AQ29 AQ31">
    <cfRule type="top10" dxfId="1236" priority="1352" rank="10"/>
    <cfRule type="top10" dxfId="1235" priority="1351" rank="10"/>
    <cfRule type="cellIs" dxfId="1234" priority="1350" operator="equal">
      <formula>1</formula>
    </cfRule>
    <cfRule type="top10" dxfId="1233" priority="1349" rank="10"/>
  </conditionalFormatting>
  <conditionalFormatting sqref="AQ27:AQ28">
    <cfRule type="cellIs" dxfId="1232" priority="1348" operator="equal">
      <formula>3</formula>
    </cfRule>
    <cfRule type="cellIs" dxfId="1231" priority="1347" operator="equal">
      <formula>4</formula>
    </cfRule>
  </conditionalFormatting>
  <conditionalFormatting sqref="AQ28">
    <cfRule type="top10" dxfId="1230" priority="1346" rank="10"/>
    <cfRule type="top10" dxfId="1229" priority="1345" rank="10"/>
    <cfRule type="cellIs" dxfId="1228" priority="1344" operator="equal">
      <formula>1</formula>
    </cfRule>
    <cfRule type="top10" dxfId="1227" priority="1343" rank="10"/>
  </conditionalFormatting>
  <conditionalFormatting sqref="AQ30">
    <cfRule type="cellIs" dxfId="1226" priority="1342" operator="equal">
      <formula>1</formula>
    </cfRule>
    <cfRule type="cellIs" dxfId="1225" priority="1341" operator="equal">
      <formula>3</formula>
    </cfRule>
    <cfRule type="cellIs" dxfId="1224" priority="1340" operator="equal">
      <formula>4</formula>
    </cfRule>
    <cfRule type="top10" dxfId="1223" priority="1339" rank="10"/>
    <cfRule type="top10" dxfId="1222" priority="1338" rank="10"/>
    <cfRule type="top10" dxfId="1221" priority="1337" rank="10"/>
    <cfRule type="cellIs" dxfId="1220" priority="1336" operator="equal">
      <formula>3</formula>
    </cfRule>
    <cfRule type="top10" dxfId="1219" priority="1335" rank="10"/>
    <cfRule type="cellIs" dxfId="1218" priority="1334" operator="equal">
      <formula>1</formula>
    </cfRule>
    <cfRule type="cellIs" dxfId="1217" priority="1333" operator="equal">
      <formula>4</formula>
    </cfRule>
    <cfRule type="cellIs" dxfId="1216" priority="1332" operator="equal">
      <formula>4</formula>
    </cfRule>
    <cfRule type="cellIs" dxfId="1215" priority="1331" operator="equal">
      <formula>1</formula>
    </cfRule>
    <cfRule type="cellIs" dxfId="1214" priority="1330" operator="equal">
      <formula>2</formula>
    </cfRule>
    <cfRule type="cellIs" dxfId="1213" priority="1329" operator="equal">
      <formula>4</formula>
    </cfRule>
    <cfRule type="cellIs" dxfId="1212" priority="1328" operator="equal">
      <formula>1</formula>
    </cfRule>
    <cfRule type="top10" dxfId="1211" priority="1327" rank="10"/>
    <cfRule type="cellIs" dxfId="1210" priority="1326" operator="equal">
      <formula>4</formula>
    </cfRule>
    <cfRule type="cellIs" dxfId="1209" priority="1325" operator="equal">
      <formula>1</formula>
    </cfRule>
    <cfRule type="cellIs" dxfId="1208" priority="1324" operator="equal">
      <formula>4</formula>
    </cfRule>
    <cfRule type="cellIs" dxfId="1207" priority="1323" operator="equal">
      <formula>4</formula>
    </cfRule>
    <cfRule type="cellIs" dxfId="1206" priority="1322" operator="equal">
      <formula>4</formula>
    </cfRule>
    <cfRule type="cellIs" dxfId="1205" priority="1321" operator="equal">
      <formula>1</formula>
    </cfRule>
    <cfRule type="cellIs" dxfId="1204" priority="1320" operator="equal">
      <formula>1</formula>
    </cfRule>
  </conditionalFormatting>
  <conditionalFormatting sqref="AQ36 V34 AQ27 AK29:AL29 AK31:AL31 H25:H26 H29 V25 BE32 AQ25:AR25 AD25 AA25 AA29 V29 V36 AL33 AA31:AA32 AK34:AL35 I33:I35 K25:K26 K29 G35 AQ29:AR29 G33 H31:I31 AQ31:AR35 V31:V32">
    <cfRule type="top10" dxfId="1203" priority="1319" rank="10"/>
  </conditionalFormatting>
  <conditionalFormatting sqref="AQ36">
    <cfRule type="cellIs" dxfId="1202" priority="1318" operator="equal">
      <formula>1</formula>
    </cfRule>
    <cfRule type="top10" dxfId="1201" priority="1317" rank="10"/>
    <cfRule type="cellIs" dxfId="1200" priority="1316" operator="equal">
      <formula>1</formula>
    </cfRule>
    <cfRule type="cellIs" dxfId="1199" priority="1315" operator="equal">
      <formula>3</formula>
    </cfRule>
    <cfRule type="cellIs" dxfId="1198" priority="1314" operator="equal">
      <formula>4</formula>
    </cfRule>
    <cfRule type="top10" dxfId="1197" priority="1313" rank="10"/>
    <cfRule type="cellIs" dxfId="1196" priority="1312" operator="equal">
      <formula>1</formula>
    </cfRule>
    <cfRule type="top10" dxfId="1195" priority="1311" rank="10"/>
  </conditionalFormatting>
  <conditionalFormatting sqref="AQ37">
    <cfRule type="top10" dxfId="1194" priority="1310" rank="10"/>
  </conditionalFormatting>
  <conditionalFormatting sqref="AQ23:AR23 K25:K29 AQ25:AR29 BE28 CH28:CU28 DK28:DR28">
    <cfRule type="cellIs" dxfId="1193" priority="1309" operator="equal">
      <formula>2</formula>
    </cfRule>
  </conditionalFormatting>
  <conditionalFormatting sqref="AQ23:AR23 AA25:AA26">
    <cfRule type="cellIs" dxfId="1192" priority="1303" operator="equal">
      <formula>1</formula>
    </cfRule>
  </conditionalFormatting>
  <conditionalFormatting sqref="AQ23:AR23 AL23">
    <cfRule type="top10" dxfId="1191" priority="1308" rank="10"/>
  </conditionalFormatting>
  <conditionalFormatting sqref="AQ25:AR25 V25 H25:H26 AD25 AA25 K25:K26">
    <cfRule type="top10" dxfId="1190" priority="1305" rank="10"/>
  </conditionalFormatting>
  <conditionalFormatting sqref="AQ25:AR25 AA25 AD25">
    <cfRule type="top10" dxfId="1189" priority="1304" rank="10"/>
  </conditionalFormatting>
  <conditionalFormatting sqref="AQ25:AR26">
    <cfRule type="cellIs" dxfId="1188" priority="1302" operator="equal">
      <formula>1</formula>
    </cfRule>
  </conditionalFormatting>
  <conditionalFormatting sqref="AQ25:AR29 AQ23:AR23 AD28 AA28:AA29 K32">
    <cfRule type="cellIs" dxfId="1187" priority="1306" operator="equal">
      <formula>4</formula>
    </cfRule>
    <cfRule type="cellIs" dxfId="1186" priority="1307" operator="equal">
      <formula>3</formula>
    </cfRule>
  </conditionalFormatting>
  <conditionalFormatting sqref="AQ26:AR26">
    <cfRule type="top10" dxfId="1185" priority="1301" rank="10"/>
  </conditionalFormatting>
  <conditionalFormatting sqref="AQ32:AR32 BE32">
    <cfRule type="cellIs" dxfId="1184" priority="1296" operator="equal">
      <formula>1</formula>
    </cfRule>
    <cfRule type="top10" dxfId="1183" priority="1297" rank="10"/>
    <cfRule type="cellIs" dxfId="1182" priority="1298" operator="equal">
      <formula>4</formula>
    </cfRule>
    <cfRule type="cellIs" dxfId="1181" priority="1299" operator="equal">
      <formula>3</formula>
    </cfRule>
    <cfRule type="top10" dxfId="1180" priority="1300" rank="10"/>
    <cfRule type="top10" dxfId="1179" priority="1295" rank="10"/>
  </conditionalFormatting>
  <conditionalFormatting sqref="AQ32:AR32">
    <cfRule type="cellIs" dxfId="1178" priority="1294" operator="equal">
      <formula>1</formula>
    </cfRule>
  </conditionalFormatting>
  <conditionalFormatting sqref="AQ36:AR36">
    <cfRule type="cellIs" dxfId="1177" priority="1291" operator="equal">
      <formula>1</formula>
    </cfRule>
    <cfRule type="cellIs" dxfId="1176" priority="1292" operator="equal">
      <formula>4</formula>
    </cfRule>
    <cfRule type="cellIs" dxfId="1175" priority="1293" operator="equal">
      <formula>3</formula>
    </cfRule>
  </conditionalFormatting>
  <conditionalFormatting sqref="AQ39:AR39 AA39 G39:H39 AK39:AL39 AD39 AD40:AJ43 K39">
    <cfRule type="top10" dxfId="1174" priority="1290" rank="10"/>
  </conditionalFormatting>
  <conditionalFormatting sqref="AQ52:AR52">
    <cfRule type="top10" dxfId="1173" priority="1289" rank="10"/>
  </conditionalFormatting>
  <conditionalFormatting sqref="AQ52:DU52">
    <cfRule type="cellIs" dxfId="1172" priority="1288" operator="equal">
      <formula>1</formula>
    </cfRule>
  </conditionalFormatting>
  <conditionalFormatting sqref="AR27">
    <cfRule type="top10" dxfId="1171" priority="1287" rank="10"/>
  </conditionalFormatting>
  <conditionalFormatting sqref="AR28">
    <cfRule type="top10" dxfId="1170" priority="1284" rank="10"/>
    <cfRule type="top10" dxfId="1169" priority="1286" rank="10"/>
    <cfRule type="cellIs" dxfId="1168" priority="1285" operator="equal">
      <formula>1</formula>
    </cfRule>
    <cfRule type="top10" dxfId="1167" priority="1282" rank="10"/>
    <cfRule type="cellIs" dxfId="1166" priority="1280" operator="equal">
      <formula>4</formula>
    </cfRule>
    <cfRule type="cellIs" dxfId="1165" priority="1281" operator="equal">
      <formula>3</formula>
    </cfRule>
    <cfRule type="cellIs" dxfId="1164" priority="1283" operator="equal">
      <formula>1</formula>
    </cfRule>
  </conditionalFormatting>
  <conditionalFormatting sqref="AR29">
    <cfRule type="top10" dxfId="1163" priority="1275" rank="10"/>
    <cfRule type="cellIs" dxfId="1162" priority="1276" operator="equal">
      <formula>1</formula>
    </cfRule>
    <cfRule type="top10" dxfId="1161" priority="1277" rank="10"/>
    <cfRule type="cellIs" dxfId="1160" priority="1278" operator="equal">
      <formula>1</formula>
    </cfRule>
    <cfRule type="top10" dxfId="1159" priority="1279" rank="10"/>
  </conditionalFormatting>
  <conditionalFormatting sqref="AR31">
    <cfRule type="cellIs" dxfId="1158" priority="1269" operator="equal">
      <formula>1</formula>
    </cfRule>
    <cfRule type="cellIs" dxfId="1157" priority="1271" operator="equal">
      <formula>4</formula>
    </cfRule>
    <cfRule type="top10" dxfId="1156" priority="1274" rank="10"/>
    <cfRule type="cellIs" dxfId="1155" priority="1273" operator="equal">
      <formula>1</formula>
    </cfRule>
    <cfRule type="cellIs" dxfId="1154" priority="1272" operator="equal">
      <formula>3</formula>
    </cfRule>
    <cfRule type="top10" dxfId="1153" priority="1270" rank="10"/>
    <cfRule type="top10" dxfId="1152" priority="1268" rank="10"/>
  </conditionalFormatting>
  <conditionalFormatting sqref="AR32">
    <cfRule type="top10" dxfId="1151" priority="1267" rank="10"/>
  </conditionalFormatting>
  <conditionalFormatting sqref="AR36:AR38">
    <cfRule type="top10" dxfId="1150" priority="1266" rank="10"/>
    <cfRule type="cellIs" dxfId="1149" priority="1265" operator="equal">
      <formula>1</formula>
    </cfRule>
    <cfRule type="top10" dxfId="1148" priority="1264" rank="10"/>
  </conditionalFormatting>
  <conditionalFormatting sqref="AR51 G48:H48 H50 AQ48:AR50 AD48:AD51 AK48:AL51 AA48:AA51 V48:V51 G51:I51 K48 K50:K51">
    <cfRule type="top10" dxfId="1147" priority="1263" rank="10"/>
  </conditionalFormatting>
  <conditionalFormatting sqref="AR30:AS30">
    <cfRule type="cellIs" dxfId="1146" priority="1262" operator="equal">
      <formula>1</formula>
    </cfRule>
  </conditionalFormatting>
  <conditionalFormatting sqref="AS30 U30:W30">
    <cfRule type="top10" dxfId="1145" priority="1261" rank="10"/>
  </conditionalFormatting>
  <conditionalFormatting sqref="AS25:BD29 L28:Z28 BF28:BI28 CC28:CG28 CZ28:DD28 DF28:DG28 AM28:AP29 BV28:BY29">
    <cfRule type="cellIs" dxfId="1144" priority="1260" operator="equal">
      <formula>4</formula>
    </cfRule>
  </conditionalFormatting>
  <conditionalFormatting sqref="AS25:BD29 L28:Z28 BF28:BI28 CC28:CG28 CZ28:DD28 DF28:DG28 AM28:AP29">
    <cfRule type="cellIs" dxfId="1143" priority="1259" operator="equal">
      <formula>4</formula>
    </cfRule>
  </conditionalFormatting>
  <conditionalFormatting sqref="AS31:BD51 BF36:BG36 AB17:BG17 I17:I19 G17:H22 AA17:AA22 BO17:BO22 BH17:BI23 BM17:BN23 BP17:BP23 DJ17:DJ23 AQ18:AR22 BE18:BG22 BZ18:CC22 DK18:DK22 DS18:DU22 AB18:AC23 AM18:AP23 AS18:BD23 BV18:BW23 CD18:CF23 CZ18:CZ23 DC18:DC23 AD19:AH22 T19:Z23 AK20:AL22 AI20:AJ23 I21:K22 L21:S23 BM25:BP25 W25:Z26 L25:U27 AE25:AP27 BH25:BI27 CD25:CF27 CZ25:CZ27 AB25:AC29 AS25:BD29 BV25:BY29 DJ25:DJ29 J26:J29 BM27:BN29 AE28:AJ29 BP28:BP29 L29:U29 W29:Z29 BH29:BI29 CD29:CF29 CZ29 DC29:DD29 BV31:BY32 J31:J35 AE31:AJ39 BM31:BN49 DC31:DD50 L31:U51 W31:Z51 AB31:AC51 AM31:AP51 BH31:BI51 BP31:BP51 CD31:CF51 CZ31:CZ51 DJ31:DJ51 BX33:BX35 BV33:BW50 BY33:BY50 BX37:BX50 K40 BZ42:BZ43 BM50:BO51 J51 AB53:AC56 AM53:AP56 AS53:BD56 BH53:BI56 BM53:BN56 BP53:BP56 BV53:BY56 CE53:CE56 CZ53:CZ56 DC53:DD56 DJ53:DJ56 G58:DU65">
    <cfRule type="cellIs" dxfId="1142" priority="1249" operator="equal">
      <formula>1</formula>
    </cfRule>
  </conditionalFormatting>
  <conditionalFormatting sqref="AS52:BD52">
    <cfRule type="top10" dxfId="1141" priority="1254" rank="10"/>
    <cfRule type="top10" dxfId="1140" priority="1258" rank="10"/>
    <cfRule type="cellIs" dxfId="1139" priority="1257" operator="equal">
      <formula>1</formula>
    </cfRule>
    <cfRule type="top10" dxfId="1138" priority="1256" rank="10"/>
    <cfRule type="cellIs" dxfId="1137" priority="1255" operator="equal">
      <formula>1</formula>
    </cfRule>
  </conditionalFormatting>
  <conditionalFormatting sqref="AT30:BE30 X30:AB30">
    <cfRule type="top10" dxfId="1136" priority="1253" rank="10"/>
  </conditionalFormatting>
  <conditionalFormatting sqref="AT30:BE30 AL30 T30 AC30:AI30">
    <cfRule type="top10" dxfId="1135" priority="1252" rank="10"/>
  </conditionalFormatting>
  <conditionalFormatting sqref="AT30:BE30">
    <cfRule type="cellIs" dxfId="1134" priority="1251" operator="equal">
      <formula>1</formula>
    </cfRule>
    <cfRule type="top10" dxfId="1133" priority="1250" rank="10"/>
  </conditionalFormatting>
  <conditionalFormatting sqref="AW30">
    <cfRule type="cellIs" dxfId="1132" priority="1237" operator="equal">
      <formula>1</formula>
    </cfRule>
    <cfRule type="cellIs" dxfId="1131" priority="1236" operator="equal">
      <formula>2</formula>
    </cfRule>
    <cfRule type="cellIs" dxfId="1130" priority="1235" operator="equal">
      <formula>4</formula>
    </cfRule>
    <cfRule type="cellIs" dxfId="1129" priority="1234" operator="equal">
      <formula>1</formula>
    </cfRule>
    <cfRule type="top10" dxfId="1128" priority="1233" rank="10"/>
    <cfRule type="cellIs" dxfId="1127" priority="1232" operator="equal">
      <formula>4</formula>
    </cfRule>
    <cfRule type="cellIs" dxfId="1126" priority="1231" operator="equal">
      <formula>1</formula>
    </cfRule>
    <cfRule type="cellIs" dxfId="1125" priority="1230" operator="equal">
      <formula>4</formula>
    </cfRule>
    <cfRule type="cellIs" dxfId="1124" priority="1229" operator="equal">
      <formula>4</formula>
    </cfRule>
    <cfRule type="cellIs" dxfId="1123" priority="1228" operator="equal">
      <formula>4</formula>
    </cfRule>
    <cfRule type="cellIs" dxfId="1122" priority="1227" operator="equal">
      <formula>1</formula>
    </cfRule>
    <cfRule type="cellIs" dxfId="1121" priority="1226" operator="equal">
      <formula>1</formula>
    </cfRule>
    <cfRule type="cellIs" dxfId="1120" priority="1248" operator="equal">
      <formula>1</formula>
    </cfRule>
    <cfRule type="cellIs" dxfId="1119" priority="1247" operator="equal">
      <formula>3</formula>
    </cfRule>
    <cfRule type="cellIs" dxfId="1118" priority="1246" operator="equal">
      <formula>4</formula>
    </cfRule>
    <cfRule type="top10" dxfId="1117" priority="1245" rank="10"/>
    <cfRule type="top10" dxfId="1116" priority="1244" rank="10"/>
    <cfRule type="top10" dxfId="1115" priority="1243" rank="10"/>
    <cfRule type="cellIs" dxfId="1114" priority="1242" operator="equal">
      <formula>3</formula>
    </cfRule>
    <cfRule type="top10" dxfId="1113" priority="1241" rank="10"/>
    <cfRule type="cellIs" dxfId="1112" priority="1240" operator="equal">
      <formula>1</formula>
    </cfRule>
    <cfRule type="cellIs" dxfId="1111" priority="1239" operator="equal">
      <formula>4</formula>
    </cfRule>
    <cfRule type="cellIs" dxfId="1110" priority="1238" operator="equal">
      <formula>4</formula>
    </cfRule>
  </conditionalFormatting>
  <conditionalFormatting sqref="AW36">
    <cfRule type="cellIs" dxfId="1109" priority="1225" operator="equal">
      <formula>3</formula>
    </cfRule>
    <cfRule type="top10" dxfId="1108" priority="1222" rank="10"/>
    <cfRule type="cellIs" dxfId="1107" priority="1221" operator="equal">
      <formula>2</formula>
    </cfRule>
    <cfRule type="cellIs" dxfId="1106" priority="1224" operator="equal">
      <formula>4</formula>
    </cfRule>
    <cfRule type="cellIs" dxfId="1105" priority="1223" operator="equal">
      <formula>1</formula>
    </cfRule>
  </conditionalFormatting>
  <conditionalFormatting sqref="AY30">
    <cfRule type="cellIs" dxfId="1104" priority="1199" operator="equal">
      <formula>1</formula>
    </cfRule>
    <cfRule type="top10" dxfId="1103" priority="1216" rank="10"/>
    <cfRule type="top10" dxfId="1102" priority="1215" rank="10"/>
    <cfRule type="cellIs" dxfId="1101" priority="1214" operator="equal">
      <formula>3</formula>
    </cfRule>
    <cfRule type="top10" dxfId="1100" priority="1213" rank="10"/>
    <cfRule type="cellIs" dxfId="1099" priority="1212" operator="equal">
      <formula>1</formula>
    </cfRule>
    <cfRule type="cellIs" dxfId="1098" priority="1208" operator="equal">
      <formula>2</formula>
    </cfRule>
    <cfRule type="cellIs" dxfId="1097" priority="1209" operator="equal">
      <formula>1</formula>
    </cfRule>
    <cfRule type="cellIs" dxfId="1096" priority="1211" operator="equal">
      <formula>4</formula>
    </cfRule>
    <cfRule type="cellIs" dxfId="1095" priority="1210" operator="equal">
      <formula>4</formula>
    </cfRule>
    <cfRule type="cellIs" dxfId="1094" priority="1219" operator="equal">
      <formula>3</formula>
    </cfRule>
    <cfRule type="cellIs" dxfId="1093" priority="1218" operator="equal">
      <formula>4</formula>
    </cfRule>
    <cfRule type="top10" dxfId="1092" priority="1217" rank="10"/>
    <cfRule type="cellIs" dxfId="1091" priority="1220" operator="equal">
      <formula>1</formula>
    </cfRule>
    <cfRule type="cellIs" dxfId="1090" priority="1207" operator="equal">
      <formula>4</formula>
    </cfRule>
    <cfRule type="cellIs" dxfId="1089" priority="1206" operator="equal">
      <formula>1</formula>
    </cfRule>
    <cfRule type="top10" dxfId="1088" priority="1205" rank="10"/>
    <cfRule type="cellIs" dxfId="1087" priority="1204" operator="equal">
      <formula>4</formula>
    </cfRule>
    <cfRule type="cellIs" dxfId="1086" priority="1203" operator="equal">
      <formula>1</formula>
    </cfRule>
    <cfRule type="cellIs" dxfId="1085" priority="1202" operator="equal">
      <formula>4</formula>
    </cfRule>
    <cfRule type="cellIs" dxfId="1084" priority="1201" operator="equal">
      <formula>4</formula>
    </cfRule>
    <cfRule type="cellIs" dxfId="1083" priority="1200" operator="equal">
      <formula>4</formula>
    </cfRule>
    <cfRule type="cellIs" dxfId="1082" priority="1198" operator="equal">
      <formula>1</formula>
    </cfRule>
  </conditionalFormatting>
  <conditionalFormatting sqref="BD24:CO24">
    <cfRule type="containsText" dxfId="1081" priority="1191" operator="containsText" text="2">
      <formula>NOT(ISERROR(SEARCH("2",BD24)))</formula>
    </cfRule>
    <cfRule type="containsText" dxfId="1080" priority="1190" operator="containsText" text="3">
      <formula>NOT(ISERROR(SEARCH("3",BD24)))</formula>
    </cfRule>
    <cfRule type="containsText" dxfId="1079" priority="1189" operator="containsText" text="1">
      <formula>NOT(ISERROR(SEARCH("1",BD24)))</formula>
    </cfRule>
    <cfRule type="containsText" dxfId="1078" priority="1188" operator="containsText" text="1">
      <formula>NOT(ISERROR(SEARCH("1",BD24)))</formula>
    </cfRule>
    <cfRule type="top10" dxfId="1077" priority="1187" rank="10"/>
    <cfRule type="cellIs" dxfId="1076" priority="1197" operator="equal">
      <formula>1</formula>
    </cfRule>
    <cfRule type="cellIs" dxfId="1075" priority="1196" operator="equal">
      <formula>3</formula>
    </cfRule>
    <cfRule type="cellIs" dxfId="1074" priority="1195" operator="equal">
      <formula>4</formula>
    </cfRule>
    <cfRule type="cellIs" dxfId="1073" priority="1194" operator="equal">
      <formula>2</formula>
    </cfRule>
    <cfRule type="containsText" dxfId="1072" priority="1193" operator="containsText" text="1">
      <formula>NOT(ISERROR(SEARCH("1",BD24)))</formula>
    </cfRule>
    <cfRule type="top10" dxfId="1071" priority="1186" rank="10"/>
    <cfRule type="containsText" dxfId="1070" priority="1192" operator="containsText" text="4">
      <formula>NOT(ISERROR(SEARCH("4",BD24)))</formula>
    </cfRule>
  </conditionalFormatting>
  <conditionalFormatting sqref="BE27 BE29">
    <cfRule type="top10" dxfId="1069" priority="1184" rank="10"/>
    <cfRule type="cellIs" dxfId="1068" priority="1185" operator="equal">
      <formula>1</formula>
    </cfRule>
  </conditionalFormatting>
  <conditionalFormatting sqref="BE28 BQ23:BU23 BQ53:BU56 BZ53:CD56 DA53:DB56 DE53:DI56 DK53:DU56 CA28:CB28 CH28:CU28 CY28 DA29:DB29 DH28:DI29 DK25:DU27 DL19:DR23 DT28:DU28 AR51">
    <cfRule type="cellIs" dxfId="1067" priority="1183" operator="equal">
      <formula>4</formula>
    </cfRule>
    <cfRule type="cellIs" dxfId="1066" priority="1182" operator="equal">
      <formula>3</formula>
    </cfRule>
  </conditionalFormatting>
  <conditionalFormatting sqref="BE28">
    <cfRule type="cellIs" dxfId="1065" priority="1181" operator="equal">
      <formula>1</formula>
    </cfRule>
    <cfRule type="top10" dxfId="1064" priority="1180" rank="10"/>
  </conditionalFormatting>
  <conditionalFormatting sqref="BE32">
    <cfRule type="cellIs" dxfId="1063" priority="1179" operator="equal">
      <formula>3</formula>
    </cfRule>
    <cfRule type="cellIs" dxfId="1062" priority="1178" operator="equal">
      <formula>4</formula>
    </cfRule>
  </conditionalFormatting>
  <conditionalFormatting sqref="BE33:BE35">
    <cfRule type="top10" dxfId="1061" priority="1177" rank="10"/>
    <cfRule type="top10" dxfId="1060" priority="1176" rank="10"/>
    <cfRule type="top10" dxfId="1059" priority="1175" rank="10"/>
    <cfRule type="top10" dxfId="1058" priority="1173" rank="10"/>
    <cfRule type="cellIs" dxfId="1057" priority="1174" operator="equal">
      <formula>1</formula>
    </cfRule>
  </conditionalFormatting>
  <conditionalFormatting sqref="BE35:BE36 BE25:BG25 BQ26:BR26 BL25 BG29 BG35 BO27 BJ29 BJ32:BL32 BJ33:BK33 BQ34:BR35 BQ33 BQ25 BL27 BJ34:BL35 BL29 BO29 BE32:BG34 BO31:BO35 BL31 BJ31 BG31">
    <cfRule type="top10" dxfId="1056" priority="1172" rank="10"/>
  </conditionalFormatting>
  <conditionalFormatting sqref="BE36">
    <cfRule type="top10" dxfId="1055" priority="1170" rank="10"/>
    <cfRule type="cellIs" dxfId="1054" priority="1167" operator="equal">
      <formula>4</formula>
    </cfRule>
    <cfRule type="cellIs" dxfId="1053" priority="1169" operator="equal">
      <formula>1</formula>
    </cfRule>
    <cfRule type="top10" dxfId="1052" priority="1171" rank="10"/>
    <cfRule type="top10" dxfId="1051" priority="1164" rank="10"/>
    <cfRule type="cellIs" dxfId="1050" priority="1165" operator="equal">
      <formula>1</formula>
    </cfRule>
    <cfRule type="top10" dxfId="1049" priority="1166" rank="10"/>
    <cfRule type="cellIs" dxfId="1048" priority="1168" operator="equal">
      <formula>3</formula>
    </cfRule>
  </conditionalFormatting>
  <conditionalFormatting sqref="BE37">
    <cfRule type="top10" dxfId="1047" priority="1163" rank="10"/>
  </conditionalFormatting>
  <conditionalFormatting sqref="BE39:BE40">
    <cfRule type="top10" dxfId="1046" priority="1158" rank="10"/>
    <cfRule type="cellIs" dxfId="1045" priority="1160" operator="equal">
      <formula>3</formula>
    </cfRule>
    <cfRule type="top10" dxfId="1044" priority="1162" rank="10"/>
    <cfRule type="cellIs" dxfId="1043" priority="1161" operator="equal">
      <formula>1</formula>
    </cfRule>
    <cfRule type="cellIs" dxfId="1042" priority="1159" operator="equal">
      <formula>4</formula>
    </cfRule>
    <cfRule type="top10" dxfId="1041" priority="1154" rank="10"/>
    <cfRule type="top10" dxfId="1040" priority="1152" rank="10"/>
    <cfRule type="cellIs" dxfId="1039" priority="1153" operator="equal">
      <formula>1</formula>
    </cfRule>
    <cfRule type="cellIs" dxfId="1038" priority="1155" operator="equal">
      <formula>4</formula>
    </cfRule>
    <cfRule type="cellIs" dxfId="1037" priority="1156" operator="equal">
      <formula>3</formula>
    </cfRule>
    <cfRule type="cellIs" dxfId="1036" priority="1157" operator="equal">
      <formula>1</formula>
    </cfRule>
  </conditionalFormatting>
  <conditionalFormatting sqref="BE44">
    <cfRule type="cellIs" dxfId="1035" priority="1144" operator="equal">
      <formula>3</formula>
    </cfRule>
    <cfRule type="cellIs" dxfId="1034" priority="1147" operator="equal">
      <formula>4</formula>
    </cfRule>
    <cfRule type="cellIs" dxfId="1033" priority="1148" operator="equal">
      <formula>3</formula>
    </cfRule>
    <cfRule type="top10" dxfId="1032" priority="1140" rank="10"/>
    <cfRule type="top10" dxfId="1031" priority="1150" rank="10"/>
    <cfRule type="cellIs" dxfId="1030" priority="1151" operator="equal">
      <formula>1</formula>
    </cfRule>
    <cfRule type="cellIs" dxfId="1029" priority="1145" operator="equal">
      <formula>1</formula>
    </cfRule>
    <cfRule type="cellIs" dxfId="1028" priority="1141" operator="equal">
      <formula>1</formula>
    </cfRule>
    <cfRule type="top10" dxfId="1027" priority="1142" rank="10"/>
    <cfRule type="cellIs" dxfId="1026" priority="1143" operator="equal">
      <formula>4</formula>
    </cfRule>
    <cfRule type="top10" dxfId="1025" priority="1146" rank="10"/>
    <cfRule type="cellIs" dxfId="1024" priority="1149" operator="equal">
      <formula>1</formula>
    </cfRule>
  </conditionalFormatting>
  <conditionalFormatting sqref="BE44:BE45">
    <cfRule type="cellIs" dxfId="1023" priority="1138" operator="equal">
      <formula>4</formula>
    </cfRule>
    <cfRule type="cellIs" dxfId="1022" priority="1139" operator="equal">
      <formula>3</formula>
    </cfRule>
  </conditionalFormatting>
  <conditionalFormatting sqref="BE45">
    <cfRule type="cellIs" dxfId="1021" priority="1137" operator="equal">
      <formula>1</formula>
    </cfRule>
    <cfRule type="top10" dxfId="1020" priority="1136" rank="10"/>
    <cfRule type="cellIs" dxfId="1019" priority="1135" operator="equal">
      <formula>2</formula>
    </cfRule>
    <cfRule type="cellIs" dxfId="1018" priority="1134" operator="equal">
      <formula>1</formula>
    </cfRule>
    <cfRule type="top10" dxfId="1017" priority="1133" rank="10"/>
    <cfRule type="cellIs" dxfId="1016" priority="1132" operator="equal">
      <formula>1</formula>
    </cfRule>
    <cfRule type="cellIs" dxfId="1015" priority="1131" operator="equal">
      <formula>3</formula>
    </cfRule>
    <cfRule type="top10" dxfId="1014" priority="1129" rank="10"/>
    <cfRule type="cellIs" dxfId="1013" priority="1128" operator="equal">
      <formula>1</formula>
    </cfRule>
    <cfRule type="top10" dxfId="1012" priority="1127" rank="10"/>
    <cfRule type="cellIs" dxfId="1011" priority="1126" operator="equal">
      <formula>3</formula>
    </cfRule>
    <cfRule type="cellIs" dxfId="1010" priority="1125" operator="equal">
      <formula>4</formula>
    </cfRule>
    <cfRule type="cellIs" dxfId="1009" priority="1130" operator="equal">
      <formula>4</formula>
    </cfRule>
  </conditionalFormatting>
  <conditionalFormatting sqref="BE47 BF46:BG46 BF40 BQ40:BQ47 BO40:BO47 BJ40:BL47 BG47 BE41:BG45">
    <cfRule type="top10" dxfId="1008" priority="1124" rank="10"/>
  </conditionalFormatting>
  <conditionalFormatting sqref="BE47">
    <cfRule type="cellIs" dxfId="1007" priority="1123" operator="equal">
      <formula>1</formula>
    </cfRule>
  </conditionalFormatting>
  <conditionalFormatting sqref="BE48">
    <cfRule type="top10" dxfId="1006" priority="1122" rank="10"/>
  </conditionalFormatting>
  <conditionalFormatting sqref="BE31:BF31">
    <cfRule type="top10" dxfId="1005" priority="1121" rank="10"/>
  </conditionalFormatting>
  <conditionalFormatting sqref="BE36:BF36">
    <cfRule type="cellIs" dxfId="1004" priority="1120" operator="equal">
      <formula>1</formula>
    </cfRule>
  </conditionalFormatting>
  <conditionalFormatting sqref="BE43:BF43">
    <cfRule type="cellIs" dxfId="1003" priority="1119" operator="equal">
      <formula>3</formula>
    </cfRule>
    <cfRule type="cellIs" dxfId="1002" priority="1118" operator="equal">
      <formula>1</formula>
    </cfRule>
  </conditionalFormatting>
  <conditionalFormatting sqref="BE23:BG23 BQ23:BR23 BO23 BJ23:BL23">
    <cfRule type="top10" dxfId="1001" priority="1117" rank="10"/>
  </conditionalFormatting>
  <conditionalFormatting sqref="BE25:BG25">
    <cfRule type="cellIs" dxfId="1000" priority="1116" operator="equal">
      <formula>1</formula>
    </cfRule>
  </conditionalFormatting>
  <conditionalFormatting sqref="BE26:BG26 BJ26:BP26">
    <cfRule type="top10" dxfId="999" priority="1115" rank="10"/>
  </conditionalFormatting>
  <conditionalFormatting sqref="BE38:BG38">
    <cfRule type="cellIs" dxfId="998" priority="1114" operator="equal">
      <formula>1</formula>
    </cfRule>
    <cfRule type="cellIs" dxfId="997" priority="1113" operator="equal">
      <formula>4</formula>
    </cfRule>
    <cfRule type="cellIs" dxfId="996" priority="1112" operator="equal">
      <formula>4</formula>
    </cfRule>
  </conditionalFormatting>
  <conditionalFormatting sqref="BE48:BG48">
    <cfRule type="cellIs" dxfId="995" priority="1111" operator="equal">
      <formula>1</formula>
    </cfRule>
  </conditionalFormatting>
  <conditionalFormatting sqref="BE49:BG49">
    <cfRule type="cellIs" dxfId="994" priority="1109" operator="equal">
      <formula>4</formula>
    </cfRule>
    <cfRule type="cellIs" dxfId="993" priority="1108" operator="equal">
      <formula>4</formula>
    </cfRule>
    <cfRule type="cellIs" dxfId="992" priority="1110" operator="equal">
      <formula>1</formula>
    </cfRule>
  </conditionalFormatting>
  <conditionalFormatting sqref="BE52:BI52">
    <cfRule type="top10" dxfId="991" priority="1107" rank="10"/>
  </conditionalFormatting>
  <conditionalFormatting sqref="BF25">
    <cfRule type="top10" dxfId="990" priority="1106" rank="10"/>
  </conditionalFormatting>
  <conditionalFormatting sqref="BF27 BF29 BF31">
    <cfRule type="top10" dxfId="989" priority="1105" rank="10"/>
  </conditionalFormatting>
  <conditionalFormatting sqref="BF30 BR30">
    <cfRule type="cellIs" dxfId="988" priority="1104" operator="equal">
      <formula>1</formula>
    </cfRule>
    <cfRule type="top10" dxfId="987" priority="1103" rank="10"/>
  </conditionalFormatting>
  <conditionalFormatting sqref="BF31">
    <cfRule type="cellIs" dxfId="986" priority="1102" operator="equal">
      <formula>1</formula>
    </cfRule>
  </conditionalFormatting>
  <conditionalFormatting sqref="BF33">
    <cfRule type="cellIs" dxfId="985" priority="1096" operator="equal">
      <formula>4</formula>
    </cfRule>
    <cfRule type="top10" dxfId="984" priority="1095" rank="10"/>
    <cfRule type="cellIs" dxfId="983" priority="1094" operator="equal">
      <formula>1</formula>
    </cfRule>
    <cfRule type="cellIs" dxfId="982" priority="1093" operator="equal">
      <formula>3</formula>
    </cfRule>
    <cfRule type="cellIs" dxfId="981" priority="1092" operator="equal">
      <formula>4</formula>
    </cfRule>
    <cfRule type="top10" dxfId="980" priority="1091" rank="10"/>
    <cfRule type="cellIs" dxfId="979" priority="1090" operator="equal">
      <formula>1</formula>
    </cfRule>
    <cfRule type="top10" dxfId="978" priority="1089" rank="10"/>
    <cfRule type="cellIs" dxfId="977" priority="1099" operator="equal">
      <formula>2</formula>
    </cfRule>
    <cfRule type="cellIs" dxfId="976" priority="1087" operator="equal">
      <formula>4</formula>
    </cfRule>
    <cfRule type="top10" dxfId="975" priority="1100" rank="10"/>
    <cfRule type="cellIs" dxfId="974" priority="1101" operator="equal">
      <formula>1</formula>
    </cfRule>
    <cfRule type="cellIs" dxfId="973" priority="1098" operator="equal">
      <formula>1</formula>
    </cfRule>
    <cfRule type="cellIs" dxfId="972" priority="1097" operator="equal">
      <formula>3</formula>
    </cfRule>
    <cfRule type="cellIs" dxfId="971" priority="1088" operator="equal">
      <formula>3</formula>
    </cfRule>
  </conditionalFormatting>
  <conditionalFormatting sqref="BF35">
    <cfRule type="top10" dxfId="970" priority="1086" rank="10"/>
    <cfRule type="top10" dxfId="969" priority="1083" rank="10"/>
    <cfRule type="top10" dxfId="968" priority="1084" rank="10"/>
    <cfRule type="top10" dxfId="967" priority="1085" rank="10"/>
  </conditionalFormatting>
  <conditionalFormatting sqref="BF36">
    <cfRule type="top10" dxfId="966" priority="1082" rank="10"/>
  </conditionalFormatting>
  <conditionalFormatting sqref="BF37">
    <cfRule type="top10" dxfId="965" priority="1080" rank="10"/>
    <cfRule type="cellIs" dxfId="964" priority="1081" operator="equal">
      <formula>1</formula>
    </cfRule>
  </conditionalFormatting>
  <conditionalFormatting sqref="BF39">
    <cfRule type="top10" dxfId="963" priority="1070" rank="10"/>
    <cfRule type="cellIs" dxfId="962" priority="1071" operator="equal">
      <formula>1</formula>
    </cfRule>
    <cfRule type="top10" dxfId="961" priority="1072" rank="10"/>
    <cfRule type="cellIs" dxfId="960" priority="1074" operator="equal">
      <formula>3</formula>
    </cfRule>
    <cfRule type="cellIs" dxfId="959" priority="1075" operator="equal">
      <formula>1</formula>
    </cfRule>
    <cfRule type="top10" dxfId="958" priority="1076" rank="10"/>
    <cfRule type="cellIs" dxfId="957" priority="1077" operator="equal">
      <formula>1</formula>
    </cfRule>
    <cfRule type="top10" dxfId="956" priority="1078" rank="10"/>
    <cfRule type="top10" dxfId="955" priority="1079" rank="10"/>
    <cfRule type="cellIs" dxfId="954" priority="1073" operator="equal">
      <formula>4</formula>
    </cfRule>
  </conditionalFormatting>
  <conditionalFormatting sqref="BF47">
    <cfRule type="cellIs" dxfId="953" priority="1065" operator="equal">
      <formula>4</formula>
    </cfRule>
    <cfRule type="cellIs" dxfId="952" priority="1066" operator="equal">
      <formula>4</formula>
    </cfRule>
    <cfRule type="cellIs" dxfId="951" priority="1067" operator="equal">
      <formula>1</formula>
    </cfRule>
  </conditionalFormatting>
  <conditionalFormatting sqref="BF27:BG27">
    <cfRule type="cellIs" dxfId="950" priority="1064" operator="equal">
      <formula>1</formula>
    </cfRule>
  </conditionalFormatting>
  <conditionalFormatting sqref="BF29:BG29">
    <cfRule type="cellIs" dxfId="949" priority="1063" operator="equal">
      <formula>1</formula>
    </cfRule>
  </conditionalFormatting>
  <conditionalFormatting sqref="BF39:BG39">
    <cfRule type="cellIs" dxfId="948" priority="1060" operator="equal">
      <formula>4</formula>
    </cfRule>
    <cfRule type="cellIs" dxfId="947" priority="1061" operator="equal">
      <formula>3</formula>
    </cfRule>
    <cfRule type="cellIs" dxfId="946" priority="1062" operator="equal">
      <formula>1</formula>
    </cfRule>
  </conditionalFormatting>
  <conditionalFormatting sqref="BF48:BG48 BQ48:BR48 BO48 BJ48:BL48">
    <cfRule type="top10" dxfId="945" priority="1059" rank="10"/>
  </conditionalFormatting>
  <conditionalFormatting sqref="BF30:DT30 K25:K30">
    <cfRule type="cellIs" dxfId="944" priority="1058" operator="equal">
      <formula>3</formula>
    </cfRule>
  </conditionalFormatting>
  <conditionalFormatting sqref="BG25">
    <cfRule type="top10" dxfId="943" priority="1056" rank="10"/>
    <cfRule type="cellIs" dxfId="942" priority="1057" operator="equal">
      <formula>1</formula>
    </cfRule>
  </conditionalFormatting>
  <conditionalFormatting sqref="BG27">
    <cfRule type="top10" dxfId="941" priority="1055" rank="10"/>
  </conditionalFormatting>
  <conditionalFormatting sqref="BG29">
    <cfRule type="top10" dxfId="940" priority="1054" rank="10"/>
  </conditionalFormatting>
  <conditionalFormatting sqref="BG32">
    <cfRule type="cellIs" dxfId="939" priority="1051" operator="equal">
      <formula>4</formula>
    </cfRule>
    <cfRule type="cellIs" dxfId="938" priority="1053" operator="equal">
      <formula>1</formula>
    </cfRule>
    <cfRule type="top10" dxfId="937" priority="1050" rank="10"/>
    <cfRule type="top10" dxfId="936" priority="1049" rank="10"/>
    <cfRule type="cellIs" dxfId="935" priority="1048" operator="equal">
      <formula>1</formula>
    </cfRule>
    <cfRule type="cellIs" dxfId="934" priority="1047" operator="equal">
      <formula>3</formula>
    </cfRule>
    <cfRule type="top10" dxfId="933" priority="1045" rank="10"/>
    <cfRule type="cellIs" dxfId="932" priority="1046" operator="equal">
      <formula>4</formula>
    </cfRule>
    <cfRule type="cellIs" dxfId="931" priority="1052" operator="equal">
      <formula>3</formula>
    </cfRule>
    <cfRule type="top10" dxfId="930" priority="1043" rank="10"/>
    <cfRule type="cellIs" dxfId="929" priority="1044" operator="equal">
      <formula>1</formula>
    </cfRule>
  </conditionalFormatting>
  <conditionalFormatting sqref="BG36">
    <cfRule type="top10" dxfId="928" priority="1040" rank="10"/>
    <cfRule type="cellIs" dxfId="927" priority="1041" operator="equal">
      <formula>4</formula>
    </cfRule>
    <cfRule type="cellIs" dxfId="926" priority="1042" operator="equal">
      <formula>3</formula>
    </cfRule>
  </conditionalFormatting>
  <conditionalFormatting sqref="BG37 BQ37 BO37 BJ37:BL37">
    <cfRule type="top10" dxfId="925" priority="1038" rank="10"/>
    <cfRule type="top10" dxfId="924" priority="1039" rank="10"/>
  </conditionalFormatting>
  <conditionalFormatting sqref="BG39 BQ39:BR39 BO39 BJ39:BL39">
    <cfRule type="top10" dxfId="923" priority="1037" rank="10"/>
  </conditionalFormatting>
  <conditionalFormatting sqref="BG39">
    <cfRule type="cellIs" dxfId="922" priority="1036" operator="equal">
      <formula>2</formula>
    </cfRule>
  </conditionalFormatting>
  <conditionalFormatting sqref="BG40">
    <cfRule type="cellIs" dxfId="921" priority="1033" operator="equal">
      <formula>4</formula>
    </cfRule>
    <cfRule type="cellIs" dxfId="920" priority="1034" operator="equal">
      <formula>4</formula>
    </cfRule>
    <cfRule type="cellIs" dxfId="919" priority="1035" operator="equal">
      <formula>1</formula>
    </cfRule>
  </conditionalFormatting>
  <conditionalFormatting sqref="BG41">
    <cfRule type="top10" dxfId="918" priority="1028" rank="10"/>
    <cfRule type="cellIs" dxfId="917" priority="1027" operator="equal">
      <formula>1</formula>
    </cfRule>
    <cfRule type="cellIs" dxfId="916" priority="1026" operator="equal">
      <formula>3</formula>
    </cfRule>
    <cfRule type="top10" dxfId="915" priority="1024" rank="10"/>
    <cfRule type="cellIs" dxfId="914" priority="1023" operator="equal">
      <formula>1</formula>
    </cfRule>
    <cfRule type="top10" dxfId="913" priority="1022" rank="10"/>
    <cfRule type="cellIs" dxfId="912" priority="1025" operator="equal">
      <formula>4</formula>
    </cfRule>
    <cfRule type="cellIs" dxfId="911" priority="1032" operator="equal">
      <formula>1</formula>
    </cfRule>
    <cfRule type="top10" dxfId="910" priority="1031" rank="10"/>
    <cfRule type="cellIs" dxfId="909" priority="1030" operator="equal">
      <formula>2</formula>
    </cfRule>
    <cfRule type="cellIs" dxfId="908" priority="1029" operator="equal">
      <formula>1</formula>
    </cfRule>
  </conditionalFormatting>
  <conditionalFormatting sqref="BG53">
    <cfRule type="cellIs" dxfId="907" priority="1021" operator="equal">
      <formula>2</formula>
    </cfRule>
  </conditionalFormatting>
  <conditionalFormatting sqref="BG56 BQ54:BU56 BJ54:BL56 BE54:BG55 DE54:DI56 BZ54:CD56 AA54:AA56 AK54:AL56 AD54:AD56 BO54:BO56 DA54:DB56 G55:H56 AQ54:AR56 DK54:DU56 K54:K56 I55:I57 V54:V55 CF54:CY56 G54:I54">
    <cfRule type="top10" dxfId="906" priority="1020" rank="10"/>
  </conditionalFormatting>
  <conditionalFormatting sqref="BG30:BH30 BK30:BL30 BS30">
    <cfRule type="cellIs" dxfId="905" priority="1019" operator="equal">
      <formula>1</formula>
    </cfRule>
  </conditionalFormatting>
  <conditionalFormatting sqref="BG30:BH30 BS30 BK30:BL30">
    <cfRule type="top10" dxfId="904" priority="1018" rank="10"/>
  </conditionalFormatting>
  <conditionalFormatting sqref="BH52:BI52">
    <cfRule type="cellIs" dxfId="903" priority="1017" operator="equal">
      <formula>1</formula>
    </cfRule>
    <cfRule type="top10" dxfId="902" priority="1016" rank="10"/>
    <cfRule type="cellIs" dxfId="901" priority="1015" operator="equal">
      <formula>1</formula>
    </cfRule>
    <cfRule type="top10" dxfId="900" priority="1014" rank="10"/>
    <cfRule type="top10" dxfId="899" priority="1012" rank="10"/>
    <cfRule type="top10" dxfId="898" priority="1008" rank="10"/>
    <cfRule type="top10" dxfId="897" priority="1010" rank="10"/>
    <cfRule type="cellIs" dxfId="896" priority="1011" operator="equal">
      <formula>1</formula>
    </cfRule>
    <cfRule type="cellIs" dxfId="895" priority="1013" operator="equal">
      <formula>1</formula>
    </cfRule>
    <cfRule type="top10" dxfId="894" priority="1006" rank="10"/>
    <cfRule type="cellIs" dxfId="893" priority="1007" operator="equal">
      <formula>1</formula>
    </cfRule>
    <cfRule type="cellIs" dxfId="892" priority="1009" operator="equal">
      <formula>1</formula>
    </cfRule>
  </conditionalFormatting>
  <conditionalFormatting sqref="BI30:BJ30">
    <cfRule type="top10" dxfId="891" priority="1004" rank="10"/>
    <cfRule type="cellIs" dxfId="890" priority="1005" operator="equal">
      <formula>1</formula>
    </cfRule>
  </conditionalFormatting>
  <conditionalFormatting sqref="BJ19">
    <cfRule type="cellIs" dxfId="889" priority="1001" operator="equal">
      <formula>4</formula>
    </cfRule>
    <cfRule type="cellIs" dxfId="888" priority="1002" operator="equal">
      <formula>4</formula>
    </cfRule>
    <cfRule type="cellIs" dxfId="887" priority="1003" operator="equal">
      <formula>1</formula>
    </cfRule>
  </conditionalFormatting>
  <conditionalFormatting sqref="BJ28:BJ31">
    <cfRule type="cellIs" dxfId="886" priority="1000" operator="equal">
      <formula>1</formula>
    </cfRule>
  </conditionalFormatting>
  <conditionalFormatting sqref="BJ29">
    <cfRule type="top10" dxfId="885" priority="999" rank="10"/>
  </conditionalFormatting>
  <conditionalFormatting sqref="BJ30">
    <cfRule type="top10" dxfId="884" priority="997" rank="10"/>
    <cfRule type="top10" dxfId="883" priority="998" rank="10"/>
    <cfRule type="cellIs" dxfId="882" priority="980" operator="equal">
      <formula>1</formula>
    </cfRule>
    <cfRule type="cellIs" dxfId="881" priority="981" operator="equal">
      <formula>1</formula>
    </cfRule>
    <cfRule type="cellIs" dxfId="880" priority="983" operator="equal">
      <formula>4</formula>
    </cfRule>
    <cfRule type="cellIs" dxfId="879" priority="984" operator="equal">
      <formula>4</formula>
    </cfRule>
    <cfRule type="cellIs" dxfId="878" priority="985" operator="equal">
      <formula>1</formula>
    </cfRule>
    <cfRule type="cellIs" dxfId="877" priority="986" operator="equal">
      <formula>4</formula>
    </cfRule>
    <cfRule type="top10" dxfId="876" priority="987" rank="10"/>
    <cfRule type="cellIs" dxfId="875" priority="988" operator="equal">
      <formula>1</formula>
    </cfRule>
    <cfRule type="cellIs" dxfId="874" priority="989" operator="equal">
      <formula>4</formula>
    </cfRule>
    <cfRule type="cellIs" dxfId="873" priority="990" operator="equal">
      <formula>1</formula>
    </cfRule>
    <cfRule type="cellIs" dxfId="872" priority="991" operator="equal">
      <formula>4</formula>
    </cfRule>
    <cfRule type="cellIs" dxfId="871" priority="992" operator="equal">
      <formula>4</formula>
    </cfRule>
    <cfRule type="cellIs" dxfId="870" priority="993" operator="equal">
      <formula>1</formula>
    </cfRule>
    <cfRule type="top10" dxfId="869" priority="994" rank="10"/>
    <cfRule type="cellIs" dxfId="868" priority="995" operator="equal">
      <formula>3</formula>
    </cfRule>
    <cfRule type="top10" dxfId="867" priority="996" rank="10"/>
  </conditionalFormatting>
  <conditionalFormatting sqref="BJ30:BJ31">
    <cfRule type="cellIs" dxfId="866" priority="979" operator="equal">
      <formula>2</formula>
    </cfRule>
  </conditionalFormatting>
  <conditionalFormatting sqref="BJ52">
    <cfRule type="top10" dxfId="865" priority="978" rank="10"/>
  </conditionalFormatting>
  <conditionalFormatting sqref="BJ25:BK25">
    <cfRule type="top10" dxfId="864" priority="977" rank="10"/>
  </conditionalFormatting>
  <conditionalFormatting sqref="BJ33:BK33">
    <cfRule type="cellIs" dxfId="863" priority="976" operator="equal">
      <formula>3</formula>
    </cfRule>
    <cfRule type="cellIs" dxfId="862" priority="975" operator="equal">
      <formula>4</formula>
    </cfRule>
  </conditionalFormatting>
  <conditionalFormatting sqref="BJ22:BL22 AQ51">
    <cfRule type="cellIs" dxfId="861" priority="974" operator="equal">
      <formula>1</formula>
    </cfRule>
    <cfRule type="cellIs" dxfId="860" priority="972" operator="equal">
      <formula>4</formula>
    </cfRule>
    <cfRule type="cellIs" dxfId="859" priority="973" operator="equal">
      <formula>4</formula>
    </cfRule>
  </conditionalFormatting>
  <conditionalFormatting sqref="BJ34:BL36">
    <cfRule type="cellIs" dxfId="858" priority="971" operator="equal">
      <formula>1</formula>
    </cfRule>
  </conditionalFormatting>
  <conditionalFormatting sqref="BJ36:BL36 BQ36 BO36">
    <cfRule type="top10" dxfId="857" priority="970" rank="10"/>
    <cfRule type="top10" dxfId="856" priority="969" rank="10"/>
  </conditionalFormatting>
  <conditionalFormatting sqref="BJ38:BL38 BO38">
    <cfRule type="cellIs" dxfId="855" priority="968" operator="equal">
      <formula>1</formula>
    </cfRule>
    <cfRule type="cellIs" dxfId="854" priority="967" operator="equal">
      <formula>4</formula>
    </cfRule>
    <cfRule type="cellIs" dxfId="853" priority="966" operator="equal">
      <formula>4</formula>
    </cfRule>
  </conditionalFormatting>
  <conditionalFormatting sqref="BK25 BK29">
    <cfRule type="cellIs" dxfId="852" priority="965" operator="equal">
      <formula>1</formula>
    </cfRule>
    <cfRule type="top10" dxfId="851" priority="964" rank="10"/>
  </conditionalFormatting>
  <conditionalFormatting sqref="BK28 BZ28 DS28">
    <cfRule type="cellIs" dxfId="850" priority="963" operator="equal">
      <formula>1</formula>
    </cfRule>
    <cfRule type="cellIs" dxfId="849" priority="962" operator="equal">
      <formula>4</formula>
    </cfRule>
    <cfRule type="cellIs" dxfId="848" priority="961" operator="equal">
      <formula>4</formula>
    </cfRule>
  </conditionalFormatting>
  <conditionalFormatting sqref="BK32">
    <cfRule type="cellIs" dxfId="847" priority="956" operator="equal">
      <formula>3</formula>
    </cfRule>
    <cfRule type="top10" dxfId="846" priority="959" rank="10"/>
    <cfRule type="top10" dxfId="845" priority="958" rank="10"/>
    <cfRule type="cellIs" dxfId="844" priority="957" operator="equal">
      <formula>1</formula>
    </cfRule>
    <cfRule type="cellIs" dxfId="843" priority="955" operator="equal">
      <formula>4</formula>
    </cfRule>
    <cfRule type="top10" dxfId="842" priority="954" rank="10"/>
    <cfRule type="cellIs" dxfId="841" priority="953" operator="equal">
      <formula>1</formula>
    </cfRule>
    <cfRule type="top10" dxfId="840" priority="952" rank="10"/>
    <cfRule type="cellIs" dxfId="839" priority="960" operator="equal">
      <formula>1</formula>
    </cfRule>
  </conditionalFormatting>
  <conditionalFormatting sqref="BK35">
    <cfRule type="cellIs" dxfId="838" priority="942" operator="equal">
      <formula>3</formula>
    </cfRule>
    <cfRule type="cellIs" dxfId="837" priority="941" operator="equal">
      <formula>4</formula>
    </cfRule>
    <cfRule type="top10" dxfId="836" priority="940" rank="10"/>
    <cfRule type="cellIs" dxfId="835" priority="939" operator="equal">
      <formula>1</formula>
    </cfRule>
    <cfRule type="top10" dxfId="834" priority="938" rank="10"/>
    <cfRule type="top10" dxfId="833" priority="948" rank="10"/>
    <cfRule type="cellIs" dxfId="832" priority="949" operator="equal">
      <formula>1</formula>
    </cfRule>
    <cfRule type="cellIs" dxfId="831" priority="950" operator="equal">
      <formula>4</formula>
    </cfRule>
    <cfRule type="cellIs" dxfId="830" priority="951" operator="equal">
      <formula>3</formula>
    </cfRule>
    <cfRule type="cellIs" dxfId="829" priority="945" operator="equal">
      <formula>4</formula>
    </cfRule>
    <cfRule type="top10" dxfId="828" priority="944" rank="10"/>
    <cfRule type="cellIs" dxfId="827" priority="943" operator="equal">
      <formula>1</formula>
    </cfRule>
    <cfRule type="cellIs" dxfId="826" priority="947" operator="equal">
      <formula>1</formula>
    </cfRule>
    <cfRule type="cellIs" dxfId="825" priority="946" operator="equal">
      <formula>3</formula>
    </cfRule>
  </conditionalFormatting>
  <conditionalFormatting sqref="BK44">
    <cfRule type="cellIs" dxfId="824" priority="924" operator="equal">
      <formula>4</formula>
    </cfRule>
    <cfRule type="cellIs" dxfId="823" priority="925" operator="equal">
      <formula>3</formula>
    </cfRule>
    <cfRule type="top10" dxfId="822" priority="926" rank="10"/>
    <cfRule type="cellIs" dxfId="821" priority="927" operator="equal">
      <formula>1</formula>
    </cfRule>
    <cfRule type="top10" dxfId="820" priority="928" rank="10"/>
    <cfRule type="cellIs" dxfId="819" priority="929" operator="equal">
      <formula>4</formula>
    </cfRule>
    <cfRule type="cellIs" dxfId="818" priority="930" operator="equal">
      <formula>3</formula>
    </cfRule>
    <cfRule type="cellIs" dxfId="817" priority="931" operator="equal">
      <formula>1</formula>
    </cfRule>
    <cfRule type="top10" dxfId="816" priority="932" rank="10"/>
    <cfRule type="cellIs" dxfId="815" priority="933" operator="equal">
      <formula>4</formula>
    </cfRule>
    <cfRule type="cellIs" dxfId="814" priority="937" operator="equal">
      <formula>1</formula>
    </cfRule>
    <cfRule type="cellIs" dxfId="813" priority="934" operator="equal">
      <formula>3</formula>
    </cfRule>
    <cfRule type="cellIs" dxfId="812" priority="935" operator="equal">
      <formula>1</formula>
    </cfRule>
    <cfRule type="top10" dxfId="811" priority="936" rank="10"/>
  </conditionalFormatting>
  <conditionalFormatting sqref="BK52">
    <cfRule type="top10" dxfId="810" priority="921" rank="10"/>
    <cfRule type="top10" dxfId="809" priority="922" rank="10"/>
    <cfRule type="top10" dxfId="808" priority="923" rank="10"/>
    <cfRule type="top10" dxfId="807" priority="920" rank="10"/>
  </conditionalFormatting>
  <conditionalFormatting sqref="BK25:BL25 BJ25:BJ26 BE26:BG26">
    <cfRule type="cellIs" dxfId="806" priority="919" operator="equal">
      <formula>1</formula>
    </cfRule>
  </conditionalFormatting>
  <conditionalFormatting sqref="BK50:BL51 BQ51">
    <cfRule type="cellIs" dxfId="805" priority="918" operator="equal">
      <formula>1</formula>
    </cfRule>
  </conditionalFormatting>
  <conditionalFormatting sqref="BK50:BL51 BQ49:BR49 BQ51:BR51 BO49 BJ49:BL49 BR50 BE50:BG51">
    <cfRule type="top10" dxfId="804" priority="917" rank="10"/>
  </conditionalFormatting>
  <conditionalFormatting sqref="BK50:BL51">
    <cfRule type="cellIs" dxfId="803" priority="914" operator="equal">
      <formula>4</formula>
    </cfRule>
    <cfRule type="cellIs" dxfId="802" priority="915" operator="equal">
      <formula>3</formula>
    </cfRule>
    <cfRule type="cellIs" dxfId="801" priority="916" operator="equal">
      <formula>2</formula>
    </cfRule>
  </conditionalFormatting>
  <conditionalFormatting sqref="BK26:BR26">
    <cfRule type="cellIs" dxfId="800" priority="913" operator="equal">
      <formula>1</formula>
    </cfRule>
  </conditionalFormatting>
  <conditionalFormatting sqref="BL21">
    <cfRule type="cellIs" dxfId="799" priority="911" operator="equal">
      <formula>4</formula>
    </cfRule>
    <cfRule type="cellIs" dxfId="798" priority="910" operator="equal">
      <formula>4</formula>
    </cfRule>
    <cfRule type="cellIs" dxfId="797" priority="912" operator="equal">
      <formula>1</formula>
    </cfRule>
  </conditionalFormatting>
  <conditionalFormatting sqref="BL27:BL28 BJ28 CA28:CB28 DT28:DU28 AA28:AA29">
    <cfRule type="cellIs" dxfId="796" priority="909" operator="equal">
      <formula>2</formula>
    </cfRule>
  </conditionalFormatting>
  <conditionalFormatting sqref="BL31 AK31:AL32 BE31:BG32 DE31:DI32 CV31:CW33 G31:H34 CK31:CU34 CX31:CY34 I31:I35 CG31:CJ37 DK31:DK37 DE34:DI38 CU35:CU37 CV35:CX38 CN37:CT37 CL37:CM38 AK39:AL39 BQ39:BU41 CG39:CL41 CV39:CV42 BE39:BF43 CA39:CC43 CW39:CY43 BJ39:BL49 BO39:BO49 AQ39:AR50 AA39:AA51 AE40:AL43 I41:I44 K41:K46 V41:V51 BZ44:CC44 CG44:CL44 BE44:BG45 BQ45:BT49 DE46:DI50 I47 BG47 CV47:CY50 DA47:DB50 G48:I48 K48 CH48:CJ48 CL48:CQ49 CR48:CU50 BS51:BT51 G30:J30 L30:CU30">
    <cfRule type="cellIs" dxfId="795" priority="1780" operator="equal">
      <formula>4</formula>
    </cfRule>
  </conditionalFormatting>
  <conditionalFormatting sqref="BL35">
    <cfRule type="cellIs" dxfId="794" priority="908" operator="equal">
      <formula>1</formula>
    </cfRule>
    <cfRule type="top10" dxfId="793" priority="907" rank="10"/>
    <cfRule type="cellIs" dxfId="792" priority="906" operator="equal">
      <formula>1</formula>
    </cfRule>
    <cfRule type="cellIs" dxfId="791" priority="905" operator="equal">
      <formula>3</formula>
    </cfRule>
    <cfRule type="cellIs" dxfId="790" priority="904" operator="equal">
      <formula>4</formula>
    </cfRule>
    <cfRule type="top10" dxfId="789" priority="903" rank="10"/>
    <cfRule type="cellIs" dxfId="788" priority="902" operator="equal">
      <formula>1</formula>
    </cfRule>
    <cfRule type="cellIs" dxfId="787" priority="901" operator="equal">
      <formula>3</formula>
    </cfRule>
    <cfRule type="cellIs" dxfId="786" priority="900" operator="equal">
      <formula>4</formula>
    </cfRule>
    <cfRule type="top10" dxfId="785" priority="899" rank="10"/>
    <cfRule type="cellIs" dxfId="784" priority="898" operator="equal">
      <formula>1</formula>
    </cfRule>
    <cfRule type="top10" dxfId="783" priority="897" rank="10"/>
    <cfRule type="cellIs" dxfId="782" priority="896" operator="equal">
      <formula>3</formula>
    </cfRule>
    <cfRule type="cellIs" dxfId="781" priority="895" operator="equal">
      <formula>4</formula>
    </cfRule>
  </conditionalFormatting>
  <conditionalFormatting sqref="BL52">
    <cfRule type="top10" dxfId="780" priority="894" rank="10"/>
  </conditionalFormatting>
  <conditionalFormatting sqref="BM30 BP30">
    <cfRule type="top10" dxfId="779" priority="893" rank="10"/>
  </conditionalFormatting>
  <conditionalFormatting sqref="BM52">
    <cfRule type="top10" dxfId="778" priority="891" rank="10"/>
  </conditionalFormatting>
  <conditionalFormatting sqref="BM30:BP30">
    <cfRule type="cellIs" dxfId="777" priority="889" operator="equal">
      <formula>1</formula>
    </cfRule>
  </conditionalFormatting>
  <conditionalFormatting sqref="BN30:BO30">
    <cfRule type="top10" dxfId="776" priority="890" rank="10"/>
    <cfRule type="top10" dxfId="775" priority="888" rank="10"/>
  </conditionalFormatting>
  <conditionalFormatting sqref="BN52:BO52">
    <cfRule type="top10" dxfId="774" priority="887" rank="10"/>
  </conditionalFormatting>
  <conditionalFormatting sqref="BN52:BP52">
    <cfRule type="cellIs" dxfId="773" priority="885" operator="equal">
      <formula>4</formula>
    </cfRule>
    <cfRule type="cellIs" dxfId="772" priority="884" operator="equal">
      <formula>1</formula>
    </cfRule>
    <cfRule type="top10" dxfId="771" priority="883" rank="10"/>
    <cfRule type="cellIs" dxfId="770" priority="882" operator="equal">
      <formula>3</formula>
    </cfRule>
    <cfRule type="cellIs" dxfId="769" priority="881" operator="equal">
      <formula>4</formula>
    </cfRule>
    <cfRule type="cellIs" dxfId="768" priority="880" operator="equal">
      <formula>1</formula>
    </cfRule>
    <cfRule type="top10" dxfId="767" priority="879" rank="10"/>
    <cfRule type="cellIs" dxfId="766" priority="878" operator="equal">
      <formula>1</formula>
    </cfRule>
    <cfRule type="top10" dxfId="765" priority="877" rank="10"/>
    <cfRule type="cellIs" dxfId="764" priority="876" operator="equal">
      <formula>3</formula>
    </cfRule>
    <cfRule type="cellIs" dxfId="763" priority="875" operator="equal">
      <formula>4</formula>
    </cfRule>
    <cfRule type="cellIs" dxfId="762" priority="874" operator="equal">
      <formula>1</formula>
    </cfRule>
    <cfRule type="top10" dxfId="761" priority="873" rank="10"/>
    <cfRule type="cellIs" dxfId="760" priority="872" operator="equal">
      <formula>1</formula>
    </cfRule>
    <cfRule type="top10" dxfId="759" priority="871" rank="10"/>
    <cfRule type="cellIs" dxfId="758" priority="870" operator="equal">
      <formula>1</formula>
    </cfRule>
    <cfRule type="top10" dxfId="757" priority="869" rank="10"/>
    <cfRule type="cellIs" dxfId="756" priority="886" operator="equal">
      <formula>3</formula>
    </cfRule>
  </conditionalFormatting>
  <conditionalFormatting sqref="BO27:BO28 BL27:BL29 BJ28:BJ31 CA49:CC50 BZ50 G23:I23 AA23 AK23:AL23 BJ23:BL23 BO23 BJ25:BL25 AA25:AA26 G25:H27 BG27 G28:I29 AK28:AL29 BG29 BK29 H31:I31 AA31:AA32 BK32 I39 V39">
    <cfRule type="cellIs" dxfId="755" priority="867" operator="equal">
      <formula>4</formula>
    </cfRule>
    <cfRule type="cellIs" dxfId="754" priority="868" operator="equal">
      <formula>3</formula>
    </cfRule>
  </conditionalFormatting>
  <conditionalFormatting sqref="BO28 BJ28 BL28">
    <cfRule type="top10" dxfId="753" priority="866" rank="10"/>
  </conditionalFormatting>
  <conditionalFormatting sqref="BO29">
    <cfRule type="cellIs" dxfId="752" priority="865" operator="equal">
      <formula>1</formula>
    </cfRule>
    <cfRule type="top10" dxfId="751" priority="864" rank="10"/>
  </conditionalFormatting>
  <conditionalFormatting sqref="BO31">
    <cfRule type="cellIs" dxfId="750" priority="863" operator="equal">
      <formula>1</formula>
    </cfRule>
    <cfRule type="top10" dxfId="749" priority="862" rank="10"/>
  </conditionalFormatting>
  <conditionalFormatting sqref="BO33">
    <cfRule type="cellIs" dxfId="748" priority="861" operator="equal">
      <formula>1</formula>
    </cfRule>
    <cfRule type="top10" dxfId="747" priority="860" rank="10"/>
    <cfRule type="cellIs" dxfId="746" priority="859" operator="equal">
      <formula>1</formula>
    </cfRule>
    <cfRule type="cellIs" dxfId="745" priority="858" operator="equal">
      <formula>3</formula>
    </cfRule>
    <cfRule type="cellIs" dxfId="744" priority="857" operator="equal">
      <formula>4</formula>
    </cfRule>
    <cfRule type="top10" dxfId="743" priority="856" rank="10"/>
    <cfRule type="cellIs" dxfId="742" priority="854" operator="equal">
      <formula>3</formula>
    </cfRule>
    <cfRule type="cellIs" dxfId="741" priority="853" operator="equal">
      <formula>4</formula>
    </cfRule>
    <cfRule type="top10" dxfId="740" priority="852" rank="10"/>
    <cfRule type="cellIs" dxfId="739" priority="851" operator="equal">
      <formula>1</formula>
    </cfRule>
    <cfRule type="top10" dxfId="738" priority="850" rank="10"/>
    <cfRule type="cellIs" dxfId="737" priority="855" operator="equal">
      <formula>1</formula>
    </cfRule>
  </conditionalFormatting>
  <conditionalFormatting sqref="BP52">
    <cfRule type="top10" dxfId="736" priority="849" rank="10"/>
  </conditionalFormatting>
  <conditionalFormatting sqref="BQ25">
    <cfRule type="top10" dxfId="735" priority="847" rank="10"/>
    <cfRule type="cellIs" dxfId="734" priority="846" operator="equal">
      <formula>3</formula>
    </cfRule>
    <cfRule type="cellIs" dxfId="733" priority="845" operator="equal">
      <formula>4</formula>
    </cfRule>
    <cfRule type="cellIs" dxfId="732" priority="848" operator="equal">
      <formula>1</formula>
    </cfRule>
  </conditionalFormatting>
  <conditionalFormatting sqref="BQ30">
    <cfRule type="top10" dxfId="731" priority="844" rank="10"/>
    <cfRule type="top10" dxfId="730" priority="843" rank="10"/>
  </conditionalFormatting>
  <conditionalFormatting sqref="BQ32">
    <cfRule type="top10" dxfId="729" priority="842" rank="10"/>
  </conditionalFormatting>
  <conditionalFormatting sqref="BQ33 BO33">
    <cfRule type="cellIs" dxfId="728" priority="840" operator="equal">
      <formula>4</formula>
    </cfRule>
    <cfRule type="cellIs" dxfId="727" priority="841" operator="equal">
      <formula>3</formula>
    </cfRule>
  </conditionalFormatting>
  <conditionalFormatting sqref="BQ33">
    <cfRule type="cellIs" dxfId="726" priority="829" operator="equal">
      <formula>3</formula>
    </cfRule>
    <cfRule type="cellIs" dxfId="725" priority="839" operator="equal">
      <formula>1</formula>
    </cfRule>
    <cfRule type="top10" dxfId="724" priority="838" rank="10"/>
    <cfRule type="top10" dxfId="723" priority="836" rank="10"/>
    <cfRule type="cellIs" dxfId="722" priority="835" operator="equal">
      <formula>1</formula>
    </cfRule>
    <cfRule type="cellIs" dxfId="721" priority="834" operator="equal">
      <formula>3</formula>
    </cfRule>
    <cfRule type="cellIs" dxfId="720" priority="837" operator="equal">
      <formula>1</formula>
    </cfRule>
    <cfRule type="cellIs" dxfId="719" priority="833" operator="equal">
      <formula>4</formula>
    </cfRule>
    <cfRule type="top10" dxfId="718" priority="832" rank="10"/>
    <cfRule type="cellIs" dxfId="717" priority="831" operator="equal">
      <formula>1</formula>
    </cfRule>
    <cfRule type="top10" dxfId="716" priority="830" rank="10"/>
    <cfRule type="cellIs" dxfId="715" priority="828" operator="equal">
      <formula>4</formula>
    </cfRule>
  </conditionalFormatting>
  <conditionalFormatting sqref="BQ49">
    <cfRule type="cellIs" dxfId="714" priority="827" operator="equal">
      <formula>1</formula>
    </cfRule>
  </conditionalFormatting>
  <conditionalFormatting sqref="BQ50">
    <cfRule type="cellIs" dxfId="713" priority="826" operator="equal">
      <formula>1</formula>
    </cfRule>
    <cfRule type="cellIs" dxfId="712" priority="825" operator="equal">
      <formula>4</formula>
    </cfRule>
    <cfRule type="cellIs" dxfId="711" priority="824" operator="equal">
      <formula>4</formula>
    </cfRule>
  </conditionalFormatting>
  <conditionalFormatting sqref="BQ52">
    <cfRule type="top10" dxfId="710" priority="823" rank="10"/>
  </conditionalFormatting>
  <conditionalFormatting sqref="BQ18:BR19 BL19">
    <cfRule type="cellIs" dxfId="709" priority="820" operator="equal">
      <formula>4</formula>
    </cfRule>
    <cfRule type="cellIs" dxfId="708" priority="821" operator="equal">
      <formula>4</formula>
    </cfRule>
    <cfRule type="cellIs" dxfId="707" priority="822" operator="equal">
      <formula>1</formula>
    </cfRule>
  </conditionalFormatting>
  <conditionalFormatting sqref="BQ21:BR21 BQ22:BU22 DA22:DB22 BX22:BY23 AE23:AH23 V27:AA27 BJ27:BK27 BP27:BR27 K31 AK33 AA36 BQ38:BR38 V40 CG43:CH43 BE46 G47:H47 J47:K47 BZ47 G48:K48 BZ48:CA48 H49:K49 G49:G50 I50:J50 BE53:BF53 V56 BE56:BF56">
    <cfRule type="cellIs" dxfId="706" priority="819" operator="equal">
      <formula>1</formula>
    </cfRule>
  </conditionalFormatting>
  <conditionalFormatting sqref="BQ28:BR28">
    <cfRule type="top10" dxfId="705" priority="818" rank="10"/>
  </conditionalFormatting>
  <conditionalFormatting sqref="BQ31:BR31 BQ29:BR29">
    <cfRule type="top10" dxfId="704" priority="817" rank="10"/>
  </conditionalFormatting>
  <conditionalFormatting sqref="BQ35:BR36">
    <cfRule type="cellIs" dxfId="703" priority="816" operator="equal">
      <formula>3</formula>
    </cfRule>
    <cfRule type="cellIs" dxfId="702" priority="815" operator="equal">
      <formula>4</formula>
    </cfRule>
  </conditionalFormatting>
  <conditionalFormatting sqref="BQ36:BR36">
    <cfRule type="cellIs" dxfId="701" priority="814" operator="equal">
      <formula>1</formula>
    </cfRule>
  </conditionalFormatting>
  <conditionalFormatting sqref="BQ23:BU23 BU25 BJ26:BU26 BS27:BU27 BQ28:BU29 BQ31:BU32 BT33:BU33 BQ43:BU43 BU44">
    <cfRule type="cellIs" dxfId="700" priority="813" operator="equal">
      <formula>2</formula>
    </cfRule>
  </conditionalFormatting>
  <conditionalFormatting sqref="BQ17:DC17 CC18 O19:S20 I20:N20 CG22:CW22 CG51:CW51 G57:H57">
    <cfRule type="cellIs" dxfId="699" priority="811" operator="equal">
      <formula>1</formula>
    </cfRule>
  </conditionalFormatting>
  <conditionalFormatting sqref="BR32">
    <cfRule type="top10" dxfId="698" priority="810" rank="10"/>
  </conditionalFormatting>
  <conditionalFormatting sqref="BR36">
    <cfRule type="top10" dxfId="697" priority="809" rank="10"/>
    <cfRule type="cellIs" dxfId="696" priority="808" operator="equal">
      <formula>1</formula>
    </cfRule>
    <cfRule type="top10" dxfId="695" priority="807" rank="10"/>
  </conditionalFormatting>
  <conditionalFormatting sqref="BR37">
    <cfRule type="top10" dxfId="694" priority="803" rank="10"/>
    <cfRule type="cellIs" dxfId="693" priority="804" operator="equal">
      <formula>1</formula>
    </cfRule>
    <cfRule type="top10" dxfId="692" priority="805" rank="10"/>
    <cfRule type="cellIs" dxfId="691" priority="806" operator="equal">
      <formula>1</formula>
    </cfRule>
  </conditionalFormatting>
  <conditionalFormatting sqref="BR40:BR47">
    <cfRule type="top10" dxfId="690" priority="802" rank="10"/>
  </conditionalFormatting>
  <conditionalFormatting sqref="BR52">
    <cfRule type="top10" dxfId="689" priority="800" rank="10"/>
    <cfRule type="top10" dxfId="688" priority="801" rank="10"/>
  </conditionalFormatting>
  <conditionalFormatting sqref="BS30">
    <cfRule type="cellIs" dxfId="687" priority="799" operator="equal">
      <formula>2</formula>
    </cfRule>
  </conditionalFormatting>
  <conditionalFormatting sqref="BS38">
    <cfRule type="top10" dxfId="686" priority="797" rank="10"/>
    <cfRule type="cellIs" dxfId="685" priority="798" operator="equal">
      <formula>1</formula>
    </cfRule>
  </conditionalFormatting>
  <conditionalFormatting sqref="BS38:BS39">
    <cfRule type="cellIs" dxfId="684" priority="794" operator="equal">
      <formula>4</formula>
    </cfRule>
    <cfRule type="cellIs" dxfId="683" priority="795" operator="equal">
      <formula>3</formula>
    </cfRule>
    <cfRule type="cellIs" dxfId="682" priority="796" operator="equal">
      <formula>2</formula>
    </cfRule>
  </conditionalFormatting>
  <conditionalFormatting sqref="BS39">
    <cfRule type="cellIs" dxfId="681" priority="788" operator="equal">
      <formula>3</formula>
    </cfRule>
    <cfRule type="top10" dxfId="680" priority="784" rank="10"/>
    <cfRule type="cellIs" dxfId="679" priority="789" operator="equal">
      <formula>1</formula>
    </cfRule>
    <cfRule type="top10" dxfId="678" priority="790" rank="10"/>
    <cfRule type="cellIs" dxfId="677" priority="791" operator="equal">
      <formula>1</formula>
    </cfRule>
    <cfRule type="top10" dxfId="676" priority="792" rank="10"/>
    <cfRule type="cellIs" dxfId="675" priority="793" operator="equal">
      <formula>1</formula>
    </cfRule>
    <cfRule type="cellIs" dxfId="674" priority="782" operator="equal">
      <formula>4</formula>
    </cfRule>
    <cfRule type="cellIs" dxfId="673" priority="783" operator="equal">
      <formula>3</formula>
    </cfRule>
    <cfRule type="cellIs" dxfId="672" priority="785" operator="equal">
      <formula>1</formula>
    </cfRule>
    <cfRule type="top10" dxfId="671" priority="786" rank="10"/>
    <cfRule type="cellIs" dxfId="670" priority="787" operator="equal">
      <formula>4</formula>
    </cfRule>
  </conditionalFormatting>
  <conditionalFormatting sqref="BS49">
    <cfRule type="top10" dxfId="669" priority="770" rank="10"/>
    <cfRule type="cellIs" dxfId="668" priority="781" operator="equal">
      <formula>1</formula>
    </cfRule>
    <cfRule type="top10" dxfId="667" priority="780" rank="10"/>
    <cfRule type="cellIs" dxfId="666" priority="779" operator="equal">
      <formula>1</formula>
    </cfRule>
    <cfRule type="cellIs" dxfId="665" priority="778" operator="equal">
      <formula>3</formula>
    </cfRule>
    <cfRule type="cellIs" dxfId="664" priority="777" operator="equal">
      <formula>4</formula>
    </cfRule>
    <cfRule type="top10" dxfId="663" priority="776" rank="10"/>
    <cfRule type="cellIs" dxfId="662" priority="775" operator="equal">
      <formula>1</formula>
    </cfRule>
    <cfRule type="cellIs" dxfId="661" priority="774" operator="equal">
      <formula>3</formula>
    </cfRule>
    <cfRule type="cellIs" dxfId="660" priority="773" operator="equal">
      <formula>4</formula>
    </cfRule>
    <cfRule type="top10" dxfId="659" priority="772" rank="10"/>
    <cfRule type="cellIs" dxfId="658" priority="771" operator="equal">
      <formula>1</formula>
    </cfRule>
  </conditionalFormatting>
  <conditionalFormatting sqref="BS49:BS50">
    <cfRule type="cellIs" dxfId="657" priority="769" operator="equal">
      <formula>2</formula>
    </cfRule>
    <cfRule type="cellIs" dxfId="656" priority="768" operator="equal">
      <formula>3</formula>
    </cfRule>
    <cfRule type="cellIs" dxfId="655" priority="767" operator="equal">
      <formula>4</formula>
    </cfRule>
  </conditionalFormatting>
  <conditionalFormatting sqref="BS50">
    <cfRule type="cellIs" dxfId="654" priority="762" operator="equal">
      <formula>1</formula>
    </cfRule>
    <cfRule type="top10" dxfId="653" priority="757" rank="10"/>
    <cfRule type="cellIs" dxfId="652" priority="761" operator="equal">
      <formula>3</formula>
    </cfRule>
    <cfRule type="cellIs" dxfId="651" priority="758" operator="equal">
      <formula>1</formula>
    </cfRule>
    <cfRule type="top10" dxfId="650" priority="759" rank="10"/>
    <cfRule type="cellIs" dxfId="649" priority="760" operator="equal">
      <formula>4</formula>
    </cfRule>
    <cfRule type="cellIs" dxfId="648" priority="766" operator="equal">
      <formula>1</formula>
    </cfRule>
    <cfRule type="top10" dxfId="647" priority="765" rank="10"/>
    <cfRule type="cellIs" dxfId="646" priority="764" operator="equal">
      <formula>1</formula>
    </cfRule>
    <cfRule type="top10" dxfId="645" priority="763" rank="10"/>
  </conditionalFormatting>
  <conditionalFormatting sqref="BS52">
    <cfRule type="top10" dxfId="644" priority="755" rank="10"/>
    <cfRule type="top10" dxfId="643" priority="756" rank="10"/>
  </conditionalFormatting>
  <conditionalFormatting sqref="BS37:BT37">
    <cfRule type="top10" dxfId="642" priority="754" rank="10"/>
  </conditionalFormatting>
  <conditionalFormatting sqref="BS44:BT44">
    <cfRule type="cellIs" dxfId="641" priority="751" operator="equal">
      <formula>4</formula>
    </cfRule>
    <cfRule type="cellIs" dxfId="640" priority="752" operator="equal">
      <formula>4</formula>
    </cfRule>
    <cfRule type="cellIs" dxfId="639" priority="753" operator="equal">
      <formula>1</formula>
    </cfRule>
  </conditionalFormatting>
  <conditionalFormatting sqref="BS45:BT47 BU40:BU41 BU44:BU47 BS40:BT42 BS43:BU43">
    <cfRule type="top10" dxfId="638" priority="750" rank="10"/>
  </conditionalFormatting>
  <conditionalFormatting sqref="BS18:BU21 BT38:BU38 BU42 J57:DU57">
    <cfRule type="cellIs" dxfId="637" priority="749" operator="equal">
      <formula>1</formula>
    </cfRule>
  </conditionalFormatting>
  <conditionalFormatting sqref="BS18:BU21 DE22:DG22 BT38:BU38 BU42 J57:DU57">
    <cfRule type="cellIs" dxfId="636" priority="747" operator="equal">
      <formula>4</formula>
    </cfRule>
    <cfRule type="cellIs" dxfId="635" priority="748" operator="equal">
      <formula>4</formula>
    </cfRule>
  </conditionalFormatting>
  <conditionalFormatting sqref="BS23:BU23">
    <cfRule type="top10" dxfId="634" priority="746" rank="10"/>
  </conditionalFormatting>
  <conditionalFormatting sqref="BS28:BU28">
    <cfRule type="top10" dxfId="633" priority="745" rank="10"/>
  </conditionalFormatting>
  <conditionalFormatting sqref="BS39:BU39">
    <cfRule type="top10" dxfId="632" priority="744" rank="10"/>
  </conditionalFormatting>
  <conditionalFormatting sqref="BS48:BU48">
    <cfRule type="top10" dxfId="631" priority="743" rank="10"/>
  </conditionalFormatting>
  <conditionalFormatting sqref="BT30">
    <cfRule type="top10" dxfId="630" priority="742" rank="10"/>
  </conditionalFormatting>
  <conditionalFormatting sqref="BT52">
    <cfRule type="top10" dxfId="629" priority="741" rank="10"/>
  </conditionalFormatting>
  <conditionalFormatting sqref="BT33:BU33 BU25 BS26:BU27 BS29:BU29 BS34:BU36 BS31:BU32">
    <cfRule type="top10" dxfId="628" priority="740" rank="10"/>
  </conditionalFormatting>
  <conditionalFormatting sqref="BU37">
    <cfRule type="top10" dxfId="627" priority="739" rank="10"/>
  </conditionalFormatting>
  <conditionalFormatting sqref="BU49:BU50 BS49:BT51">
    <cfRule type="top10" dxfId="626" priority="738" rank="10"/>
  </conditionalFormatting>
  <conditionalFormatting sqref="BU50">
    <cfRule type="top10" dxfId="625" priority="734" rank="10"/>
    <cfRule type="cellIs" dxfId="624" priority="726" operator="equal">
      <formula>4</formula>
    </cfRule>
    <cfRule type="top10" dxfId="623" priority="728" rank="10"/>
    <cfRule type="cellIs" dxfId="622" priority="729" operator="equal">
      <formula>1</formula>
    </cfRule>
    <cfRule type="top10" dxfId="621" priority="730" rank="10"/>
    <cfRule type="cellIs" dxfId="620" priority="731" operator="equal">
      <formula>4</formula>
    </cfRule>
    <cfRule type="cellIs" dxfId="619" priority="732" operator="equal">
      <formula>3</formula>
    </cfRule>
    <cfRule type="cellIs" dxfId="618" priority="733" operator="equal">
      <formula>1</formula>
    </cfRule>
    <cfRule type="cellIs" dxfId="617" priority="727" operator="equal">
      <formula>3</formula>
    </cfRule>
    <cfRule type="cellIs" dxfId="616" priority="737" operator="equal">
      <formula>2</formula>
    </cfRule>
    <cfRule type="top10" dxfId="615" priority="736" rank="10"/>
    <cfRule type="cellIs" dxfId="614" priority="735" operator="equal">
      <formula>1</formula>
    </cfRule>
  </conditionalFormatting>
  <conditionalFormatting sqref="BU51">
    <cfRule type="top10" dxfId="613" priority="725" rank="10"/>
  </conditionalFormatting>
  <conditionalFormatting sqref="BU52">
    <cfRule type="top10" dxfId="612" priority="724" rank="10"/>
  </conditionalFormatting>
  <conditionalFormatting sqref="BV52:BW52">
    <cfRule type="top10" dxfId="611" priority="723" rank="10"/>
  </conditionalFormatting>
  <conditionalFormatting sqref="BV18:BY23 BM25:BP25 W25:Z26 AE25:AP27 BV25:BY29 G48:K48 DA18:DB18 G22:I22 J53:J56 BQ17:DD17 BQ21:BR21 CG22:CW22 DA22:DB22 AE23:AH23 V27:AA27 BJ27:BK27 BP27:BR27 K31 AK33 AA36 BQ38:BR38 V40 CG43:CH43 BE46 G47:H47 J47:K47 BZ47 BZ48:CA48 H49:K49 G49:G50 I50:J50 CG51:CW51 L53:U56 W53:Z56 V56 BE56:BF56">
    <cfRule type="cellIs" dxfId="610" priority="688" operator="equal">
      <formula>4</formula>
    </cfRule>
  </conditionalFormatting>
  <conditionalFormatting sqref="BW30:BX30">
    <cfRule type="top10" dxfId="609" priority="722" rank="10"/>
  </conditionalFormatting>
  <conditionalFormatting sqref="BW30:BY30">
    <cfRule type="top10" dxfId="608" priority="721" rank="10"/>
  </conditionalFormatting>
  <conditionalFormatting sqref="BX18:BX21">
    <cfRule type="cellIs" dxfId="607" priority="719" operator="equal">
      <formula>4</formula>
    </cfRule>
    <cfRule type="cellIs" dxfId="606" priority="720" operator="equal">
      <formula>1</formula>
    </cfRule>
  </conditionalFormatting>
  <conditionalFormatting sqref="BX36">
    <cfRule type="cellIs" dxfId="605" priority="714" operator="equal">
      <formula>2</formula>
    </cfRule>
    <cfRule type="top10" dxfId="604" priority="715" rank="10"/>
    <cfRule type="cellIs" dxfId="603" priority="716" operator="equal">
      <formula>3</formula>
    </cfRule>
    <cfRule type="cellIs" dxfId="602" priority="717" operator="equal">
      <formula>4</formula>
    </cfRule>
    <cfRule type="cellIs" dxfId="601" priority="718" operator="equal">
      <formula>1</formula>
    </cfRule>
  </conditionalFormatting>
  <conditionalFormatting sqref="BX52 BZ52">
    <cfRule type="top10" dxfId="600" priority="713" rank="10"/>
  </conditionalFormatting>
  <conditionalFormatting sqref="BX52">
    <cfRule type="cellIs" dxfId="599" priority="695" operator="equal">
      <formula>1</formula>
    </cfRule>
    <cfRule type="top10" dxfId="598" priority="694" rank="10"/>
    <cfRule type="cellIs" dxfId="597" priority="693" operator="equal">
      <formula>1</formula>
    </cfRule>
    <cfRule type="top10" dxfId="596" priority="692" rank="10"/>
    <cfRule type="cellIs" dxfId="595" priority="712" operator="equal">
      <formula>1</formula>
    </cfRule>
    <cfRule type="top10" dxfId="594" priority="711" rank="10"/>
    <cfRule type="cellIs" dxfId="593" priority="710" operator="equal">
      <formula>3</formula>
    </cfRule>
    <cfRule type="cellIs" dxfId="592" priority="709" operator="equal">
      <formula>4</formula>
    </cfRule>
    <cfRule type="cellIs" dxfId="591" priority="708" operator="equal">
      <formula>1</formula>
    </cfRule>
    <cfRule type="top10" dxfId="590" priority="707" rank="10"/>
    <cfRule type="cellIs" dxfId="589" priority="706" operator="equal">
      <formula>3</formula>
    </cfRule>
    <cfRule type="cellIs" dxfId="588" priority="705" operator="equal">
      <formula>4</formula>
    </cfRule>
    <cfRule type="cellIs" dxfId="587" priority="704" operator="equal">
      <formula>1</formula>
    </cfRule>
    <cfRule type="top10" dxfId="586" priority="703" rank="10"/>
    <cfRule type="cellIs" dxfId="585" priority="702" operator="equal">
      <formula>1</formula>
    </cfRule>
    <cfRule type="top10" dxfId="584" priority="701" rank="10"/>
    <cfRule type="cellIs" dxfId="583" priority="700" operator="equal">
      <formula>3</formula>
    </cfRule>
    <cfRule type="cellIs" dxfId="582" priority="699" operator="equal">
      <formula>4</formula>
    </cfRule>
    <cfRule type="cellIs" dxfId="581" priority="697" operator="equal">
      <formula>1</formula>
    </cfRule>
    <cfRule type="top10" dxfId="580" priority="696" rank="10"/>
  </conditionalFormatting>
  <conditionalFormatting sqref="BY30">
    <cfRule type="top10" dxfId="579" priority="690" rank="10"/>
  </conditionalFormatting>
  <conditionalFormatting sqref="BY52">
    <cfRule type="top10" dxfId="578" priority="689" rank="10"/>
  </conditionalFormatting>
  <conditionalFormatting sqref="BZ30 CH30">
    <cfRule type="top10" dxfId="577" priority="687" rank="10"/>
  </conditionalFormatting>
  <conditionalFormatting sqref="BZ31:BZ32 BZ26:CA27 BZ29 CB25:CC27 CA36:CC36 CA25 BZ33:CC35 CB29">
    <cfRule type="top10" dxfId="576" priority="686" rank="10"/>
  </conditionalFormatting>
  <conditionalFormatting sqref="BZ45">
    <cfRule type="cellIs" dxfId="575" priority="683" operator="equal">
      <formula>4</formula>
    </cfRule>
    <cfRule type="cellIs" dxfId="574" priority="684" operator="equal">
      <formula>4</formula>
    </cfRule>
    <cfRule type="cellIs" dxfId="573" priority="685" operator="equal">
      <formula>1</formula>
    </cfRule>
  </conditionalFormatting>
  <conditionalFormatting sqref="BZ49">
    <cfRule type="cellIs" dxfId="572" priority="680" operator="equal">
      <formula>4</formula>
    </cfRule>
    <cfRule type="cellIs" dxfId="571" priority="681" operator="equal">
      <formula>4</formula>
    </cfRule>
    <cfRule type="cellIs" dxfId="570" priority="682" operator="equal">
      <formula>1</formula>
    </cfRule>
  </conditionalFormatting>
  <conditionalFormatting sqref="BZ52">
    <cfRule type="cellIs" dxfId="569" priority="663" operator="equal">
      <formula>1</formula>
    </cfRule>
    <cfRule type="top10" dxfId="568" priority="664" rank="10"/>
    <cfRule type="cellIs" dxfId="567" priority="665" operator="equal">
      <formula>1</formula>
    </cfRule>
    <cfRule type="cellIs" dxfId="566" priority="666" operator="equal">
      <formula>4</formula>
    </cfRule>
    <cfRule type="cellIs" dxfId="565" priority="667" operator="equal">
      <formula>3</formula>
    </cfRule>
    <cfRule type="cellIs" dxfId="564" priority="669" operator="equal">
      <formula>1</formula>
    </cfRule>
    <cfRule type="cellIs" dxfId="563" priority="679" operator="equal">
      <formula>1</formula>
    </cfRule>
    <cfRule type="top10" dxfId="562" priority="670" rank="10"/>
    <cfRule type="cellIs" dxfId="561" priority="672" operator="equal">
      <formula>4</formula>
    </cfRule>
    <cfRule type="cellIs" dxfId="560" priority="673" operator="equal">
      <formula>3</formula>
    </cfRule>
    <cfRule type="top10" dxfId="559" priority="674" rank="10"/>
    <cfRule type="cellIs" dxfId="558" priority="675" operator="equal">
      <formula>1</formula>
    </cfRule>
    <cfRule type="cellIs" dxfId="557" priority="671" operator="equal">
      <formula>1</formula>
    </cfRule>
    <cfRule type="cellIs" dxfId="556" priority="676" operator="equal">
      <formula>4</formula>
    </cfRule>
    <cfRule type="cellIs" dxfId="555" priority="677" operator="equal">
      <formula>3</formula>
    </cfRule>
    <cfRule type="top10" dxfId="554" priority="668" rank="10"/>
    <cfRule type="top10" dxfId="553" priority="678" rank="10"/>
    <cfRule type="top10" dxfId="552" priority="660" rank="10"/>
    <cfRule type="cellIs" dxfId="551" priority="661" operator="equal">
      <formula>1</formula>
    </cfRule>
    <cfRule type="top10" dxfId="550" priority="662" rank="10"/>
  </conditionalFormatting>
  <conditionalFormatting sqref="BZ18:CC22 BV18:BW23 CD18:CF23 AD19:AH22 T19:Z23 AK20:AL22 AI20:AJ23 DH21:DI22 L21:S23 BP25 X25:Z26 AI25:AJ26 L25:U27 BH25:BI27 BV25:BW27 CD25:CF27 CZ25:CZ27 L29:U29 W29:Z29 BH29:BI29 CD29:CF29 CZ29 DC29:DD29 BX33:BX35 BF36:BG36 K40 BZ42:BZ43 P44:U51 J48 BM50:BO51 J51 AB53:AC56 AM53:AP56 AS53:BD56 BH53:BI56 BM53:BN56 BV53:BY56 CE53:CE56 CZ53:CZ56 DC53:DD56 G58:DU65">
    <cfRule type="cellIs" dxfId="549" priority="658" operator="equal">
      <formula>4</formula>
    </cfRule>
  </conditionalFormatting>
  <conditionalFormatting sqref="BZ23:CC23">
    <cfRule type="top10" dxfId="548" priority="657" rank="10"/>
  </conditionalFormatting>
  <conditionalFormatting sqref="BZ37:CC37">
    <cfRule type="top10" dxfId="547" priority="656" rank="10"/>
  </conditionalFormatting>
  <conditionalFormatting sqref="BZ38:CC38 BV51:CC51">
    <cfRule type="cellIs" dxfId="546" priority="655" operator="equal">
      <formula>1</formula>
    </cfRule>
    <cfRule type="cellIs" dxfId="545" priority="654" operator="equal">
      <formula>4</formula>
    </cfRule>
  </conditionalFormatting>
  <conditionalFormatting sqref="BZ38:CC38 BZ51:CC51">
    <cfRule type="cellIs" dxfId="544" priority="653" operator="equal">
      <formula>4</formula>
    </cfRule>
  </conditionalFormatting>
  <conditionalFormatting sqref="BZ39:CC39">
    <cfRule type="top10" dxfId="543" priority="652" rank="10"/>
  </conditionalFormatting>
  <conditionalFormatting sqref="BZ46:CC46">
    <cfRule type="cellIs" dxfId="542" priority="651" operator="equal">
      <formula>1</formula>
    </cfRule>
    <cfRule type="cellIs" dxfId="541" priority="650" operator="equal">
      <formula>2</formula>
    </cfRule>
  </conditionalFormatting>
  <conditionalFormatting sqref="BZ30:CG30 BU30:BV30">
    <cfRule type="cellIs" dxfId="540" priority="649" operator="equal">
      <formula>1</formula>
    </cfRule>
  </conditionalFormatting>
  <conditionalFormatting sqref="CA28">
    <cfRule type="top10" dxfId="539" priority="648" rank="10"/>
  </conditionalFormatting>
  <conditionalFormatting sqref="CA31:CA32 CA29">
    <cfRule type="top10" dxfId="538" priority="647" rank="10"/>
  </conditionalFormatting>
  <conditionalFormatting sqref="CA52">
    <cfRule type="top10" dxfId="537" priority="646" rank="10"/>
  </conditionalFormatting>
  <conditionalFormatting sqref="CA47:CC47 BZ40:CC41 BZ46:CC46 CA45:CC45 BZ44:CC44 CA42:CC43">
    <cfRule type="top10" dxfId="536" priority="645" rank="10"/>
  </conditionalFormatting>
  <conditionalFormatting sqref="CA49:CC50 BZ50">
    <cfRule type="top10" dxfId="535" priority="644" rank="10"/>
  </conditionalFormatting>
  <conditionalFormatting sqref="CB28">
    <cfRule type="top10" dxfId="534" priority="643" rank="10"/>
  </conditionalFormatting>
  <conditionalFormatting sqref="CB30:CC30">
    <cfRule type="cellIs" dxfId="533" priority="642" operator="equal">
      <formula>2</formula>
    </cfRule>
  </conditionalFormatting>
  <conditionalFormatting sqref="CB31:CC32 CC29">
    <cfRule type="top10" dxfId="532" priority="641" rank="10"/>
  </conditionalFormatting>
  <conditionalFormatting sqref="CB48:CC48 BZ46:CC46">
    <cfRule type="cellIs" dxfId="531" priority="639" operator="equal">
      <formula>4</formula>
    </cfRule>
    <cfRule type="cellIs" dxfId="530" priority="640" operator="equal">
      <formula>3</formula>
    </cfRule>
  </conditionalFormatting>
  <conditionalFormatting sqref="CB48:CC48">
    <cfRule type="top10" dxfId="529" priority="638" rank="10"/>
  </conditionalFormatting>
  <conditionalFormatting sqref="CB52:CD52">
    <cfRule type="top10" dxfId="528" priority="637" rank="10"/>
  </conditionalFormatting>
  <conditionalFormatting sqref="CC30 CA30">
    <cfRule type="top10" dxfId="527" priority="636" rank="10"/>
  </conditionalFormatting>
  <conditionalFormatting sqref="CD30:CG30 CB30 BU30:BV30">
    <cfRule type="top10" dxfId="526" priority="635" rank="10"/>
  </conditionalFormatting>
  <conditionalFormatting sqref="CE52:CG52">
    <cfRule type="top10" dxfId="525" priority="634" rank="10"/>
  </conditionalFormatting>
  <conditionalFormatting sqref="CG23:CH23">
    <cfRule type="top10" dxfId="524" priority="633" rank="10"/>
  </conditionalFormatting>
  <conditionalFormatting sqref="CG35:CH36 CG32 CG25:CH27 CG34 CG33:CH33">
    <cfRule type="top10" dxfId="523" priority="632" rank="10"/>
  </conditionalFormatting>
  <conditionalFormatting sqref="CG37:CH37">
    <cfRule type="top10" dxfId="522" priority="631" rank="10"/>
  </conditionalFormatting>
  <conditionalFormatting sqref="CG39:CH39">
    <cfRule type="top10" dxfId="521" priority="630" rank="10"/>
  </conditionalFormatting>
  <conditionalFormatting sqref="CG49:CH50">
    <cfRule type="top10" dxfId="520" priority="629" rank="10"/>
  </conditionalFormatting>
  <conditionalFormatting sqref="CG41:CN42 BQ42:BT42 BQ44:BR44 CG44:CM44 CV44:CY44 CG46:CM46 CW46:CY46 CQ46:CQ47 BE47 BG47 BE48:BG48 H50">
    <cfRule type="cellIs" dxfId="519" priority="628" operator="equal">
      <formula>2</formula>
    </cfRule>
  </conditionalFormatting>
  <conditionalFormatting sqref="CG42:CN42 CM41:CN41 CR41 CR39:CT39 CV44:CY44 DO18:DR18 DS48:DT48">
    <cfRule type="cellIs" dxfId="518" priority="627" operator="equal">
      <formula>4</formula>
    </cfRule>
  </conditionalFormatting>
  <conditionalFormatting sqref="CG18:CU21">
    <cfRule type="cellIs" dxfId="517" priority="626" operator="equal">
      <formula>4</formula>
    </cfRule>
    <cfRule type="cellIs" dxfId="516" priority="625" operator="equal">
      <formula>4</formula>
    </cfRule>
    <cfRule type="cellIs" dxfId="515" priority="624" operator="equal">
      <formula>1</formula>
    </cfRule>
  </conditionalFormatting>
  <conditionalFormatting sqref="CH28">
    <cfRule type="top10" dxfId="514" priority="623" rank="10"/>
  </conditionalFormatting>
  <conditionalFormatting sqref="CH34 CG29:CH29 CG31:CH31 CH32">
    <cfRule type="top10" dxfId="513" priority="622" rank="10"/>
  </conditionalFormatting>
  <conditionalFormatting sqref="CH45 CG40:CH42 CG44:CH44 CG46:CH47">
    <cfRule type="top10" dxfId="512" priority="621" rank="10"/>
  </conditionalFormatting>
  <conditionalFormatting sqref="CH48">
    <cfRule type="top10" dxfId="511" priority="620" rank="10"/>
  </conditionalFormatting>
  <conditionalFormatting sqref="CH52">
    <cfRule type="top10" dxfId="510" priority="619" rank="10"/>
  </conditionalFormatting>
  <conditionalFormatting sqref="CH45:CR45">
    <cfRule type="cellIs" dxfId="509" priority="617" operator="equal">
      <formula>1</formula>
    </cfRule>
  </conditionalFormatting>
  <conditionalFormatting sqref="CH30:CW30">
    <cfRule type="cellIs" dxfId="508" priority="618" operator="equal">
      <formula>1</formula>
    </cfRule>
  </conditionalFormatting>
  <conditionalFormatting sqref="CH45:CY45">
    <cfRule type="cellIs" dxfId="507" priority="616" operator="equal">
      <formula>2</formula>
    </cfRule>
  </conditionalFormatting>
  <conditionalFormatting sqref="CI30">
    <cfRule type="top10" dxfId="506" priority="615" rank="10"/>
  </conditionalFormatting>
  <conditionalFormatting sqref="CI52">
    <cfRule type="top10" dxfId="505" priority="614" rank="10"/>
  </conditionalFormatting>
  <conditionalFormatting sqref="CI23:CJ23">
    <cfRule type="top10" dxfId="504" priority="607" rank="10"/>
    <cfRule type="cellIs" dxfId="503" priority="608" operator="equal">
      <formula>1</formula>
    </cfRule>
    <cfRule type="top10" dxfId="502" priority="609" rank="10"/>
    <cfRule type="top10" dxfId="501" priority="610" rank="10"/>
    <cfRule type="cellIs" dxfId="500" priority="611" operator="equal">
      <formula>1</formula>
    </cfRule>
    <cfRule type="cellIs" dxfId="499" priority="612" operator="equal">
      <formula>4</formula>
    </cfRule>
    <cfRule type="cellIs" dxfId="498" priority="613" operator="equal">
      <formula>3</formula>
    </cfRule>
    <cfRule type="cellIs" dxfId="497" priority="605" operator="equal">
      <formula>4</formula>
    </cfRule>
    <cfRule type="cellIs" dxfId="496" priority="606" operator="equal">
      <formula>3</formula>
    </cfRule>
  </conditionalFormatting>
  <conditionalFormatting sqref="CI25:CJ27 CI29:CJ29 CI31:CJ37">
    <cfRule type="top10" dxfId="495" priority="604" rank="10"/>
  </conditionalFormatting>
  <conditionalFormatting sqref="CI28:CJ28">
    <cfRule type="top10" dxfId="494" priority="603" rank="10"/>
  </conditionalFormatting>
  <conditionalFormatting sqref="CI47:CJ47 CL47 CI40:CL46">
    <cfRule type="top10" dxfId="493" priority="602" rank="10"/>
  </conditionalFormatting>
  <conditionalFormatting sqref="CI48:CJ48 CL48">
    <cfRule type="top10" dxfId="492" priority="601" rank="10"/>
  </conditionalFormatting>
  <conditionalFormatting sqref="CI49:CJ50 CL49:CL50 CK50">
    <cfRule type="top10" dxfId="491" priority="600" rank="10"/>
  </conditionalFormatting>
  <conditionalFormatting sqref="CI30:CL30 CV30">
    <cfRule type="top10" dxfId="490" priority="599" rank="10"/>
  </conditionalFormatting>
  <conditionalFormatting sqref="CI30:CL30">
    <cfRule type="cellIs" dxfId="489" priority="597" operator="equal">
      <formula>2</formula>
    </cfRule>
    <cfRule type="cellIs" dxfId="488" priority="598" operator="equal">
      <formula>3</formula>
    </cfRule>
  </conditionalFormatting>
  <conditionalFormatting sqref="CI39:CL39">
    <cfRule type="top10" dxfId="487" priority="596" rank="10"/>
  </conditionalFormatting>
  <conditionalFormatting sqref="CJ38">
    <cfRule type="cellIs" dxfId="486" priority="594" operator="equal">
      <formula>4</formula>
    </cfRule>
    <cfRule type="cellIs" dxfId="485" priority="595" operator="equal">
      <formula>3</formula>
    </cfRule>
    <cfRule type="top10" dxfId="484" priority="593" rank="10"/>
    <cfRule type="cellIs" dxfId="483" priority="592" operator="equal">
      <formula>2</formula>
    </cfRule>
  </conditionalFormatting>
  <conditionalFormatting sqref="CJ52:CK52">
    <cfRule type="top10" dxfId="482" priority="591" rank="10"/>
    <cfRule type="top10" dxfId="481" priority="590" rank="10"/>
  </conditionalFormatting>
  <conditionalFormatting sqref="CJ30:CL30 CV30:CW30">
    <cfRule type="top10" dxfId="480" priority="589" rank="10"/>
  </conditionalFormatting>
  <conditionalFormatting sqref="CK37">
    <cfRule type="top10" dxfId="479" priority="588" rank="10"/>
  </conditionalFormatting>
  <conditionalFormatting sqref="CK38">
    <cfRule type="cellIs" dxfId="478" priority="587" operator="equal">
      <formula>1</formula>
    </cfRule>
    <cfRule type="cellIs" dxfId="477" priority="586" operator="equal">
      <formula>4</formula>
    </cfRule>
    <cfRule type="cellIs" dxfId="476" priority="585" operator="equal">
      <formula>4</formula>
    </cfRule>
  </conditionalFormatting>
  <conditionalFormatting sqref="CK39">
    <cfRule type="cellIs" dxfId="475" priority="584" operator="equal">
      <formula>1</formula>
    </cfRule>
    <cfRule type="top10" dxfId="474" priority="583" rank="10"/>
    <cfRule type="cellIs" dxfId="473" priority="581" operator="equal">
      <formula>4</formula>
    </cfRule>
    <cfRule type="cellIs" dxfId="472" priority="582" operator="equal">
      <formula>3</formula>
    </cfRule>
  </conditionalFormatting>
  <conditionalFormatting sqref="CK47:CK49">
    <cfRule type="cellIs" dxfId="471" priority="580" operator="equal">
      <formula>1</formula>
    </cfRule>
    <cfRule type="cellIs" dxfId="470" priority="579" operator="equal">
      <formula>4</formula>
    </cfRule>
    <cfRule type="cellIs" dxfId="469" priority="578" operator="equal">
      <formula>4</formula>
    </cfRule>
  </conditionalFormatting>
  <conditionalFormatting sqref="CK50">
    <cfRule type="cellIs" dxfId="468" priority="577" operator="equal">
      <formula>2</formula>
    </cfRule>
  </conditionalFormatting>
  <conditionalFormatting sqref="CK23:CL23">
    <cfRule type="top10" dxfId="467" priority="576" rank="10"/>
  </conditionalFormatting>
  <conditionalFormatting sqref="CK28:CL28">
    <cfRule type="top10" dxfId="466" priority="575" rank="10"/>
  </conditionalFormatting>
  <conditionalFormatting sqref="CL37 CK25:CL27 CK29:CL29 CK31:CL36">
    <cfRule type="top10" dxfId="465" priority="574" rank="10"/>
  </conditionalFormatting>
  <conditionalFormatting sqref="CL38">
    <cfRule type="top10" dxfId="464" priority="573" rank="10"/>
  </conditionalFormatting>
  <conditionalFormatting sqref="CL52:CM52">
    <cfRule type="top10" dxfId="463" priority="572" rank="10"/>
  </conditionalFormatting>
  <conditionalFormatting sqref="CL23:CY23 CG25:CU27 CV26:CY27 CY25 CJ38">
    <cfRule type="cellIs" dxfId="462" priority="571" operator="equal">
      <formula>1</formula>
    </cfRule>
  </conditionalFormatting>
  <conditionalFormatting sqref="CM30">
    <cfRule type="cellIs" dxfId="461" priority="563" operator="equal">
      <formula>3</formula>
    </cfRule>
    <cfRule type="top10" dxfId="460" priority="561" rank="10"/>
    <cfRule type="top10" dxfId="459" priority="560" rank="10"/>
    <cfRule type="cellIs" dxfId="458" priority="559" operator="equal">
      <formula>4</formula>
    </cfRule>
    <cfRule type="cellIs" dxfId="457" priority="558" operator="equal">
      <formula>1</formula>
    </cfRule>
    <cfRule type="cellIs" dxfId="456" priority="562" operator="equal">
      <formula>4</formula>
    </cfRule>
    <cfRule type="top10" dxfId="455" priority="564" rank="10"/>
    <cfRule type="cellIs" dxfId="454" priority="565" operator="equal">
      <formula>1</formula>
    </cfRule>
    <cfRule type="cellIs" dxfId="453" priority="566" operator="equal">
      <formula>4</formula>
    </cfRule>
    <cfRule type="top10" dxfId="452" priority="568" rank="10"/>
    <cfRule type="top10" dxfId="451" priority="569" rank="10"/>
    <cfRule type="top10" dxfId="450" priority="570" rank="10"/>
    <cfRule type="cellIs" dxfId="449" priority="567" operator="equal">
      <formula>3</formula>
    </cfRule>
  </conditionalFormatting>
  <conditionalFormatting sqref="CM39">
    <cfRule type="top10" dxfId="448" priority="557" rank="10"/>
  </conditionalFormatting>
  <conditionalFormatting sqref="CM44:CM47 CN45 CQ45:CQ47 CR41 CU40 CR45 CU45:CU47 CM40:CQ40 CM41:CN42">
    <cfRule type="top10" dxfId="447" priority="556" rank="10"/>
  </conditionalFormatting>
  <conditionalFormatting sqref="CM46:CM47">
    <cfRule type="cellIs" dxfId="446" priority="555" operator="equal">
      <formula>1</formula>
    </cfRule>
  </conditionalFormatting>
  <conditionalFormatting sqref="CM121">
    <cfRule type="containsText" dxfId="445" priority="34" operator="containsText" text="4">
      <formula>NOT(ISERROR(SEARCH("4",CM121)))</formula>
    </cfRule>
    <cfRule type="containsText" dxfId="444" priority="33" operator="containsText" text="3">
      <formula>NOT(ISERROR(SEARCH("3",CM121)))</formula>
    </cfRule>
    <cfRule type="cellIs" dxfId="443" priority="32" operator="lessThan">
      <formula>2</formula>
    </cfRule>
    <cfRule type="cellIs" dxfId="442" priority="31" operator="lessThan">
      <formula>1</formula>
    </cfRule>
    <cfRule type="cellIs" dxfId="441" priority="30" operator="lessThan">
      <formula>1</formula>
    </cfRule>
    <cfRule type="containsText" dxfId="440" priority="29" operator="containsText" text="2">
      <formula>NOT(ISERROR(SEARCH("2",CM121)))</formula>
    </cfRule>
    <cfRule type="containsText" dxfId="439" priority="28" operator="containsText" text="1">
      <formula>NOT(ISERROR(SEARCH("1",CM121)))</formula>
    </cfRule>
    <cfRule type="containsText" dxfId="438" priority="27" operator="containsText" text="3">
      <formula>NOT(ISERROR(SEARCH("3",CM121)))</formula>
    </cfRule>
    <cfRule type="containsText" dxfId="437" priority="26" operator="containsText" text="1">
      <formula>NOT(ISERROR(SEARCH("1",CM121)))</formula>
    </cfRule>
    <cfRule type="containsText" dxfId="436" priority="25" operator="containsText" text="1">
      <formula>NOT(ISERROR(SEARCH("1",CM121)))</formula>
    </cfRule>
    <cfRule type="cellIs" dxfId="435" priority="24" operator="equal">
      <formula>4</formula>
    </cfRule>
    <cfRule type="cellIs" dxfId="434" priority="23" operator="equal">
      <formula>1</formula>
    </cfRule>
    <cfRule type="cellIs" dxfId="433" priority="22" operator="equal">
      <formula>4</formula>
    </cfRule>
  </conditionalFormatting>
  <conditionalFormatting sqref="CM30:CQ30">
    <cfRule type="cellIs" dxfId="432" priority="550" operator="equal">
      <formula>3</formula>
    </cfRule>
    <cfRule type="cellIs" dxfId="431" priority="549" operator="equal">
      <formula>4</formula>
    </cfRule>
    <cfRule type="top10" dxfId="430" priority="548" rank="10"/>
    <cfRule type="top10" dxfId="429" priority="554" rank="10"/>
    <cfRule type="top10" dxfId="428" priority="547" rank="10"/>
    <cfRule type="top10" dxfId="427" priority="552" rank="10"/>
    <cfRule type="top10" dxfId="426" priority="553" rank="10"/>
    <cfRule type="cellIs" dxfId="425" priority="551" operator="equal">
      <formula>1</formula>
    </cfRule>
  </conditionalFormatting>
  <conditionalFormatting sqref="CM39:CQ39">
    <cfRule type="top10" dxfId="424" priority="546" rank="10"/>
  </conditionalFormatting>
  <conditionalFormatting sqref="CM23:CU23">
    <cfRule type="top10" dxfId="423" priority="545" rank="10"/>
  </conditionalFormatting>
  <conditionalFormatting sqref="CM28:CU28">
    <cfRule type="top10" dxfId="422" priority="544" rank="10"/>
    <cfRule type="top10" dxfId="421" priority="543" rank="10"/>
  </conditionalFormatting>
  <conditionalFormatting sqref="CM48:CU48">
    <cfRule type="top10" dxfId="420" priority="542" rank="10"/>
  </conditionalFormatting>
  <conditionalFormatting sqref="CM49:CU50">
    <cfRule type="top10" dxfId="419" priority="541" rank="10"/>
  </conditionalFormatting>
  <conditionalFormatting sqref="CN37">
    <cfRule type="top10" dxfId="418" priority="539" rank="10"/>
    <cfRule type="cellIs" dxfId="417" priority="540" operator="equal">
      <formula>1</formula>
    </cfRule>
  </conditionalFormatting>
  <conditionalFormatting sqref="CN43">
    <cfRule type="top10" dxfId="416" priority="535" rank="10"/>
    <cfRule type="cellIs" dxfId="415" priority="536" operator="equal">
      <formula>3</formula>
    </cfRule>
    <cfRule type="cellIs" dxfId="414" priority="537" operator="equal">
      <formula>4</formula>
    </cfRule>
    <cfRule type="cellIs" dxfId="413" priority="538" operator="equal">
      <formula>1</formula>
    </cfRule>
  </conditionalFormatting>
  <conditionalFormatting sqref="CN47">
    <cfRule type="cellIs" dxfId="412" priority="532" operator="equal">
      <formula>4</formula>
    </cfRule>
    <cfRule type="cellIs" dxfId="411" priority="533" operator="equal">
      <formula>4</formula>
    </cfRule>
    <cfRule type="cellIs" dxfId="410" priority="534" operator="equal">
      <formula>1</formula>
    </cfRule>
  </conditionalFormatting>
  <conditionalFormatting sqref="CN45:CO45">
    <cfRule type="cellIs" dxfId="409" priority="531" operator="equal">
      <formula>3</formula>
    </cfRule>
    <cfRule type="cellIs" dxfId="408" priority="530" operator="equal">
      <formula>4</formula>
    </cfRule>
  </conditionalFormatting>
  <conditionalFormatting sqref="CN39:CP40">
    <cfRule type="cellIs" dxfId="407" priority="529" operator="equal">
      <formula>1</formula>
    </cfRule>
    <cfRule type="cellIs" dxfId="406" priority="528" operator="equal">
      <formula>4</formula>
    </cfRule>
    <cfRule type="cellIs" dxfId="405" priority="527" operator="equal">
      <formula>3</formula>
    </cfRule>
  </conditionalFormatting>
  <conditionalFormatting sqref="CN46:CP46">
    <cfRule type="cellIs" dxfId="404" priority="526" operator="equal">
      <formula>1</formula>
    </cfRule>
    <cfRule type="cellIs" dxfId="403" priority="525" operator="equal">
      <formula>4</formula>
    </cfRule>
    <cfRule type="cellIs" dxfId="402" priority="524" operator="equal">
      <formula>4</formula>
    </cfRule>
  </conditionalFormatting>
  <conditionalFormatting sqref="CN52:CR52">
    <cfRule type="top10" dxfId="401" priority="521" rank="10"/>
    <cfRule type="top10" dxfId="400" priority="523" rank="10"/>
    <cfRule type="top10" dxfId="399" priority="522" rank="10"/>
  </conditionalFormatting>
  <conditionalFormatting sqref="CN38:CU38">
    <cfRule type="cellIs" dxfId="398" priority="519" operator="equal">
      <formula>4</formula>
    </cfRule>
    <cfRule type="cellIs" dxfId="397" priority="518" operator="equal">
      <formula>4</formula>
    </cfRule>
    <cfRule type="cellIs" dxfId="396" priority="520" operator="equal">
      <formula>1</formula>
    </cfRule>
  </conditionalFormatting>
  <conditionalFormatting sqref="CN42:CV42 CO41:CQ41 CS41:CU41 CN44:CU44">
    <cfRule type="cellIs" dxfId="395" priority="499" operator="equal">
      <formula>4</formula>
    </cfRule>
    <cfRule type="cellIs" dxfId="394" priority="517" operator="equal">
      <formula>1</formula>
    </cfRule>
  </conditionalFormatting>
  <conditionalFormatting sqref="CO37">
    <cfRule type="cellIs" dxfId="393" priority="515" operator="equal">
      <formula>1</formula>
    </cfRule>
    <cfRule type="top10" dxfId="392" priority="514" rank="10"/>
  </conditionalFormatting>
  <conditionalFormatting sqref="CO43">
    <cfRule type="top10" dxfId="391" priority="510" rank="10"/>
    <cfRule type="cellIs" dxfId="390" priority="511" operator="equal">
      <formula>3</formula>
    </cfRule>
    <cfRule type="cellIs" dxfId="389" priority="512" operator="equal">
      <formula>4</formula>
    </cfRule>
    <cfRule type="cellIs" dxfId="388" priority="513" operator="equal">
      <formula>1</formula>
    </cfRule>
  </conditionalFormatting>
  <conditionalFormatting sqref="CO45">
    <cfRule type="top10" dxfId="387" priority="509" rank="10"/>
  </conditionalFormatting>
  <conditionalFormatting sqref="CO47">
    <cfRule type="cellIs" dxfId="386" priority="508" operator="equal">
      <formula>4</formula>
    </cfRule>
    <cfRule type="cellIs" dxfId="385" priority="507" operator="equal">
      <formula>3</formula>
    </cfRule>
    <cfRule type="top10" dxfId="384" priority="506" rank="10"/>
  </conditionalFormatting>
  <conditionalFormatting sqref="CO52">
    <cfRule type="top10" dxfId="383" priority="505" rank="10"/>
  </conditionalFormatting>
  <conditionalFormatting sqref="CO39:CP39">
    <cfRule type="cellIs" dxfId="382" priority="504" operator="equal">
      <formula>1</formula>
    </cfRule>
    <cfRule type="top10" dxfId="381" priority="503" rank="10"/>
    <cfRule type="cellIs" dxfId="380" priority="502" operator="equal">
      <formula>3</formula>
    </cfRule>
    <cfRule type="cellIs" dxfId="379" priority="501" operator="equal">
      <formula>4</formula>
    </cfRule>
  </conditionalFormatting>
  <conditionalFormatting sqref="CO47:CP47">
    <cfRule type="cellIs" dxfId="378" priority="500" operator="equal">
      <formula>1</formula>
    </cfRule>
  </conditionalFormatting>
  <conditionalFormatting sqref="CO41:CQ41 CS41:CU41 CN42:CV42 CN44:CU44">
    <cfRule type="cellIs" dxfId="377" priority="516" operator="equal">
      <formula>4</formula>
    </cfRule>
  </conditionalFormatting>
  <conditionalFormatting sqref="CP24 DC24 G24:AD24">
    <cfRule type="top10" dxfId="376" priority="498" rank="10"/>
  </conditionalFormatting>
  <conditionalFormatting sqref="CP37">
    <cfRule type="top10" dxfId="375" priority="497" rank="10"/>
  </conditionalFormatting>
  <conditionalFormatting sqref="CP42">
    <cfRule type="top10" dxfId="374" priority="492" rank="10"/>
    <cfRule type="cellIs" dxfId="373" priority="493" operator="equal">
      <formula>3</formula>
    </cfRule>
    <cfRule type="cellIs" dxfId="372" priority="494" operator="equal">
      <formula>4</formula>
    </cfRule>
    <cfRule type="cellIs" dxfId="371" priority="495" operator="equal">
      <formula>2</formula>
    </cfRule>
    <cfRule type="cellIs" dxfId="370" priority="496" operator="equal">
      <formula>1</formula>
    </cfRule>
  </conditionalFormatting>
  <conditionalFormatting sqref="CP45">
    <cfRule type="top10" dxfId="369" priority="491" rank="10"/>
  </conditionalFormatting>
  <conditionalFormatting sqref="CP47">
    <cfRule type="top10" dxfId="368" priority="488" rank="10"/>
    <cfRule type="cellIs" dxfId="367" priority="489" operator="equal">
      <formula>3</formula>
    </cfRule>
    <cfRule type="cellIs" dxfId="366" priority="490" operator="equal">
      <formula>4</formula>
    </cfRule>
  </conditionalFormatting>
  <conditionalFormatting sqref="CP52">
    <cfRule type="top10" dxfId="365" priority="487" rank="10"/>
  </conditionalFormatting>
  <conditionalFormatting sqref="CP121">
    <cfRule type="cellIs" dxfId="364" priority="17" operator="lessThan">
      <formula>1</formula>
    </cfRule>
    <cfRule type="containsText" dxfId="363" priority="12" operator="containsText" text="1">
      <formula>NOT(ISERROR(SEARCH("1",CP121)))</formula>
    </cfRule>
    <cfRule type="cellIs" dxfId="362" priority="18" operator="lessThan">
      <formula>1</formula>
    </cfRule>
    <cfRule type="containsText" dxfId="361" priority="13" operator="containsText" text="1">
      <formula>NOT(ISERROR(SEARCH("1",CP121)))</formula>
    </cfRule>
    <cfRule type="containsText" dxfId="360" priority="21" operator="containsText" text="4">
      <formula>NOT(ISERROR(SEARCH("4",CP121)))</formula>
    </cfRule>
    <cfRule type="containsText" dxfId="359" priority="20" operator="containsText" text="3">
      <formula>NOT(ISERROR(SEARCH("3",CP121)))</formula>
    </cfRule>
    <cfRule type="cellIs" dxfId="358" priority="19" operator="lessThan">
      <formula>2</formula>
    </cfRule>
    <cfRule type="containsText" dxfId="357" priority="14" operator="containsText" text="3">
      <formula>NOT(ISERROR(SEARCH("3",CP121)))</formula>
    </cfRule>
    <cfRule type="containsText" dxfId="356" priority="15" operator="containsText" text="1">
      <formula>NOT(ISERROR(SEARCH("1",CP121)))</formula>
    </cfRule>
    <cfRule type="containsText" dxfId="355" priority="16" operator="containsText" text="2">
      <formula>NOT(ISERROR(SEARCH("2",CP121)))</formula>
    </cfRule>
    <cfRule type="cellIs" dxfId="354" priority="9" operator="equal">
      <formula>4</formula>
    </cfRule>
    <cfRule type="cellIs" dxfId="353" priority="10" operator="equal">
      <formula>1</formula>
    </cfRule>
    <cfRule type="cellIs" dxfId="352" priority="11" operator="equal">
      <formula>4</formula>
    </cfRule>
  </conditionalFormatting>
  <conditionalFormatting sqref="CP43:CQ43 CT43:CV43">
    <cfRule type="cellIs" dxfId="351" priority="485" operator="equal">
      <formula>4</formula>
    </cfRule>
    <cfRule type="cellIs" dxfId="350" priority="486" operator="equal">
      <formula>1</formula>
    </cfRule>
    <cfRule type="top10" dxfId="349" priority="482" rank="10"/>
    <cfRule type="cellIs" dxfId="348" priority="484" operator="equal">
      <formula>3</formula>
    </cfRule>
  </conditionalFormatting>
  <conditionalFormatting sqref="CP45:CS45">
    <cfRule type="cellIs" dxfId="347" priority="481" operator="equal">
      <formula>3</formula>
    </cfRule>
    <cfRule type="cellIs" dxfId="346" priority="480" operator="equal">
      <formula>4</formula>
    </cfRule>
  </conditionalFormatting>
  <conditionalFormatting sqref="CQ37 CM25:CU27 CM29:CU29 CM37:CM38 CU37 CM31:CU36">
    <cfRule type="top10" dxfId="345" priority="478" rank="10"/>
    <cfRule type="top10" dxfId="344" priority="479" rank="10"/>
  </conditionalFormatting>
  <conditionalFormatting sqref="CQ24:DC24">
    <cfRule type="containsText" dxfId="343" priority="469" operator="containsText" text="2">
      <formula>NOT(ISERROR(SEARCH("2",CQ24)))</formula>
    </cfRule>
    <cfRule type="containsText" dxfId="342" priority="471" operator="containsText" text="1">
      <formula>NOT(ISERROR(SEARCH("1",CQ24)))</formula>
    </cfRule>
    <cfRule type="cellIs" dxfId="341" priority="472" operator="equal">
      <formula>2</formula>
    </cfRule>
    <cfRule type="cellIs" dxfId="340" priority="473" operator="equal">
      <formula>4</formula>
    </cfRule>
    <cfRule type="cellIs" dxfId="339" priority="474" operator="equal">
      <formula>3</formula>
    </cfRule>
    <cfRule type="cellIs" dxfId="338" priority="475" operator="equal">
      <formula>1</formula>
    </cfRule>
    <cfRule type="containsText" dxfId="337" priority="470" operator="containsText" text="4">
      <formula>NOT(ISERROR(SEARCH("4",CQ24)))</formula>
    </cfRule>
    <cfRule type="top10" dxfId="336" priority="464" rank="10"/>
    <cfRule type="top10" dxfId="335" priority="465" rank="10"/>
    <cfRule type="containsText" dxfId="334" priority="466" operator="containsText" text="1">
      <formula>NOT(ISERROR(SEARCH("1",CQ24)))</formula>
    </cfRule>
    <cfRule type="containsText" dxfId="333" priority="467" operator="containsText" text="1">
      <formula>NOT(ISERROR(SEARCH("1",CQ24)))</formula>
    </cfRule>
    <cfRule type="containsText" dxfId="332" priority="468" operator="containsText" text="3">
      <formula>NOT(ISERROR(SEARCH("3",CQ24)))</formula>
    </cfRule>
  </conditionalFormatting>
  <conditionalFormatting sqref="CR37">
    <cfRule type="top10" dxfId="331" priority="462" rank="10"/>
    <cfRule type="cellIs" dxfId="330" priority="463" operator="equal">
      <formula>1</formula>
    </cfRule>
  </conditionalFormatting>
  <conditionalFormatting sqref="CR41">
    <cfRule type="cellIs" dxfId="329" priority="461" operator="equal">
      <formula>2</formula>
    </cfRule>
  </conditionalFormatting>
  <conditionalFormatting sqref="CR43">
    <cfRule type="cellIs" dxfId="328" priority="460" operator="equal">
      <formula>1</formula>
    </cfRule>
    <cfRule type="cellIs" dxfId="327" priority="459" operator="equal">
      <formula>4</formula>
    </cfRule>
    <cfRule type="top10" dxfId="326" priority="457" rank="10"/>
    <cfRule type="cellIs" dxfId="325" priority="458" operator="equal">
      <formula>3</formula>
    </cfRule>
  </conditionalFormatting>
  <conditionalFormatting sqref="CR47">
    <cfRule type="cellIs" dxfId="324" priority="454" operator="equal">
      <formula>4</formula>
    </cfRule>
    <cfRule type="cellIs" dxfId="323" priority="456" operator="equal">
      <formula>1</formula>
    </cfRule>
    <cfRule type="cellIs" dxfId="322" priority="455" operator="equal">
      <formula>4</formula>
    </cfRule>
  </conditionalFormatting>
  <conditionalFormatting sqref="CR52">
    <cfRule type="top10" dxfId="321" priority="453" rank="10"/>
  </conditionalFormatting>
  <conditionalFormatting sqref="CR53:CS53">
    <cfRule type="top10" dxfId="320" priority="452" rank="10"/>
  </conditionalFormatting>
  <conditionalFormatting sqref="CR39:CT39 CG47:CJ47 CL47:CM47">
    <cfRule type="cellIs" dxfId="319" priority="451" operator="equal">
      <formula>2</formula>
    </cfRule>
  </conditionalFormatting>
  <conditionalFormatting sqref="CR39:CT39 CV44:CY44 DO18:DR18 DS48:DT48 CM41:CN41 CR41 CG42:CN42">
    <cfRule type="cellIs" dxfId="318" priority="450" operator="equal">
      <formula>3</formula>
    </cfRule>
  </conditionalFormatting>
  <conditionalFormatting sqref="CR39:CT39">
    <cfRule type="cellIs" dxfId="317" priority="449" operator="equal">
      <formula>1</formula>
    </cfRule>
  </conditionalFormatting>
  <conditionalFormatting sqref="CR40:CT40">
    <cfRule type="cellIs" dxfId="316" priority="446" operator="equal">
      <formula>4</formula>
    </cfRule>
    <cfRule type="cellIs" dxfId="315" priority="447" operator="equal">
      <formula>4</formula>
    </cfRule>
    <cfRule type="cellIs" dxfId="314" priority="448" operator="equal">
      <formula>1</formula>
    </cfRule>
  </conditionalFormatting>
  <conditionalFormatting sqref="CR46:CT46">
    <cfRule type="cellIs" dxfId="313" priority="443" operator="equal">
      <formula>4</formula>
    </cfRule>
    <cfRule type="cellIs" dxfId="312" priority="444" operator="equal">
      <formula>4</formula>
    </cfRule>
    <cfRule type="cellIs" dxfId="311" priority="445" operator="equal">
      <formula>1</formula>
    </cfRule>
  </conditionalFormatting>
  <conditionalFormatting sqref="CR30:CU30">
    <cfRule type="top10" dxfId="310" priority="435" rank="10"/>
    <cfRule type="top10" dxfId="309" priority="436" rank="10"/>
    <cfRule type="cellIs" dxfId="308" priority="437" operator="equal">
      <formula>4</formula>
    </cfRule>
    <cfRule type="cellIs" dxfId="307" priority="438" operator="equal">
      <formula>3</formula>
    </cfRule>
    <cfRule type="cellIs" dxfId="306" priority="439" operator="equal">
      <formula>1</formula>
    </cfRule>
    <cfRule type="top10" dxfId="305" priority="440" rank="10"/>
    <cfRule type="top10" dxfId="304" priority="441" rank="10"/>
    <cfRule type="top10" dxfId="303" priority="442" rank="10"/>
  </conditionalFormatting>
  <conditionalFormatting sqref="CR39:CU39">
    <cfRule type="top10" dxfId="302" priority="434" rank="10"/>
  </conditionalFormatting>
  <conditionalFormatting sqref="CS37">
    <cfRule type="top10" dxfId="301" priority="432" rank="10"/>
    <cfRule type="cellIs" dxfId="300" priority="433" operator="equal">
      <formula>1</formula>
    </cfRule>
  </conditionalFormatting>
  <conditionalFormatting sqref="CS43">
    <cfRule type="top10" dxfId="299" priority="428" rank="10"/>
    <cfRule type="cellIs" dxfId="298" priority="429" operator="equal">
      <formula>3</formula>
    </cfRule>
    <cfRule type="cellIs" dxfId="297" priority="430" operator="equal">
      <formula>4</formula>
    </cfRule>
    <cfRule type="cellIs" dxfId="296" priority="431" operator="equal">
      <formula>1</formula>
    </cfRule>
  </conditionalFormatting>
  <conditionalFormatting sqref="CS45">
    <cfRule type="top10" dxfId="295" priority="427" rank="10"/>
  </conditionalFormatting>
  <conditionalFormatting sqref="CS47">
    <cfRule type="cellIs" dxfId="294" priority="425" operator="equal">
      <formula>3</formula>
    </cfRule>
    <cfRule type="cellIs" dxfId="293" priority="426" operator="equal">
      <formula>4</formula>
    </cfRule>
    <cfRule type="top10" dxfId="292" priority="424" rank="10"/>
  </conditionalFormatting>
  <conditionalFormatting sqref="CS39:CT39">
    <cfRule type="cellIs" dxfId="291" priority="422" operator="equal">
      <formula>3</formula>
    </cfRule>
    <cfRule type="cellIs" dxfId="290" priority="421" operator="equal">
      <formula>4</formula>
    </cfRule>
    <cfRule type="top10" dxfId="289" priority="423" rank="10"/>
  </conditionalFormatting>
  <conditionalFormatting sqref="CS47:CT47">
    <cfRule type="cellIs" dxfId="288" priority="420" operator="equal">
      <formula>1</formula>
    </cfRule>
  </conditionalFormatting>
  <conditionalFormatting sqref="CS52:CV52">
    <cfRule type="top10" dxfId="287" priority="419" rank="10"/>
    <cfRule type="top10" dxfId="286" priority="418" rank="10"/>
    <cfRule type="top10" dxfId="285" priority="417" rank="10"/>
  </conditionalFormatting>
  <conditionalFormatting sqref="CS45:CY45">
    <cfRule type="cellIs" dxfId="284" priority="416" operator="equal">
      <formula>1</formula>
    </cfRule>
  </conditionalFormatting>
  <conditionalFormatting sqref="CT37">
    <cfRule type="top10" dxfId="283" priority="415" rank="10"/>
    <cfRule type="cellIs" dxfId="282" priority="414" operator="equal">
      <formula>1</formula>
    </cfRule>
  </conditionalFormatting>
  <conditionalFormatting sqref="CT45">
    <cfRule type="cellIs" dxfId="281" priority="413" operator="equal">
      <formula>3</formula>
    </cfRule>
    <cfRule type="cellIs" dxfId="280" priority="412" operator="equal">
      <formula>4</formula>
    </cfRule>
    <cfRule type="top10" dxfId="279" priority="411" rank="10"/>
  </conditionalFormatting>
  <conditionalFormatting sqref="CT47">
    <cfRule type="cellIs" dxfId="278" priority="410" operator="equal">
      <formula>4</formula>
    </cfRule>
    <cfRule type="cellIs" dxfId="277" priority="409" operator="equal">
      <formula>3</formula>
    </cfRule>
    <cfRule type="top10" dxfId="276" priority="408" rank="10"/>
  </conditionalFormatting>
  <conditionalFormatting sqref="CU46">
    <cfRule type="cellIs" dxfId="275" priority="407" operator="equal">
      <formula>2</formula>
    </cfRule>
    <cfRule type="cellIs" dxfId="274" priority="406" operator="equal">
      <formula>1</formula>
    </cfRule>
  </conditionalFormatting>
  <conditionalFormatting sqref="CU45:CY45">
    <cfRule type="cellIs" dxfId="273" priority="403" operator="equal">
      <formula>4</formula>
    </cfRule>
    <cfRule type="cellIs" dxfId="272" priority="402" operator="equal">
      <formula>3</formula>
    </cfRule>
  </conditionalFormatting>
  <conditionalFormatting sqref="CV21">
    <cfRule type="cellIs" dxfId="271" priority="401" operator="equal">
      <formula>1</formula>
    </cfRule>
    <cfRule type="top10" dxfId="270" priority="400" rank="10"/>
    <cfRule type="cellIs" dxfId="269" priority="399" operator="equal">
      <formula>3</formula>
    </cfRule>
    <cfRule type="cellIs" dxfId="268" priority="398" operator="equal">
      <formula>4</formula>
    </cfRule>
    <cfRule type="cellIs" dxfId="267" priority="397" operator="equal">
      <formula>2</formula>
    </cfRule>
  </conditionalFormatting>
  <conditionalFormatting sqref="CV46">
    <cfRule type="cellIs" dxfId="266" priority="396" operator="equal">
      <formula>1</formula>
    </cfRule>
    <cfRule type="cellIs" dxfId="265" priority="395" operator="equal">
      <formula>4</formula>
    </cfRule>
    <cfRule type="cellIs" dxfId="264" priority="394" operator="equal">
      <formula>4</formula>
    </cfRule>
  </conditionalFormatting>
  <conditionalFormatting sqref="CV47 CW43 CV45 CV44:CW44 CW45:CW47 CV40:CW42 CR42:CU42">
    <cfRule type="top10" dxfId="263" priority="393" rank="10"/>
  </conditionalFormatting>
  <conditionalFormatting sqref="CV52">
    <cfRule type="top10" dxfId="262" priority="392" rank="10"/>
  </conditionalFormatting>
  <conditionalFormatting sqref="CV23:CW23">
    <cfRule type="top10" dxfId="261" priority="391" rank="10"/>
  </conditionalFormatting>
  <conditionalFormatting sqref="CV35:CW37 CV26:CW27 CV34 CV29:CW29 CV31:CW33">
    <cfRule type="top10" dxfId="260" priority="390" rank="10"/>
  </conditionalFormatting>
  <conditionalFormatting sqref="CV39:CW39">
    <cfRule type="top10" dxfId="259" priority="389" rank="10"/>
  </conditionalFormatting>
  <conditionalFormatting sqref="CV48:CW48">
    <cfRule type="top10" dxfId="258" priority="388" rank="10"/>
  </conditionalFormatting>
  <conditionalFormatting sqref="CV49:CW50">
    <cfRule type="top10" dxfId="257" priority="387" rank="10"/>
  </conditionalFormatting>
  <conditionalFormatting sqref="CV25:CX25">
    <cfRule type="cellIs" dxfId="256" priority="386" operator="equal">
      <formula>1</formula>
    </cfRule>
    <cfRule type="cellIs" dxfId="255" priority="385" operator="equal">
      <formula>4</formula>
    </cfRule>
    <cfRule type="cellIs" dxfId="254" priority="384" operator="equal">
      <formula>4</formula>
    </cfRule>
  </conditionalFormatting>
  <conditionalFormatting sqref="CV28:CX28">
    <cfRule type="cellIs" dxfId="253" priority="383" operator="equal">
      <formula>1</formula>
    </cfRule>
    <cfRule type="cellIs" dxfId="252" priority="382" operator="equal">
      <formula>4</formula>
    </cfRule>
    <cfRule type="cellIs" dxfId="251" priority="381" operator="equal">
      <formula>4</formula>
    </cfRule>
  </conditionalFormatting>
  <conditionalFormatting sqref="CV38:CY38">
    <cfRule type="top10" dxfId="250" priority="380" rank="10"/>
  </conditionalFormatting>
  <conditionalFormatting sqref="CV30:DB30">
    <cfRule type="cellIs" dxfId="249" priority="379" operator="equal">
      <formula>4</formula>
    </cfRule>
  </conditionalFormatting>
  <conditionalFormatting sqref="CW52">
    <cfRule type="top10" dxfId="248" priority="378" rank="10"/>
  </conditionalFormatting>
  <conditionalFormatting sqref="CW21:CY21">
    <cfRule type="cellIs" dxfId="247" priority="377" operator="equal">
      <formula>1</formula>
    </cfRule>
    <cfRule type="cellIs" dxfId="246" priority="376" operator="equal">
      <formula>4</formula>
    </cfRule>
    <cfRule type="cellIs" dxfId="245" priority="375" operator="equal">
      <formula>4</formula>
    </cfRule>
  </conditionalFormatting>
  <conditionalFormatting sqref="CW52:CY52">
    <cfRule type="cellIs" dxfId="244" priority="371" operator="equal">
      <formula>4</formula>
    </cfRule>
    <cfRule type="cellIs" dxfId="243" priority="374" operator="equal">
      <formula>1</formula>
    </cfRule>
    <cfRule type="top10" dxfId="242" priority="373" rank="10"/>
    <cfRule type="cellIs" dxfId="241" priority="372" operator="equal">
      <formula>3</formula>
    </cfRule>
  </conditionalFormatting>
  <conditionalFormatting sqref="CX22">
    <cfRule type="cellIs" dxfId="240" priority="368" operator="equal">
      <formula>2</formula>
    </cfRule>
    <cfRule type="cellIs" dxfId="239" priority="370" operator="equal">
      <formula>3</formula>
    </cfRule>
    <cfRule type="cellIs" dxfId="238" priority="369" operator="equal">
      <formula>4</formula>
    </cfRule>
    <cfRule type="cellIs" dxfId="237" priority="367" operator="equal">
      <formula>1</formula>
    </cfRule>
    <cfRule type="top10" dxfId="236" priority="366" rank="10"/>
  </conditionalFormatting>
  <conditionalFormatting sqref="CX30 DE30:DF30 DS30">
    <cfRule type="top10" dxfId="235" priority="365" rank="10"/>
  </conditionalFormatting>
  <conditionalFormatting sqref="CX39 CY39:CY46">
    <cfRule type="top10" dxfId="234" priority="363" rank="10"/>
  </conditionalFormatting>
  <conditionalFormatting sqref="CX51">
    <cfRule type="cellIs" dxfId="233" priority="360" operator="equal">
      <formula>2</formula>
    </cfRule>
    <cfRule type="cellIs" dxfId="232" priority="358" operator="equal">
      <formula>4</formula>
    </cfRule>
    <cfRule type="cellIs" dxfId="231" priority="359" operator="equal">
      <formula>3</formula>
    </cfRule>
    <cfRule type="cellIs" dxfId="230" priority="362" operator="equal">
      <formula>1</formula>
    </cfRule>
    <cfRule type="top10" dxfId="229" priority="361" rank="10"/>
  </conditionalFormatting>
  <conditionalFormatting sqref="CX18:CY18 CV18:CW20 AI19:AL19 CX19 CY19:CY20">
    <cfRule type="cellIs" dxfId="228" priority="357" operator="equal">
      <formula>1</formula>
    </cfRule>
    <cfRule type="cellIs" dxfId="227" priority="356" operator="equal">
      <formula>4</formula>
    </cfRule>
  </conditionalFormatting>
  <conditionalFormatting sqref="CX23:CY23">
    <cfRule type="top10" dxfId="226" priority="354" rank="10"/>
  </conditionalFormatting>
  <conditionalFormatting sqref="CX26:CY27 CX29:CY29 CY25 CX31:CY37">
    <cfRule type="top10" dxfId="225" priority="353" rank="10"/>
  </conditionalFormatting>
  <conditionalFormatting sqref="CX39:CY39 CY40:CY46">
    <cfRule type="top10" dxfId="224" priority="352" rank="10"/>
  </conditionalFormatting>
  <conditionalFormatting sqref="CX47:CY47 CX40:CX46">
    <cfRule type="top10" dxfId="223" priority="351" rank="10"/>
  </conditionalFormatting>
  <conditionalFormatting sqref="CX48:CY48">
    <cfRule type="top10" dxfId="222" priority="350" rank="10"/>
  </conditionalFormatting>
  <conditionalFormatting sqref="CX49:CY50">
    <cfRule type="top10" dxfId="221" priority="349" rank="10"/>
  </conditionalFormatting>
  <conditionalFormatting sqref="CX52:CY52">
    <cfRule type="top10" dxfId="220" priority="348" rank="10"/>
  </conditionalFormatting>
  <conditionalFormatting sqref="CX30:CZ30 DH30:DK30 DS30:DT30">
    <cfRule type="cellIs" dxfId="219" priority="335" operator="equal">
      <formula>1</formula>
    </cfRule>
  </conditionalFormatting>
  <conditionalFormatting sqref="CY22 CM43">
    <cfRule type="cellIs" dxfId="218" priority="347" operator="equal">
      <formula>1</formula>
    </cfRule>
    <cfRule type="cellIs" dxfId="217" priority="345" operator="equal">
      <formula>4</formula>
    </cfRule>
    <cfRule type="cellIs" dxfId="216" priority="346" operator="equal">
      <formula>4</formula>
    </cfRule>
  </conditionalFormatting>
  <conditionalFormatting sqref="CY28">
    <cfRule type="top10" dxfId="215" priority="344" rank="10"/>
  </conditionalFormatting>
  <conditionalFormatting sqref="CY46">
    <cfRule type="cellIs" dxfId="214" priority="343" operator="equal">
      <formula>1</formula>
    </cfRule>
  </conditionalFormatting>
  <conditionalFormatting sqref="CY51">
    <cfRule type="cellIs" dxfId="213" priority="342" operator="equal">
      <formula>1</formula>
    </cfRule>
    <cfRule type="cellIs" dxfId="212" priority="341" operator="equal">
      <formula>4</formula>
    </cfRule>
    <cfRule type="cellIs" dxfId="211" priority="340" operator="equal">
      <formula>4</formula>
    </cfRule>
  </conditionalFormatting>
  <conditionalFormatting sqref="CY52">
    <cfRule type="cellIs" dxfId="210" priority="338" operator="equal">
      <formula>3</formula>
    </cfRule>
    <cfRule type="cellIs" dxfId="209" priority="337" operator="equal">
      <formula>4</formula>
    </cfRule>
    <cfRule type="cellIs" dxfId="208" priority="336" operator="equal">
      <formula>1</formula>
    </cfRule>
    <cfRule type="top10" dxfId="207" priority="339" rank="10"/>
  </conditionalFormatting>
  <conditionalFormatting sqref="CZ30">
    <cfRule type="cellIs" dxfId="206" priority="334" operator="equal">
      <formula>2</formula>
    </cfRule>
  </conditionalFormatting>
  <conditionalFormatting sqref="CZ52">
    <cfRule type="top10" dxfId="205" priority="333" rank="10"/>
  </conditionalFormatting>
  <conditionalFormatting sqref="CZ30:DB30 DH30 DT30 DJ30:DK30">
    <cfRule type="top10" dxfId="204" priority="332" rank="10"/>
  </conditionalFormatting>
  <conditionalFormatting sqref="DA18:DA19">
    <cfRule type="cellIs" dxfId="203" priority="331" operator="equal">
      <formula>1</formula>
    </cfRule>
    <cfRule type="cellIs" dxfId="202" priority="330" operator="equal">
      <formula>4</formula>
    </cfRule>
  </conditionalFormatting>
  <conditionalFormatting sqref="DA19">
    <cfRule type="cellIs" dxfId="201" priority="329" operator="equal">
      <formula>4</formula>
    </cfRule>
  </conditionalFormatting>
  <conditionalFormatting sqref="DA21">
    <cfRule type="cellIs" dxfId="200" priority="324" operator="equal">
      <formula>2</formula>
    </cfRule>
    <cfRule type="cellIs" dxfId="199" priority="325" operator="equal">
      <formula>4</formula>
    </cfRule>
    <cfRule type="cellIs" dxfId="198" priority="326" operator="equal">
      <formula>3</formula>
    </cfRule>
    <cfRule type="cellIs" dxfId="197" priority="328" operator="equal">
      <formula>1</formula>
    </cfRule>
    <cfRule type="top10" dxfId="196" priority="327" rank="10"/>
  </conditionalFormatting>
  <conditionalFormatting sqref="DA37">
    <cfRule type="cellIs" dxfId="195" priority="320" operator="equal">
      <formula>4</formula>
    </cfRule>
    <cfRule type="cellIs" dxfId="194" priority="321" operator="equal">
      <formula>3</formula>
    </cfRule>
    <cfRule type="top10" dxfId="193" priority="322" rank="10"/>
    <cfRule type="cellIs" dxfId="192" priority="323" operator="equal">
      <formula>1</formula>
    </cfRule>
  </conditionalFormatting>
  <conditionalFormatting sqref="DA46">
    <cfRule type="cellIs" dxfId="191" priority="317" operator="equal">
      <formula>4</formula>
    </cfRule>
    <cfRule type="cellIs" dxfId="190" priority="318" operator="equal">
      <formula>4</formula>
    </cfRule>
    <cfRule type="cellIs" dxfId="189" priority="319" operator="equal">
      <formula>1</formula>
    </cfRule>
  </conditionalFormatting>
  <conditionalFormatting sqref="DA52">
    <cfRule type="top10" dxfId="188" priority="316" rank="10"/>
  </conditionalFormatting>
  <conditionalFormatting sqref="DA18:DB18 DE18:DE21 CX18:CY18 CV18:CW20 O19:S20 I20:N20 G22:K22 BQ22:BU22 J23:K23 BE53:BF53 J53:J56 G57:H57">
    <cfRule type="cellIs" dxfId="187" priority="355" operator="equal">
      <formula>4</formula>
    </cfRule>
  </conditionalFormatting>
  <conditionalFormatting sqref="DA18:DB18 DE22:DI22 J22:K23 AM28:AP29 J37:J46 J53:J56 L53:U56 W53:Z56">
    <cfRule type="cellIs" dxfId="186" priority="315" operator="equal">
      <formula>1</formula>
    </cfRule>
  </conditionalFormatting>
  <conditionalFormatting sqref="DA23:DB23">
    <cfRule type="top10" dxfId="185" priority="314" rank="10"/>
  </conditionalFormatting>
  <conditionalFormatting sqref="DA25:DB25">
    <cfRule type="cellIs" dxfId="184" priority="311" operator="equal">
      <formula>4</formula>
    </cfRule>
    <cfRule type="cellIs" dxfId="183" priority="312" operator="equal">
      <formula>4</formula>
    </cfRule>
    <cfRule type="cellIs" dxfId="182" priority="313" operator="equal">
      <formula>1</formula>
    </cfRule>
  </conditionalFormatting>
  <conditionalFormatting sqref="DA26:DB27 DA29:DB29 DA31:DB36">
    <cfRule type="top10" dxfId="181" priority="310" rank="10"/>
  </conditionalFormatting>
  <conditionalFormatting sqref="DA31:DB37 DA39:DB45 DF39:DI45 DK39:DK50 DL31:DU47 BS35:BU37 G36 AR37:AR38 CY37:CY38 CM39:CM40 CQ39:CQ40 CU39:CU40 AD44:AL51">
    <cfRule type="cellIs" dxfId="180" priority="309" operator="equal">
      <formula>4</formula>
    </cfRule>
  </conditionalFormatting>
  <conditionalFormatting sqref="DA37:DB37">
    <cfRule type="top10" dxfId="179" priority="308" rank="10"/>
  </conditionalFormatting>
  <conditionalFormatting sqref="DA39:DB39">
    <cfRule type="top10" dxfId="178" priority="307" rank="10"/>
  </conditionalFormatting>
  <conditionalFormatting sqref="DA47:DB47 DB46 DA40:DB45">
    <cfRule type="top10" dxfId="177" priority="306" rank="10"/>
  </conditionalFormatting>
  <conditionalFormatting sqref="DA48:DB48">
    <cfRule type="top10" dxfId="176" priority="305" rank="10"/>
  </conditionalFormatting>
  <conditionalFormatting sqref="DA49:DB50">
    <cfRule type="top10" dxfId="175" priority="304" rank="10"/>
  </conditionalFormatting>
  <conditionalFormatting sqref="DA51:DD51">
    <cfRule type="cellIs" dxfId="174" priority="293" operator="equal">
      <formula>1</formula>
    </cfRule>
    <cfRule type="top10" dxfId="173" priority="294" rank="10"/>
    <cfRule type="cellIs" dxfId="172" priority="297" operator="equal">
      <formula>1</formula>
    </cfRule>
    <cfRule type="cellIs" dxfId="171" priority="295" operator="equal">
      <formula>4</formula>
    </cfRule>
    <cfRule type="cellIs" dxfId="170" priority="296" operator="equal">
      <formula>3</formula>
    </cfRule>
    <cfRule type="top10" dxfId="169" priority="298" rank="10"/>
    <cfRule type="cellIs" dxfId="168" priority="299" operator="equal">
      <formula>4</formula>
    </cfRule>
    <cfRule type="cellIs" dxfId="167" priority="300" operator="equal">
      <formula>3</formula>
    </cfRule>
    <cfRule type="cellIs" dxfId="166" priority="301" operator="equal">
      <formula>1</formula>
    </cfRule>
    <cfRule type="top10" dxfId="165" priority="302" rank="10"/>
    <cfRule type="top10" dxfId="164" priority="303" rank="10"/>
    <cfRule type="top10" dxfId="163" priority="292" rank="10"/>
  </conditionalFormatting>
  <conditionalFormatting sqref="DA51:DE51">
    <cfRule type="top10" dxfId="162" priority="286" rank="10"/>
    <cfRule type="cellIs" dxfId="161" priority="287" operator="equal">
      <formula>1</formula>
    </cfRule>
    <cfRule type="cellIs" dxfId="160" priority="288" operator="equal">
      <formula>4</formula>
    </cfRule>
    <cfRule type="cellIs" dxfId="159" priority="289" operator="equal">
      <formula>3</formula>
    </cfRule>
  </conditionalFormatting>
  <conditionalFormatting sqref="DB19:DB21 DK38">
    <cfRule type="cellIs" dxfId="158" priority="285" operator="equal">
      <formula>4</formula>
    </cfRule>
  </conditionalFormatting>
  <conditionalFormatting sqref="DB19:DB21">
    <cfRule type="cellIs" dxfId="157" priority="284" operator="equal">
      <formula>1</formula>
    </cfRule>
  </conditionalFormatting>
  <conditionalFormatting sqref="DB46">
    <cfRule type="cellIs" dxfId="156" priority="283" operator="equal">
      <formula>3</formula>
    </cfRule>
    <cfRule type="cellIs" dxfId="155" priority="282" operator="equal">
      <formula>4</formula>
    </cfRule>
    <cfRule type="cellIs" dxfId="154" priority="280" operator="equal">
      <formula>1</formula>
    </cfRule>
    <cfRule type="cellIs" dxfId="153" priority="281" operator="equal">
      <formula>2</formula>
    </cfRule>
  </conditionalFormatting>
  <conditionalFormatting sqref="DB52:DC52">
    <cfRule type="top10" dxfId="152" priority="277" rank="10"/>
    <cfRule type="top10" dxfId="151" priority="278" rank="10"/>
    <cfRule type="top10" dxfId="150" priority="279" rank="10"/>
  </conditionalFormatting>
  <conditionalFormatting sqref="DC30">
    <cfRule type="cellIs" dxfId="149" priority="275" operator="equal">
      <formula>1</formula>
    </cfRule>
    <cfRule type="top10" dxfId="148" priority="274" rank="10"/>
  </conditionalFormatting>
  <conditionalFormatting sqref="DC30:DD30">
    <cfRule type="cellIs" dxfId="147" priority="273" operator="equal">
      <formula>4</formula>
    </cfRule>
  </conditionalFormatting>
  <conditionalFormatting sqref="DD17:DD23 DC25:DD27">
    <cfRule type="cellIs" dxfId="146" priority="271" operator="equal">
      <formula>1</formula>
    </cfRule>
    <cfRule type="cellIs" dxfId="145" priority="272" operator="equal">
      <formula>4</formula>
    </cfRule>
  </conditionalFormatting>
  <conditionalFormatting sqref="DD30">
    <cfRule type="top10" dxfId="144" priority="269" rank="10"/>
    <cfRule type="cellIs" dxfId="143" priority="270" operator="equal">
      <formula>1</formula>
    </cfRule>
  </conditionalFormatting>
  <conditionalFormatting sqref="DD52:DE52">
    <cfRule type="top10" dxfId="142" priority="263" rank="10"/>
    <cfRule type="top10" dxfId="141" priority="266" rank="10"/>
    <cfRule type="top10" dxfId="140" priority="267" rank="10"/>
    <cfRule type="top10" dxfId="139" priority="268" rank="10"/>
    <cfRule type="top10" dxfId="138" priority="264" rank="10"/>
    <cfRule type="top10" dxfId="137" priority="265" rank="10"/>
  </conditionalFormatting>
  <conditionalFormatting sqref="DD17:DI17 DF19:DG21 DH33">
    <cfRule type="cellIs" dxfId="136" priority="262" operator="equal">
      <formula>4</formula>
    </cfRule>
  </conditionalFormatting>
  <conditionalFormatting sqref="DD24:DK24">
    <cfRule type="top10" dxfId="135" priority="261" rank="10"/>
  </conditionalFormatting>
  <conditionalFormatting sqref="DE23">
    <cfRule type="top10" dxfId="134" priority="260" rank="10"/>
  </conditionalFormatting>
  <conditionalFormatting sqref="DE25:DE27 DE29 DE31:DE37">
    <cfRule type="top10" dxfId="133" priority="259" rank="10"/>
  </conditionalFormatting>
  <conditionalFormatting sqref="DE28">
    <cfRule type="top10" dxfId="132" priority="258" rank="10"/>
  </conditionalFormatting>
  <conditionalFormatting sqref="DE28:DE29">
    <cfRule type="cellIs" dxfId="131" priority="256" operator="equal">
      <formula>4</formula>
    </cfRule>
    <cfRule type="cellIs" dxfId="130" priority="255" operator="equal">
      <formula>3</formula>
    </cfRule>
    <cfRule type="cellIs" dxfId="129" priority="254" operator="equal">
      <formula>2</formula>
    </cfRule>
    <cfRule type="cellIs" dxfId="128" priority="257" operator="equal">
      <formula>1</formula>
    </cfRule>
  </conditionalFormatting>
  <conditionalFormatting sqref="DE38">
    <cfRule type="top10" dxfId="127" priority="253" rank="10"/>
  </conditionalFormatting>
  <conditionalFormatting sqref="DE39:DE44">
    <cfRule type="top10" dxfId="126" priority="252" rank="10"/>
  </conditionalFormatting>
  <conditionalFormatting sqref="DE44:DE47">
    <cfRule type="top10" dxfId="125" priority="251" rank="10"/>
  </conditionalFormatting>
  <conditionalFormatting sqref="DE48">
    <cfRule type="top10" dxfId="124" priority="250" rank="10"/>
  </conditionalFormatting>
  <conditionalFormatting sqref="DE49:DE50">
    <cfRule type="top10" dxfId="123" priority="249" rank="10"/>
  </conditionalFormatting>
  <conditionalFormatting sqref="DE30:DF32">
    <cfRule type="cellIs" dxfId="122" priority="248" operator="equal">
      <formula>1</formula>
    </cfRule>
  </conditionalFormatting>
  <conditionalFormatting sqref="DE17:DI17 DF19:DG21 DH33">
    <cfRule type="cellIs" dxfId="121" priority="247" operator="equal">
      <formula>4</formula>
    </cfRule>
  </conditionalFormatting>
  <conditionalFormatting sqref="DE17:DI17 DF21:DI21 DH33">
    <cfRule type="cellIs" dxfId="120" priority="246" operator="equal">
      <formula>1</formula>
    </cfRule>
  </conditionalFormatting>
  <conditionalFormatting sqref="DE31:DI32 DF39:DI45 DK39:DK50 DL31:DU47 DA31:DB37 BS35:BU37 G36 AR37:AR38 CY37:CY38 CM39:CM40 CQ39:CQ40 CU39:CU40 DA39:DB45 AD44:AL51">
    <cfRule type="cellIs" dxfId="119" priority="245" operator="equal">
      <formula>3</formula>
    </cfRule>
  </conditionalFormatting>
  <conditionalFormatting sqref="DE30:DR30">
    <cfRule type="cellIs" dxfId="118" priority="244" operator="equal">
      <formula>2</formula>
    </cfRule>
  </conditionalFormatting>
  <conditionalFormatting sqref="DE30:DT30 CI30:CL30">
    <cfRule type="cellIs" dxfId="117" priority="243" operator="equal">
      <formula>4</formula>
    </cfRule>
  </conditionalFormatting>
  <conditionalFormatting sqref="DF23:DG23">
    <cfRule type="top10" dxfId="116" priority="240" rank="10"/>
  </conditionalFormatting>
  <conditionalFormatting sqref="DF25:DG25">
    <cfRule type="cellIs" dxfId="115" priority="239" operator="equal">
      <formula>1</formula>
    </cfRule>
    <cfRule type="cellIs" dxfId="114" priority="238" operator="equal">
      <formula>4</formula>
    </cfRule>
    <cfRule type="cellIs" dxfId="113" priority="237" operator="equal">
      <formula>4</formula>
    </cfRule>
  </conditionalFormatting>
  <conditionalFormatting sqref="DF26:DG27 DF29:DG29 DF31:DG38">
    <cfRule type="top10" dxfId="112" priority="236" rank="10"/>
    <cfRule type="top10" dxfId="111" priority="235" rank="10"/>
  </conditionalFormatting>
  <conditionalFormatting sqref="DF29:DG29 DK29:DU29 BG53 CR53:CU54 V53:V55 G33 BQ34:BU34 I45:I46 CI46:CL46 CQ46:CQ47 CU46:CU47 CI47:CJ47 BQ51:BR51 CH54:CQ54 K55:K56 CF55:CU56">
    <cfRule type="cellIs" dxfId="110" priority="242" operator="equal">
      <formula>4</formula>
    </cfRule>
  </conditionalFormatting>
  <conditionalFormatting sqref="DF29:DG29 DK29:DU29 BG53 CR53:CU54 V53:V55 G33 BQ34:BU34 CI46:CL46 CQ46:CQ47 CU46:CU47 CI47:CJ47 BQ51:BR51 CH54:CQ54 K55:K56 CF55:CU56">
    <cfRule type="cellIs" dxfId="109" priority="241" operator="equal">
      <formula>3</formula>
    </cfRule>
  </conditionalFormatting>
  <conditionalFormatting sqref="DF39:DG39">
    <cfRule type="top10" dxfId="108" priority="234" rank="10"/>
  </conditionalFormatting>
  <conditionalFormatting sqref="DF40:DG47">
    <cfRule type="top10" dxfId="107" priority="233" rank="10"/>
  </conditionalFormatting>
  <conditionalFormatting sqref="DF48:DG48">
    <cfRule type="top10" dxfId="106" priority="232" rank="10"/>
  </conditionalFormatting>
  <conditionalFormatting sqref="DF49:DG50">
    <cfRule type="top10" dxfId="105" priority="231" rank="10"/>
  </conditionalFormatting>
  <conditionalFormatting sqref="DF51:DI51">
    <cfRule type="cellIs" dxfId="104" priority="229" operator="equal">
      <formula>4</formula>
    </cfRule>
    <cfRule type="cellIs" dxfId="103" priority="228" operator="equal">
      <formula>4</formula>
    </cfRule>
    <cfRule type="cellIs" dxfId="102" priority="230" operator="equal">
      <formula>1</formula>
    </cfRule>
  </conditionalFormatting>
  <conditionalFormatting sqref="DG52">
    <cfRule type="top10" dxfId="101" priority="227" rank="10"/>
    <cfRule type="top10" dxfId="100" priority="225" rank="10"/>
    <cfRule type="top10" dxfId="99" priority="226" rank="10"/>
  </conditionalFormatting>
  <conditionalFormatting sqref="DG18:DI18 DE18:DE21 DF19:DI19 DF20:DG20 DI20 DK38 DS51:DT51">
    <cfRule type="cellIs" dxfId="98" priority="224" operator="equal">
      <formula>1</formula>
    </cfRule>
  </conditionalFormatting>
  <conditionalFormatting sqref="DG18:DI18 DH19:DI19 DI20 DS51:DT51 DE18:DE21 DB19:DB21 DK38">
    <cfRule type="cellIs" dxfId="97" priority="223" operator="equal">
      <formula>4</formula>
    </cfRule>
  </conditionalFormatting>
  <conditionalFormatting sqref="DG18:DI18 DH19:DI19 DI20 DS51:DT51">
    <cfRule type="cellIs" dxfId="96" priority="222" operator="equal">
      <formula>4</formula>
    </cfRule>
  </conditionalFormatting>
  <conditionalFormatting sqref="DH23">
    <cfRule type="top10" dxfId="95" priority="221" rank="10"/>
  </conditionalFormatting>
  <conditionalFormatting sqref="DH28">
    <cfRule type="top10" dxfId="94" priority="220" rank="10"/>
  </conditionalFormatting>
  <conditionalFormatting sqref="DH34:DH37 DH25:DH27 DH29 DH31:DH32">
    <cfRule type="top10" dxfId="93" priority="219" rank="10"/>
  </conditionalFormatting>
  <conditionalFormatting sqref="DH38">
    <cfRule type="top10" dxfId="92" priority="217" rank="10"/>
    <cfRule type="cellIs" dxfId="91" priority="218" operator="equal">
      <formula>1</formula>
    </cfRule>
  </conditionalFormatting>
  <conditionalFormatting sqref="DH39:DI39">
    <cfRule type="top10" dxfId="90" priority="216" rank="10"/>
  </conditionalFormatting>
  <conditionalFormatting sqref="DH40:DI47">
    <cfRule type="top10" dxfId="89" priority="215" rank="10"/>
  </conditionalFormatting>
  <conditionalFormatting sqref="DH48:DI48">
    <cfRule type="top10" dxfId="88" priority="214" rank="10"/>
  </conditionalFormatting>
  <conditionalFormatting sqref="DH49:DI50">
    <cfRule type="top10" dxfId="87" priority="213" rank="10"/>
  </conditionalFormatting>
  <conditionalFormatting sqref="DH52:DI52">
    <cfRule type="top10" dxfId="86" priority="212" rank="10"/>
  </conditionalFormatting>
  <conditionalFormatting sqref="DI23">
    <cfRule type="top10" dxfId="85" priority="211" rank="10"/>
  </conditionalFormatting>
  <conditionalFormatting sqref="DI25:DI27 DI29 DI31:DI37">
    <cfRule type="top10" dxfId="84" priority="210" rank="10"/>
  </conditionalFormatting>
  <conditionalFormatting sqref="DI28">
    <cfRule type="top10" dxfId="83" priority="209" rank="10"/>
  </conditionalFormatting>
  <conditionalFormatting sqref="DI30 CY30 DG30">
    <cfRule type="top10" dxfId="82" priority="208" rank="10"/>
  </conditionalFormatting>
  <conditionalFormatting sqref="DI38">
    <cfRule type="top10" dxfId="81" priority="206" rank="10"/>
    <cfRule type="cellIs" dxfId="80" priority="207" operator="equal">
      <formula>1</formula>
    </cfRule>
  </conditionalFormatting>
  <conditionalFormatting sqref="DJ52">
    <cfRule type="top10" dxfId="79" priority="205" rank="10"/>
    <cfRule type="top10" dxfId="78" priority="204" rank="10"/>
  </conditionalFormatting>
  <conditionalFormatting sqref="DK23">
    <cfRule type="top10" dxfId="77" priority="203" rank="10"/>
  </conditionalFormatting>
  <conditionalFormatting sqref="DK25:DK27 DK29 DK31:DK37">
    <cfRule type="top10" dxfId="76" priority="202" rank="10"/>
  </conditionalFormatting>
  <conditionalFormatting sqref="DK28">
    <cfRule type="top10" dxfId="75" priority="201" rank="10"/>
  </conditionalFormatting>
  <conditionalFormatting sqref="DK39">
    <cfRule type="top10" dxfId="74" priority="200" rank="10"/>
  </conditionalFormatting>
  <conditionalFormatting sqref="DK40:DK47">
    <cfRule type="top10" dxfId="73" priority="199" rank="10"/>
  </conditionalFormatting>
  <conditionalFormatting sqref="DK48">
    <cfRule type="top10" dxfId="72" priority="198" rank="10"/>
  </conditionalFormatting>
  <conditionalFormatting sqref="DK49:DK50">
    <cfRule type="top10" dxfId="71" priority="197" rank="10"/>
  </conditionalFormatting>
  <conditionalFormatting sqref="DK52 DF52 DM52:DN52">
    <cfRule type="top10" dxfId="70" priority="196" rank="10"/>
  </conditionalFormatting>
  <conditionalFormatting sqref="DK28:DR28">
    <cfRule type="cellIs" dxfId="69" priority="195" operator="equal">
      <formula>4</formula>
    </cfRule>
    <cfRule type="cellIs" dxfId="68" priority="194" operator="equal">
      <formula>3</formula>
    </cfRule>
  </conditionalFormatting>
  <conditionalFormatting sqref="DK17:DU17 BJ20:BK20 BJ21 BR25:BT25 BZ25 BK31 BL33 BR33:BS33 CW34 BZ36 V38 AA38 AD38 AK38:AL38 AQ38 CG38:CI38 DA38:DB38 DU48 BJ50:BJ51 DK51">
    <cfRule type="cellIs" dxfId="67" priority="191" operator="equal">
      <formula>4</formula>
    </cfRule>
    <cfRule type="cellIs" dxfId="66" priority="192" operator="equal">
      <formula>4</formula>
    </cfRule>
    <cfRule type="cellIs" dxfId="65" priority="193" operator="equal">
      <formula>1</formula>
    </cfRule>
  </conditionalFormatting>
  <conditionalFormatting sqref="DL24">
    <cfRule type="top10" dxfId="64" priority="190" rank="10"/>
  </conditionalFormatting>
  <conditionalFormatting sqref="DL28">
    <cfRule type="top10" dxfId="63" priority="189" rank="10"/>
  </conditionalFormatting>
  <conditionalFormatting sqref="DL52">
    <cfRule type="top10" dxfId="62" priority="188" rank="10"/>
  </conditionalFormatting>
  <conditionalFormatting sqref="DL53 DL29 DL19:DL23 DL31:DL51 DL25:DL27">
    <cfRule type="top10" dxfId="61" priority="187" rank="10"/>
  </conditionalFormatting>
  <conditionalFormatting sqref="DL18:DN18">
    <cfRule type="cellIs" dxfId="60" priority="184" operator="equal">
      <formula>4</formula>
    </cfRule>
    <cfRule type="cellIs" dxfId="59" priority="185" operator="equal">
      <formula>1</formula>
    </cfRule>
    <cfRule type="cellIs" dxfId="58" priority="186" operator="equal">
      <formula>4</formula>
    </cfRule>
  </conditionalFormatting>
  <conditionalFormatting sqref="DL28:DN28">
    <cfRule type="top10" dxfId="57" priority="183" rank="10"/>
  </conditionalFormatting>
  <conditionalFormatting sqref="DL53:DN53 DL29:DN29 DL19:DN23 DL31:DN51 DL25:DN27">
    <cfRule type="top10" dxfId="56" priority="182" rank="10"/>
  </conditionalFormatting>
  <conditionalFormatting sqref="DL19:DR23 AD23 AD25:AD29 BO27:BO29 AK28:AL29 CY28:CY29 DH28:DI29 V29 CG29:CX29 DA29:DB29 DL29:DU29 BJ32:BL32 CI43:CL43 CN43:CY43 BQ51:BR51 DA51:DD51 G52:DU52 G53:H56 AA53:AA56 AD53:AL56 AQ53:AR56 BJ53:BL56 BO53:BO56 BQ53:BU56 BZ53:CD56 CR53:CY56 DA53:DB56 DE53:DI56 DK53:DU56 BE54:BG55 CH54:CQ56">
    <cfRule type="cellIs" dxfId="55" priority="181" operator="equal">
      <formula>2</formula>
    </cfRule>
  </conditionalFormatting>
  <conditionalFormatting sqref="DL30:DR30">
    <cfRule type="top10" dxfId="54" priority="180" rank="10"/>
  </conditionalFormatting>
  <conditionalFormatting sqref="DL48:DR51 AR53 DU51 BE23:BG23 BE25:BG26 AK36:AL37 AD37 AQ37 BZ37:CC37 CG37 CW46:CY46 K50:K51 BE50:BG51 G51:I51">
    <cfRule type="cellIs" dxfId="53" priority="179" operator="equal">
      <formula>3</formula>
    </cfRule>
  </conditionalFormatting>
  <conditionalFormatting sqref="DL48:DR51 AR53 DU51 BE23:BG23 BE25:BG26 AK36:AL37 AD37 AQ37 BZ37:CC37 CW46:CY46 K50:K51 BE50:BG51 G51:I51">
    <cfRule type="cellIs" dxfId="52" priority="178" operator="equal">
      <formula>4</formula>
    </cfRule>
  </conditionalFormatting>
  <conditionalFormatting sqref="DM28:DN28">
    <cfRule type="top10" dxfId="51" priority="177" rank="10"/>
  </conditionalFormatting>
  <conditionalFormatting sqref="DM53:DN53 DM29:DN29 DM19:DN23 DM31:DN51 DM25:DN27">
    <cfRule type="top10" dxfId="50" priority="176" rank="10"/>
  </conditionalFormatting>
  <conditionalFormatting sqref="DM24:DU24">
    <cfRule type="top10" dxfId="49" priority="175" rank="10"/>
  </conditionalFormatting>
  <conditionalFormatting sqref="DN37">
    <cfRule type="cellIs" dxfId="48" priority="174" operator="equal">
      <formula>2</formula>
    </cfRule>
    <cfRule type="cellIs" dxfId="47" priority="171" operator="equal">
      <formula>1</formula>
    </cfRule>
    <cfRule type="cellIs" dxfId="46" priority="172" operator="equal">
      <formula>3</formula>
    </cfRule>
    <cfRule type="cellIs" dxfId="45" priority="173" operator="equal">
      <formula>4</formula>
    </cfRule>
  </conditionalFormatting>
  <conditionalFormatting sqref="DO18:DR18 BE23:BG23 CG23:CY23 DA23:DB23 DE23:DI23 DK23 J25 CY25 DE25 DH25:DI25 V25:V26 BE25:BG27 CG25:CU27 DK25:DU27 CV26:CY27 DA26:DB27 DE26:DI27 BE29:BG29 DF29:DG29 CV34 DS49:DU50 CF53:CQ53">
    <cfRule type="cellIs" dxfId="44" priority="170" operator="equal">
      <formula>2</formula>
    </cfRule>
  </conditionalFormatting>
  <conditionalFormatting sqref="DO28:DR28">
    <cfRule type="top10" dxfId="43" priority="168" rank="10"/>
    <cfRule type="top10" dxfId="42" priority="169" rank="10"/>
  </conditionalFormatting>
  <conditionalFormatting sqref="DO53:DR53 DS48:DT48 DO18:DR23 DO29:DR29 DO31:DR51 DO25:DR27">
    <cfRule type="top10" dxfId="41" priority="167" rank="10"/>
    <cfRule type="top10" dxfId="40" priority="166" rank="10"/>
  </conditionalFormatting>
  <conditionalFormatting sqref="DP52">
    <cfRule type="top10" dxfId="39" priority="165" rank="10"/>
  </conditionalFormatting>
  <conditionalFormatting sqref="DQ52">
    <cfRule type="top10" dxfId="38" priority="164" rank="10"/>
  </conditionalFormatting>
  <conditionalFormatting sqref="DR52 DO52">
    <cfRule type="top10" dxfId="37" priority="163" rank="10"/>
  </conditionalFormatting>
  <conditionalFormatting sqref="DS30:DT48 AK31:AL32 DF31:DI32 CV31:CW33 CX31:CY34 AQ31:AR36 CG31:CU36 G31:I37 V31:V37 AD31:AD37 BE31:BG37 BO31:BO37 DA31:DB37 DK31:DK37 DE31:DE38 DU31:DU47 DL31:DR51 K32:K37 BJ34:BL37 BQ34:BU37 DF34:DI38 CV35:CY38 AR37:AR38 CL37:CM38 AD39 AK39:AL39 BE39:BF40 CG39:CQ40 CU39:CY40 BQ39:BU41 CA39:CC43 DA39:DB45 DE39:DI45 G39:H46 BJ39:BL49 BO39:BO49 AQ39:AR50 DK39:DK50 AA39:AA51 AD40:AL51 BE41:BG45 K41:K46 I41:I47 V41:V51 BZ44:CC44">
    <cfRule type="cellIs" dxfId="36" priority="162" operator="equal">
      <formula>2</formula>
    </cfRule>
  </conditionalFormatting>
  <conditionalFormatting sqref="DS37:DT37">
    <cfRule type="top10" dxfId="35" priority="161" rank="10"/>
  </conditionalFormatting>
  <conditionalFormatting sqref="DS39:DT39">
    <cfRule type="top10" dxfId="34" priority="160" rank="10"/>
  </conditionalFormatting>
  <conditionalFormatting sqref="DS48:DT48">
    <cfRule type="top10" dxfId="33" priority="159" rank="10"/>
  </conditionalFormatting>
  <conditionalFormatting sqref="DS49:DT49 DS50:DU50">
    <cfRule type="top10" dxfId="32" priority="158" rank="10"/>
  </conditionalFormatting>
  <conditionalFormatting sqref="DS23:DU23">
    <cfRule type="top10" dxfId="31" priority="157" rank="10"/>
  </conditionalFormatting>
  <conditionalFormatting sqref="DS38:DU38">
    <cfRule type="cellIs" dxfId="30" priority="156" operator="equal">
      <formula>1</formula>
    </cfRule>
    <cfRule type="top10" dxfId="29" priority="155" rank="10"/>
  </conditionalFormatting>
  <conditionalFormatting sqref="DS52:DU52">
    <cfRule type="cellIs" dxfId="28" priority="154" operator="equal">
      <formula>1</formula>
    </cfRule>
    <cfRule type="top10" dxfId="27" priority="152" rank="10"/>
    <cfRule type="top10" dxfId="26" priority="153" rank="10"/>
  </conditionalFormatting>
  <conditionalFormatting sqref="DS53:DU53 CK53:CO53 BS53:BU53 CC53:CD53 BG53 CV53:CY53 DA53:DB53 CF53:CH53 BZ53 BO53 BJ53:BL53 DE53:DI53 DK53">
    <cfRule type="top10" dxfId="25" priority="151" rank="10"/>
  </conditionalFormatting>
  <conditionalFormatting sqref="DS53:DU53 DA53:DB53 BZ53:CD53 BQ53:BU53 BO53 BJ53:BL53 BG53 AQ53:AR53 AD53 AK53:AL53 AA53 V53 DE53:DI53 DK53 G53:H53 K53 CF53:CY53">
    <cfRule type="top10" dxfId="24" priority="150" rank="10"/>
  </conditionalFormatting>
  <conditionalFormatting sqref="DT28">
    <cfRule type="top10" dxfId="23" priority="149" rank="10"/>
  </conditionalFormatting>
  <conditionalFormatting sqref="DT30">
    <cfRule type="cellIs" dxfId="22" priority="148" operator="equal">
      <formula>2</formula>
    </cfRule>
  </conditionalFormatting>
  <conditionalFormatting sqref="DU23 DU29 DU31:DU34 DU25:DU27">
    <cfRule type="top10" dxfId="21" priority="147" rank="10"/>
  </conditionalFormatting>
  <conditionalFormatting sqref="DU28">
    <cfRule type="top10" dxfId="20" priority="146" rank="10"/>
  </conditionalFormatting>
  <conditionalFormatting sqref="DU35:DU36 DS25:DT27 DS31:DT36 DS29:DU29">
    <cfRule type="top10" dxfId="19" priority="145" rank="10"/>
  </conditionalFormatting>
  <conditionalFormatting sqref="DU37">
    <cfRule type="top10" dxfId="18" priority="144" rank="10"/>
  </conditionalFormatting>
  <conditionalFormatting sqref="DU39:DU40">
    <cfRule type="cellIs" dxfId="17" priority="143" operator="equal">
      <formula>1</formula>
    </cfRule>
    <cfRule type="top10" dxfId="16" priority="142" rank="10"/>
  </conditionalFormatting>
  <conditionalFormatting sqref="DU41:DU43">
    <cfRule type="top10" dxfId="15" priority="141" rank="10"/>
  </conditionalFormatting>
  <conditionalFormatting sqref="DU44 DS40:DT47">
    <cfRule type="top10" dxfId="14" priority="140" rank="10"/>
  </conditionalFormatting>
  <conditionalFormatting sqref="DU45:DU46">
    <cfRule type="top10" dxfId="13" priority="139" rank="10"/>
  </conditionalFormatting>
  <conditionalFormatting sqref="DU47">
    <cfRule type="top10" dxfId="12" priority="138" rank="10"/>
  </conditionalFormatting>
  <conditionalFormatting sqref="DU49">
    <cfRule type="cellIs" dxfId="11" priority="132" operator="equal">
      <formula>4</formula>
    </cfRule>
    <cfRule type="cellIs" dxfId="10" priority="133" operator="equal">
      <formula>3</formula>
    </cfRule>
    <cfRule type="top10" dxfId="9" priority="134" rank="10"/>
    <cfRule type="cellIs" dxfId="8" priority="135" operator="equal">
      <formula>1</formula>
    </cfRule>
    <cfRule type="top10" dxfId="7" priority="136" rank="10"/>
    <cfRule type="top10" dxfId="6" priority="137" rank="10"/>
  </conditionalFormatting>
  <conditionalFormatting sqref="DU51">
    <cfRule type="top10" dxfId="5" priority="130" rank="10"/>
    <cfRule type="cellIs" dxfId="4" priority="131" operator="equal">
      <formula>1</formula>
    </cfRule>
  </conditionalFormatting>
  <conditionalFormatting sqref="DV17:DV146">
    <cfRule type="cellIs" dxfId="3" priority="129" operator="equal">
      <formula>1</formula>
    </cfRule>
    <cfRule type="cellIs" dxfId="2" priority="127" operator="equal">
      <formula>2</formula>
    </cfRule>
    <cfRule type="cellIs" dxfId="1" priority="126" operator="equal">
      <formula>4</formula>
    </cfRule>
    <cfRule type="cellIs" dxfId="0" priority="128" operator="equal">
      <formula>3</formula>
    </cfRule>
  </conditionalFormatting>
  <hyperlinks>
    <hyperlink ref="C110" r:id="rId1" display="https://enterprisedirectory.connect.te.com/Profile/UserProfile/TE640916" xr:uid="{79522289-0C65-4A78-91F2-C35A2B5C3302}"/>
    <hyperlink ref="C113" r:id="rId2" display="https://enterprisedirectory.connect.te.com/Profile/UserProfile/TE641895" xr:uid="{6688818B-9BC8-4803-9E85-F2EE4484F3CC}"/>
    <hyperlink ref="C123" r:id="rId3" display="https://enterprisedirectory.connect.te.com/Profile/UserProfile/TE647806" xr:uid="{D56DBC33-8E11-4B83-8F9F-22A76B44A349}"/>
    <hyperlink ref="C121" r:id="rId4" display="https://enterprisedirectory.connect.te.com/Profile/UserProfile/TE647808" xr:uid="{9A2FC217-9EEB-46C2-972F-24ADB0F28A00}"/>
  </hyperlinks>
  <pageMargins left="0" right="0" top="0" bottom="0" header="0" footer="0"/>
  <pageSetup paperSize="8" scale="10" orientation="landscape" r:id="rId5"/>
  <rowBreaks count="1" manualBreakCount="1">
    <brk id="65" max="126" man="1"/>
  </rowBrea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D98E-64B3-471D-A022-2A3FC61E1C29}">
  <sheetPr>
    <pageSetUpPr fitToPage="1"/>
  </sheetPr>
  <dimension ref="A1:AD56"/>
  <sheetViews>
    <sheetView topLeftCell="A10" zoomScale="40" zoomScaleNormal="40" zoomScaleSheetLayoutView="55" workbookViewId="0">
      <selection activeCell="F30" sqref="F30"/>
    </sheetView>
  </sheetViews>
  <sheetFormatPr defaultColWidth="9.109375" defaultRowHeight="14.4"/>
  <cols>
    <col min="1" max="1" width="32.6640625" customWidth="1"/>
    <col min="2" max="2" width="71" customWidth="1"/>
    <col min="3" max="3" width="44.88671875" customWidth="1"/>
    <col min="4" max="4" width="38" customWidth="1"/>
    <col min="5" max="5" width="29.6640625" customWidth="1"/>
    <col min="6" max="22" width="33.33203125" customWidth="1"/>
    <col min="23" max="23" width="24.109375" customWidth="1"/>
    <col min="24" max="24" width="31.6640625" customWidth="1"/>
  </cols>
  <sheetData>
    <row r="1" spans="1:30" s="1" customFormat="1" ht="92.25" customHeight="1" thickBot="1">
      <c r="A1" s="601"/>
      <c r="B1" s="786"/>
      <c r="C1" s="602"/>
      <c r="D1" s="980" t="s">
        <v>29</v>
      </c>
      <c r="E1" s="981"/>
      <c r="F1" s="981"/>
      <c r="G1" s="981"/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1"/>
      <c r="U1" s="981"/>
      <c r="V1" s="982"/>
      <c r="W1" s="430" t="s">
        <v>0</v>
      </c>
      <c r="X1" s="468" t="s">
        <v>20</v>
      </c>
    </row>
    <row r="2" spans="1:30" s="1" customFormat="1" ht="92.25" customHeight="1" thickBot="1">
      <c r="A2" s="603"/>
      <c r="B2" s="787"/>
      <c r="C2" s="604"/>
      <c r="D2" s="983" t="s">
        <v>30</v>
      </c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4"/>
      <c r="U2" s="984"/>
      <c r="V2" s="985"/>
      <c r="W2" s="430" t="s">
        <v>1</v>
      </c>
      <c r="X2" s="467">
        <v>45358</v>
      </c>
    </row>
    <row r="3" spans="1:30" s="2" customFormat="1" ht="22.5" customHeight="1">
      <c r="A3" s="185"/>
      <c r="B3" s="87" t="s">
        <v>4</v>
      </c>
      <c r="C3" s="87"/>
      <c r="D3" s="4"/>
      <c r="E3" s="4"/>
      <c r="F3" s="5"/>
      <c r="G3" s="5"/>
      <c r="H3" s="5"/>
      <c r="I3" s="5"/>
      <c r="J3" s="5"/>
      <c r="K3" s="5"/>
      <c r="L3" s="5"/>
      <c r="M3" s="3"/>
      <c r="N3" s="3"/>
      <c r="O3" s="3"/>
      <c r="P3" s="3"/>
      <c r="Q3" s="5"/>
      <c r="R3" s="5"/>
      <c r="S3" s="5"/>
      <c r="T3" s="986" t="s">
        <v>518</v>
      </c>
      <c r="U3" s="987"/>
      <c r="V3" s="988"/>
      <c r="W3" s="995">
        <f>+AVERAGE(W18:W35)</f>
        <v>0.30555555555555558</v>
      </c>
      <c r="X3" s="694">
        <f>AVERAGE(X18:X35)</f>
        <v>0.7404040404040404</v>
      </c>
    </row>
    <row r="4" spans="1:30" s="2" customFormat="1" ht="12" customHeight="1">
      <c r="A4" s="157"/>
      <c r="B4" s="186"/>
      <c r="C4" s="186"/>
      <c r="J4" s="8"/>
      <c r="K4" s="5"/>
      <c r="T4" s="989"/>
      <c r="U4" s="990"/>
      <c r="V4" s="991"/>
      <c r="W4" s="996"/>
      <c r="X4" s="695"/>
    </row>
    <row r="5" spans="1:30" s="6" customFormat="1" ht="29.25" customHeight="1">
      <c r="A5" s="157"/>
      <c r="B5" s="434" t="s">
        <v>5</v>
      </c>
      <c r="C5" s="86"/>
      <c r="F5" s="7"/>
      <c r="G5" s="7"/>
      <c r="H5" s="7"/>
      <c r="I5" s="9"/>
      <c r="J5" s="9"/>
      <c r="K5" s="9"/>
      <c r="L5" s="9"/>
      <c r="M5" s="9"/>
      <c r="N5" s="7"/>
      <c r="O5" s="7"/>
      <c r="T5" s="989"/>
      <c r="U5" s="990"/>
      <c r="V5" s="991"/>
      <c r="W5" s="996"/>
      <c r="X5" s="695"/>
    </row>
    <row r="6" spans="1:30" s="6" customFormat="1" ht="29.25" customHeight="1">
      <c r="A6" s="157"/>
      <c r="B6" s="434" t="s">
        <v>6</v>
      </c>
      <c r="C6" s="86"/>
      <c r="F6" s="7"/>
      <c r="G6" s="7"/>
      <c r="H6" s="7"/>
      <c r="I6" s="7"/>
      <c r="J6" s="7"/>
      <c r="K6" s="7"/>
      <c r="L6" s="7"/>
      <c r="M6" s="7"/>
      <c r="N6" s="7"/>
      <c r="O6" s="7"/>
      <c r="T6" s="989"/>
      <c r="U6" s="990"/>
      <c r="V6" s="991"/>
      <c r="W6" s="996"/>
      <c r="X6" s="695"/>
    </row>
    <row r="7" spans="1:30" s="6" customFormat="1" ht="29.25" customHeight="1">
      <c r="A7" s="157"/>
      <c r="B7" s="434" t="s">
        <v>7</v>
      </c>
      <c r="C7" s="86"/>
      <c r="F7" s="630"/>
      <c r="G7" s="630"/>
      <c r="H7" s="630"/>
      <c r="I7" s="630"/>
      <c r="J7" s="630"/>
      <c r="K7" s="630"/>
      <c r="L7" s="630"/>
      <c r="M7" s="9"/>
      <c r="T7" s="989"/>
      <c r="U7" s="990"/>
      <c r="V7" s="991"/>
      <c r="W7" s="996"/>
      <c r="X7" s="695"/>
    </row>
    <row r="8" spans="1:30" s="6" customFormat="1" ht="4.5" customHeight="1">
      <c r="A8" s="157"/>
      <c r="B8" s="434"/>
      <c r="C8" s="86"/>
      <c r="F8" s="9"/>
      <c r="G8" s="9"/>
      <c r="H8" s="9"/>
      <c r="I8" s="9"/>
      <c r="J8" s="9"/>
      <c r="K8" s="9"/>
      <c r="L8" s="9"/>
      <c r="M8" s="9"/>
      <c r="T8" s="989"/>
      <c r="U8" s="990"/>
      <c r="V8" s="991"/>
      <c r="W8" s="996"/>
      <c r="X8" s="695"/>
    </row>
    <row r="9" spans="1:30" s="2" customFormat="1" ht="29.25" customHeight="1">
      <c r="A9" s="157"/>
      <c r="B9" s="434" t="s">
        <v>10</v>
      </c>
      <c r="C9" s="86"/>
      <c r="D9" s="11"/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989"/>
      <c r="U9" s="990"/>
      <c r="V9" s="991"/>
      <c r="W9" s="996"/>
      <c r="X9" s="695"/>
    </row>
    <row r="10" spans="1:30" s="2" customFormat="1" ht="22.5" customHeight="1">
      <c r="A10" s="157"/>
      <c r="B10" s="7"/>
      <c r="C10" s="7"/>
      <c r="D10" s="11"/>
      <c r="E10" s="1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989"/>
      <c r="U10" s="990"/>
      <c r="V10" s="991"/>
      <c r="W10" s="996"/>
      <c r="X10" s="695"/>
    </row>
    <row r="11" spans="1:30" s="2" customFormat="1" ht="28.5" customHeight="1" thickBot="1">
      <c r="A11" s="157"/>
      <c r="B11" s="7"/>
      <c r="C11" s="7"/>
      <c r="D11" s="11"/>
      <c r="E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992"/>
      <c r="U11" s="993"/>
      <c r="V11" s="994"/>
      <c r="W11" s="997"/>
      <c r="X11" s="696"/>
    </row>
    <row r="12" spans="1:30" ht="43.5" customHeight="1" thickBot="1">
      <c r="A12" s="187"/>
      <c r="B12" s="42"/>
      <c r="C12" s="42"/>
      <c r="D12" s="42"/>
      <c r="E12" s="42"/>
      <c r="F12" s="798"/>
      <c r="G12" s="799"/>
      <c r="H12" s="799"/>
      <c r="I12" s="799"/>
      <c r="J12" s="799"/>
      <c r="K12" s="799"/>
      <c r="L12" s="799"/>
      <c r="M12" s="107"/>
      <c r="N12" s="107"/>
      <c r="O12" s="107"/>
      <c r="P12" s="107"/>
      <c r="Q12" s="107"/>
      <c r="R12" s="107"/>
      <c r="S12" s="107"/>
      <c r="T12" s="801"/>
      <c r="U12" s="801"/>
      <c r="V12" s="801"/>
      <c r="W12" s="968" t="s">
        <v>11</v>
      </c>
      <c r="X12" s="968" t="s">
        <v>517</v>
      </c>
      <c r="Y12" s="2"/>
      <c r="Z12" s="2"/>
      <c r="AA12" s="2"/>
      <c r="AB12" s="2"/>
      <c r="AC12" s="2"/>
      <c r="AD12" s="2"/>
    </row>
    <row r="13" spans="1:30" ht="129" customHeight="1" thickBot="1">
      <c r="A13" s="970" t="s">
        <v>2</v>
      </c>
      <c r="B13" s="970" t="s">
        <v>3</v>
      </c>
      <c r="C13" s="970" t="s">
        <v>611</v>
      </c>
      <c r="D13" s="970" t="s">
        <v>8</v>
      </c>
      <c r="E13" s="974" t="s">
        <v>9</v>
      </c>
      <c r="F13" s="449" t="s">
        <v>46</v>
      </c>
      <c r="G13" s="976" t="s">
        <v>47</v>
      </c>
      <c r="H13" s="977"/>
      <c r="I13" s="976" t="s">
        <v>440</v>
      </c>
      <c r="J13" s="977"/>
      <c r="K13" s="449" t="s">
        <v>46</v>
      </c>
      <c r="L13" s="450" t="s">
        <v>49</v>
      </c>
      <c r="M13" s="449" t="s">
        <v>49</v>
      </c>
      <c r="N13" s="449" t="s">
        <v>49</v>
      </c>
      <c r="O13" s="449" t="s">
        <v>49</v>
      </c>
      <c r="P13" s="451" t="s">
        <v>46</v>
      </c>
      <c r="Q13" s="449" t="s">
        <v>49</v>
      </c>
      <c r="R13" s="449" t="s">
        <v>501</v>
      </c>
      <c r="S13" s="452" t="s">
        <v>913</v>
      </c>
      <c r="T13" s="998" t="s">
        <v>66</v>
      </c>
      <c r="U13" s="998" t="s">
        <v>67</v>
      </c>
      <c r="V13" s="964" t="s">
        <v>68</v>
      </c>
      <c r="W13" s="969"/>
      <c r="X13" s="969"/>
      <c r="Y13" s="2"/>
      <c r="Z13" s="2"/>
      <c r="AA13" s="2"/>
      <c r="AB13" s="2"/>
      <c r="AC13" s="2"/>
      <c r="AD13" s="2"/>
    </row>
    <row r="14" spans="1:30" ht="26.25" customHeight="1">
      <c r="A14" s="971"/>
      <c r="B14" s="971"/>
      <c r="C14" s="971"/>
      <c r="D14" s="971"/>
      <c r="E14" s="975"/>
      <c r="F14" s="978" t="s">
        <v>50</v>
      </c>
      <c r="G14" s="978" t="s">
        <v>277</v>
      </c>
      <c r="H14" s="1003" t="s">
        <v>51</v>
      </c>
      <c r="I14" s="978" t="s">
        <v>52</v>
      </c>
      <c r="J14" s="1005"/>
      <c r="K14" s="978" t="s">
        <v>53</v>
      </c>
      <c r="L14" s="1007" t="s">
        <v>54</v>
      </c>
      <c r="M14" s="1009" t="s">
        <v>504</v>
      </c>
      <c r="N14" s="978" t="s">
        <v>56</v>
      </c>
      <c r="O14" s="978" t="s">
        <v>57</v>
      </c>
      <c r="P14" s="978" t="s">
        <v>58</v>
      </c>
      <c r="Q14" s="978" t="s">
        <v>59</v>
      </c>
      <c r="R14" s="978" t="s">
        <v>502</v>
      </c>
      <c r="S14" s="453"/>
      <c r="T14" s="999"/>
      <c r="U14" s="999"/>
      <c r="V14" s="965"/>
      <c r="W14" s="969"/>
      <c r="X14" s="969"/>
      <c r="Y14" s="2"/>
      <c r="Z14" s="2"/>
      <c r="AA14" s="2"/>
      <c r="AB14" s="2"/>
      <c r="AC14" s="2"/>
      <c r="AD14" s="2"/>
    </row>
    <row r="15" spans="1:30" ht="174" customHeight="1" thickBot="1">
      <c r="A15" s="971"/>
      <c r="B15" s="971"/>
      <c r="C15" s="971"/>
      <c r="D15" s="971"/>
      <c r="E15" s="975"/>
      <c r="F15" s="979"/>
      <c r="G15" s="979"/>
      <c r="H15" s="1004"/>
      <c r="I15" s="979"/>
      <c r="J15" s="1006"/>
      <c r="K15" s="979"/>
      <c r="L15" s="1008"/>
      <c r="M15" s="979"/>
      <c r="N15" s="979"/>
      <c r="O15" s="979"/>
      <c r="P15" s="979"/>
      <c r="Q15" s="979"/>
      <c r="R15" s="979"/>
      <c r="S15" s="455" t="s">
        <v>797</v>
      </c>
      <c r="T15" s="999"/>
      <c r="U15" s="999"/>
      <c r="V15" s="965"/>
      <c r="W15" s="969"/>
      <c r="X15" s="969"/>
      <c r="Y15" s="2"/>
      <c r="Z15" s="2"/>
      <c r="AA15" s="2"/>
      <c r="AB15" s="2"/>
      <c r="AC15" s="2"/>
      <c r="AD15" s="2"/>
    </row>
    <row r="16" spans="1:30" ht="161.25" customHeight="1" thickBot="1">
      <c r="A16" s="971"/>
      <c r="B16" s="971"/>
      <c r="C16" s="971"/>
      <c r="D16" s="971"/>
      <c r="E16" s="975"/>
      <c r="F16" s="1001" t="s">
        <v>503</v>
      </c>
      <c r="G16" s="1001" t="s">
        <v>503</v>
      </c>
      <c r="H16" s="1001" t="s">
        <v>503</v>
      </c>
      <c r="I16" s="456" t="s">
        <v>62</v>
      </c>
      <c r="J16" s="456" t="s">
        <v>63</v>
      </c>
      <c r="K16" s="1001" t="s">
        <v>503</v>
      </c>
      <c r="L16" s="1001" t="s">
        <v>503</v>
      </c>
      <c r="M16" s="1001" t="s">
        <v>503</v>
      </c>
      <c r="N16" s="1001" t="s">
        <v>503</v>
      </c>
      <c r="O16" s="1001" t="s">
        <v>503</v>
      </c>
      <c r="P16" s="1001" t="s">
        <v>503</v>
      </c>
      <c r="Q16" s="1001" t="s">
        <v>503</v>
      </c>
      <c r="R16" s="1001" t="s">
        <v>503</v>
      </c>
      <c r="S16" s="1001" t="s">
        <v>503</v>
      </c>
      <c r="T16" s="999"/>
      <c r="U16" s="999"/>
      <c r="V16" s="965"/>
      <c r="W16" s="969"/>
      <c r="X16" s="969"/>
      <c r="Y16" s="2"/>
      <c r="Z16" s="2"/>
      <c r="AA16" s="2"/>
      <c r="AB16" s="2"/>
      <c r="AC16" s="2"/>
      <c r="AD16" s="2"/>
    </row>
    <row r="17" spans="1:30" ht="161.25" customHeight="1" thickBot="1">
      <c r="A17" s="972"/>
      <c r="B17" s="972"/>
      <c r="C17" s="973"/>
      <c r="D17" s="971"/>
      <c r="E17" s="975"/>
      <c r="F17" s="1002"/>
      <c r="G17" s="1002"/>
      <c r="H17" s="1002"/>
      <c r="I17" s="457" t="s">
        <v>503</v>
      </c>
      <c r="J17" s="457" t="s">
        <v>503</v>
      </c>
      <c r="K17" s="1002"/>
      <c r="L17" s="1002"/>
      <c r="M17" s="1002"/>
      <c r="N17" s="1002"/>
      <c r="O17" s="1002"/>
      <c r="P17" s="1002"/>
      <c r="Q17" s="1002"/>
      <c r="R17" s="1002"/>
      <c r="S17" s="1002"/>
      <c r="T17" s="1000"/>
      <c r="U17" s="1000"/>
      <c r="V17" s="966"/>
      <c r="W17" s="969"/>
      <c r="X17" s="969"/>
      <c r="Y17" s="2"/>
      <c r="Z17" s="2"/>
      <c r="AA17" s="2"/>
      <c r="AB17" s="2"/>
      <c r="AC17" s="2"/>
      <c r="AD17" s="2"/>
    </row>
    <row r="18" spans="1:30" s="105" customFormat="1" ht="77.25" customHeight="1" thickBot="1">
      <c r="A18" s="461" t="s">
        <v>34</v>
      </c>
      <c r="B18" s="462" t="s">
        <v>35</v>
      </c>
      <c r="C18" s="463">
        <v>44441</v>
      </c>
      <c r="D18" s="448" t="s">
        <v>32</v>
      </c>
      <c r="E18" s="466" t="s">
        <v>1189</v>
      </c>
      <c r="F18" s="458" t="s">
        <v>69</v>
      </c>
      <c r="G18" s="458" t="s">
        <v>69</v>
      </c>
      <c r="H18" s="458" t="s">
        <v>69</v>
      </c>
      <c r="I18" s="458">
        <v>4</v>
      </c>
      <c r="J18" s="458">
        <v>4</v>
      </c>
      <c r="K18" s="458">
        <v>4</v>
      </c>
      <c r="L18" s="458" t="s">
        <v>69</v>
      </c>
      <c r="M18" s="458" t="s">
        <v>69</v>
      </c>
      <c r="N18" s="458" t="s">
        <v>69</v>
      </c>
      <c r="O18" s="458" t="s">
        <v>69</v>
      </c>
      <c r="P18" s="458">
        <v>2</v>
      </c>
      <c r="Q18" s="458" t="s">
        <v>69</v>
      </c>
      <c r="R18" s="458" t="s">
        <v>69</v>
      </c>
      <c r="S18" s="458" t="s">
        <v>69</v>
      </c>
      <c r="T18" s="458">
        <v>4</v>
      </c>
      <c r="U18" s="458">
        <v>4</v>
      </c>
      <c r="V18" s="459" t="s">
        <v>69</v>
      </c>
      <c r="W18" s="131">
        <f>+COUNTIF(F18:V18,"&gt;0")/16</f>
        <v>0.375</v>
      </c>
      <c r="X18" s="175">
        <f>COUNTIF(E18:V18,"&gt;2")/COUNTIF(F18:V18,"&gt;1")</f>
        <v>0.83333333333333337</v>
      </c>
      <c r="Y18" s="32"/>
      <c r="Z18" s="32"/>
      <c r="AA18" s="32"/>
      <c r="AB18" s="32"/>
      <c r="AC18" s="32"/>
      <c r="AD18" s="32"/>
    </row>
    <row r="19" spans="1:30" s="105" customFormat="1" ht="77.25" customHeight="1" thickBot="1">
      <c r="A19" s="461" t="s">
        <v>36</v>
      </c>
      <c r="B19" s="462" t="s">
        <v>37</v>
      </c>
      <c r="C19" s="463">
        <v>44819</v>
      </c>
      <c r="D19" s="448" t="s">
        <v>32</v>
      </c>
      <c r="E19" s="466" t="s">
        <v>1189</v>
      </c>
      <c r="F19" s="458">
        <v>4</v>
      </c>
      <c r="G19" s="458">
        <v>4</v>
      </c>
      <c r="H19" s="458">
        <v>4</v>
      </c>
      <c r="I19" s="458" t="s">
        <v>69</v>
      </c>
      <c r="J19" s="458" t="s">
        <v>69</v>
      </c>
      <c r="K19" s="458" t="s">
        <v>69</v>
      </c>
      <c r="L19" s="458" t="s">
        <v>69</v>
      </c>
      <c r="M19" s="458" t="s">
        <v>69</v>
      </c>
      <c r="N19" s="458" t="s">
        <v>69</v>
      </c>
      <c r="O19" s="458" t="s">
        <v>69</v>
      </c>
      <c r="P19" s="458" t="s">
        <v>69</v>
      </c>
      <c r="Q19" s="458" t="s">
        <v>69</v>
      </c>
      <c r="R19" s="458" t="s">
        <v>69</v>
      </c>
      <c r="S19" s="458" t="s">
        <v>69</v>
      </c>
      <c r="T19" s="458">
        <v>4</v>
      </c>
      <c r="U19" s="458">
        <v>4</v>
      </c>
      <c r="V19" s="459" t="s">
        <v>69</v>
      </c>
      <c r="W19" s="131">
        <f t="shared" ref="W19:W35" si="0">+COUNTIF(F19:V19,"&gt;0")/16</f>
        <v>0.3125</v>
      </c>
      <c r="X19" s="175">
        <f t="shared" ref="X19:X35" si="1">COUNTIF(E19:V19,"&gt;2")/COUNTIF(F19:V19,"&gt;1")</f>
        <v>1</v>
      </c>
      <c r="Y19" s="32"/>
      <c r="Z19" s="32"/>
      <c r="AA19" s="32"/>
      <c r="AB19" s="32"/>
      <c r="AC19" s="32"/>
      <c r="AD19" s="32"/>
    </row>
    <row r="20" spans="1:30" s="105" customFormat="1" ht="77.25" customHeight="1" thickBot="1">
      <c r="A20" s="461" t="s">
        <v>606</v>
      </c>
      <c r="B20" s="462" t="s">
        <v>605</v>
      </c>
      <c r="C20" s="463">
        <v>44910</v>
      </c>
      <c r="D20" s="448" t="s">
        <v>32</v>
      </c>
      <c r="E20" s="466" t="s">
        <v>1189</v>
      </c>
      <c r="F20" s="458" t="s">
        <v>69</v>
      </c>
      <c r="G20" s="458" t="s">
        <v>69</v>
      </c>
      <c r="H20" s="458" t="s">
        <v>69</v>
      </c>
      <c r="I20" s="458" t="s">
        <v>69</v>
      </c>
      <c r="J20" s="458" t="s">
        <v>69</v>
      </c>
      <c r="K20" s="458">
        <v>4</v>
      </c>
      <c r="L20" s="458">
        <v>4</v>
      </c>
      <c r="M20" s="460">
        <v>4</v>
      </c>
      <c r="N20" s="458" t="s">
        <v>69</v>
      </c>
      <c r="O20" s="458">
        <v>4</v>
      </c>
      <c r="P20" s="458">
        <v>4</v>
      </c>
      <c r="Q20" s="458">
        <v>4</v>
      </c>
      <c r="R20" s="458" t="s">
        <v>69</v>
      </c>
      <c r="S20" s="458" t="s">
        <v>69</v>
      </c>
      <c r="T20" s="458">
        <v>4</v>
      </c>
      <c r="U20" s="458">
        <v>4</v>
      </c>
      <c r="V20" s="459" t="s">
        <v>69</v>
      </c>
      <c r="W20" s="131">
        <f t="shared" si="0"/>
        <v>0.5</v>
      </c>
      <c r="X20" s="175">
        <f t="shared" si="1"/>
        <v>1</v>
      </c>
      <c r="Y20" s="32"/>
      <c r="Z20" s="32"/>
      <c r="AA20" s="32"/>
      <c r="AB20" s="32"/>
      <c r="AC20" s="32"/>
      <c r="AD20" s="32"/>
    </row>
    <row r="21" spans="1:30" s="105" customFormat="1" ht="77.25" customHeight="1" thickBot="1">
      <c r="A21" s="461" t="s">
        <v>604</v>
      </c>
      <c r="B21" s="462" t="s">
        <v>603</v>
      </c>
      <c r="C21" s="463">
        <v>45153</v>
      </c>
      <c r="D21" s="448" t="s">
        <v>32</v>
      </c>
      <c r="E21" s="466" t="s">
        <v>1189</v>
      </c>
      <c r="F21" s="458" t="s">
        <v>69</v>
      </c>
      <c r="G21" s="458" t="s">
        <v>69</v>
      </c>
      <c r="H21" s="458" t="s">
        <v>69</v>
      </c>
      <c r="I21" s="458" t="s">
        <v>69</v>
      </c>
      <c r="J21" s="458" t="s">
        <v>69</v>
      </c>
      <c r="K21" s="458" t="s">
        <v>69</v>
      </c>
      <c r="L21" s="458" t="s">
        <v>69</v>
      </c>
      <c r="M21" s="458" t="s">
        <v>69</v>
      </c>
      <c r="N21" s="458">
        <v>4</v>
      </c>
      <c r="O21" s="458" t="s">
        <v>69</v>
      </c>
      <c r="P21" s="458" t="s">
        <v>69</v>
      </c>
      <c r="Q21" s="458" t="s">
        <v>69</v>
      </c>
      <c r="R21" s="458" t="s">
        <v>69</v>
      </c>
      <c r="S21" s="458">
        <v>2</v>
      </c>
      <c r="T21" s="458">
        <v>4</v>
      </c>
      <c r="U21" s="458">
        <v>4</v>
      </c>
      <c r="V21" s="459" t="s">
        <v>69</v>
      </c>
      <c r="W21" s="131">
        <f t="shared" si="0"/>
        <v>0.25</v>
      </c>
      <c r="X21" s="175">
        <f t="shared" si="1"/>
        <v>0.75</v>
      </c>
      <c r="Y21" s="32"/>
      <c r="Z21" s="32"/>
      <c r="AA21" s="32"/>
      <c r="AB21" s="32"/>
      <c r="AC21" s="32"/>
      <c r="AD21" s="32"/>
    </row>
    <row r="22" spans="1:30" s="105" customFormat="1" ht="77.25" customHeight="1" thickBot="1">
      <c r="A22" s="461" t="s">
        <v>602</v>
      </c>
      <c r="B22" s="462" t="s">
        <v>601</v>
      </c>
      <c r="C22" s="463">
        <v>45061</v>
      </c>
      <c r="D22" s="448" t="s">
        <v>32</v>
      </c>
      <c r="E22" s="466" t="s">
        <v>1189</v>
      </c>
      <c r="F22" s="458">
        <v>4</v>
      </c>
      <c r="G22" s="458">
        <v>4</v>
      </c>
      <c r="H22" s="458">
        <v>4</v>
      </c>
      <c r="I22" s="458">
        <v>4</v>
      </c>
      <c r="J22" s="458">
        <v>4</v>
      </c>
      <c r="K22" s="458" t="s">
        <v>69</v>
      </c>
      <c r="L22" s="458">
        <v>2</v>
      </c>
      <c r="M22" s="458" t="s">
        <v>69</v>
      </c>
      <c r="N22" s="458">
        <v>2</v>
      </c>
      <c r="O22" s="458" t="s">
        <v>69</v>
      </c>
      <c r="P22" s="458" t="s">
        <v>69</v>
      </c>
      <c r="Q22" s="458" t="s">
        <v>69</v>
      </c>
      <c r="R22" s="458">
        <v>4</v>
      </c>
      <c r="S22" s="458">
        <v>2</v>
      </c>
      <c r="T22" s="458">
        <v>4</v>
      </c>
      <c r="U22" s="458">
        <v>4</v>
      </c>
      <c r="V22" s="459" t="s">
        <v>69</v>
      </c>
      <c r="W22" s="131">
        <f t="shared" si="0"/>
        <v>0.6875</v>
      </c>
      <c r="X22" s="175">
        <f t="shared" si="1"/>
        <v>0.72727272727272729</v>
      </c>
      <c r="Y22" s="32"/>
      <c r="Z22" s="32"/>
      <c r="AA22" s="32"/>
      <c r="AB22" s="32"/>
      <c r="AC22" s="32"/>
      <c r="AD22" s="32"/>
    </row>
    <row r="23" spans="1:30" s="105" customFormat="1" ht="77.25" customHeight="1" thickBot="1">
      <c r="A23" s="461" t="s">
        <v>600</v>
      </c>
      <c r="B23" s="462" t="s">
        <v>599</v>
      </c>
      <c r="C23" s="463">
        <v>45061</v>
      </c>
      <c r="D23" s="448" t="s">
        <v>32</v>
      </c>
      <c r="E23" s="466" t="s">
        <v>1189</v>
      </c>
      <c r="F23" s="458" t="s">
        <v>69</v>
      </c>
      <c r="G23" s="458" t="s">
        <v>69</v>
      </c>
      <c r="H23" s="458" t="s">
        <v>69</v>
      </c>
      <c r="I23" s="458" t="s">
        <v>69</v>
      </c>
      <c r="J23" s="458" t="s">
        <v>69</v>
      </c>
      <c r="K23" s="458" t="s">
        <v>69</v>
      </c>
      <c r="L23" s="458">
        <v>4</v>
      </c>
      <c r="M23" s="458">
        <v>3</v>
      </c>
      <c r="N23" s="458" t="s">
        <v>69</v>
      </c>
      <c r="O23" s="458">
        <v>4</v>
      </c>
      <c r="P23" s="458">
        <v>4</v>
      </c>
      <c r="Q23" s="458" t="s">
        <v>69</v>
      </c>
      <c r="R23" s="458" t="s">
        <v>69</v>
      </c>
      <c r="S23" s="458" t="s">
        <v>69</v>
      </c>
      <c r="T23" s="458">
        <v>4</v>
      </c>
      <c r="U23" s="458">
        <v>4</v>
      </c>
      <c r="V23" s="459" t="s">
        <v>69</v>
      </c>
      <c r="W23" s="131">
        <f t="shared" si="0"/>
        <v>0.375</v>
      </c>
      <c r="X23" s="175">
        <f t="shared" si="1"/>
        <v>1</v>
      </c>
      <c r="Y23" s="32"/>
      <c r="Z23" s="32"/>
      <c r="AA23" s="32"/>
      <c r="AB23" s="32"/>
      <c r="AC23" s="32"/>
      <c r="AD23" s="32"/>
    </row>
    <row r="24" spans="1:30" s="105" customFormat="1" ht="77.25" customHeight="1" thickBot="1">
      <c r="A24" s="461" t="s">
        <v>40</v>
      </c>
      <c r="B24" s="462" t="s">
        <v>41</v>
      </c>
      <c r="C24" s="463">
        <v>45177</v>
      </c>
      <c r="D24" s="448" t="s">
        <v>32</v>
      </c>
      <c r="E24" s="466" t="s">
        <v>1189</v>
      </c>
      <c r="F24" s="458" t="s">
        <v>69</v>
      </c>
      <c r="G24" s="458">
        <v>4</v>
      </c>
      <c r="H24" s="458">
        <v>4</v>
      </c>
      <c r="I24" s="458" t="s">
        <v>69</v>
      </c>
      <c r="J24" s="458" t="s">
        <v>69</v>
      </c>
      <c r="K24" s="458" t="s">
        <v>69</v>
      </c>
      <c r="L24" s="458">
        <v>4</v>
      </c>
      <c r="M24" s="458" t="s">
        <v>69</v>
      </c>
      <c r="N24" s="458">
        <v>3</v>
      </c>
      <c r="O24" s="458">
        <v>4</v>
      </c>
      <c r="P24" s="458" t="s">
        <v>69</v>
      </c>
      <c r="Q24" s="458" t="s">
        <v>69</v>
      </c>
      <c r="R24" s="458" t="s">
        <v>69</v>
      </c>
      <c r="S24" s="458" t="s">
        <v>69</v>
      </c>
      <c r="T24" s="458">
        <v>4</v>
      </c>
      <c r="U24" s="458">
        <v>4</v>
      </c>
      <c r="V24" s="459" t="s">
        <v>69</v>
      </c>
      <c r="W24" s="131">
        <f t="shared" si="0"/>
        <v>0.4375</v>
      </c>
      <c r="X24" s="175">
        <f t="shared" si="1"/>
        <v>1</v>
      </c>
      <c r="Y24" s="32"/>
      <c r="Z24" s="32"/>
      <c r="AA24" s="32"/>
      <c r="AB24" s="32"/>
      <c r="AC24" s="32"/>
      <c r="AD24" s="32"/>
    </row>
    <row r="25" spans="1:30" s="105" customFormat="1" ht="77.25" customHeight="1" thickBot="1">
      <c r="A25" s="464" t="s">
        <v>42</v>
      </c>
      <c r="B25" s="462" t="s">
        <v>43</v>
      </c>
      <c r="C25" s="463">
        <v>44713</v>
      </c>
      <c r="D25" s="448" t="s">
        <v>32</v>
      </c>
      <c r="E25" s="466" t="s">
        <v>1189</v>
      </c>
      <c r="F25" s="458" t="s">
        <v>69</v>
      </c>
      <c r="G25" s="458" t="s">
        <v>69</v>
      </c>
      <c r="H25" s="458" t="s">
        <v>69</v>
      </c>
      <c r="I25" s="458">
        <v>4</v>
      </c>
      <c r="J25" s="458">
        <v>4</v>
      </c>
      <c r="K25" s="458">
        <v>4</v>
      </c>
      <c r="L25" s="458" t="s">
        <v>69</v>
      </c>
      <c r="M25" s="458" t="s">
        <v>69</v>
      </c>
      <c r="N25" s="458" t="s">
        <v>69</v>
      </c>
      <c r="O25" s="458" t="s">
        <v>69</v>
      </c>
      <c r="P25" s="458">
        <v>4</v>
      </c>
      <c r="Q25" s="458" t="s">
        <v>69</v>
      </c>
      <c r="R25" s="458" t="s">
        <v>69</v>
      </c>
      <c r="S25" s="458" t="s">
        <v>69</v>
      </c>
      <c r="T25" s="458">
        <v>4</v>
      </c>
      <c r="U25" s="458">
        <v>4</v>
      </c>
      <c r="V25" s="459" t="s">
        <v>69</v>
      </c>
      <c r="W25" s="131">
        <f t="shared" si="0"/>
        <v>0.375</v>
      </c>
      <c r="X25" s="175">
        <f t="shared" si="1"/>
        <v>1</v>
      </c>
      <c r="Y25" s="32"/>
      <c r="Z25" s="32"/>
      <c r="AA25" s="32"/>
      <c r="AB25" s="32"/>
      <c r="AC25" s="32"/>
      <c r="AD25" s="32"/>
    </row>
    <row r="26" spans="1:30" s="105" customFormat="1" ht="77.25" customHeight="1" thickBot="1">
      <c r="A26" s="464" t="s">
        <v>520</v>
      </c>
      <c r="B26" s="462" t="s">
        <v>511</v>
      </c>
      <c r="C26" s="463">
        <v>45537</v>
      </c>
      <c r="D26" s="448" t="s">
        <v>32</v>
      </c>
      <c r="E26" s="466" t="s">
        <v>1189</v>
      </c>
      <c r="F26" s="458" t="s">
        <v>69</v>
      </c>
      <c r="G26" s="458" t="s">
        <v>69</v>
      </c>
      <c r="H26" s="458" t="s">
        <v>69</v>
      </c>
      <c r="I26" s="458" t="s">
        <v>69</v>
      </c>
      <c r="J26" s="458" t="s">
        <v>69</v>
      </c>
      <c r="K26" s="458" t="s">
        <v>69</v>
      </c>
      <c r="L26" s="458" t="s">
        <v>69</v>
      </c>
      <c r="M26" s="458" t="s">
        <v>69</v>
      </c>
      <c r="N26" s="458" t="s">
        <v>69</v>
      </c>
      <c r="O26" s="458" t="s">
        <v>69</v>
      </c>
      <c r="P26" s="458" t="s">
        <v>69</v>
      </c>
      <c r="Q26" s="458">
        <v>4</v>
      </c>
      <c r="R26" s="458" t="s">
        <v>69</v>
      </c>
      <c r="S26" s="458" t="s">
        <v>69</v>
      </c>
      <c r="T26" s="458">
        <v>4</v>
      </c>
      <c r="U26" s="458">
        <v>4</v>
      </c>
      <c r="V26" s="459" t="s">
        <v>69</v>
      </c>
      <c r="W26" s="131">
        <f t="shared" si="0"/>
        <v>0.1875</v>
      </c>
      <c r="X26" s="175">
        <f t="shared" si="1"/>
        <v>1</v>
      </c>
      <c r="Y26" s="32"/>
      <c r="Z26" s="32"/>
      <c r="AA26" s="32"/>
      <c r="AB26" s="32"/>
      <c r="AC26" s="32"/>
      <c r="AD26" s="32"/>
    </row>
    <row r="27" spans="1:30" s="105" customFormat="1" ht="77.25" customHeight="1" thickBot="1">
      <c r="A27" s="464" t="s">
        <v>715</v>
      </c>
      <c r="B27" s="462" t="s">
        <v>264</v>
      </c>
      <c r="C27" s="463">
        <v>44993</v>
      </c>
      <c r="D27" s="448" t="s">
        <v>32</v>
      </c>
      <c r="E27" s="466" t="s">
        <v>1189</v>
      </c>
      <c r="F27" s="458" t="s">
        <v>69</v>
      </c>
      <c r="G27" s="458" t="s">
        <v>69</v>
      </c>
      <c r="H27" s="458" t="s">
        <v>69</v>
      </c>
      <c r="I27" s="458" t="s">
        <v>69</v>
      </c>
      <c r="J27" s="458" t="s">
        <v>69</v>
      </c>
      <c r="K27" s="458" t="s">
        <v>69</v>
      </c>
      <c r="L27" s="458" t="s">
        <v>69</v>
      </c>
      <c r="M27" s="458" t="s">
        <v>69</v>
      </c>
      <c r="N27" s="458" t="s">
        <v>69</v>
      </c>
      <c r="O27" s="458" t="s">
        <v>69</v>
      </c>
      <c r="P27" s="458" t="s">
        <v>69</v>
      </c>
      <c r="Q27" s="458" t="s">
        <v>69</v>
      </c>
      <c r="R27" s="458" t="s">
        <v>69</v>
      </c>
      <c r="S27" s="458" t="s">
        <v>69</v>
      </c>
      <c r="T27" s="458">
        <v>4</v>
      </c>
      <c r="U27" s="458">
        <v>4</v>
      </c>
      <c r="V27" s="459" t="s">
        <v>69</v>
      </c>
      <c r="W27" s="131">
        <f t="shared" si="0"/>
        <v>0.125</v>
      </c>
      <c r="X27" s="175">
        <f t="shared" si="1"/>
        <v>1</v>
      </c>
      <c r="Y27" s="32"/>
      <c r="Z27" s="32"/>
      <c r="AA27" s="32"/>
      <c r="AB27" s="32"/>
      <c r="AC27" s="32"/>
      <c r="AD27" s="32"/>
    </row>
    <row r="28" spans="1:30" s="105" customFormat="1" ht="77.25" customHeight="1" thickBot="1">
      <c r="A28" s="464" t="s">
        <v>44</v>
      </c>
      <c r="B28" s="462" t="s">
        <v>45</v>
      </c>
      <c r="C28" s="465">
        <v>44993</v>
      </c>
      <c r="D28" s="448" t="s">
        <v>32</v>
      </c>
      <c r="E28" s="466" t="s">
        <v>1189</v>
      </c>
      <c r="F28" s="458">
        <v>4</v>
      </c>
      <c r="G28" s="458" t="s">
        <v>69</v>
      </c>
      <c r="H28" s="458" t="s">
        <v>69</v>
      </c>
      <c r="I28" s="458" t="s">
        <v>69</v>
      </c>
      <c r="J28" s="458" t="s">
        <v>69</v>
      </c>
      <c r="K28" s="458">
        <v>4</v>
      </c>
      <c r="L28" s="458" t="s">
        <v>69</v>
      </c>
      <c r="M28" s="458" t="s">
        <v>69</v>
      </c>
      <c r="N28" s="458" t="s">
        <v>69</v>
      </c>
      <c r="O28" s="458" t="s">
        <v>69</v>
      </c>
      <c r="P28" s="458" t="s">
        <v>69</v>
      </c>
      <c r="Q28" s="458" t="s">
        <v>69</v>
      </c>
      <c r="R28" s="458" t="s">
        <v>69</v>
      </c>
      <c r="S28" s="458" t="s">
        <v>69</v>
      </c>
      <c r="T28" s="458">
        <v>4</v>
      </c>
      <c r="U28" s="458">
        <v>4</v>
      </c>
      <c r="V28" s="459" t="s">
        <v>69</v>
      </c>
      <c r="W28" s="131">
        <f t="shared" si="0"/>
        <v>0.25</v>
      </c>
      <c r="X28" s="175">
        <f t="shared" si="1"/>
        <v>1</v>
      </c>
      <c r="Y28" s="32"/>
      <c r="Z28" s="32"/>
      <c r="AA28" s="32"/>
      <c r="AB28" s="32"/>
      <c r="AC28" s="32"/>
      <c r="AD28" s="32"/>
    </row>
    <row r="29" spans="1:30" s="105" customFormat="1" ht="77.25" customHeight="1" thickBot="1">
      <c r="A29" s="464" t="s">
        <v>684</v>
      </c>
      <c r="B29" s="462" t="s">
        <v>824</v>
      </c>
      <c r="C29" s="465">
        <v>45691</v>
      </c>
      <c r="D29" s="448" t="s">
        <v>32</v>
      </c>
      <c r="E29" s="466" t="s">
        <v>1189</v>
      </c>
      <c r="F29" s="458">
        <v>2</v>
      </c>
      <c r="G29" s="458" t="s">
        <v>69</v>
      </c>
      <c r="H29" s="458" t="s">
        <v>69</v>
      </c>
      <c r="I29" s="458" t="s">
        <v>69</v>
      </c>
      <c r="J29" s="458" t="s">
        <v>69</v>
      </c>
      <c r="K29" s="458" t="s">
        <v>69</v>
      </c>
      <c r="L29" s="458">
        <v>3</v>
      </c>
      <c r="M29" s="458">
        <v>4</v>
      </c>
      <c r="N29" s="458" t="s">
        <v>69</v>
      </c>
      <c r="O29" s="458" t="s">
        <v>69</v>
      </c>
      <c r="P29" s="458" t="s">
        <v>69</v>
      </c>
      <c r="Q29" s="458" t="s">
        <v>69</v>
      </c>
      <c r="R29" s="458" t="s">
        <v>69</v>
      </c>
      <c r="S29" s="458" t="s">
        <v>69</v>
      </c>
      <c r="T29" s="458">
        <v>4</v>
      </c>
      <c r="U29" s="458">
        <v>4</v>
      </c>
      <c r="V29" s="458" t="s">
        <v>69</v>
      </c>
      <c r="W29" s="131">
        <f t="shared" si="0"/>
        <v>0.3125</v>
      </c>
      <c r="X29" s="175">
        <f t="shared" si="1"/>
        <v>0.8</v>
      </c>
      <c r="Y29" s="32"/>
      <c r="Z29" s="32"/>
      <c r="AA29" s="32"/>
      <c r="AB29" s="32"/>
      <c r="AC29" s="32"/>
      <c r="AD29" s="32"/>
    </row>
    <row r="30" spans="1:30" s="105" customFormat="1" ht="77.25" customHeight="1" thickBot="1">
      <c r="A30" s="464" t="s">
        <v>825</v>
      </c>
      <c r="B30" s="462" t="s">
        <v>826</v>
      </c>
      <c r="C30" s="465">
        <v>45945</v>
      </c>
      <c r="D30" s="448" t="s">
        <v>32</v>
      </c>
      <c r="E30" s="466" t="s">
        <v>1189</v>
      </c>
      <c r="F30" s="458" t="s">
        <v>69</v>
      </c>
      <c r="G30" s="458" t="s">
        <v>69</v>
      </c>
      <c r="H30" s="458" t="s">
        <v>69</v>
      </c>
      <c r="I30" s="458" t="s">
        <v>69</v>
      </c>
      <c r="J30" s="458" t="s">
        <v>69</v>
      </c>
      <c r="K30" s="458">
        <v>2</v>
      </c>
      <c r="L30" s="458" t="s">
        <v>69</v>
      </c>
      <c r="M30" s="458" t="s">
        <v>69</v>
      </c>
      <c r="N30" s="458" t="s">
        <v>69</v>
      </c>
      <c r="O30" s="458" t="s">
        <v>69</v>
      </c>
      <c r="P30" s="458" t="s">
        <v>69</v>
      </c>
      <c r="Q30" s="458" t="s">
        <v>69</v>
      </c>
      <c r="R30" s="458" t="s">
        <v>69</v>
      </c>
      <c r="S30" s="458" t="s">
        <v>69</v>
      </c>
      <c r="T30" s="458">
        <v>2</v>
      </c>
      <c r="U30" s="458">
        <v>2</v>
      </c>
      <c r="V30" s="458" t="s">
        <v>69</v>
      </c>
      <c r="W30" s="131">
        <f t="shared" si="0"/>
        <v>0.1875</v>
      </c>
      <c r="X30" s="175">
        <f t="shared" si="1"/>
        <v>0</v>
      </c>
      <c r="Y30" s="32"/>
      <c r="Z30" s="32"/>
      <c r="AA30" s="32"/>
      <c r="AB30" s="32"/>
      <c r="AC30" s="32"/>
      <c r="AD30" s="32"/>
    </row>
    <row r="31" spans="1:30" s="105" customFormat="1" ht="77.25" customHeight="1" thickBot="1">
      <c r="A31" s="464" t="s">
        <v>827</v>
      </c>
      <c r="B31" s="462" t="s">
        <v>828</v>
      </c>
      <c r="C31" s="465">
        <v>45945</v>
      </c>
      <c r="D31" s="448" t="s">
        <v>32</v>
      </c>
      <c r="E31" s="466" t="s">
        <v>1189</v>
      </c>
      <c r="F31" s="458" t="s">
        <v>69</v>
      </c>
      <c r="G31" s="458">
        <v>3</v>
      </c>
      <c r="H31" s="458">
        <v>2</v>
      </c>
      <c r="I31" s="458" t="s">
        <v>69</v>
      </c>
      <c r="J31" s="458" t="s">
        <v>69</v>
      </c>
      <c r="K31" s="458" t="s">
        <v>69</v>
      </c>
      <c r="L31" s="458" t="s">
        <v>69</v>
      </c>
      <c r="M31" s="458" t="s">
        <v>69</v>
      </c>
      <c r="N31" s="458" t="s">
        <v>69</v>
      </c>
      <c r="O31" s="458" t="s">
        <v>69</v>
      </c>
      <c r="P31" s="458" t="s">
        <v>69</v>
      </c>
      <c r="Q31" s="458" t="s">
        <v>69</v>
      </c>
      <c r="R31" s="458" t="s">
        <v>69</v>
      </c>
      <c r="S31" s="458" t="s">
        <v>69</v>
      </c>
      <c r="T31" s="458">
        <v>3</v>
      </c>
      <c r="U31" s="458">
        <v>3</v>
      </c>
      <c r="V31" s="458" t="s">
        <v>69</v>
      </c>
      <c r="W31" s="131">
        <f t="shared" si="0"/>
        <v>0.25</v>
      </c>
      <c r="X31" s="175">
        <f t="shared" si="1"/>
        <v>0.75</v>
      </c>
      <c r="Y31" s="32"/>
      <c r="Z31" s="32"/>
      <c r="AA31" s="32"/>
      <c r="AB31" s="32"/>
      <c r="AC31" s="32"/>
      <c r="AD31" s="32"/>
    </row>
    <row r="32" spans="1:30" s="105" customFormat="1" ht="77.25" customHeight="1" thickBot="1">
      <c r="A32" s="464" t="s">
        <v>1001</v>
      </c>
      <c r="B32" s="462" t="s">
        <v>1002</v>
      </c>
      <c r="C32" s="465">
        <v>45992</v>
      </c>
      <c r="D32" s="448" t="s">
        <v>32</v>
      </c>
      <c r="E32" s="466" t="s">
        <v>1189</v>
      </c>
      <c r="F32" s="458" t="s">
        <v>69</v>
      </c>
      <c r="G32" s="458" t="s">
        <v>69</v>
      </c>
      <c r="H32" s="458" t="s">
        <v>69</v>
      </c>
      <c r="I32" s="458" t="s">
        <v>69</v>
      </c>
      <c r="J32" s="458" t="s">
        <v>69</v>
      </c>
      <c r="K32" s="458" t="s">
        <v>69</v>
      </c>
      <c r="L32" s="458" t="s">
        <v>69</v>
      </c>
      <c r="M32" s="458" t="s">
        <v>69</v>
      </c>
      <c r="N32" s="458" t="s">
        <v>69</v>
      </c>
      <c r="O32" s="458">
        <v>2</v>
      </c>
      <c r="P32" s="458" t="s">
        <v>69</v>
      </c>
      <c r="Q32" s="458" t="s">
        <v>69</v>
      </c>
      <c r="R32" s="458" t="s">
        <v>69</v>
      </c>
      <c r="S32" s="458" t="s">
        <v>69</v>
      </c>
      <c r="T32" s="458">
        <v>2</v>
      </c>
      <c r="U32" s="458">
        <v>2</v>
      </c>
      <c r="V32" s="458" t="s">
        <v>69</v>
      </c>
      <c r="W32" s="131">
        <f t="shared" si="0"/>
        <v>0.1875</v>
      </c>
      <c r="X32" s="175">
        <f t="shared" si="1"/>
        <v>0</v>
      </c>
      <c r="Y32" s="32"/>
      <c r="Z32" s="32"/>
      <c r="AA32" s="32"/>
      <c r="AB32" s="32"/>
      <c r="AC32" s="32"/>
      <c r="AD32" s="32"/>
    </row>
    <row r="33" spans="1:30" s="105" customFormat="1" ht="77.25" customHeight="1" thickBot="1">
      <c r="A33" s="464" t="s">
        <v>785</v>
      </c>
      <c r="B33" s="462" t="s">
        <v>1005</v>
      </c>
      <c r="C33" s="465">
        <v>45814</v>
      </c>
      <c r="D33" s="448" t="s">
        <v>32</v>
      </c>
      <c r="E33" s="466" t="s">
        <v>1189</v>
      </c>
      <c r="F33" s="458" t="s">
        <v>69</v>
      </c>
      <c r="G33" s="458" t="s">
        <v>69</v>
      </c>
      <c r="H33" s="458" t="s">
        <v>69</v>
      </c>
      <c r="I33" s="458">
        <v>2</v>
      </c>
      <c r="J33" s="458" t="s">
        <v>69</v>
      </c>
      <c r="K33" s="458" t="s">
        <v>69</v>
      </c>
      <c r="L33" s="458" t="s">
        <v>69</v>
      </c>
      <c r="M33" s="458" t="s">
        <v>69</v>
      </c>
      <c r="N33" s="458" t="s">
        <v>69</v>
      </c>
      <c r="O33" s="458" t="s">
        <v>69</v>
      </c>
      <c r="P33" s="458" t="s">
        <v>69</v>
      </c>
      <c r="Q33" s="458" t="s">
        <v>69</v>
      </c>
      <c r="R33" s="458" t="s">
        <v>69</v>
      </c>
      <c r="S33" s="458" t="s">
        <v>69</v>
      </c>
      <c r="T33" s="458">
        <v>4</v>
      </c>
      <c r="U33" s="458">
        <v>4</v>
      </c>
      <c r="V33" s="458" t="s">
        <v>69</v>
      </c>
      <c r="W33" s="131">
        <f t="shared" si="0"/>
        <v>0.1875</v>
      </c>
      <c r="X33" s="175">
        <f t="shared" si="1"/>
        <v>0.66666666666666663</v>
      </c>
      <c r="Y33" s="32"/>
      <c r="Z33" s="32"/>
      <c r="AA33" s="32"/>
      <c r="AB33" s="32"/>
      <c r="AC33" s="32"/>
      <c r="AD33" s="32"/>
    </row>
    <row r="34" spans="1:30" s="105" customFormat="1" ht="77.25" customHeight="1" thickBot="1">
      <c r="A34" s="464" t="s">
        <v>1065</v>
      </c>
      <c r="B34" s="462" t="s">
        <v>1064</v>
      </c>
      <c r="C34" s="465">
        <v>45611</v>
      </c>
      <c r="D34" s="448" t="s">
        <v>32</v>
      </c>
      <c r="E34" s="466" t="s">
        <v>1189</v>
      </c>
      <c r="F34" s="458" t="s">
        <v>69</v>
      </c>
      <c r="G34" s="458" t="s">
        <v>69</v>
      </c>
      <c r="H34" s="458" t="s">
        <v>69</v>
      </c>
      <c r="I34" s="458" t="s">
        <v>69</v>
      </c>
      <c r="J34" s="458" t="s">
        <v>69</v>
      </c>
      <c r="K34" s="458" t="s">
        <v>69</v>
      </c>
      <c r="L34" s="458" t="s">
        <v>69</v>
      </c>
      <c r="M34" s="458">
        <v>2</v>
      </c>
      <c r="N34" s="458" t="s">
        <v>69</v>
      </c>
      <c r="O34" s="458" t="s">
        <v>69</v>
      </c>
      <c r="P34" s="458" t="s">
        <v>69</v>
      </c>
      <c r="Q34" s="458" t="s">
        <v>69</v>
      </c>
      <c r="R34" s="458" t="s">
        <v>69</v>
      </c>
      <c r="S34" s="458" t="s">
        <v>69</v>
      </c>
      <c r="T34" s="458">
        <v>1</v>
      </c>
      <c r="U34" s="458">
        <v>2</v>
      </c>
      <c r="V34" s="458" t="s">
        <v>69</v>
      </c>
      <c r="W34" s="131">
        <f t="shared" si="0"/>
        <v>0.1875</v>
      </c>
      <c r="X34" s="175">
        <f t="shared" si="1"/>
        <v>0</v>
      </c>
      <c r="Y34" s="32"/>
      <c r="Z34" s="32"/>
      <c r="AA34" s="32"/>
      <c r="AB34" s="32"/>
      <c r="AC34" s="32"/>
      <c r="AD34" s="32"/>
    </row>
    <row r="35" spans="1:30" s="105" customFormat="1" ht="77.25" customHeight="1" thickBot="1">
      <c r="A35" s="464" t="s">
        <v>666</v>
      </c>
      <c r="B35" s="462" t="s">
        <v>665</v>
      </c>
      <c r="C35" s="465">
        <v>45334</v>
      </c>
      <c r="D35" s="448" t="s">
        <v>32</v>
      </c>
      <c r="E35" s="466" t="s">
        <v>1189</v>
      </c>
      <c r="F35" s="458" t="s">
        <v>69</v>
      </c>
      <c r="G35" s="458" t="s">
        <v>69</v>
      </c>
      <c r="H35" s="458" t="s">
        <v>69</v>
      </c>
      <c r="I35" s="458">
        <v>4</v>
      </c>
      <c r="J35" s="458">
        <v>4</v>
      </c>
      <c r="K35" s="458" t="s">
        <v>69</v>
      </c>
      <c r="L35" s="458" t="s">
        <v>69</v>
      </c>
      <c r="M35" s="458" t="s">
        <v>69</v>
      </c>
      <c r="N35" s="458" t="s">
        <v>69</v>
      </c>
      <c r="O35" s="458" t="s">
        <v>69</v>
      </c>
      <c r="P35" s="458" t="s">
        <v>69</v>
      </c>
      <c r="Q35" s="458" t="s">
        <v>69</v>
      </c>
      <c r="R35" s="458">
        <v>2</v>
      </c>
      <c r="S35" s="458" t="s">
        <v>69</v>
      </c>
      <c r="T35" s="458">
        <v>4</v>
      </c>
      <c r="U35" s="458">
        <v>4</v>
      </c>
      <c r="V35" s="459" t="s">
        <v>69</v>
      </c>
      <c r="W35" s="131">
        <f t="shared" si="0"/>
        <v>0.3125</v>
      </c>
      <c r="X35" s="175">
        <f t="shared" si="1"/>
        <v>0.8</v>
      </c>
      <c r="Y35" s="32"/>
      <c r="Z35" s="32"/>
      <c r="AA35" s="32"/>
      <c r="AB35" s="32"/>
      <c r="AC35" s="32"/>
      <c r="AD35" s="32"/>
    </row>
    <row r="36" spans="1:30" s="105" customFormat="1" ht="77.25" customHeight="1">
      <c r="A36" s="464" t="s">
        <v>1264</v>
      </c>
      <c r="B36" s="462" t="s">
        <v>1263</v>
      </c>
      <c r="C36" s="465">
        <v>46188</v>
      </c>
      <c r="D36" s="448" t="s">
        <v>32</v>
      </c>
      <c r="E36" s="466" t="s">
        <v>1189</v>
      </c>
      <c r="F36" s="458" t="s">
        <v>69</v>
      </c>
      <c r="G36" s="458" t="s">
        <v>69</v>
      </c>
      <c r="H36" s="458" t="s">
        <v>69</v>
      </c>
      <c r="I36" s="458" t="s">
        <v>69</v>
      </c>
      <c r="J36" s="458" t="s">
        <v>69</v>
      </c>
      <c r="K36" s="458" t="s">
        <v>69</v>
      </c>
      <c r="L36" s="458" t="s">
        <v>69</v>
      </c>
      <c r="M36" s="458" t="s">
        <v>69</v>
      </c>
      <c r="N36" s="458" t="s">
        <v>69</v>
      </c>
      <c r="O36" s="458" t="s">
        <v>69</v>
      </c>
      <c r="P36" s="458" t="s">
        <v>69</v>
      </c>
      <c r="Q36" s="458">
        <v>2</v>
      </c>
      <c r="R36" s="458" t="s">
        <v>69</v>
      </c>
      <c r="S36" s="458" t="s">
        <v>69</v>
      </c>
      <c r="T36" s="458">
        <v>4</v>
      </c>
      <c r="U36" s="458">
        <v>4</v>
      </c>
      <c r="V36" s="459" t="s">
        <v>69</v>
      </c>
      <c r="W36" s="131">
        <f t="shared" ref="W36" si="2">+COUNTIF(F36:V36,"&gt;0")/16</f>
        <v>0.1875</v>
      </c>
      <c r="X36" s="175"/>
      <c r="Y36" s="32"/>
      <c r="Z36" s="32"/>
      <c r="AA36" s="32"/>
      <c r="AB36" s="32"/>
      <c r="AC36" s="32"/>
      <c r="AD36" s="32"/>
    </row>
    <row r="37" spans="1:30" s="105" customFormat="1" ht="63.75" customHeight="1" thickBot="1">
      <c r="A37" s="32"/>
      <c r="B37" s="32"/>
      <c r="C37" s="32"/>
      <c r="D37" s="32"/>
      <c r="E37" s="32"/>
      <c r="F37" s="32"/>
    </row>
    <row r="38" spans="1:30" s="14" customFormat="1" ht="63.75" customHeight="1" thickBot="1">
      <c r="A38" s="1042"/>
      <c r="B38" s="736" t="s">
        <v>17</v>
      </c>
      <c r="C38" s="736"/>
      <c r="D38" s="736"/>
      <c r="E38" s="736"/>
      <c r="F38" s="182">
        <f t="shared" ref="F38:V38" si="3">COUNT(F18:F28)</f>
        <v>3</v>
      </c>
      <c r="G38" s="183">
        <f t="shared" si="3"/>
        <v>3</v>
      </c>
      <c r="H38" s="183">
        <f t="shared" si="3"/>
        <v>3</v>
      </c>
      <c r="I38" s="183">
        <f t="shared" si="3"/>
        <v>3</v>
      </c>
      <c r="J38" s="183">
        <f t="shared" si="3"/>
        <v>3</v>
      </c>
      <c r="K38" s="183">
        <f t="shared" si="3"/>
        <v>4</v>
      </c>
      <c r="L38" s="183">
        <f t="shared" si="3"/>
        <v>4</v>
      </c>
      <c r="M38" s="183">
        <f t="shared" si="3"/>
        <v>2</v>
      </c>
      <c r="N38" s="183">
        <f t="shared" si="3"/>
        <v>3</v>
      </c>
      <c r="O38" s="183">
        <f t="shared" si="3"/>
        <v>3</v>
      </c>
      <c r="P38" s="183">
        <f t="shared" si="3"/>
        <v>4</v>
      </c>
      <c r="Q38" s="183">
        <f t="shared" si="3"/>
        <v>2</v>
      </c>
      <c r="R38" s="183">
        <f t="shared" si="3"/>
        <v>1</v>
      </c>
      <c r="S38" s="183">
        <v>1</v>
      </c>
      <c r="T38" s="183">
        <f t="shared" si="3"/>
        <v>11</v>
      </c>
      <c r="U38" s="183">
        <f t="shared" si="3"/>
        <v>11</v>
      </c>
      <c r="V38" s="184">
        <f t="shared" si="3"/>
        <v>0</v>
      </c>
      <c r="W38" s="1010"/>
      <c r="X38" s="1011"/>
    </row>
    <row r="39" spans="1:30" s="14" customFormat="1" ht="63.75" customHeight="1" thickBot="1">
      <c r="A39" s="1043"/>
      <c r="B39" s="1014" t="s">
        <v>12</v>
      </c>
      <c r="C39" s="743"/>
      <c r="D39" s="743"/>
      <c r="E39" s="735"/>
      <c r="F39" s="189">
        <v>3</v>
      </c>
      <c r="G39" s="190">
        <v>3</v>
      </c>
      <c r="H39" s="190">
        <v>3</v>
      </c>
      <c r="I39" s="190">
        <v>3</v>
      </c>
      <c r="J39" s="190">
        <v>3</v>
      </c>
      <c r="K39" s="190">
        <v>3</v>
      </c>
      <c r="L39" s="190">
        <v>3</v>
      </c>
      <c r="M39" s="190">
        <v>3</v>
      </c>
      <c r="N39" s="190">
        <v>3</v>
      </c>
      <c r="O39" s="190">
        <v>3</v>
      </c>
      <c r="P39" s="190">
        <v>3</v>
      </c>
      <c r="Q39" s="190">
        <v>3</v>
      </c>
      <c r="R39" s="190">
        <v>3</v>
      </c>
      <c r="S39" s="190">
        <v>3</v>
      </c>
      <c r="T39" s="190">
        <v>3</v>
      </c>
      <c r="U39" s="190">
        <v>3</v>
      </c>
      <c r="V39" s="191">
        <v>3</v>
      </c>
      <c r="W39" s="1012"/>
      <c r="X39" s="1013"/>
    </row>
    <row r="40" spans="1:30" s="14" customFormat="1" ht="15.6"/>
    <row r="41" spans="1:30" s="14" customFormat="1" ht="15.75" customHeight="1"/>
    <row r="42" spans="1:30" s="14" customFormat="1" ht="15.75" customHeight="1" thickBot="1"/>
    <row r="43" spans="1:30" s="14" customFormat="1" ht="51.75" customHeight="1">
      <c r="B43" s="1015" t="s">
        <v>13</v>
      </c>
      <c r="C43" s="1016"/>
      <c r="D43" s="1017"/>
      <c r="E43" s="1017"/>
      <c r="F43" s="1017" t="s">
        <v>14</v>
      </c>
      <c r="G43" s="1017"/>
      <c r="H43" s="1017"/>
      <c r="I43" s="1017"/>
      <c r="J43" s="1017"/>
      <c r="K43" s="1021" t="s">
        <v>15</v>
      </c>
      <c r="L43" s="1022"/>
      <c r="M43" s="1022"/>
      <c r="N43" s="1023"/>
    </row>
    <row r="44" spans="1:30" s="14" customFormat="1" ht="51.75" customHeight="1">
      <c r="B44" s="1018"/>
      <c r="C44" s="1019"/>
      <c r="D44" s="1020"/>
      <c r="E44" s="1020"/>
      <c r="F44" s="1020"/>
      <c r="G44" s="1020"/>
      <c r="H44" s="1020"/>
      <c r="I44" s="1020"/>
      <c r="J44" s="1020"/>
      <c r="K44" s="1024"/>
      <c r="L44" s="1025"/>
      <c r="M44" s="1025"/>
      <c r="N44" s="1026"/>
    </row>
    <row r="45" spans="1:30" s="14" customFormat="1" ht="51.75" customHeight="1">
      <c r="B45" s="1027" t="s">
        <v>435</v>
      </c>
      <c r="C45" s="1028"/>
      <c r="D45" s="1029"/>
      <c r="E45" s="1029"/>
      <c r="F45" s="1029" t="s">
        <v>598</v>
      </c>
      <c r="G45" s="1029"/>
      <c r="H45" s="1029"/>
      <c r="I45" s="1029"/>
      <c r="J45" s="1029"/>
      <c r="K45" s="1033" t="s">
        <v>598</v>
      </c>
      <c r="L45" s="1034"/>
      <c r="M45" s="1034"/>
      <c r="N45" s="1035"/>
    </row>
    <row r="46" spans="1:30" s="14" customFormat="1" ht="51.75" customHeight="1">
      <c r="B46" s="1027"/>
      <c r="C46" s="1028"/>
      <c r="D46" s="1029"/>
      <c r="E46" s="1029"/>
      <c r="F46" s="1029"/>
      <c r="G46" s="1029"/>
      <c r="H46" s="1029"/>
      <c r="I46" s="1029"/>
      <c r="J46" s="1029"/>
      <c r="K46" s="1036"/>
      <c r="L46" s="1037"/>
      <c r="M46" s="1037"/>
      <c r="N46" s="1038"/>
    </row>
    <row r="47" spans="1:30" s="14" customFormat="1" ht="51.75" customHeight="1">
      <c r="B47" s="1027"/>
      <c r="C47" s="1028"/>
      <c r="D47" s="1029"/>
      <c r="E47" s="1029"/>
      <c r="F47" s="1029"/>
      <c r="G47" s="1029"/>
      <c r="H47" s="1029"/>
      <c r="I47" s="1029"/>
      <c r="J47" s="1029"/>
      <c r="K47" s="1036"/>
      <c r="L47" s="1037"/>
      <c r="M47" s="1037"/>
      <c r="N47" s="1038"/>
    </row>
    <row r="48" spans="1:30" s="14" customFormat="1" ht="51.75" customHeight="1">
      <c r="B48" s="1027"/>
      <c r="C48" s="1028"/>
      <c r="D48" s="1029"/>
      <c r="E48" s="1029"/>
      <c r="F48" s="1029"/>
      <c r="G48" s="1029"/>
      <c r="H48" s="1029"/>
      <c r="I48" s="1029"/>
      <c r="J48" s="1029"/>
      <c r="K48" s="1036"/>
      <c r="L48" s="1037"/>
      <c r="M48" s="1037"/>
      <c r="N48" s="1038"/>
    </row>
    <row r="49" spans="1:14" s="14" customFormat="1" ht="51.75" customHeight="1">
      <c r="B49" s="1027"/>
      <c r="C49" s="1028"/>
      <c r="D49" s="1029"/>
      <c r="E49" s="1029"/>
      <c r="F49" s="1029"/>
      <c r="G49" s="1029"/>
      <c r="H49" s="1029"/>
      <c r="I49" s="1029"/>
      <c r="J49" s="1029"/>
      <c r="K49" s="1036"/>
      <c r="L49" s="1037"/>
      <c r="M49" s="1037"/>
      <c r="N49" s="1038"/>
    </row>
    <row r="50" spans="1:14" s="14" customFormat="1" ht="51.75" customHeight="1">
      <c r="B50" s="1027"/>
      <c r="C50" s="1028"/>
      <c r="D50" s="1029"/>
      <c r="E50" s="1029"/>
      <c r="F50" s="1029"/>
      <c r="G50" s="1029"/>
      <c r="H50" s="1029"/>
      <c r="I50" s="1029"/>
      <c r="J50" s="1029"/>
      <c r="K50" s="1036"/>
      <c r="L50" s="1037"/>
      <c r="M50" s="1037"/>
      <c r="N50" s="1038"/>
    </row>
    <row r="51" spans="1:14" s="14" customFormat="1" ht="51.75" customHeight="1">
      <c r="B51" s="1027"/>
      <c r="C51" s="1028"/>
      <c r="D51" s="1029"/>
      <c r="E51" s="1029"/>
      <c r="F51" s="1029"/>
      <c r="G51" s="1029"/>
      <c r="H51" s="1029"/>
      <c r="I51" s="1029"/>
      <c r="J51" s="1029"/>
      <c r="K51" s="1036"/>
      <c r="L51" s="1037"/>
      <c r="M51" s="1037"/>
      <c r="N51" s="1038"/>
    </row>
    <row r="52" spans="1:14" s="14" customFormat="1" ht="51.75" customHeight="1">
      <c r="B52" s="1027"/>
      <c r="C52" s="1028"/>
      <c r="D52" s="1029"/>
      <c r="E52" s="1029"/>
      <c r="F52" s="1029"/>
      <c r="G52" s="1029"/>
      <c r="H52" s="1029"/>
      <c r="I52" s="1029"/>
      <c r="J52" s="1029"/>
      <c r="K52" s="1036"/>
      <c r="L52" s="1037"/>
      <c r="M52" s="1037"/>
      <c r="N52" s="1038"/>
    </row>
    <row r="53" spans="1:14" s="14" customFormat="1" ht="15.6">
      <c r="B53" s="1027"/>
      <c r="C53" s="1028"/>
      <c r="D53" s="1029"/>
      <c r="E53" s="1029"/>
      <c r="F53" s="1029"/>
      <c r="G53" s="1029"/>
      <c r="H53" s="1029"/>
      <c r="I53" s="1029"/>
      <c r="J53" s="1029"/>
      <c r="K53" s="1036"/>
      <c r="L53" s="1037"/>
      <c r="M53" s="1037"/>
      <c r="N53" s="1038"/>
    </row>
    <row r="54" spans="1:14" s="14" customFormat="1" ht="16.2" thickBot="1">
      <c r="B54" s="1030"/>
      <c r="C54" s="1031"/>
      <c r="D54" s="1032"/>
      <c r="E54" s="1032"/>
      <c r="F54" s="1032"/>
      <c r="G54" s="1032"/>
      <c r="H54" s="1032"/>
      <c r="I54" s="1032"/>
      <c r="J54" s="1032"/>
      <c r="K54" s="1039"/>
      <c r="L54" s="1040"/>
      <c r="M54" s="1040"/>
      <c r="N54" s="1041"/>
    </row>
    <row r="55" spans="1:14" ht="49.5" customHeight="1">
      <c r="A55" s="967" t="s">
        <v>18</v>
      </c>
      <c r="B55" s="967"/>
      <c r="C55" s="967"/>
      <c r="D55" s="967"/>
      <c r="E55" s="967"/>
      <c r="F55" s="967"/>
      <c r="G55" s="967"/>
      <c r="H55" s="967"/>
    </row>
    <row r="56" spans="1:14" ht="49.5" customHeight="1">
      <c r="A56" s="967" t="s">
        <v>19</v>
      </c>
      <c r="B56" s="967"/>
      <c r="C56" s="967"/>
      <c r="D56" s="967"/>
      <c r="E56" s="967"/>
      <c r="F56" s="967"/>
      <c r="G56" s="967"/>
      <c r="H56" s="967"/>
    </row>
  </sheetData>
  <mergeCells count="57">
    <mergeCell ref="B45:E54"/>
    <mergeCell ref="F45:J54"/>
    <mergeCell ref="K45:N54"/>
    <mergeCell ref="A38:A39"/>
    <mergeCell ref="B38:E38"/>
    <mergeCell ref="W38:X39"/>
    <mergeCell ref="B39:E39"/>
    <mergeCell ref="B43:E44"/>
    <mergeCell ref="F43:J44"/>
    <mergeCell ref="K43:N44"/>
    <mergeCell ref="F16:F17"/>
    <mergeCell ref="G16:G17"/>
    <mergeCell ref="H16:H17"/>
    <mergeCell ref="K16:K17"/>
    <mergeCell ref="L16:L17"/>
    <mergeCell ref="U13:U17"/>
    <mergeCell ref="M16:M17"/>
    <mergeCell ref="M14:M15"/>
    <mergeCell ref="N14:N15"/>
    <mergeCell ref="O14:O15"/>
    <mergeCell ref="P14:P15"/>
    <mergeCell ref="N16:N17"/>
    <mergeCell ref="O16:O17"/>
    <mergeCell ref="P16:P17"/>
    <mergeCell ref="Q16:Q17"/>
    <mergeCell ref="R16:R17"/>
    <mergeCell ref="Q14:Q15"/>
    <mergeCell ref="R14:R15"/>
    <mergeCell ref="I13:J13"/>
    <mergeCell ref="T13:T17"/>
    <mergeCell ref="S16:S17"/>
    <mergeCell ref="G14:G15"/>
    <mergeCell ref="H14:H15"/>
    <mergeCell ref="I14:J15"/>
    <mergeCell ref="K14:K15"/>
    <mergeCell ref="L14:L15"/>
    <mergeCell ref="A1:C2"/>
    <mergeCell ref="D1:V1"/>
    <mergeCell ref="D2:V2"/>
    <mergeCell ref="T3:V11"/>
    <mergeCell ref="W3:W11"/>
    <mergeCell ref="V13:V17"/>
    <mergeCell ref="A56:H56"/>
    <mergeCell ref="A55:H55"/>
    <mergeCell ref="X3:X11"/>
    <mergeCell ref="F7:L7"/>
    <mergeCell ref="F12:L12"/>
    <mergeCell ref="T12:V12"/>
    <mergeCell ref="W12:W17"/>
    <mergeCell ref="X12:X17"/>
    <mergeCell ref="A13:A17"/>
    <mergeCell ref="B13:B17"/>
    <mergeCell ref="C13:C17"/>
    <mergeCell ref="D13:D17"/>
    <mergeCell ref="E13:E17"/>
    <mergeCell ref="G13:H13"/>
    <mergeCell ref="F14:F15"/>
  </mergeCells>
  <phoneticPr fontId="20" type="noConversion"/>
  <conditionalFormatting sqref="A18:A20">
    <cfRule type="duplicateValues" dxfId="13219" priority="560"/>
  </conditionalFormatting>
  <conditionalFormatting sqref="A18:A36">
    <cfRule type="duplicateValues" dxfId="13218" priority="312551"/>
  </conditionalFormatting>
  <conditionalFormatting sqref="A21:A36">
    <cfRule type="duplicateValues" dxfId="13217" priority="312552"/>
  </conditionalFormatting>
  <conditionalFormatting sqref="A38">
    <cfRule type="duplicateValues" dxfId="13216" priority="559" stopIfTrue="1"/>
  </conditionalFormatting>
  <conditionalFormatting sqref="B18:B36">
    <cfRule type="duplicateValues" dxfId="13215" priority="312554"/>
    <cfRule type="duplicateValues" dxfId="13214" priority="312555"/>
    <cfRule type="containsText" dxfId="13213" priority="312556" operator="containsText" text="Mt">
      <formula>NOT(ISERROR(SEARCH("Mt",B18)))</formula>
    </cfRule>
    <cfRule type="duplicateValues" dxfId="13212" priority="312553"/>
  </conditionalFormatting>
  <conditionalFormatting sqref="B42:C42 A42:A54">
    <cfRule type="duplicateValues" dxfId="13211" priority="312629" stopIfTrue="1"/>
  </conditionalFormatting>
  <conditionalFormatting sqref="C28:C36">
    <cfRule type="duplicateValues" dxfId="13210" priority="312557"/>
    <cfRule type="duplicateValues" dxfId="13209" priority="312558"/>
  </conditionalFormatting>
  <conditionalFormatting sqref="F20">
    <cfRule type="top10" dxfId="13208" priority="195" rank="10"/>
  </conditionalFormatting>
  <conditionalFormatting sqref="F21:F25">
    <cfRule type="top10" dxfId="13207" priority="270714" rank="10"/>
    <cfRule type="cellIs" dxfId="13206" priority="270715" operator="equal">
      <formula>1</formula>
    </cfRule>
  </conditionalFormatting>
  <conditionalFormatting sqref="F24">
    <cfRule type="top10" dxfId="13205" priority="230" rank="10"/>
  </conditionalFormatting>
  <conditionalFormatting sqref="F28:F36">
    <cfRule type="top10" dxfId="13204" priority="312559" rank="10"/>
    <cfRule type="cellIs" dxfId="13203" priority="312560" operator="equal">
      <formula>1</formula>
    </cfRule>
  </conditionalFormatting>
  <conditionalFormatting sqref="F19:G19">
    <cfRule type="cellIs" dxfId="13202" priority="538" operator="equal">
      <formula>4</formula>
    </cfRule>
    <cfRule type="top10" dxfId="13201" priority="548" rank="10"/>
    <cfRule type="cellIs" dxfId="13200" priority="547" operator="equal">
      <formula>1</formula>
    </cfRule>
    <cfRule type="top10" dxfId="13199" priority="546" rank="10"/>
    <cfRule type="cellIs" dxfId="13198" priority="545" operator="equal">
      <formula>1</formula>
    </cfRule>
    <cfRule type="top10" dxfId="13197" priority="544" rank="10"/>
    <cfRule type="cellIs" dxfId="13196" priority="543" operator="equal">
      <formula>3</formula>
    </cfRule>
    <cfRule type="cellIs" dxfId="13195" priority="542" operator="equal">
      <formula>4</formula>
    </cfRule>
    <cfRule type="cellIs" dxfId="13194" priority="541" operator="equal">
      <formula>1</formula>
    </cfRule>
    <cfRule type="top10" dxfId="13193" priority="540" rank="10"/>
    <cfRule type="cellIs" dxfId="13192" priority="539" operator="equal">
      <formula>3</formula>
    </cfRule>
  </conditionalFormatting>
  <conditionalFormatting sqref="F24:H24">
    <cfRule type="cellIs" dxfId="13191" priority="231" operator="equal">
      <formula>1</formula>
    </cfRule>
  </conditionalFormatting>
  <conditionalFormatting sqref="F33:H34">
    <cfRule type="cellIs" dxfId="13190" priority="18" operator="equal">
      <formula>1</formula>
    </cfRule>
    <cfRule type="top10" dxfId="13189" priority="17" rank="10"/>
  </conditionalFormatting>
  <conditionalFormatting sqref="F32:U32 J33:S34 I34:V34">
    <cfRule type="cellIs" dxfId="13188" priority="446" operator="equal">
      <formula>1</formula>
    </cfRule>
  </conditionalFormatting>
  <conditionalFormatting sqref="F18:V36">
    <cfRule type="containsText" dxfId="13187" priority="74" operator="containsText" text="4">
      <formula>NOT(ISERROR(SEARCH("4",F18)))</formula>
    </cfRule>
    <cfRule type="containsText" dxfId="13186" priority="75" operator="containsText" text="3">
      <formula>NOT(ISERROR(SEARCH("3",F18)))</formula>
    </cfRule>
    <cfRule type="containsText" dxfId="13185" priority="76" operator="containsText" text="2">
      <formula>NOT(ISERROR(SEARCH("2",F18)))</formula>
    </cfRule>
    <cfRule type="containsText" dxfId="13184" priority="77" operator="containsText" text="1">
      <formula>NOT(ISERROR(SEARCH("1",F18)))</formula>
    </cfRule>
  </conditionalFormatting>
  <conditionalFormatting sqref="G19:G21 F19:F20 G23:G24">
    <cfRule type="top10" dxfId="13183" priority="527" rank="10"/>
  </conditionalFormatting>
  <conditionalFormatting sqref="G22">
    <cfRule type="top10" dxfId="13182" priority="190" rank="10"/>
  </conditionalFormatting>
  <conditionalFormatting sqref="G23 F18 G18:G21 H18:H19">
    <cfRule type="top10" dxfId="13181" priority="78" rank="10"/>
  </conditionalFormatting>
  <conditionalFormatting sqref="G25 G28:G34 F35:H36 I36:S36">
    <cfRule type="top10" dxfId="13180" priority="312561" rank="10"/>
  </conditionalFormatting>
  <conditionalFormatting sqref="G31:G34">
    <cfRule type="cellIs" dxfId="13179" priority="33" operator="equal">
      <formula>1</formula>
    </cfRule>
    <cfRule type="top10" dxfId="13178" priority="34" rank="10"/>
    <cfRule type="cellIs" dxfId="13177" priority="35" operator="equal">
      <formula>1</formula>
    </cfRule>
    <cfRule type="top10" dxfId="13176" priority="32" rank="10"/>
  </conditionalFormatting>
  <conditionalFormatting sqref="G18:H25 F18:F26 I21:M21 I23:M24 J19:J20 T23:U25 I20 Q21:Q25 G26:Q26 F31:S36 F32:U32 I34:V34">
    <cfRule type="cellIs" dxfId="13175" priority="535" operator="equal">
      <formula>3</formula>
    </cfRule>
    <cfRule type="cellIs" dxfId="13174" priority="534" operator="equal">
      <formula>4</formula>
    </cfRule>
  </conditionalFormatting>
  <conditionalFormatting sqref="G24:H24">
    <cfRule type="cellIs" dxfId="13173" priority="517" operator="equal">
      <formula>3</formula>
    </cfRule>
    <cfRule type="cellIs" dxfId="13172" priority="512" operator="equal">
      <formula>4</formula>
    </cfRule>
    <cfRule type="top10" dxfId="13171" priority="518" rank="10"/>
    <cfRule type="cellIs" dxfId="13170" priority="519" operator="equal">
      <formula>1</formula>
    </cfRule>
    <cfRule type="cellIs" dxfId="13169" priority="344" operator="equal">
      <formula>2</formula>
    </cfRule>
    <cfRule type="cellIs" dxfId="13168" priority="521" operator="equal">
      <formula>1</formula>
    </cfRule>
    <cfRule type="cellIs" dxfId="13167" priority="513" operator="equal">
      <formula>3</formula>
    </cfRule>
    <cfRule type="top10" dxfId="13166" priority="522" rank="10"/>
    <cfRule type="cellIs" dxfId="13165" priority="515" operator="equal">
      <formula>1</formula>
    </cfRule>
    <cfRule type="top10" dxfId="13164" priority="520" rank="10"/>
    <cfRule type="top10" dxfId="13163" priority="514" rank="10"/>
    <cfRule type="cellIs" dxfId="13162" priority="516" operator="equal">
      <formula>4</formula>
    </cfRule>
  </conditionalFormatting>
  <conditionalFormatting sqref="H19:H21">
    <cfRule type="cellIs" dxfId="13161" priority="501" operator="equal">
      <formula>1</formula>
    </cfRule>
  </conditionalFormatting>
  <conditionalFormatting sqref="H20:H21">
    <cfRule type="top10" dxfId="13160" priority="500" rank="10"/>
  </conditionalFormatting>
  <conditionalFormatting sqref="H22 K20:M20">
    <cfRule type="cellIs" dxfId="13159" priority="499" operator="equal">
      <formula>1</formula>
    </cfRule>
  </conditionalFormatting>
  <conditionalFormatting sqref="H22">
    <cfRule type="top10" dxfId="13158" priority="498" rank="10"/>
    <cfRule type="cellIs" dxfId="13157" priority="490" operator="equal">
      <formula>1</formula>
    </cfRule>
    <cfRule type="top10" dxfId="13156" priority="493" rank="10"/>
    <cfRule type="cellIs" dxfId="13155" priority="496" operator="equal">
      <formula>1</formula>
    </cfRule>
    <cfRule type="cellIs" dxfId="13154" priority="494" operator="equal">
      <formula>1</formula>
    </cfRule>
    <cfRule type="top10" dxfId="13153" priority="489" rank="10"/>
    <cfRule type="top10" dxfId="13152" priority="495" rank="10"/>
    <cfRule type="top10" dxfId="13151" priority="497" rank="10"/>
  </conditionalFormatting>
  <conditionalFormatting sqref="H23:H24 O18:O24 S18:S35 T19:T35 F18:F20 G25:K25 F28:G30 I28:Q35 F29:K34 F35:H35 F36:T36">
    <cfRule type="cellIs" dxfId="13150" priority="526" operator="equal">
      <formula>1</formula>
    </cfRule>
  </conditionalFormatting>
  <conditionalFormatting sqref="H28:H36 I36:S36">
    <cfRule type="cellIs" dxfId="13149" priority="312565" operator="equal">
      <formula>1</formula>
    </cfRule>
    <cfRule type="cellIs" dxfId="13148" priority="312567" operator="equal">
      <formula>1</formula>
    </cfRule>
    <cfRule type="top10" dxfId="13147" priority="312566" rank="10"/>
    <cfRule type="top10" dxfId="13146" priority="312564" rank="10"/>
  </conditionalFormatting>
  <conditionalFormatting sqref="H18:I18 I20">
    <cfRule type="cellIs" dxfId="13145" priority="100" operator="equal">
      <formula>1</formula>
    </cfRule>
  </conditionalFormatting>
  <conditionalFormatting sqref="H22:M22">
    <cfRule type="cellIs" dxfId="13144" priority="492" operator="equal">
      <formula>3</formula>
    </cfRule>
    <cfRule type="cellIs" dxfId="13143" priority="491" operator="equal">
      <formula>4</formula>
    </cfRule>
  </conditionalFormatting>
  <conditionalFormatting sqref="H18:Q19 R18:T22 U18:U24 G18:G25 V18:V25 F18:F26 S18:S35 I23:S25 G26:V26 F27:V36">
    <cfRule type="cellIs" dxfId="13142" priority="192" operator="equal">
      <formula>2</formula>
    </cfRule>
  </conditionalFormatting>
  <conditionalFormatting sqref="I18 I20">
    <cfRule type="top10" dxfId="13141" priority="99" rank="10"/>
  </conditionalFormatting>
  <conditionalFormatting sqref="I19">
    <cfRule type="cellIs" dxfId="13140" priority="96" operator="equal">
      <formula>3</formula>
    </cfRule>
    <cfRule type="top10" dxfId="13139" priority="97" rank="10"/>
    <cfRule type="cellIs" dxfId="13138" priority="98" operator="equal">
      <formula>1</formula>
    </cfRule>
    <cfRule type="cellIs" dxfId="13137" priority="95" operator="equal">
      <formula>4</formula>
    </cfRule>
  </conditionalFormatting>
  <conditionalFormatting sqref="I21:I24">
    <cfRule type="cellIs" dxfId="13136" priority="480" operator="equal">
      <formula>1</formula>
    </cfRule>
    <cfRule type="top10" dxfId="13135" priority="479" rank="10"/>
  </conditionalFormatting>
  <conditionalFormatting sqref="I25 I28:I36">
    <cfRule type="top10" dxfId="13134" priority="312568" rank="10"/>
  </conditionalFormatting>
  <conditionalFormatting sqref="I18:K18">
    <cfRule type="cellIs" dxfId="13133" priority="116" operator="equal">
      <formula>4</formula>
    </cfRule>
    <cfRule type="cellIs" dxfId="13132" priority="117" operator="equal">
      <formula>3</formula>
    </cfRule>
  </conditionalFormatting>
  <conditionalFormatting sqref="I25:P25">
    <cfRule type="cellIs" dxfId="13131" priority="90" operator="equal">
      <formula>4</formula>
    </cfRule>
    <cfRule type="cellIs" dxfId="13130" priority="91" operator="equal">
      <formula>3</formula>
    </cfRule>
  </conditionalFormatting>
  <conditionalFormatting sqref="I20:Q22 H20:H25 T23:T24 T25:U25 T30:T34 F32:U32 I34:V34">
    <cfRule type="cellIs" dxfId="13129" priority="511" operator="equal">
      <formula>2</formula>
    </cfRule>
  </conditionalFormatting>
  <conditionalFormatting sqref="J18:J24">
    <cfRule type="cellIs" dxfId="13128" priority="474" operator="equal">
      <formula>1</formula>
    </cfRule>
    <cfRule type="top10" dxfId="13127" priority="473" rank="10"/>
  </conditionalFormatting>
  <conditionalFormatting sqref="J33:S34 J25 F32:U32 I34:V34 J28:J36">
    <cfRule type="top10" dxfId="13126" priority="312570" rank="10"/>
  </conditionalFormatting>
  <conditionalFormatting sqref="J33:S34 M30:M34 F32:U32 F29:K34 I34:V34 L28:L36">
    <cfRule type="top10" dxfId="13125" priority="312575" rank="10"/>
  </conditionalFormatting>
  <conditionalFormatting sqref="K18 H22">
    <cfRule type="top10" dxfId="13124" priority="114" rank="10"/>
  </conditionalFormatting>
  <conditionalFormatting sqref="K18">
    <cfRule type="top10" dxfId="13123" priority="221" rank="10"/>
    <cfRule type="cellIs" dxfId="13122" priority="220" operator="equal">
      <formula>1</formula>
    </cfRule>
    <cfRule type="top10" dxfId="13121" priority="219" rank="10"/>
    <cfRule type="cellIs" dxfId="13120" priority="218" operator="equal">
      <formula>3</formula>
    </cfRule>
    <cfRule type="cellIs" dxfId="13119" priority="217" operator="equal">
      <formula>4</formula>
    </cfRule>
    <cfRule type="top10" dxfId="13118" priority="215" rank="10"/>
    <cfRule type="top10" dxfId="13117" priority="214" rank="10"/>
    <cfRule type="cellIs" dxfId="13116" priority="246" operator="equal">
      <formula>1</formula>
    </cfRule>
    <cfRule type="cellIs" dxfId="13115" priority="233" operator="equal">
      <formula>3</formula>
    </cfRule>
    <cfRule type="cellIs" dxfId="13114" priority="115" operator="equal">
      <formula>1</formula>
    </cfRule>
    <cfRule type="cellIs" dxfId="13113" priority="222" operator="equal">
      <formula>1</formula>
    </cfRule>
    <cfRule type="cellIs" dxfId="13112" priority="216" operator="equal">
      <formula>1</formula>
    </cfRule>
    <cfRule type="cellIs" dxfId="13111" priority="232" operator="equal">
      <formula>4</formula>
    </cfRule>
    <cfRule type="top10" dxfId="13110" priority="223" rank="10"/>
  </conditionalFormatting>
  <conditionalFormatting sqref="K18:K19 G18:G23 F26:Q27 U26:V27">
    <cfRule type="cellIs" dxfId="13109" priority="485" operator="equal">
      <formula>1</formula>
    </cfRule>
  </conditionalFormatting>
  <conditionalFormatting sqref="K19">
    <cfRule type="cellIs" dxfId="13108" priority="470" operator="equal">
      <formula>3</formula>
    </cfRule>
    <cfRule type="cellIs" dxfId="13107" priority="469" operator="equal">
      <formula>4</formula>
    </cfRule>
    <cfRule type="top10" dxfId="13106" priority="466" rank="10"/>
  </conditionalFormatting>
  <conditionalFormatting sqref="K21:K22 K24 L23:L24">
    <cfRule type="top10" dxfId="13105" priority="56" rank="10"/>
  </conditionalFormatting>
  <conditionalFormatting sqref="K21:K22 L23:L24 K24">
    <cfRule type="cellIs" dxfId="13104" priority="57" operator="equal">
      <formula>1</formula>
    </cfRule>
  </conditionalFormatting>
  <conditionalFormatting sqref="K23">
    <cfRule type="top10" dxfId="13103" priority="164" rank="10"/>
    <cfRule type="cellIs" dxfId="13102" priority="165" operator="equal">
      <formula>1</formula>
    </cfRule>
  </conditionalFormatting>
  <conditionalFormatting sqref="K25 K28:K36">
    <cfRule type="top10" dxfId="13101" priority="312581" rank="10"/>
  </conditionalFormatting>
  <conditionalFormatting sqref="K30">
    <cfRule type="top10" dxfId="13100" priority="36" rank="10"/>
    <cfRule type="cellIs" dxfId="13099" priority="37" operator="equal">
      <formula>1</formula>
    </cfRule>
    <cfRule type="top10" dxfId="13098" priority="38" rank="10"/>
    <cfRule type="cellIs" dxfId="13097" priority="39" operator="equal">
      <formula>1</formula>
    </cfRule>
  </conditionalFormatting>
  <conditionalFormatting sqref="K35:K36">
    <cfRule type="cellIs" dxfId="13096" priority="312584" operator="equal">
      <formula>1</formula>
    </cfRule>
    <cfRule type="top10" dxfId="13095" priority="312583" rank="10"/>
  </conditionalFormatting>
  <conditionalFormatting sqref="K20:L20">
    <cfRule type="top10" dxfId="13094" priority="461" rank="10"/>
    <cfRule type="top10" dxfId="13093" priority="459" rank="10"/>
    <cfRule type="cellIs" dxfId="13092" priority="460" operator="equal">
      <formula>1</formula>
    </cfRule>
    <cfRule type="top10" dxfId="13091" priority="463" rank="10"/>
    <cfRule type="top10" dxfId="13090" priority="455" rank="10"/>
    <cfRule type="cellIs" dxfId="13089" priority="462" operator="equal">
      <formula>1</formula>
    </cfRule>
    <cfRule type="cellIs" dxfId="13088" priority="456" operator="equal">
      <formula>1</formula>
    </cfRule>
    <cfRule type="cellIs" dxfId="13087" priority="457" operator="equal">
      <formula>4</formula>
    </cfRule>
    <cfRule type="cellIs" dxfId="13086" priority="458" operator="equal">
      <formula>3</formula>
    </cfRule>
  </conditionalFormatting>
  <conditionalFormatting sqref="L18:L19">
    <cfRule type="top10" dxfId="13085" priority="270873" rank="10"/>
    <cfRule type="cellIs" dxfId="13084" priority="270874" operator="equal">
      <formula>1</formula>
    </cfRule>
  </conditionalFormatting>
  <conditionalFormatting sqref="L21:L22 M22">
    <cfRule type="top10" dxfId="13083" priority="448" rank="10"/>
  </conditionalFormatting>
  <conditionalFormatting sqref="L23 K20:M20 P23">
    <cfRule type="top10" dxfId="13082" priority="105" rank="10"/>
  </conditionalFormatting>
  <conditionalFormatting sqref="L23">
    <cfRule type="top10" dxfId="13081" priority="30" rank="10"/>
    <cfRule type="cellIs" dxfId="13080" priority="31" operator="equal">
      <formula>1</formula>
    </cfRule>
    <cfRule type="cellIs" dxfId="13079" priority="29" operator="equal">
      <formula>3</formula>
    </cfRule>
    <cfRule type="top10" dxfId="13078" priority="101" rank="10"/>
    <cfRule type="cellIs" dxfId="13077" priority="102" operator="equal">
      <formula>1</formula>
    </cfRule>
    <cfRule type="cellIs" dxfId="13076" priority="28" operator="equal">
      <formula>4</formula>
    </cfRule>
  </conditionalFormatting>
  <conditionalFormatting sqref="L25">
    <cfRule type="top10" dxfId="13075" priority="65" rank="10"/>
    <cfRule type="cellIs" dxfId="13074" priority="66" operator="equal">
      <formula>1</formula>
    </cfRule>
  </conditionalFormatting>
  <conditionalFormatting sqref="L21:M23">
    <cfRule type="cellIs" dxfId="13073" priority="430" operator="equal">
      <formula>1</formula>
    </cfRule>
  </conditionalFormatting>
  <conditionalFormatting sqref="L18:Q19 R18:U22 V18:V25 R22:S30 U26:V36 F27:Q30">
    <cfRule type="cellIs" dxfId="13072" priority="193" operator="equal">
      <formula>4</formula>
    </cfRule>
    <cfRule type="cellIs" dxfId="13071" priority="194" operator="equal">
      <formula>3</formula>
    </cfRule>
  </conditionalFormatting>
  <conditionalFormatting sqref="M18:M19">
    <cfRule type="top10" dxfId="13070" priority="270885" rank="10"/>
    <cfRule type="cellIs" dxfId="13069" priority="270886" operator="equal">
      <formula>1</formula>
    </cfRule>
  </conditionalFormatting>
  <conditionalFormatting sqref="M21 M23">
    <cfRule type="top10" dxfId="13068" priority="429" rank="10"/>
  </conditionalFormatting>
  <conditionalFormatting sqref="M24">
    <cfRule type="top10" dxfId="13067" priority="428" rank="10"/>
  </conditionalFormatting>
  <conditionalFormatting sqref="M24:M26">
    <cfRule type="cellIs" dxfId="13066" priority="426" operator="equal">
      <formula>1</formula>
    </cfRule>
  </conditionalFormatting>
  <conditionalFormatting sqref="M25:M26 M28:N36">
    <cfRule type="top10" dxfId="13065" priority="312585" rank="10"/>
  </conditionalFormatting>
  <conditionalFormatting sqref="N18:N20">
    <cfRule type="top10" dxfId="13064" priority="270890" rank="10"/>
    <cfRule type="cellIs" dxfId="13063" priority="270891" operator="equal">
      <formula>1</formula>
    </cfRule>
  </conditionalFormatting>
  <conditionalFormatting sqref="N21">
    <cfRule type="top10" dxfId="13062" priority="408" rank="10"/>
    <cfRule type="cellIs" dxfId="13061" priority="409" operator="equal">
      <formula>1</formula>
    </cfRule>
    <cfRule type="top10" dxfId="13060" priority="404" rank="10"/>
    <cfRule type="cellIs" dxfId="13059" priority="406" operator="equal">
      <formula>4</formula>
    </cfRule>
    <cfRule type="cellIs" dxfId="13058" priority="411" operator="equal">
      <formula>1</formula>
    </cfRule>
    <cfRule type="top10" dxfId="13057" priority="410" rank="10"/>
    <cfRule type="cellIs" dxfId="13056" priority="405" operator="equal">
      <formula>1</formula>
    </cfRule>
    <cfRule type="top10" dxfId="13055" priority="412" rank="10"/>
    <cfRule type="cellIs" dxfId="13054" priority="413" operator="equal">
      <formula>4</formula>
    </cfRule>
    <cfRule type="cellIs" dxfId="13053" priority="414" operator="equal">
      <formula>3</formula>
    </cfRule>
    <cfRule type="cellIs" dxfId="13052" priority="407" operator="equal">
      <formula>3</formula>
    </cfRule>
  </conditionalFormatting>
  <conditionalFormatting sqref="N21:N25">
    <cfRule type="cellIs" dxfId="13051" priority="415" operator="equal">
      <formula>1</formula>
    </cfRule>
  </conditionalFormatting>
  <conditionalFormatting sqref="N22:N25 N28:N36">
    <cfRule type="top10" dxfId="13050" priority="312587" rank="10"/>
  </conditionalFormatting>
  <conditionalFormatting sqref="N21:P24 K20:Q20">
    <cfRule type="cellIs" dxfId="13049" priority="316" operator="equal">
      <formula>4</formula>
    </cfRule>
    <cfRule type="cellIs" dxfId="13048" priority="317" operator="equal">
      <formula>3</formula>
    </cfRule>
  </conditionalFormatting>
  <conditionalFormatting sqref="N29:S30 T30 N31:T34">
    <cfRule type="cellIs" dxfId="13047" priority="312476" operator="equal">
      <formula>1</formula>
    </cfRule>
    <cfRule type="top10" dxfId="13046" priority="312475" rank="10"/>
  </conditionalFormatting>
  <conditionalFormatting sqref="O18:O20">
    <cfRule type="top10" dxfId="13045" priority="270897" rank="10"/>
  </conditionalFormatting>
  <conditionalFormatting sqref="O21:O24 O25:P25 O28:O36">
    <cfRule type="top10" dxfId="13044" priority="312589" rank="10"/>
  </conditionalFormatting>
  <conditionalFormatting sqref="O24">
    <cfRule type="cellIs" dxfId="13043" priority="275" operator="equal">
      <formula>3</formula>
    </cfRule>
    <cfRule type="top10" dxfId="13042" priority="269" rank="10"/>
    <cfRule type="top10" dxfId="13041" priority="273" rank="10"/>
    <cfRule type="cellIs" dxfId="13040" priority="263" operator="equal">
      <formula>4</formula>
    </cfRule>
    <cfRule type="cellIs" dxfId="13039" priority="272" operator="equal">
      <formula>1</formula>
    </cfRule>
    <cfRule type="top10" dxfId="13038" priority="265" rank="10"/>
    <cfRule type="cellIs" dxfId="13037" priority="266" operator="equal">
      <formula>1</formula>
    </cfRule>
    <cfRule type="cellIs" dxfId="13036" priority="267" operator="equal">
      <formula>4</formula>
    </cfRule>
    <cfRule type="cellIs" dxfId="13035" priority="276" operator="equal">
      <formula>1</formula>
    </cfRule>
    <cfRule type="top10" dxfId="13034" priority="271" rank="10"/>
    <cfRule type="cellIs" dxfId="13033" priority="270" operator="equal">
      <formula>1</formula>
    </cfRule>
    <cfRule type="cellIs" dxfId="13032" priority="274" operator="equal">
      <formula>4</formula>
    </cfRule>
    <cfRule type="cellIs" dxfId="13031" priority="268" operator="equal">
      <formula>3</formula>
    </cfRule>
    <cfRule type="cellIs" dxfId="13030" priority="264" operator="equal">
      <formula>3</formula>
    </cfRule>
  </conditionalFormatting>
  <conditionalFormatting sqref="O20:Q20">
    <cfRule type="cellIs" dxfId="13029" priority="382" operator="equal">
      <formula>1</formula>
    </cfRule>
    <cfRule type="top10" dxfId="13028" priority="381" rank="10"/>
    <cfRule type="cellIs" dxfId="13027" priority="380" operator="equal">
      <formula>1</formula>
    </cfRule>
    <cfRule type="top10" dxfId="13026" priority="379" rank="10"/>
    <cfRule type="cellIs" dxfId="13025" priority="378" operator="equal">
      <formula>3</formula>
    </cfRule>
    <cfRule type="cellIs" dxfId="13024" priority="377" operator="equal">
      <formula>4</formula>
    </cfRule>
    <cfRule type="cellIs" dxfId="13023" priority="376" operator="equal">
      <formula>1</formula>
    </cfRule>
    <cfRule type="top10" dxfId="13022" priority="375" rank="10"/>
    <cfRule type="cellIs" dxfId="13021" priority="384" operator="equal">
      <formula>1</formula>
    </cfRule>
    <cfRule type="top10" dxfId="13020" priority="383" rank="10"/>
  </conditionalFormatting>
  <conditionalFormatting sqref="O25:Q25">
    <cfRule type="cellIs" dxfId="13019" priority="92" operator="equal">
      <formula>1</formula>
    </cfRule>
  </conditionalFormatting>
  <conditionalFormatting sqref="P18:P19">
    <cfRule type="top10" dxfId="13018" priority="277393" rank="10"/>
    <cfRule type="cellIs" dxfId="13017" priority="277394" operator="equal">
      <formula>1</formula>
    </cfRule>
  </conditionalFormatting>
  <conditionalFormatting sqref="P21:P22">
    <cfRule type="top10" dxfId="13016" priority="369" rank="10"/>
  </conditionalFormatting>
  <conditionalFormatting sqref="P21:P24">
    <cfRule type="cellIs" dxfId="13015" priority="370" operator="equal">
      <formula>1</formula>
    </cfRule>
  </conditionalFormatting>
  <conditionalFormatting sqref="P23">
    <cfRule type="top10" dxfId="13014" priority="255" rank="10"/>
    <cfRule type="cellIs" dxfId="13013" priority="256" operator="equal">
      <formula>4</formula>
    </cfRule>
    <cfRule type="cellIs" dxfId="13012" priority="257" operator="equal">
      <formula>3</formula>
    </cfRule>
    <cfRule type="top10" dxfId="13011" priority="251" rank="10"/>
    <cfRule type="top10" dxfId="13010" priority="253" rank="10"/>
    <cfRule type="cellIs" dxfId="13009" priority="252" operator="equal">
      <formula>1</formula>
    </cfRule>
    <cfRule type="cellIs" dxfId="13008" priority="250" operator="equal">
      <formula>1</formula>
    </cfRule>
    <cfRule type="cellIs" dxfId="13007" priority="254" operator="equal">
      <formula>1</formula>
    </cfRule>
    <cfRule type="top10" dxfId="13006" priority="249" rank="10"/>
    <cfRule type="cellIs" dxfId="13005" priority="248" operator="equal">
      <formula>3</formula>
    </cfRule>
    <cfRule type="cellIs" dxfId="13004" priority="247" operator="equal">
      <formula>4</formula>
    </cfRule>
    <cfRule type="cellIs" dxfId="13003" priority="261" operator="equal">
      <formula>2</formula>
    </cfRule>
    <cfRule type="cellIs" dxfId="13002" priority="260" operator="equal">
      <formula>1</formula>
    </cfRule>
  </conditionalFormatting>
  <conditionalFormatting sqref="P24 P28:Q36">
    <cfRule type="top10" dxfId="13001" priority="312592" rank="10"/>
  </conditionalFormatting>
  <conditionalFormatting sqref="P25">
    <cfRule type="cellIs" dxfId="13000" priority="79" operator="equal">
      <formula>4</formula>
    </cfRule>
    <cfRule type="top10" dxfId="12999" priority="81" rank="10"/>
    <cfRule type="top10" dxfId="12998" priority="89" rank="10"/>
    <cfRule type="cellIs" dxfId="12997" priority="88" operator="equal">
      <formula>1</formula>
    </cfRule>
    <cfRule type="top10" dxfId="12996" priority="87" rank="10"/>
    <cfRule type="cellIs" dxfId="12995" priority="80" operator="equal">
      <formula>3</formula>
    </cfRule>
    <cfRule type="cellIs" dxfId="12994" priority="86" operator="equal">
      <formula>1</formula>
    </cfRule>
    <cfRule type="top10" dxfId="12993" priority="85" rank="10"/>
    <cfRule type="cellIs" dxfId="12992" priority="84" operator="equal">
      <formula>3</formula>
    </cfRule>
    <cfRule type="cellIs" dxfId="12991" priority="83" operator="equal">
      <formula>4</formula>
    </cfRule>
    <cfRule type="cellIs" dxfId="12990" priority="82" operator="equal">
      <formula>1</formula>
    </cfRule>
  </conditionalFormatting>
  <conditionalFormatting sqref="Q18:Q19">
    <cfRule type="top10" dxfId="12989" priority="270906" rank="10"/>
    <cfRule type="cellIs" dxfId="12988" priority="270907" operator="equal">
      <formula>1</formula>
    </cfRule>
  </conditionalFormatting>
  <conditionalFormatting sqref="Q21:Q24">
    <cfRule type="top10" dxfId="12987" priority="63" rank="10"/>
    <cfRule type="cellIs" dxfId="12986" priority="64" operator="equal">
      <formula>1</formula>
    </cfRule>
  </conditionalFormatting>
  <conditionalFormatting sqref="R18:S30">
    <cfRule type="cellIs" dxfId="12985" priority="348" operator="equal">
      <formula>1</formula>
    </cfRule>
  </conditionalFormatting>
  <conditionalFormatting sqref="R21:S22">
    <cfRule type="top10" dxfId="12984" priority="347" rank="10"/>
  </conditionalFormatting>
  <conditionalFormatting sqref="R22:S22">
    <cfRule type="top10" dxfId="12983" priority="198" rank="10"/>
    <cfRule type="cellIs" dxfId="12982" priority="199" operator="equal">
      <formula>1</formula>
    </cfRule>
    <cfRule type="top10" dxfId="12981" priority="202" rank="10"/>
    <cfRule type="cellIs" dxfId="12980" priority="200" operator="equal">
      <formula>4</formula>
    </cfRule>
    <cfRule type="top10" dxfId="12979" priority="204" rank="10"/>
    <cfRule type="cellIs" dxfId="12978" priority="201" operator="equal">
      <formula>3</formula>
    </cfRule>
    <cfRule type="cellIs" dxfId="12977" priority="203" operator="equal">
      <formula>1</formula>
    </cfRule>
    <cfRule type="cellIs" dxfId="12976" priority="205" operator="equal">
      <formula>1</formula>
    </cfRule>
    <cfRule type="top10" dxfId="12975" priority="206" rank="10"/>
    <cfRule type="cellIs" dxfId="12974" priority="207" operator="equal">
      <formula>1</formula>
    </cfRule>
    <cfRule type="top10" dxfId="12973" priority="209" rank="10"/>
  </conditionalFormatting>
  <conditionalFormatting sqref="S18:S35 T23:T35 G19 S36:T36">
    <cfRule type="cellIs" dxfId="12972" priority="224" operator="equal">
      <formula>4</formula>
    </cfRule>
    <cfRule type="cellIs" dxfId="12971" priority="225" operator="equal">
      <formula>3</formula>
    </cfRule>
  </conditionalFormatting>
  <conditionalFormatting sqref="T18:T19">
    <cfRule type="cellIs" dxfId="12970" priority="277405" operator="equal">
      <formula>1</formula>
    </cfRule>
    <cfRule type="top10" dxfId="12969" priority="277402" rank="10"/>
    <cfRule type="top10" dxfId="12968" priority="277404" rank="10"/>
    <cfRule type="cellIs" dxfId="12967" priority="277403" operator="equal">
      <formula>1</formula>
    </cfRule>
    <cfRule type="cellIs" dxfId="12966" priority="277401" operator="equal">
      <formula>3</formula>
    </cfRule>
    <cfRule type="cellIs" dxfId="12965" priority="277400" operator="equal">
      <formula>4</formula>
    </cfRule>
    <cfRule type="top10" dxfId="12964" priority="277406" rank="10"/>
    <cfRule type="top10" dxfId="12963" priority="277398" rank="10"/>
    <cfRule type="cellIs" dxfId="12962" priority="277397" operator="equal">
      <formula>3</formula>
    </cfRule>
    <cfRule type="cellIs" dxfId="12961" priority="277396" operator="equal">
      <formula>4</formula>
    </cfRule>
    <cfRule type="cellIs" dxfId="12960" priority="277399" operator="equal">
      <formula>1</formula>
    </cfRule>
    <cfRule type="cellIs" dxfId="12959" priority="277407" operator="equal">
      <formula>1</formula>
    </cfRule>
  </conditionalFormatting>
  <conditionalFormatting sqref="T19 R18:S21 S18:S36">
    <cfRule type="top10" dxfId="12958" priority="312594" rank="10"/>
  </conditionalFormatting>
  <conditionalFormatting sqref="T19:T22">
    <cfRule type="top10" dxfId="12957" priority="331" rank="10"/>
  </conditionalFormatting>
  <conditionalFormatting sqref="T20:T22">
    <cfRule type="top10" dxfId="12956" priority="329" rank="10"/>
    <cfRule type="cellIs" dxfId="12955" priority="330" operator="equal">
      <formula>1</formula>
    </cfRule>
    <cfRule type="top10" dxfId="12954" priority="325" rank="10"/>
    <cfRule type="cellIs" dxfId="12953" priority="326" operator="equal">
      <formula>1</formula>
    </cfRule>
    <cfRule type="top10" dxfId="12952" priority="327" rank="10"/>
    <cfRule type="cellIs" dxfId="12951" priority="328" operator="equal">
      <formula>1</formula>
    </cfRule>
    <cfRule type="cellIs" dxfId="12950" priority="324" operator="equal">
      <formula>3</formula>
    </cfRule>
    <cfRule type="cellIs" dxfId="12949" priority="323" operator="equal">
      <formula>4</formula>
    </cfRule>
    <cfRule type="cellIs" dxfId="12948" priority="322" operator="equal">
      <formula>1</formula>
    </cfRule>
    <cfRule type="top10" dxfId="12947" priority="321" rank="10"/>
    <cfRule type="cellIs" dxfId="12946" priority="320" operator="equal">
      <formula>3</formula>
    </cfRule>
    <cfRule type="cellIs" dxfId="12945" priority="319" operator="equal">
      <formula>4</formula>
    </cfRule>
  </conditionalFormatting>
  <conditionalFormatting sqref="T21:T24">
    <cfRule type="top10" dxfId="12944" priority="318" rank="10"/>
  </conditionalFormatting>
  <conditionalFormatting sqref="T23:T24">
    <cfRule type="cellIs" dxfId="12943" priority="150" operator="equal">
      <formula>4</formula>
    </cfRule>
    <cfRule type="cellIs" dxfId="12942" priority="151" operator="equal">
      <formula>3</formula>
    </cfRule>
    <cfRule type="top10" dxfId="12941" priority="152" rank="10"/>
    <cfRule type="cellIs" dxfId="12940" priority="153" operator="equal">
      <formula>1</formula>
    </cfRule>
    <cfRule type="top10" dxfId="12939" priority="154" rank="10"/>
    <cfRule type="cellIs" dxfId="12938" priority="155" operator="equal">
      <formula>1</formula>
    </cfRule>
    <cfRule type="top10" dxfId="12937" priority="156" rank="10"/>
    <cfRule type="cellIs" dxfId="12936" priority="149" operator="equal">
      <formula>1</formula>
    </cfRule>
    <cfRule type="cellIs" dxfId="12935" priority="163" operator="equal">
      <formula>1</formula>
    </cfRule>
    <cfRule type="top10" dxfId="12934" priority="162" rank="10"/>
    <cfRule type="top10" dxfId="12933" priority="159" rank="10"/>
    <cfRule type="cellIs" dxfId="12932" priority="146" operator="equal">
      <formula>4</formula>
    </cfRule>
    <cfRule type="cellIs" dxfId="12931" priority="157" operator="equal">
      <formula>1</formula>
    </cfRule>
    <cfRule type="cellIs" dxfId="12930" priority="147" operator="equal">
      <formula>3</formula>
    </cfRule>
    <cfRule type="top10" dxfId="12929" priority="148" rank="10"/>
  </conditionalFormatting>
  <conditionalFormatting sqref="T25:T26">
    <cfRule type="top10" dxfId="12928" priority="270768" rank="10"/>
    <cfRule type="cellIs" dxfId="12927" priority="270767" operator="equal">
      <formula>1</formula>
    </cfRule>
    <cfRule type="top10" dxfId="12926" priority="270766" rank="10"/>
    <cfRule type="cellIs" dxfId="12925" priority="270765" operator="equal">
      <formula>1</formula>
    </cfRule>
    <cfRule type="top10" dxfId="12924" priority="270764" rank="10"/>
    <cfRule type="cellIs" dxfId="12923" priority="270763" operator="equal">
      <formula>3</formula>
    </cfRule>
    <cfRule type="cellIs" dxfId="12922" priority="270762" operator="equal">
      <formula>4</formula>
    </cfRule>
    <cfRule type="cellIs" dxfId="12921" priority="270761" operator="equal">
      <formula>1</formula>
    </cfRule>
    <cfRule type="top10" dxfId="12920" priority="270760" rank="10"/>
    <cfRule type="top10" dxfId="12919" priority="270772" rank="10"/>
    <cfRule type="cellIs" dxfId="12918" priority="270769" operator="equal">
      <formula>1</formula>
    </cfRule>
    <cfRule type="cellIs" dxfId="12917" priority="270771" operator="equal">
      <formula>1</formula>
    </cfRule>
    <cfRule type="top10" dxfId="12916" priority="270770" rank="10"/>
  </conditionalFormatting>
  <conditionalFormatting sqref="T27:T36">
    <cfRule type="cellIs" dxfId="12915" priority="312600" operator="equal">
      <formula>1</formula>
    </cfRule>
    <cfRule type="top10" dxfId="12914" priority="312599" rank="10"/>
    <cfRule type="cellIs" dxfId="12913" priority="312598" operator="equal">
      <formula>3</formula>
    </cfRule>
    <cfRule type="cellIs" dxfId="12912" priority="312597" operator="equal">
      <formula>4</formula>
    </cfRule>
    <cfRule type="cellIs" dxfId="12911" priority="312608" operator="equal">
      <formula>1</formula>
    </cfRule>
    <cfRule type="top10" dxfId="12910" priority="312607" rank="10"/>
    <cfRule type="cellIs" dxfId="12909" priority="312606" operator="equal">
      <formula>1</formula>
    </cfRule>
    <cfRule type="top10" dxfId="12908" priority="312605" rank="10"/>
    <cfRule type="cellIs" dxfId="12907" priority="312604" operator="equal">
      <formula>1</formula>
    </cfRule>
    <cfRule type="top10" dxfId="12906" priority="312603" rank="10"/>
    <cfRule type="cellIs" dxfId="12905" priority="312602" operator="equal">
      <formula>3</formula>
    </cfRule>
    <cfRule type="cellIs" dxfId="12904" priority="312601" operator="equal">
      <formula>4</formula>
    </cfRule>
  </conditionalFormatting>
  <conditionalFormatting sqref="T30:T34 R23:S36">
    <cfRule type="top10" dxfId="12903" priority="312609" rank="10"/>
  </conditionalFormatting>
  <conditionalFormatting sqref="T30:T34 R31:S36">
    <cfRule type="cellIs" dxfId="12902" priority="62" operator="equal">
      <formula>1</formula>
    </cfRule>
  </conditionalFormatting>
  <conditionalFormatting sqref="T25:V25 Q25 T26">
    <cfRule type="top10" dxfId="12901" priority="270788" rank="10"/>
  </conditionalFormatting>
  <conditionalFormatting sqref="T25:V25">
    <cfRule type="cellIs" dxfId="12900" priority="353" operator="equal">
      <formula>1</formula>
    </cfRule>
  </conditionalFormatting>
  <conditionalFormatting sqref="T28:V36">
    <cfRule type="cellIs" dxfId="12899" priority="312612" operator="equal">
      <formula>1</formula>
    </cfRule>
    <cfRule type="top10" dxfId="12898" priority="312611" rank="10"/>
  </conditionalFormatting>
  <conditionalFormatting sqref="U18:U20">
    <cfRule type="cellIs" dxfId="12897" priority="277416" operator="equal">
      <formula>1</formula>
    </cfRule>
    <cfRule type="top10" dxfId="12896" priority="277415" rank="10"/>
  </conditionalFormatting>
  <conditionalFormatting sqref="U21:U24">
    <cfRule type="cellIs" dxfId="12895" priority="59" operator="equal">
      <formula>1</formula>
    </cfRule>
    <cfRule type="top10" dxfId="12894" priority="58" rank="10"/>
  </conditionalFormatting>
  <conditionalFormatting sqref="U27">
    <cfRule type="cellIs" dxfId="12893" priority="270700" operator="equal">
      <formula>1</formula>
    </cfRule>
    <cfRule type="top10" dxfId="12892" priority="270701" rank="10"/>
    <cfRule type="top10" dxfId="12891" priority="270699" rank="10"/>
    <cfRule type="cellIs" dxfId="12890" priority="270691" operator="equal">
      <formula>4</formula>
    </cfRule>
    <cfRule type="cellIs" dxfId="12889" priority="270698" operator="equal">
      <formula>1</formula>
    </cfRule>
    <cfRule type="top10" dxfId="12888" priority="270697" rank="10"/>
    <cfRule type="cellIs" dxfId="12887" priority="270695" operator="equal">
      <formula>4</formula>
    </cfRule>
    <cfRule type="cellIs" dxfId="12886" priority="270696" operator="equal">
      <formula>3</formula>
    </cfRule>
    <cfRule type="cellIs" dxfId="12885" priority="270692" operator="equal">
      <formula>3</formula>
    </cfRule>
    <cfRule type="top10" dxfId="12884" priority="270693" rank="10"/>
    <cfRule type="cellIs" dxfId="12883" priority="270694" operator="equal">
      <formula>1</formula>
    </cfRule>
  </conditionalFormatting>
  <conditionalFormatting sqref="U35:U36">
    <cfRule type="top10" dxfId="12882" priority="312621" rank="10"/>
    <cfRule type="cellIs" dxfId="12881" priority="312622" operator="equal">
      <formula>1</formula>
    </cfRule>
    <cfRule type="top10" dxfId="12880" priority="312623" rank="10"/>
    <cfRule type="cellIs" dxfId="12879" priority="312625" operator="equal">
      <formula>4</formula>
    </cfRule>
    <cfRule type="cellIs" dxfId="12878" priority="312626" operator="equal">
      <formula>3</formula>
    </cfRule>
    <cfRule type="top10" dxfId="12877" priority="312627" rank="10"/>
    <cfRule type="cellIs" dxfId="12876" priority="312620" operator="equal">
      <formula>1</formula>
    </cfRule>
    <cfRule type="cellIs" dxfId="12875" priority="312624" operator="equal">
      <formula>1</formula>
    </cfRule>
    <cfRule type="cellIs" dxfId="12874" priority="312613" operator="equal">
      <formula>4</formula>
    </cfRule>
    <cfRule type="cellIs" dxfId="12873" priority="312614" operator="equal">
      <formula>3</formula>
    </cfRule>
    <cfRule type="top10" dxfId="12872" priority="312615" rank="10"/>
    <cfRule type="cellIs" dxfId="12871" priority="312616" operator="equal">
      <formula>1</formula>
    </cfRule>
    <cfRule type="cellIs" dxfId="12870" priority="312617" operator="equal">
      <formula>4</formula>
    </cfRule>
    <cfRule type="cellIs" dxfId="12869" priority="312618" operator="equal">
      <formula>3</formula>
    </cfRule>
    <cfRule type="top10" dxfId="12868" priority="312619" rank="10"/>
  </conditionalFormatting>
  <conditionalFormatting sqref="U26:V26 H23:H25 V27 F26:Q27 T27:T36 F28:F36">
    <cfRule type="top10" dxfId="12867" priority="312628" rank="10"/>
  </conditionalFormatting>
  <conditionalFormatting sqref="V18">
    <cfRule type="top10" dxfId="12866" priority="285" rank="10"/>
    <cfRule type="top10" dxfId="12865" priority="270962" rank="10"/>
    <cfRule type="cellIs" dxfId="12864" priority="270963" operator="equal">
      <formula>1</formula>
    </cfRule>
    <cfRule type="cellIs" dxfId="12863" priority="290" operator="equal">
      <formula>1</formula>
    </cfRule>
    <cfRule type="top10" dxfId="12862" priority="289" rank="10"/>
    <cfRule type="cellIs" dxfId="12861" priority="288" operator="equal">
      <formula>3</formula>
    </cfRule>
    <cfRule type="cellIs" dxfId="12860" priority="287" operator="equal">
      <formula>4</formula>
    </cfRule>
    <cfRule type="cellIs" dxfId="12859" priority="286" operator="equal">
      <formula>1</formula>
    </cfRule>
  </conditionalFormatting>
  <conditionalFormatting sqref="V18:V24">
    <cfRule type="top10" dxfId="12858" priority="281" rank="10"/>
    <cfRule type="cellIs" dxfId="12857" priority="282" operator="equal">
      <formula>1</formula>
    </cfRule>
  </conditionalFormatting>
  <conditionalFormatting sqref="W18:X36">
    <cfRule type="cellIs" dxfId="12856" priority="280" operator="equal">
      <formula>1</formula>
    </cfRule>
    <cfRule type="cellIs" dxfId="12855" priority="277" operator="equal">
      <formula>4</formula>
    </cfRule>
    <cfRule type="cellIs" dxfId="12854" priority="278" operator="equal">
      <formula>2</formula>
    </cfRule>
    <cfRule type="cellIs" dxfId="12853" priority="279" operator="equal">
      <formula>3</formula>
    </cfRule>
  </conditionalFormatting>
  <pageMargins left="0" right="0" top="0" bottom="0" header="0" footer="0"/>
  <pageSetup paperSize="8" scale="2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54A3-B9F0-439B-A78A-5F4A2E307EDA}">
  <sheetPr>
    <pageSetUpPr fitToPage="1"/>
  </sheetPr>
  <dimension ref="A1:KF160"/>
  <sheetViews>
    <sheetView topLeftCell="A12" zoomScale="20" zoomScaleNormal="20" zoomScaleSheetLayoutView="20" workbookViewId="0">
      <selection activeCell="BW136" sqref="BW136"/>
    </sheetView>
  </sheetViews>
  <sheetFormatPr defaultColWidth="9.109375" defaultRowHeight="31.2"/>
  <cols>
    <col min="1" max="1" width="35.33203125" style="105" customWidth="1"/>
    <col min="2" max="2" width="94.44140625" style="105" bestFit="1" customWidth="1"/>
    <col min="3" max="3" width="52" style="105" customWidth="1"/>
    <col min="4" max="4" width="91.5546875" style="105" bestFit="1" customWidth="1"/>
    <col min="5" max="7" width="15.6640625" style="105" customWidth="1"/>
    <col min="8" max="9" width="22.5546875" style="105" bestFit="1" customWidth="1"/>
    <col min="10" max="17" width="28.6640625" style="105" bestFit="1" customWidth="1"/>
    <col min="18" max="19" width="22.5546875" style="105" bestFit="1" customWidth="1"/>
    <col min="20" max="20" width="30.109375" style="105" bestFit="1" customWidth="1"/>
    <col min="21" max="32" width="28.6640625" style="105" bestFit="1" customWidth="1"/>
    <col min="33" max="34" width="22.5546875" style="105" bestFit="1" customWidth="1"/>
    <col min="35" max="36" width="30.109375" style="105" bestFit="1" customWidth="1"/>
    <col min="37" max="37" width="28.6640625" style="105" bestFit="1" customWidth="1"/>
    <col min="38" max="38" width="22.5546875" style="105" bestFit="1" customWidth="1"/>
    <col min="39" max="39" width="28.6640625" style="105" bestFit="1" customWidth="1"/>
    <col min="40" max="42" width="22.5546875" style="105" bestFit="1" customWidth="1"/>
    <col min="43" max="44" width="28.6640625" style="105" bestFit="1" customWidth="1"/>
    <col min="45" max="46" width="22.5546875" style="105" bestFit="1" customWidth="1"/>
    <col min="47" max="47" width="28.6640625" style="105" bestFit="1" customWidth="1"/>
    <col min="48" max="49" width="22.5546875" style="105" bestFit="1" customWidth="1"/>
    <col min="50" max="50" width="28.6640625" style="105" bestFit="1" customWidth="1"/>
    <col min="51" max="51" width="22.5546875" style="105" bestFit="1" customWidth="1"/>
    <col min="52" max="54" width="28.6640625" style="105" bestFit="1" customWidth="1"/>
    <col min="55" max="57" width="22.5546875" style="105" bestFit="1" customWidth="1"/>
    <col min="58" max="59" width="28.6640625" style="105" bestFit="1" customWidth="1"/>
    <col min="60" max="60" width="30.109375" style="105" bestFit="1" customWidth="1"/>
    <col min="61" max="62" width="22.5546875" style="105" bestFit="1" customWidth="1"/>
    <col min="63" max="64" width="28.6640625" style="105" bestFit="1" customWidth="1"/>
    <col min="65" max="65" width="29.6640625" style="105" bestFit="1" customWidth="1"/>
    <col min="66" max="66" width="28.6640625" style="105" bestFit="1" customWidth="1"/>
    <col min="67" max="67" width="29.6640625" style="105" bestFit="1" customWidth="1"/>
    <col min="68" max="69" width="22.5546875" style="105" bestFit="1" customWidth="1"/>
    <col min="70" max="70" width="28.6640625" style="105" bestFit="1" customWidth="1"/>
    <col min="71" max="71" width="38.6640625" style="105" bestFit="1" customWidth="1"/>
    <col min="72" max="73" width="28.6640625" style="105" bestFit="1" customWidth="1"/>
    <col min="74" max="74" width="22.5546875" style="105" bestFit="1" customWidth="1"/>
    <col min="75" max="75" width="38.6640625" style="105" bestFit="1" customWidth="1"/>
    <col min="76" max="76" width="28.6640625" style="105" bestFit="1" customWidth="1"/>
    <col min="77" max="77" width="22.5546875" style="105" bestFit="1" customWidth="1"/>
    <col min="78" max="81" width="28.6640625" style="105" bestFit="1" customWidth="1"/>
    <col min="82" max="83" width="22.5546875" style="105" bestFit="1" customWidth="1"/>
    <col min="84" max="86" width="29.6640625" style="105" bestFit="1" customWidth="1"/>
    <col min="87" max="87" width="22.5546875" style="105" bestFit="1" customWidth="1"/>
    <col min="88" max="88" width="29.6640625" style="105" bestFit="1" customWidth="1"/>
    <col min="89" max="89" width="22.5546875" style="125" bestFit="1" customWidth="1"/>
    <col min="90" max="90" width="38.6640625" style="125" bestFit="1" customWidth="1"/>
    <col min="91" max="91" width="29.6640625" style="125" bestFit="1" customWidth="1"/>
    <col min="92" max="92" width="22.5546875" style="125" bestFit="1" customWidth="1"/>
    <col min="93" max="93" width="47.6640625" style="125" bestFit="1" customWidth="1"/>
    <col min="94" max="94" width="74.88671875" style="30" bestFit="1" customWidth="1"/>
    <col min="95" max="95" width="56.88671875" style="30" bestFit="1" customWidth="1"/>
    <col min="96" max="97" width="28.6640625" style="30" bestFit="1" customWidth="1"/>
    <col min="98" max="98" width="28.6640625" style="105" bestFit="1" customWidth="1"/>
    <col min="99" max="103" width="30.109375" style="105" bestFit="1" customWidth="1"/>
    <col min="104" max="104" width="28.6640625" style="105" bestFit="1" customWidth="1"/>
    <col min="105" max="105" width="22.5546875" style="105" bestFit="1" customWidth="1"/>
    <col min="106" max="107" width="28.6640625" style="105" bestFit="1" customWidth="1"/>
    <col min="108" max="108" width="29.6640625" style="105" bestFit="1" customWidth="1"/>
    <col min="109" max="115" width="28.6640625" style="105" bestFit="1" customWidth="1"/>
    <col min="116" max="124" width="15.6640625" style="105" customWidth="1"/>
    <col min="125" max="125" width="21.5546875" style="105" customWidth="1"/>
    <col min="126" max="126" width="23.33203125" style="156" customWidth="1"/>
    <col min="127" max="141" width="9.109375" style="105"/>
    <col min="142" max="142" width="9.109375" style="105" customWidth="1"/>
    <col min="143" max="16384" width="9.109375" style="105"/>
  </cols>
  <sheetData>
    <row r="1" spans="1:292" s="132" customFormat="1" ht="114.75" customHeight="1">
      <c r="A1" s="1092"/>
      <c r="B1" s="1093"/>
      <c r="C1" s="1096" t="s">
        <v>29</v>
      </c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  <c r="AB1" s="1097"/>
      <c r="AC1" s="1097"/>
      <c r="AD1" s="1097"/>
      <c r="AE1" s="1097"/>
      <c r="AF1" s="1097"/>
      <c r="AG1" s="1097"/>
      <c r="AH1" s="1097"/>
      <c r="AI1" s="1097"/>
      <c r="AJ1" s="1097"/>
      <c r="AK1" s="1097"/>
      <c r="AL1" s="1097"/>
      <c r="AM1" s="1097"/>
      <c r="AN1" s="1097"/>
      <c r="AO1" s="1097"/>
      <c r="AP1" s="1097"/>
      <c r="AQ1" s="1097"/>
      <c r="AR1" s="1097"/>
      <c r="AS1" s="1097"/>
      <c r="AT1" s="1097"/>
      <c r="AU1" s="1097"/>
      <c r="AV1" s="1097"/>
      <c r="AW1" s="1097"/>
      <c r="AX1" s="1097"/>
      <c r="AY1" s="1097"/>
      <c r="AZ1" s="1097"/>
      <c r="BA1" s="1097"/>
      <c r="BB1" s="1097"/>
      <c r="BC1" s="1097"/>
      <c r="BD1" s="1097"/>
      <c r="BE1" s="1097"/>
      <c r="BF1" s="1097"/>
      <c r="BG1" s="1097"/>
      <c r="BH1" s="1097"/>
      <c r="BI1" s="1097"/>
      <c r="BJ1" s="1097"/>
      <c r="BK1" s="1097"/>
      <c r="BL1" s="1097"/>
      <c r="BM1" s="1097"/>
      <c r="BN1" s="1097"/>
      <c r="BO1" s="1097"/>
      <c r="BP1" s="1097"/>
      <c r="BQ1" s="1097"/>
      <c r="BR1" s="1097"/>
      <c r="BS1" s="1097"/>
      <c r="BT1" s="1097"/>
      <c r="BU1" s="1097"/>
      <c r="BV1" s="1097"/>
      <c r="BW1" s="1097"/>
      <c r="BX1" s="1097"/>
      <c r="BY1" s="1097"/>
      <c r="BZ1" s="1097"/>
      <c r="CA1" s="1097"/>
      <c r="CB1" s="1097"/>
      <c r="CC1" s="1097"/>
      <c r="CD1" s="1097"/>
      <c r="CE1" s="1097"/>
      <c r="CF1" s="1097"/>
      <c r="CG1" s="1097"/>
      <c r="CH1" s="1097"/>
      <c r="CI1" s="1097"/>
      <c r="CJ1" s="1097"/>
      <c r="CK1" s="1097"/>
      <c r="CL1" s="1097"/>
      <c r="CM1" s="1097"/>
      <c r="CN1" s="1097"/>
      <c r="CO1" s="1097"/>
      <c r="CP1" s="1097"/>
      <c r="CQ1" s="1097"/>
      <c r="CR1" s="1097"/>
      <c r="CS1" s="1097"/>
      <c r="CT1" s="1097"/>
      <c r="CU1" s="1097"/>
      <c r="CV1" s="1097"/>
      <c r="CW1" s="1097"/>
      <c r="CX1" s="1097"/>
      <c r="CY1" s="1097"/>
      <c r="CZ1" s="1097"/>
      <c r="DA1" s="1097"/>
      <c r="DB1" s="1097"/>
      <c r="DC1" s="1097"/>
      <c r="DD1" s="1097"/>
      <c r="DE1" s="1097"/>
      <c r="DF1" s="1097"/>
      <c r="DG1" s="1097"/>
      <c r="DH1" s="1097"/>
      <c r="DI1" s="1097"/>
      <c r="DJ1" s="1097"/>
      <c r="DK1" s="1097"/>
      <c r="DL1" s="1097"/>
      <c r="DM1" s="1097"/>
      <c r="DN1" s="1097"/>
      <c r="DO1" s="1097"/>
      <c r="DP1" s="1097"/>
      <c r="DQ1" s="1097"/>
      <c r="DR1" s="1098"/>
      <c r="DS1" s="1099" t="s">
        <v>0</v>
      </c>
      <c r="DT1" s="1099"/>
      <c r="DU1" s="1099" t="s">
        <v>20</v>
      </c>
      <c r="DV1" s="1099"/>
    </row>
    <row r="2" spans="1:292" s="132" customFormat="1" ht="195.75" customHeight="1" thickBot="1">
      <c r="A2" s="1094"/>
      <c r="B2" s="1095"/>
      <c r="C2" s="1096" t="s">
        <v>30</v>
      </c>
      <c r="D2" s="1097"/>
      <c r="E2" s="1097"/>
      <c r="F2" s="1097"/>
      <c r="G2" s="1097"/>
      <c r="H2" s="1097"/>
      <c r="I2" s="1097"/>
      <c r="J2" s="1097"/>
      <c r="K2" s="1097"/>
      <c r="L2" s="1097"/>
      <c r="M2" s="1097"/>
      <c r="N2" s="1097"/>
      <c r="O2" s="1097"/>
      <c r="P2" s="1097"/>
      <c r="Q2" s="1097"/>
      <c r="R2" s="1097"/>
      <c r="S2" s="1097"/>
      <c r="T2" s="1097"/>
      <c r="U2" s="1097"/>
      <c r="V2" s="1097"/>
      <c r="W2" s="1097"/>
      <c r="X2" s="1097"/>
      <c r="Y2" s="1097"/>
      <c r="Z2" s="1097"/>
      <c r="AA2" s="1097"/>
      <c r="AB2" s="1097"/>
      <c r="AC2" s="1097"/>
      <c r="AD2" s="1097"/>
      <c r="AE2" s="1097"/>
      <c r="AF2" s="1097"/>
      <c r="AG2" s="1097"/>
      <c r="AH2" s="1097"/>
      <c r="AI2" s="1097"/>
      <c r="AJ2" s="1097"/>
      <c r="AK2" s="1097"/>
      <c r="AL2" s="1097"/>
      <c r="AM2" s="1097"/>
      <c r="AN2" s="1097"/>
      <c r="AO2" s="1097"/>
      <c r="AP2" s="1097"/>
      <c r="AQ2" s="1097"/>
      <c r="AR2" s="1097"/>
      <c r="AS2" s="1097"/>
      <c r="AT2" s="1097"/>
      <c r="AU2" s="1097"/>
      <c r="AV2" s="1097"/>
      <c r="AW2" s="1097"/>
      <c r="AX2" s="1097"/>
      <c r="AY2" s="1097"/>
      <c r="AZ2" s="1097"/>
      <c r="BA2" s="1097"/>
      <c r="BB2" s="1097"/>
      <c r="BC2" s="1097"/>
      <c r="BD2" s="1097"/>
      <c r="BE2" s="1097"/>
      <c r="BF2" s="1097"/>
      <c r="BG2" s="1097"/>
      <c r="BH2" s="1097"/>
      <c r="BI2" s="1097"/>
      <c r="BJ2" s="1097"/>
      <c r="BK2" s="1097"/>
      <c r="BL2" s="1097"/>
      <c r="BM2" s="1097"/>
      <c r="BN2" s="1097"/>
      <c r="BO2" s="1097"/>
      <c r="BP2" s="1097"/>
      <c r="BQ2" s="1097"/>
      <c r="BR2" s="1097"/>
      <c r="BS2" s="1097"/>
      <c r="BT2" s="1097"/>
      <c r="BU2" s="1097"/>
      <c r="BV2" s="1097"/>
      <c r="BW2" s="1097"/>
      <c r="BX2" s="1097"/>
      <c r="BY2" s="1097"/>
      <c r="BZ2" s="1097"/>
      <c r="CA2" s="1097"/>
      <c r="CB2" s="1097"/>
      <c r="CC2" s="1097"/>
      <c r="CD2" s="1097"/>
      <c r="CE2" s="1097"/>
      <c r="CF2" s="1097"/>
      <c r="CG2" s="1097"/>
      <c r="CH2" s="1097"/>
      <c r="CI2" s="1097"/>
      <c r="CJ2" s="1097"/>
      <c r="CK2" s="1097"/>
      <c r="CL2" s="1097"/>
      <c r="CM2" s="1097"/>
      <c r="CN2" s="1097"/>
      <c r="CO2" s="1097"/>
      <c r="CP2" s="1097"/>
      <c r="CQ2" s="1097"/>
      <c r="CR2" s="1097"/>
      <c r="CS2" s="1097"/>
      <c r="CT2" s="1097"/>
      <c r="CU2" s="1097"/>
      <c r="CV2" s="1097"/>
      <c r="CW2" s="1097"/>
      <c r="CX2" s="1097"/>
      <c r="CY2" s="1097"/>
      <c r="CZ2" s="1097"/>
      <c r="DA2" s="1097"/>
      <c r="DB2" s="1097"/>
      <c r="DC2" s="1097"/>
      <c r="DD2" s="1097"/>
      <c r="DE2" s="1097"/>
      <c r="DF2" s="1097"/>
      <c r="DG2" s="1097"/>
      <c r="DH2" s="1097"/>
      <c r="DI2" s="1097"/>
      <c r="DJ2" s="1097"/>
      <c r="DK2" s="1097"/>
      <c r="DL2" s="1097"/>
      <c r="DM2" s="1097"/>
      <c r="DN2" s="1097"/>
      <c r="DO2" s="1097"/>
      <c r="DP2" s="1097"/>
      <c r="DQ2" s="1097"/>
      <c r="DR2" s="1098"/>
      <c r="DS2" s="1099" t="s">
        <v>1</v>
      </c>
      <c r="DT2" s="1099"/>
      <c r="DU2" s="1100">
        <v>45358</v>
      </c>
      <c r="DV2" s="1100"/>
    </row>
    <row r="3" spans="1:292" s="32" customFormat="1" ht="31.5" customHeight="1">
      <c r="C3" s="99"/>
      <c r="D3" s="99"/>
      <c r="E3" s="99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3"/>
      <c r="CH3" s="133"/>
      <c r="CI3" s="133"/>
      <c r="CJ3" s="133"/>
      <c r="CK3" s="137"/>
      <c r="CL3" s="137"/>
      <c r="CM3" s="137"/>
      <c r="CN3" s="137"/>
      <c r="CO3" s="137"/>
      <c r="CP3" s="24"/>
      <c r="CQ3" s="24"/>
      <c r="CR3" s="24"/>
      <c r="CS3" s="24"/>
      <c r="CT3" s="133"/>
      <c r="CU3" s="133"/>
      <c r="CV3" s="133"/>
      <c r="CW3" s="133"/>
      <c r="CX3" s="133"/>
      <c r="CY3" s="133"/>
      <c r="CZ3" s="133"/>
      <c r="DA3" s="133"/>
      <c r="DB3" s="133"/>
      <c r="DC3" s="133"/>
      <c r="DD3" s="133"/>
      <c r="DE3" s="133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1101" t="s">
        <v>518</v>
      </c>
      <c r="DS3" s="770"/>
      <c r="DT3" s="1102"/>
      <c r="DU3" s="1104">
        <f>+AVERAGE(DU17:DU124)</f>
        <v>0.17048794826572589</v>
      </c>
      <c r="DV3" s="754">
        <f>AVERAGE(DV17:DV124)</f>
        <v>1.409273898804821</v>
      </c>
    </row>
    <row r="4" spans="1:292" s="32" customFormat="1" ht="49.5" customHeight="1">
      <c r="B4" s="372" t="s">
        <v>5</v>
      </c>
      <c r="C4" s="365"/>
      <c r="D4" s="278"/>
      <c r="AB4" s="134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7"/>
      <c r="CL4" s="137"/>
      <c r="CM4" s="137"/>
      <c r="CN4" s="137"/>
      <c r="CO4" s="137"/>
      <c r="CP4" s="24"/>
      <c r="CQ4" s="24"/>
      <c r="CR4" s="24"/>
      <c r="CS4" s="24"/>
      <c r="CT4" s="133"/>
      <c r="CU4" s="133"/>
      <c r="CV4" s="133"/>
      <c r="CW4" s="133"/>
      <c r="CX4" s="133"/>
      <c r="CY4" s="133"/>
      <c r="CZ4" s="133"/>
      <c r="DA4" s="133"/>
      <c r="DB4" s="133"/>
      <c r="DC4" s="133"/>
      <c r="DD4" s="133"/>
      <c r="DR4" s="1103"/>
      <c r="DS4" s="770"/>
      <c r="DT4" s="1102"/>
      <c r="DU4" s="1104"/>
      <c r="DV4" s="754"/>
    </row>
    <row r="5" spans="1:292" s="32" customFormat="1" ht="49.5" customHeight="1">
      <c r="B5" s="372" t="s">
        <v>6</v>
      </c>
      <c r="C5" s="365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  <c r="BX5" s="135"/>
      <c r="BY5" s="135"/>
      <c r="BZ5" s="135"/>
      <c r="CA5" s="135"/>
      <c r="CB5" s="135"/>
      <c r="CC5" s="135"/>
      <c r="CD5" s="135"/>
      <c r="CE5" s="135"/>
      <c r="CF5" s="135"/>
      <c r="CG5" s="135"/>
      <c r="CH5" s="135"/>
      <c r="CI5" s="135"/>
      <c r="CJ5" s="135"/>
      <c r="CK5" s="138"/>
      <c r="CL5" s="138"/>
      <c r="CM5" s="138"/>
      <c r="CN5" s="138"/>
      <c r="CO5" s="138"/>
      <c r="CP5" s="28"/>
      <c r="CQ5" s="28"/>
      <c r="CR5" s="28"/>
      <c r="CS5" s="28"/>
      <c r="CT5" s="135"/>
      <c r="CU5" s="135"/>
      <c r="CV5" s="135"/>
      <c r="CW5" s="135"/>
      <c r="CX5" s="135"/>
      <c r="CY5" s="135"/>
      <c r="CZ5" s="135"/>
      <c r="DA5" s="135"/>
      <c r="DB5" s="135"/>
      <c r="DC5" s="135"/>
      <c r="DD5" s="135"/>
      <c r="DE5" s="135"/>
      <c r="DF5" s="135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103"/>
      <c r="DS5" s="770"/>
      <c r="DT5" s="1102"/>
      <c r="DU5" s="1104"/>
      <c r="DV5" s="754"/>
    </row>
    <row r="6" spans="1:292" s="32" customFormat="1" ht="49.5" customHeight="1">
      <c r="B6" s="372" t="s">
        <v>7</v>
      </c>
      <c r="C6" s="365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39"/>
      <c r="CL6" s="139"/>
      <c r="CM6" s="139"/>
      <c r="CN6" s="139"/>
      <c r="CO6" s="139"/>
      <c r="CP6" s="27"/>
      <c r="CQ6" s="27"/>
      <c r="CR6" s="27"/>
      <c r="CS6" s="27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  <c r="DJ6" s="100"/>
      <c r="DK6" s="100"/>
      <c r="DL6" s="100"/>
      <c r="DM6" s="100"/>
      <c r="DN6" s="100"/>
      <c r="DO6" s="100"/>
      <c r="DP6" s="100"/>
      <c r="DQ6" s="100"/>
      <c r="DR6" s="1103"/>
      <c r="DS6" s="770"/>
      <c r="DT6" s="1102"/>
      <c r="DU6" s="1104"/>
      <c r="DV6" s="754"/>
    </row>
    <row r="7" spans="1:292" s="32" customFormat="1" ht="49.5" customHeight="1">
      <c r="B7" s="372" t="s">
        <v>10</v>
      </c>
      <c r="C7" s="366"/>
      <c r="F7" s="1105"/>
      <c r="G7" s="1105"/>
      <c r="H7" s="1105"/>
      <c r="I7" s="1105"/>
      <c r="J7" s="1105"/>
      <c r="K7" s="1105"/>
      <c r="L7" s="1105"/>
      <c r="M7" s="1105"/>
      <c r="N7" s="1105"/>
      <c r="O7" s="1105"/>
      <c r="P7" s="1105"/>
      <c r="Q7" s="1105"/>
      <c r="R7" s="1105"/>
      <c r="S7" s="1105"/>
      <c r="T7" s="1105"/>
      <c r="U7" s="1105"/>
      <c r="V7" s="1105"/>
      <c r="W7" s="1105"/>
      <c r="X7" s="1105"/>
      <c r="Y7" s="1105"/>
      <c r="Z7" s="1105"/>
      <c r="AA7" s="1105"/>
      <c r="AB7" s="1105"/>
      <c r="AC7" s="1105"/>
      <c r="AD7" s="1105"/>
      <c r="AE7" s="1105"/>
      <c r="AF7" s="1105"/>
      <c r="AG7" s="1105"/>
      <c r="AH7" s="1105"/>
      <c r="AI7" s="1105"/>
      <c r="AJ7" s="1105"/>
      <c r="AK7" s="1105"/>
      <c r="AL7" s="1105"/>
      <c r="AM7" s="1105"/>
      <c r="AN7" s="1105"/>
      <c r="AO7" s="1105"/>
      <c r="AP7" s="1105"/>
      <c r="AQ7" s="1105"/>
      <c r="AR7" s="1105"/>
      <c r="AS7" s="1105"/>
      <c r="AT7" s="1105"/>
      <c r="AU7" s="1105"/>
      <c r="AV7" s="1105"/>
      <c r="AW7" s="1105"/>
      <c r="AX7" s="1105"/>
      <c r="AY7" s="1105"/>
      <c r="AZ7" s="1105"/>
      <c r="BA7" s="1105"/>
      <c r="BB7" s="1105"/>
      <c r="BC7" s="1105"/>
      <c r="BD7" s="1105"/>
      <c r="BE7" s="1105"/>
      <c r="BF7" s="1105"/>
      <c r="BG7" s="1105"/>
      <c r="BH7" s="1105"/>
      <c r="BI7" s="1105"/>
      <c r="BJ7" s="1105"/>
      <c r="BK7" s="1105"/>
      <c r="BL7" s="1105"/>
      <c r="BM7" s="1105"/>
      <c r="BN7" s="1105"/>
      <c r="BO7" s="1105"/>
      <c r="BP7" s="1105"/>
      <c r="BQ7" s="1105"/>
      <c r="BR7" s="1105"/>
      <c r="BS7" s="1105"/>
      <c r="BT7" s="1105"/>
      <c r="BU7" s="1105"/>
      <c r="BV7" s="1105"/>
      <c r="BW7" s="1105"/>
      <c r="BX7" s="1105"/>
      <c r="BY7" s="1105"/>
      <c r="BZ7" s="1105"/>
      <c r="CA7" s="1105"/>
      <c r="CB7" s="1105"/>
      <c r="CC7" s="1105"/>
      <c r="CD7" s="1105"/>
      <c r="CE7" s="1105"/>
      <c r="CF7" s="1105"/>
      <c r="CG7" s="1105"/>
      <c r="CH7" s="1105"/>
      <c r="CI7" s="1105"/>
      <c r="CJ7" s="1105"/>
      <c r="CK7" s="1105"/>
      <c r="CL7" s="1105"/>
      <c r="CM7" s="1105"/>
      <c r="CN7" s="1105"/>
      <c r="CO7" s="1105"/>
      <c r="CP7" s="1105"/>
      <c r="CQ7" s="1105"/>
      <c r="CR7" s="1105"/>
      <c r="CS7" s="1105"/>
      <c r="CT7" s="1105"/>
      <c r="CU7" s="1105"/>
      <c r="CV7" s="1105"/>
      <c r="CW7" s="1105"/>
      <c r="CX7" s="1105"/>
      <c r="CY7" s="1105"/>
      <c r="CZ7" s="1105"/>
      <c r="DA7" s="1105"/>
      <c r="DB7" s="1105"/>
      <c r="DC7" s="1105"/>
      <c r="DD7" s="1105"/>
      <c r="DE7" s="1105"/>
      <c r="DF7" s="1105"/>
      <c r="DR7" s="1103"/>
      <c r="DS7" s="770"/>
      <c r="DT7" s="1102"/>
      <c r="DU7" s="1104"/>
      <c r="DV7" s="754"/>
    </row>
    <row r="8" spans="1:292" s="32" customFormat="1" ht="73.5" customHeight="1">
      <c r="C8" s="43"/>
      <c r="D8" s="43"/>
      <c r="E8" s="4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33"/>
      <c r="CJ8" s="133"/>
      <c r="CK8" s="137"/>
      <c r="CL8" s="137"/>
      <c r="CM8" s="137"/>
      <c r="CN8" s="137"/>
      <c r="CO8" s="137"/>
      <c r="CP8" s="24"/>
      <c r="CQ8" s="24"/>
      <c r="CR8" s="24"/>
      <c r="CS8" s="24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33"/>
      <c r="DM8" s="133"/>
      <c r="DN8" s="133"/>
      <c r="DO8" s="133"/>
      <c r="DP8" s="133"/>
      <c r="DQ8" s="133"/>
      <c r="DR8" s="1103"/>
      <c r="DS8" s="770"/>
      <c r="DT8" s="1102"/>
      <c r="DU8" s="1104"/>
      <c r="DV8" s="754"/>
    </row>
    <row r="9" spans="1:292" s="32" customFormat="1" ht="37.5" customHeight="1">
      <c r="C9" s="43"/>
      <c r="D9" s="43"/>
      <c r="E9" s="4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5"/>
      <c r="CK9" s="138"/>
      <c r="CL9" s="138"/>
      <c r="CM9" s="138"/>
      <c r="CN9" s="138"/>
      <c r="CO9" s="138"/>
      <c r="CP9" s="28"/>
      <c r="CQ9" s="28"/>
      <c r="CR9" s="28"/>
      <c r="CS9" s="28"/>
      <c r="CT9" s="135"/>
      <c r="CU9" s="135"/>
      <c r="CV9" s="135"/>
      <c r="CW9" s="135"/>
      <c r="CX9" s="135"/>
      <c r="CY9" s="135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33"/>
      <c r="DM9" s="133"/>
      <c r="DN9" s="133"/>
      <c r="DO9" s="133"/>
      <c r="DP9" s="133"/>
      <c r="DQ9" s="133"/>
      <c r="DR9" s="1103"/>
      <c r="DS9" s="770"/>
      <c r="DT9" s="1102"/>
      <c r="DU9" s="1104"/>
      <c r="DV9" s="754"/>
    </row>
    <row r="10" spans="1:292" s="32" customFormat="1" ht="47.25" customHeight="1" thickBot="1">
      <c r="C10" s="43"/>
      <c r="D10" s="43"/>
      <c r="E10" s="1106"/>
      <c r="F10" s="1106"/>
      <c r="G10" s="1106"/>
      <c r="H10" s="1106"/>
      <c r="I10" s="1106"/>
      <c r="J10" s="1106"/>
      <c r="K10" s="1106"/>
      <c r="L10" s="1106"/>
      <c r="M10" s="1106"/>
      <c r="N10" s="1106"/>
      <c r="O10" s="1106"/>
      <c r="P10" s="1106"/>
      <c r="Q10" s="1106"/>
      <c r="R10" s="1106"/>
      <c r="S10" s="1106"/>
      <c r="T10" s="1106"/>
      <c r="U10" s="1106"/>
      <c r="V10" s="1106"/>
      <c r="W10" s="1106"/>
      <c r="X10" s="1106"/>
      <c r="Y10" s="1106"/>
      <c r="Z10" s="1106"/>
      <c r="AA10" s="1106"/>
      <c r="AB10" s="1106"/>
      <c r="AC10" s="1106"/>
      <c r="AD10" s="1106"/>
      <c r="AE10" s="1106"/>
      <c r="AF10" s="1106"/>
      <c r="AG10" s="1106"/>
      <c r="AH10" s="1106"/>
      <c r="AI10" s="1106"/>
      <c r="AJ10" s="1106"/>
      <c r="AK10" s="1106"/>
      <c r="AL10" s="1106"/>
      <c r="AM10" s="1106"/>
      <c r="AN10" s="1106"/>
      <c r="AO10" s="1106"/>
      <c r="AP10" s="1106"/>
      <c r="AQ10" s="1106"/>
      <c r="AR10" s="1106"/>
      <c r="AS10" s="1106"/>
      <c r="AT10" s="1106"/>
      <c r="AU10" s="1106"/>
      <c r="AV10" s="1106"/>
      <c r="AW10" s="1106"/>
      <c r="AX10" s="1106"/>
      <c r="AY10" s="1106"/>
      <c r="AZ10" s="1106"/>
      <c r="BA10" s="1106"/>
      <c r="BB10" s="1106"/>
      <c r="BC10" s="1106"/>
      <c r="BD10" s="1106"/>
      <c r="BE10" s="1106"/>
      <c r="BF10" s="1106"/>
      <c r="BG10" s="1106"/>
      <c r="BH10" s="1106"/>
      <c r="BI10" s="1106"/>
      <c r="BJ10" s="1106"/>
      <c r="BK10" s="1106"/>
      <c r="BL10" s="1106"/>
      <c r="BM10" s="1106"/>
      <c r="BN10" s="1106"/>
      <c r="BO10" s="1106"/>
      <c r="BP10" s="1106"/>
      <c r="BQ10" s="1106"/>
      <c r="BR10" s="1106"/>
      <c r="BS10" s="1106"/>
      <c r="BT10" s="1106"/>
      <c r="BU10" s="1106"/>
      <c r="BV10" s="1106"/>
      <c r="BW10" s="1106"/>
      <c r="BX10" s="1106"/>
      <c r="BY10" s="1106"/>
      <c r="BZ10" s="1106"/>
      <c r="CA10" s="1106"/>
      <c r="CB10" s="1106"/>
      <c r="CC10" s="1106"/>
      <c r="CD10" s="1106"/>
      <c r="CE10" s="1106"/>
      <c r="CF10" s="1106"/>
      <c r="CG10" s="1106"/>
      <c r="CH10" s="1106"/>
      <c r="CI10" s="1106"/>
      <c r="CJ10" s="1106"/>
      <c r="CK10" s="1106"/>
      <c r="CL10" s="1106"/>
      <c r="CM10" s="1106"/>
      <c r="CN10" s="1106"/>
      <c r="CO10" s="1106"/>
      <c r="CP10" s="1106"/>
      <c r="CQ10" s="1106"/>
      <c r="CR10" s="1106"/>
      <c r="CS10" s="1106"/>
      <c r="CT10" s="1106"/>
      <c r="CU10" s="1106"/>
      <c r="CV10" s="1106"/>
      <c r="CW10" s="1106"/>
      <c r="CX10" s="1106"/>
      <c r="CY10" s="1106"/>
      <c r="CZ10" s="1106"/>
      <c r="DA10" s="1106"/>
      <c r="DB10" s="1106"/>
      <c r="DC10" s="1106"/>
      <c r="DD10" s="1106"/>
      <c r="DE10" s="1106"/>
      <c r="DF10" s="1106"/>
      <c r="DG10" s="1106"/>
      <c r="DH10" s="1106"/>
      <c r="DI10" s="1106"/>
      <c r="DJ10" s="1106"/>
      <c r="DK10" s="1106"/>
      <c r="DL10" s="1106"/>
      <c r="DM10" s="1106"/>
      <c r="DN10" s="1106"/>
      <c r="DO10" s="1106"/>
      <c r="DP10" s="1106"/>
      <c r="DQ10" s="1106"/>
      <c r="DR10" s="1106"/>
      <c r="DS10" s="1106"/>
      <c r="DT10" s="1106"/>
      <c r="DU10" s="1106"/>
      <c r="DV10" s="1107"/>
    </row>
    <row r="11" spans="1:292" ht="396.75" customHeight="1" thickBot="1">
      <c r="A11" s="510"/>
      <c r="B11" s="510"/>
      <c r="C11" s="510"/>
      <c r="D11" s="511"/>
      <c r="E11" s="1108" t="s">
        <v>487</v>
      </c>
      <c r="F11" s="1108"/>
      <c r="G11" s="1108"/>
      <c r="H11" s="1108"/>
      <c r="I11" s="1108"/>
      <c r="J11" s="1108"/>
      <c r="K11" s="1108"/>
      <c r="L11" s="1108"/>
      <c r="M11" s="1108"/>
      <c r="N11" s="1108"/>
      <c r="O11" s="1108"/>
      <c r="P11" s="1108"/>
      <c r="Q11" s="1108"/>
      <c r="R11" s="1109" t="s">
        <v>486</v>
      </c>
      <c r="S11" s="1109"/>
      <c r="T11" s="1109"/>
      <c r="U11" s="1109"/>
      <c r="V11" s="1109"/>
      <c r="W11" s="1109"/>
      <c r="X11" s="1109"/>
      <c r="Y11" s="1109"/>
      <c r="Z11" s="1109"/>
      <c r="AA11" s="1109"/>
      <c r="AB11" s="1109"/>
      <c r="AC11" s="1109" t="s">
        <v>479</v>
      </c>
      <c r="AD11" s="1109"/>
      <c r="AE11" s="1109"/>
      <c r="AF11" s="1109"/>
      <c r="AG11" s="1109"/>
      <c r="AH11" s="1109"/>
      <c r="AI11" s="1109"/>
      <c r="AJ11" s="1109"/>
      <c r="AK11" s="1109" t="s">
        <v>480</v>
      </c>
      <c r="AL11" s="1109"/>
      <c r="AM11" s="1109"/>
      <c r="AN11" s="1109"/>
      <c r="AO11" s="1109"/>
      <c r="AP11" s="1109"/>
      <c r="AQ11" s="1083" t="s">
        <v>442</v>
      </c>
      <c r="AR11" s="1083"/>
      <c r="AS11" s="1083"/>
      <c r="AT11" s="1083"/>
      <c r="AU11" s="1083"/>
      <c r="AV11" s="1083"/>
      <c r="AW11" s="1083"/>
      <c r="AX11" s="1083"/>
      <c r="AY11" s="1083"/>
      <c r="AZ11" s="1083"/>
      <c r="BA11" s="1083"/>
      <c r="BB11" s="1083"/>
      <c r="BC11" s="1083"/>
      <c r="BD11" s="1083"/>
      <c r="BE11" s="1083"/>
      <c r="BF11" s="1083" t="s">
        <v>442</v>
      </c>
      <c r="BG11" s="1083"/>
      <c r="BH11" s="1083"/>
      <c r="BI11" s="1082" t="s">
        <v>1162</v>
      </c>
      <c r="BJ11" s="1082" t="s">
        <v>441</v>
      </c>
      <c r="BK11" s="1083" t="s">
        <v>443</v>
      </c>
      <c r="BL11" s="1083"/>
      <c r="BM11" s="1083"/>
      <c r="BN11" s="1082" t="s">
        <v>1161</v>
      </c>
      <c r="BO11" s="1082"/>
      <c r="BP11" s="1082"/>
      <c r="BQ11" s="1091" t="s">
        <v>440</v>
      </c>
      <c r="BR11" s="1091"/>
      <c r="BS11" s="1091" t="s">
        <v>1160</v>
      </c>
      <c r="BT11" s="1091"/>
      <c r="BU11" s="1091"/>
      <c r="BV11" s="1082" t="s">
        <v>445</v>
      </c>
      <c r="BW11" s="1082"/>
      <c r="BX11" s="1082" t="s">
        <v>479</v>
      </c>
      <c r="BY11" s="1082"/>
      <c r="BZ11" s="1082"/>
      <c r="CA11" s="1082" t="s">
        <v>1132</v>
      </c>
      <c r="CB11" s="1082" t="s">
        <v>490</v>
      </c>
      <c r="CC11" s="1082"/>
      <c r="CD11" s="1082" t="s">
        <v>491</v>
      </c>
      <c r="CE11" s="1082"/>
      <c r="CF11" s="1082" t="s">
        <v>442</v>
      </c>
      <c r="CG11" s="1082"/>
      <c r="CH11" s="1082" t="s">
        <v>442</v>
      </c>
      <c r="CI11" s="1082"/>
      <c r="CJ11" s="1083" t="s">
        <v>447</v>
      </c>
      <c r="CK11" s="1083"/>
      <c r="CL11" s="1083"/>
      <c r="CM11" s="1083"/>
      <c r="CN11" s="1083"/>
      <c r="CO11" s="1085" t="s">
        <v>447</v>
      </c>
      <c r="CP11" s="1086"/>
      <c r="CQ11" s="1086"/>
      <c r="CR11" s="1087"/>
      <c r="CS11" s="1083" t="s">
        <v>447</v>
      </c>
      <c r="CT11" s="1083"/>
      <c r="CU11" s="1083"/>
      <c r="CV11" s="1083"/>
      <c r="CW11" s="1080" t="s">
        <v>1133</v>
      </c>
      <c r="CX11" s="1080"/>
      <c r="CY11" s="1080" t="s">
        <v>495</v>
      </c>
      <c r="CZ11" s="1080" t="s">
        <v>489</v>
      </c>
      <c r="DA11" s="1080"/>
      <c r="DB11" s="1080" t="s">
        <v>476</v>
      </c>
      <c r="DC11" s="1080"/>
      <c r="DD11" s="1080" t="s">
        <v>492</v>
      </c>
      <c r="DE11" s="1084" t="s">
        <v>493</v>
      </c>
      <c r="DF11" s="1084"/>
      <c r="DG11" s="1080" t="s">
        <v>1158</v>
      </c>
      <c r="DH11" s="1080"/>
      <c r="DI11" s="1080" t="s">
        <v>443</v>
      </c>
      <c r="DJ11" s="1080" t="s">
        <v>1159</v>
      </c>
      <c r="DK11" s="1080" t="s">
        <v>475</v>
      </c>
      <c r="DL11" s="1080"/>
      <c r="DM11" s="1080"/>
      <c r="DN11" s="1080" t="s">
        <v>442</v>
      </c>
      <c r="DO11" s="1080"/>
      <c r="DP11" s="1080"/>
      <c r="DQ11" s="1081"/>
      <c r="DR11" s="1075" t="s">
        <v>66</v>
      </c>
      <c r="DS11" s="1075" t="s">
        <v>67</v>
      </c>
      <c r="DT11" s="1075" t="s">
        <v>68</v>
      </c>
      <c r="DU11" s="1076" t="s">
        <v>11</v>
      </c>
      <c r="DV11" s="1078" t="s">
        <v>517</v>
      </c>
      <c r="EH11" s="32"/>
    </row>
    <row r="12" spans="1:292" s="232" customFormat="1" ht="408" customHeight="1">
      <c r="A12" s="1110" t="s">
        <v>2</v>
      </c>
      <c r="B12" s="1110" t="s">
        <v>3</v>
      </c>
      <c r="C12" s="1110" t="s">
        <v>611</v>
      </c>
      <c r="D12" s="1113" t="s">
        <v>9</v>
      </c>
      <c r="E12" s="1108"/>
      <c r="F12" s="1108"/>
      <c r="G12" s="1108"/>
      <c r="H12" s="1108"/>
      <c r="I12" s="1108"/>
      <c r="J12" s="1108"/>
      <c r="K12" s="1108"/>
      <c r="L12" s="1108"/>
      <c r="M12" s="1108"/>
      <c r="N12" s="1108"/>
      <c r="O12" s="1108"/>
      <c r="P12" s="1108"/>
      <c r="Q12" s="1108"/>
      <c r="R12" s="1109"/>
      <c r="S12" s="1109"/>
      <c r="T12" s="1109"/>
      <c r="U12" s="1109"/>
      <c r="V12" s="1109"/>
      <c r="W12" s="1109"/>
      <c r="X12" s="1109"/>
      <c r="Y12" s="1109"/>
      <c r="Z12" s="1109"/>
      <c r="AA12" s="1109"/>
      <c r="AB12" s="1109"/>
      <c r="AC12" s="1109"/>
      <c r="AD12" s="1109"/>
      <c r="AE12" s="1109"/>
      <c r="AF12" s="1109"/>
      <c r="AG12" s="1109"/>
      <c r="AH12" s="1109"/>
      <c r="AI12" s="1109"/>
      <c r="AJ12" s="1109"/>
      <c r="AK12" s="1109"/>
      <c r="AL12" s="1109"/>
      <c r="AM12" s="1109"/>
      <c r="AN12" s="1109"/>
      <c r="AO12" s="1109"/>
      <c r="AP12" s="1109"/>
      <c r="AQ12" s="1083"/>
      <c r="AR12" s="1083"/>
      <c r="AS12" s="1083"/>
      <c r="AT12" s="1083"/>
      <c r="AU12" s="1083"/>
      <c r="AV12" s="1083"/>
      <c r="AW12" s="1083"/>
      <c r="AX12" s="1083"/>
      <c r="AY12" s="1083"/>
      <c r="AZ12" s="1083"/>
      <c r="BA12" s="1083"/>
      <c r="BB12" s="1083"/>
      <c r="BC12" s="1083"/>
      <c r="BD12" s="1083"/>
      <c r="BE12" s="1083"/>
      <c r="BF12" s="1083"/>
      <c r="BG12" s="1083"/>
      <c r="BH12" s="1083"/>
      <c r="BI12" s="1082"/>
      <c r="BJ12" s="1082"/>
      <c r="BK12" s="1083"/>
      <c r="BL12" s="1083"/>
      <c r="BM12" s="1083"/>
      <c r="BN12" s="1082"/>
      <c r="BO12" s="1082"/>
      <c r="BP12" s="1082"/>
      <c r="BQ12" s="1091"/>
      <c r="BR12" s="1091"/>
      <c r="BS12" s="1091"/>
      <c r="BT12" s="1091"/>
      <c r="BU12" s="1091"/>
      <c r="BV12" s="1082"/>
      <c r="BW12" s="1082"/>
      <c r="BX12" s="1082"/>
      <c r="BY12" s="1082"/>
      <c r="BZ12" s="1082"/>
      <c r="CA12" s="1082"/>
      <c r="CB12" s="1082"/>
      <c r="CC12" s="1082"/>
      <c r="CD12" s="1082"/>
      <c r="CE12" s="1082"/>
      <c r="CF12" s="1082"/>
      <c r="CG12" s="1082"/>
      <c r="CH12" s="1082"/>
      <c r="CI12" s="1082"/>
      <c r="CJ12" s="1083"/>
      <c r="CK12" s="1083"/>
      <c r="CL12" s="1083"/>
      <c r="CM12" s="1083"/>
      <c r="CN12" s="1083"/>
      <c r="CO12" s="1088"/>
      <c r="CP12" s="1089"/>
      <c r="CQ12" s="1089"/>
      <c r="CR12" s="1090"/>
      <c r="CS12" s="1083"/>
      <c r="CT12" s="1083"/>
      <c r="CU12" s="1083"/>
      <c r="CV12" s="1083"/>
      <c r="CW12" s="1080"/>
      <c r="CX12" s="1080"/>
      <c r="CY12" s="1080"/>
      <c r="CZ12" s="1080"/>
      <c r="DA12" s="1080"/>
      <c r="DB12" s="1080"/>
      <c r="DC12" s="1080"/>
      <c r="DD12" s="1080"/>
      <c r="DE12" s="1084"/>
      <c r="DF12" s="1084"/>
      <c r="DG12" s="1080"/>
      <c r="DH12" s="1080"/>
      <c r="DI12" s="1080"/>
      <c r="DJ12" s="1080"/>
      <c r="DK12" s="1080"/>
      <c r="DL12" s="1080"/>
      <c r="DM12" s="1080"/>
      <c r="DN12" s="1080"/>
      <c r="DO12" s="1080"/>
      <c r="DP12" s="1080"/>
      <c r="DQ12" s="1081"/>
      <c r="DR12" s="1075"/>
      <c r="DS12" s="1075"/>
      <c r="DT12" s="1075"/>
      <c r="DU12" s="1077"/>
      <c r="DV12" s="1079"/>
      <c r="EH12" s="32"/>
    </row>
    <row r="13" spans="1:292" s="233" customFormat="1" ht="250.5" customHeight="1">
      <c r="A13" s="1111"/>
      <c r="B13" s="1111"/>
      <c r="C13" s="1111"/>
      <c r="D13" s="1114"/>
      <c r="E13" s="1065" t="s">
        <v>634</v>
      </c>
      <c r="F13" s="1066"/>
      <c r="G13" s="1065" t="s">
        <v>618</v>
      </c>
      <c r="H13" s="1071"/>
      <c r="I13" s="1066"/>
      <c r="J13" s="1065" t="s">
        <v>1218</v>
      </c>
      <c r="K13" s="1066"/>
      <c r="L13" s="1065" t="s">
        <v>524</v>
      </c>
      <c r="M13" s="1066"/>
      <c r="N13" s="1065" t="s">
        <v>526</v>
      </c>
      <c r="O13" s="1066"/>
      <c r="P13" s="1065" t="s">
        <v>525</v>
      </c>
      <c r="Q13" s="1066"/>
      <c r="R13" s="1065" t="s">
        <v>530</v>
      </c>
      <c r="S13" s="1071"/>
      <c r="T13" s="1066"/>
      <c r="U13" s="1065" t="s">
        <v>528</v>
      </c>
      <c r="V13" s="1066"/>
      <c r="W13" s="1065" t="s">
        <v>527</v>
      </c>
      <c r="X13" s="1071"/>
      <c r="Y13" s="1066"/>
      <c r="Z13" s="1065" t="s">
        <v>529</v>
      </c>
      <c r="AA13" s="1071"/>
      <c r="AB13" s="1066"/>
      <c r="AC13" s="1065" t="s">
        <v>533</v>
      </c>
      <c r="AD13" s="1066"/>
      <c r="AE13" s="1065" t="s">
        <v>532</v>
      </c>
      <c r="AF13" s="1066"/>
      <c r="AG13" s="1065" t="s">
        <v>531</v>
      </c>
      <c r="AH13" s="1066"/>
      <c r="AI13" s="1065" t="s">
        <v>1156</v>
      </c>
      <c r="AJ13" s="1066"/>
      <c r="AK13" s="1065" t="s">
        <v>569</v>
      </c>
      <c r="AL13" s="1066"/>
      <c r="AM13" s="1065" t="s">
        <v>584</v>
      </c>
      <c r="AN13" s="1066"/>
      <c r="AO13" s="1065" t="s">
        <v>570</v>
      </c>
      <c r="AP13" s="1066"/>
      <c r="AQ13" s="1065" t="s">
        <v>574</v>
      </c>
      <c r="AR13" s="1071"/>
      <c r="AS13" s="1066"/>
      <c r="AT13" s="1065" t="s">
        <v>573</v>
      </c>
      <c r="AU13" s="1071"/>
      <c r="AV13" s="1066"/>
      <c r="AW13" s="1065" t="s">
        <v>572</v>
      </c>
      <c r="AX13" s="1071"/>
      <c r="AY13" s="1066"/>
      <c r="AZ13" s="1065" t="s">
        <v>571</v>
      </c>
      <c r="BA13" s="1071"/>
      <c r="BB13" s="1066"/>
      <c r="BC13" s="1065" t="s">
        <v>575</v>
      </c>
      <c r="BD13" s="1071"/>
      <c r="BE13" s="1066"/>
      <c r="BF13" s="1058" t="s">
        <v>576</v>
      </c>
      <c r="BG13" s="1058" t="s">
        <v>577</v>
      </c>
      <c r="BH13" s="1058" t="s">
        <v>578</v>
      </c>
      <c r="BI13" s="1058" t="s">
        <v>182</v>
      </c>
      <c r="BJ13" s="1058" t="s">
        <v>183</v>
      </c>
      <c r="BK13" s="1058" t="s">
        <v>579</v>
      </c>
      <c r="BL13" s="1058" t="s">
        <v>580</v>
      </c>
      <c r="BM13" s="1058" t="s">
        <v>581</v>
      </c>
      <c r="BN13" s="1058" t="s">
        <v>582</v>
      </c>
      <c r="BO13" s="1058" t="s">
        <v>583</v>
      </c>
      <c r="BP13" s="1058" t="s">
        <v>449</v>
      </c>
      <c r="BQ13" s="1065" t="s">
        <v>186</v>
      </c>
      <c r="BR13" s="1066"/>
      <c r="BS13" s="1064" t="s">
        <v>588</v>
      </c>
      <c r="BT13" s="1065" t="s">
        <v>189</v>
      </c>
      <c r="BU13" s="1066"/>
      <c r="BV13" s="1073" t="s">
        <v>1157</v>
      </c>
      <c r="BW13" s="1058" t="s">
        <v>589</v>
      </c>
      <c r="BX13" s="1059" t="s">
        <v>190</v>
      </c>
      <c r="BY13" s="1060"/>
      <c r="BZ13" s="1061"/>
      <c r="CA13" s="1064" t="s">
        <v>192</v>
      </c>
      <c r="CB13" s="1065" t="s">
        <v>193</v>
      </c>
      <c r="CC13" s="1066"/>
      <c r="CD13" s="1059" t="s">
        <v>194</v>
      </c>
      <c r="CE13" s="1061"/>
      <c r="CF13" s="1059" t="s">
        <v>450</v>
      </c>
      <c r="CG13" s="1061"/>
      <c r="CH13" s="1059" t="s">
        <v>274</v>
      </c>
      <c r="CI13" s="1061"/>
      <c r="CJ13" s="1059" t="s">
        <v>678</v>
      </c>
      <c r="CK13" s="1060"/>
      <c r="CL13" s="1060"/>
      <c r="CM13" s="1060"/>
      <c r="CN13" s="1061"/>
      <c r="CO13" s="1059" t="s">
        <v>679</v>
      </c>
      <c r="CP13" s="1060"/>
      <c r="CQ13" s="1060"/>
      <c r="CR13" s="1061"/>
      <c r="CS13" s="1059" t="s">
        <v>586</v>
      </c>
      <c r="CT13" s="1061"/>
      <c r="CU13" s="1062" t="s">
        <v>1110</v>
      </c>
      <c r="CV13" s="1063"/>
      <c r="CW13" s="1059" t="s">
        <v>453</v>
      </c>
      <c r="CX13" s="1061"/>
      <c r="CY13" s="1058" t="s">
        <v>472</v>
      </c>
      <c r="CZ13" s="1059" t="s">
        <v>591</v>
      </c>
      <c r="DA13" s="1061"/>
      <c r="DB13" s="1059" t="s">
        <v>465</v>
      </c>
      <c r="DC13" s="1061"/>
      <c r="DD13" s="1058" t="s">
        <v>510</v>
      </c>
      <c r="DE13" s="1059" t="s">
        <v>454</v>
      </c>
      <c r="DF13" s="1061"/>
      <c r="DG13" s="1059" t="s">
        <v>455</v>
      </c>
      <c r="DH13" s="1061"/>
      <c r="DI13" s="1058" t="s">
        <v>456</v>
      </c>
      <c r="DJ13" s="1058" t="s">
        <v>209</v>
      </c>
      <c r="DK13" s="1059" t="s">
        <v>461</v>
      </c>
      <c r="DL13" s="1060"/>
      <c r="DM13" s="1061"/>
      <c r="DN13" s="1059" t="s">
        <v>466</v>
      </c>
      <c r="DO13" s="1061" t="s">
        <v>459</v>
      </c>
      <c r="DP13" s="1059" t="s">
        <v>460</v>
      </c>
      <c r="DQ13" s="1060"/>
      <c r="DR13" s="1075"/>
      <c r="DS13" s="1075"/>
      <c r="DT13" s="1075"/>
      <c r="DU13" s="1077"/>
      <c r="DV13" s="1079"/>
      <c r="EH13" s="32"/>
    </row>
    <row r="14" spans="1:292" s="235" customFormat="1" ht="250.5" customHeight="1" thickBot="1">
      <c r="A14" s="1111"/>
      <c r="B14" s="1111"/>
      <c r="C14" s="1111"/>
      <c r="D14" s="1114"/>
      <c r="E14" s="1067"/>
      <c r="F14" s="1068"/>
      <c r="G14" s="1067"/>
      <c r="H14" s="1072"/>
      <c r="I14" s="1068"/>
      <c r="J14" s="1067"/>
      <c r="K14" s="1068"/>
      <c r="L14" s="1067"/>
      <c r="M14" s="1068"/>
      <c r="N14" s="1067"/>
      <c r="O14" s="1068"/>
      <c r="P14" s="1067"/>
      <c r="Q14" s="1068"/>
      <c r="R14" s="1067"/>
      <c r="S14" s="1072"/>
      <c r="T14" s="1068"/>
      <c r="U14" s="1067"/>
      <c r="V14" s="1068"/>
      <c r="W14" s="1067"/>
      <c r="X14" s="1072"/>
      <c r="Y14" s="1068"/>
      <c r="Z14" s="1067"/>
      <c r="AA14" s="1072"/>
      <c r="AB14" s="1068"/>
      <c r="AC14" s="1067"/>
      <c r="AD14" s="1068"/>
      <c r="AE14" s="1067"/>
      <c r="AF14" s="1068"/>
      <c r="AG14" s="1067"/>
      <c r="AH14" s="1068"/>
      <c r="AI14" s="1067"/>
      <c r="AJ14" s="1068"/>
      <c r="AK14" s="1067"/>
      <c r="AL14" s="1068"/>
      <c r="AM14" s="1067"/>
      <c r="AN14" s="1068"/>
      <c r="AO14" s="1067"/>
      <c r="AP14" s="1068"/>
      <c r="AQ14" s="1067"/>
      <c r="AR14" s="1072"/>
      <c r="AS14" s="1068"/>
      <c r="AT14" s="1067"/>
      <c r="AU14" s="1072"/>
      <c r="AV14" s="1068"/>
      <c r="AW14" s="1067"/>
      <c r="AX14" s="1072"/>
      <c r="AY14" s="1068"/>
      <c r="AZ14" s="1067"/>
      <c r="BA14" s="1072"/>
      <c r="BB14" s="1068"/>
      <c r="BC14" s="1067"/>
      <c r="BD14" s="1072"/>
      <c r="BE14" s="1068"/>
      <c r="BF14" s="1070"/>
      <c r="BG14" s="1070"/>
      <c r="BH14" s="1070"/>
      <c r="BI14" s="1070"/>
      <c r="BJ14" s="1070"/>
      <c r="BK14" s="1070"/>
      <c r="BL14" s="1070"/>
      <c r="BM14" s="1070"/>
      <c r="BN14" s="1070"/>
      <c r="BO14" s="1070"/>
      <c r="BP14" s="1070"/>
      <c r="BQ14" s="1067"/>
      <c r="BR14" s="1068"/>
      <c r="BS14" s="1069"/>
      <c r="BT14" s="1067"/>
      <c r="BU14" s="1068"/>
      <c r="BV14" s="1074"/>
      <c r="BW14" s="1070"/>
      <c r="BX14" s="1059"/>
      <c r="BY14" s="1060"/>
      <c r="BZ14" s="1061"/>
      <c r="CA14" s="1064"/>
      <c r="CB14" s="1065"/>
      <c r="CC14" s="1066"/>
      <c r="CD14" s="1059"/>
      <c r="CE14" s="1061"/>
      <c r="CF14" s="1059"/>
      <c r="CG14" s="1061"/>
      <c r="CH14" s="1059"/>
      <c r="CI14" s="1061"/>
      <c r="CJ14" s="1059"/>
      <c r="CK14" s="1060"/>
      <c r="CL14" s="1060"/>
      <c r="CM14" s="1060"/>
      <c r="CN14" s="1061"/>
      <c r="CO14" s="1059"/>
      <c r="CP14" s="1060"/>
      <c r="CQ14" s="1060"/>
      <c r="CR14" s="1061"/>
      <c r="CS14" s="1059"/>
      <c r="CT14" s="1061"/>
      <c r="CU14" s="1062"/>
      <c r="CV14" s="1063"/>
      <c r="CW14" s="1059"/>
      <c r="CX14" s="1061"/>
      <c r="CY14" s="1058"/>
      <c r="CZ14" s="1059"/>
      <c r="DA14" s="1061"/>
      <c r="DB14" s="1059"/>
      <c r="DC14" s="1061"/>
      <c r="DD14" s="1058"/>
      <c r="DE14" s="1059"/>
      <c r="DF14" s="1061"/>
      <c r="DG14" s="1059"/>
      <c r="DH14" s="1061"/>
      <c r="DI14" s="1058"/>
      <c r="DJ14" s="1058"/>
      <c r="DK14" s="1059"/>
      <c r="DL14" s="1060"/>
      <c r="DM14" s="1061"/>
      <c r="DN14" s="1059"/>
      <c r="DO14" s="1061"/>
      <c r="DP14" s="1059"/>
      <c r="DQ14" s="1060"/>
      <c r="DR14" s="1075"/>
      <c r="DS14" s="1075"/>
      <c r="DT14" s="1075"/>
      <c r="DU14" s="1077"/>
      <c r="DV14" s="1079"/>
      <c r="DW14" s="234"/>
      <c r="DX14" s="234"/>
      <c r="DY14" s="234"/>
      <c r="DZ14" s="234"/>
      <c r="EA14" s="234"/>
      <c r="EB14" s="234"/>
      <c r="EC14" s="234"/>
      <c r="ED14" s="234"/>
      <c r="EE14" s="234"/>
      <c r="EF14" s="234"/>
      <c r="EG14" s="234"/>
      <c r="EH14" s="234"/>
      <c r="EI14" s="234"/>
      <c r="EJ14" s="234"/>
      <c r="EK14" s="234"/>
      <c r="EL14" s="234"/>
      <c r="EM14" s="234"/>
      <c r="EN14" s="234"/>
      <c r="EO14" s="234"/>
      <c r="EP14" s="234"/>
      <c r="EQ14" s="234"/>
      <c r="ER14" s="234"/>
      <c r="ES14" s="234"/>
      <c r="ET14" s="234"/>
      <c r="EU14" s="234"/>
      <c r="EV14" s="234"/>
      <c r="EW14" s="234"/>
      <c r="EX14" s="234"/>
      <c r="EY14" s="234"/>
      <c r="EZ14" s="234"/>
      <c r="FA14" s="234"/>
      <c r="FB14" s="234"/>
      <c r="FC14" s="234"/>
      <c r="FD14" s="234"/>
      <c r="FE14" s="234"/>
      <c r="FF14" s="234"/>
      <c r="FG14" s="234"/>
      <c r="FH14" s="234"/>
      <c r="FI14" s="234"/>
      <c r="FJ14" s="234"/>
      <c r="FK14" s="234"/>
      <c r="FL14" s="234"/>
      <c r="FM14" s="234"/>
      <c r="FN14" s="234"/>
      <c r="FO14" s="234"/>
      <c r="FP14" s="234"/>
      <c r="FQ14" s="234"/>
      <c r="FR14" s="234"/>
      <c r="FS14" s="234"/>
      <c r="FT14" s="234"/>
      <c r="FU14" s="234"/>
      <c r="FV14" s="234"/>
      <c r="FW14" s="234"/>
      <c r="FX14" s="234"/>
      <c r="FY14" s="234"/>
      <c r="FZ14" s="234"/>
      <c r="GA14" s="234"/>
      <c r="GB14" s="234"/>
      <c r="GC14" s="234"/>
      <c r="GD14" s="234"/>
      <c r="GE14" s="234"/>
      <c r="GF14" s="234"/>
      <c r="GG14" s="234"/>
      <c r="GH14" s="234"/>
      <c r="GI14" s="234"/>
      <c r="GJ14" s="234"/>
      <c r="GK14" s="234"/>
      <c r="GL14" s="234"/>
      <c r="GM14" s="234"/>
      <c r="GN14" s="234"/>
      <c r="GO14" s="234"/>
      <c r="GP14" s="234"/>
      <c r="GQ14" s="234"/>
      <c r="GR14" s="234"/>
      <c r="GS14" s="234"/>
      <c r="GT14" s="234"/>
      <c r="GU14" s="234"/>
      <c r="GV14" s="234"/>
      <c r="GW14" s="234"/>
      <c r="GX14" s="234"/>
      <c r="GY14" s="234"/>
      <c r="GZ14" s="234"/>
      <c r="HA14" s="234"/>
      <c r="HB14" s="234"/>
      <c r="HC14" s="234"/>
      <c r="HD14" s="234"/>
      <c r="HE14" s="234"/>
      <c r="HF14" s="234"/>
      <c r="HG14" s="234"/>
      <c r="HH14" s="234"/>
      <c r="HI14" s="234"/>
      <c r="HJ14" s="234"/>
      <c r="HK14" s="234"/>
      <c r="HL14" s="234"/>
      <c r="HM14" s="234"/>
      <c r="HN14" s="234"/>
      <c r="HO14" s="234"/>
      <c r="HP14" s="234"/>
      <c r="HQ14" s="234"/>
      <c r="HR14" s="234"/>
      <c r="HS14" s="234"/>
      <c r="HT14" s="234"/>
      <c r="HU14" s="234"/>
      <c r="HV14" s="234"/>
      <c r="HW14" s="234"/>
      <c r="HX14" s="234"/>
      <c r="HY14" s="234"/>
      <c r="HZ14" s="234"/>
      <c r="IA14" s="234"/>
      <c r="IB14" s="234"/>
      <c r="IC14" s="234"/>
      <c r="ID14" s="234"/>
      <c r="IE14" s="234"/>
      <c r="IF14" s="234"/>
      <c r="IG14" s="234"/>
      <c r="IH14" s="234"/>
      <c r="II14" s="234"/>
      <c r="IJ14" s="234"/>
      <c r="IK14" s="234"/>
      <c r="IL14" s="234"/>
      <c r="IM14" s="234"/>
      <c r="IN14" s="234"/>
      <c r="IO14" s="234"/>
      <c r="IP14" s="234"/>
      <c r="IQ14" s="234"/>
      <c r="IR14" s="234"/>
      <c r="IS14" s="234"/>
      <c r="IT14" s="234"/>
      <c r="IU14" s="234"/>
      <c r="IV14" s="234"/>
      <c r="IW14" s="234"/>
      <c r="IX14" s="234"/>
      <c r="IY14" s="234"/>
      <c r="IZ14" s="234"/>
      <c r="JA14" s="234"/>
      <c r="JB14" s="234"/>
      <c r="JC14" s="234"/>
      <c r="JD14" s="234"/>
      <c r="JE14" s="234"/>
      <c r="JF14" s="234"/>
      <c r="JG14" s="234"/>
      <c r="JH14" s="234"/>
      <c r="JI14" s="234"/>
      <c r="JJ14" s="234"/>
      <c r="JK14" s="234"/>
      <c r="JL14" s="234"/>
      <c r="JM14" s="234"/>
      <c r="JN14" s="234"/>
      <c r="JO14" s="234"/>
      <c r="JP14" s="234"/>
      <c r="JQ14" s="234"/>
      <c r="JR14" s="234"/>
      <c r="JS14" s="234"/>
      <c r="JT14" s="234"/>
      <c r="JU14" s="234"/>
      <c r="JV14" s="234"/>
      <c r="JW14" s="234"/>
      <c r="JX14" s="234"/>
      <c r="JY14" s="234"/>
      <c r="JZ14" s="234"/>
      <c r="KA14" s="234"/>
      <c r="KB14" s="234"/>
      <c r="KC14" s="234"/>
      <c r="KD14" s="234"/>
      <c r="KE14" s="234"/>
      <c r="KF14" s="234"/>
    </row>
    <row r="15" spans="1:292" s="235" customFormat="1" ht="221.25" customHeight="1">
      <c r="A15" s="1111"/>
      <c r="B15" s="1111"/>
      <c r="C15" s="1111"/>
      <c r="D15" s="1114"/>
      <c r="E15" s="1054" t="s">
        <v>175</v>
      </c>
      <c r="F15" s="1054" t="s">
        <v>64</v>
      </c>
      <c r="G15" s="1054" t="s">
        <v>175</v>
      </c>
      <c r="H15" s="1054" t="s">
        <v>179</v>
      </c>
      <c r="I15" s="1054" t="s">
        <v>64</v>
      </c>
      <c r="J15" s="1054" t="s">
        <v>175</v>
      </c>
      <c r="K15" s="1054" t="s">
        <v>64</v>
      </c>
      <c r="L15" s="1054" t="s">
        <v>175</v>
      </c>
      <c r="M15" s="1054" t="s">
        <v>64</v>
      </c>
      <c r="N15" s="1054" t="s">
        <v>175</v>
      </c>
      <c r="O15" s="1054" t="s">
        <v>64</v>
      </c>
      <c r="P15" s="1054" t="s">
        <v>175</v>
      </c>
      <c r="Q15" s="1054" t="s">
        <v>64</v>
      </c>
      <c r="R15" s="1054" t="s">
        <v>177</v>
      </c>
      <c r="S15" s="1054" t="s">
        <v>175</v>
      </c>
      <c r="T15" s="1054" t="s">
        <v>64</v>
      </c>
      <c r="U15" s="1054" t="s">
        <v>177</v>
      </c>
      <c r="V15" s="1054" t="s">
        <v>64</v>
      </c>
      <c r="W15" s="1054" t="s">
        <v>177</v>
      </c>
      <c r="X15" s="1054" t="s">
        <v>175</v>
      </c>
      <c r="Y15" s="1054" t="s">
        <v>64</v>
      </c>
      <c r="Z15" s="1054" t="s">
        <v>177</v>
      </c>
      <c r="AA15" s="1054" t="s">
        <v>175</v>
      </c>
      <c r="AB15" s="1054" t="s">
        <v>64</v>
      </c>
      <c r="AC15" s="1054" t="s">
        <v>175</v>
      </c>
      <c r="AD15" s="1054" t="s">
        <v>64</v>
      </c>
      <c r="AE15" s="1054" t="s">
        <v>175</v>
      </c>
      <c r="AF15" s="1054" t="s">
        <v>64</v>
      </c>
      <c r="AG15" s="1054" t="s">
        <v>175</v>
      </c>
      <c r="AH15" s="1054" t="s">
        <v>64</v>
      </c>
      <c r="AI15" s="1054" t="s">
        <v>175</v>
      </c>
      <c r="AJ15" s="1054" t="s">
        <v>64</v>
      </c>
      <c r="AK15" s="1054" t="s">
        <v>175</v>
      </c>
      <c r="AL15" s="1054" t="s">
        <v>64</v>
      </c>
      <c r="AM15" s="1054" t="s">
        <v>175</v>
      </c>
      <c r="AN15" s="1054" t="s">
        <v>64</v>
      </c>
      <c r="AO15" s="1054" t="s">
        <v>175</v>
      </c>
      <c r="AP15" s="1054" t="s">
        <v>64</v>
      </c>
      <c r="AQ15" s="1054" t="s">
        <v>175</v>
      </c>
      <c r="AR15" s="1054" t="s">
        <v>179</v>
      </c>
      <c r="AS15" s="1054" t="s">
        <v>180</v>
      </c>
      <c r="AT15" s="1054" t="s">
        <v>175</v>
      </c>
      <c r="AU15" s="1054" t="s">
        <v>179</v>
      </c>
      <c r="AV15" s="1054" t="s">
        <v>180</v>
      </c>
      <c r="AW15" s="1054" t="s">
        <v>175</v>
      </c>
      <c r="AX15" s="1054" t="s">
        <v>179</v>
      </c>
      <c r="AY15" s="1054" t="s">
        <v>180</v>
      </c>
      <c r="AZ15" s="1054" t="s">
        <v>175</v>
      </c>
      <c r="BA15" s="1054" t="s">
        <v>179</v>
      </c>
      <c r="BB15" s="1054" t="s">
        <v>180</v>
      </c>
      <c r="BC15" s="1054" t="s">
        <v>175</v>
      </c>
      <c r="BD15" s="1054" t="s">
        <v>179</v>
      </c>
      <c r="BE15" s="1054" t="s">
        <v>180</v>
      </c>
      <c r="BF15" s="1054" t="s">
        <v>458</v>
      </c>
      <c r="BG15" s="1054" t="s">
        <v>458</v>
      </c>
      <c r="BH15" s="1054" t="s">
        <v>458</v>
      </c>
      <c r="BI15" s="1054" t="s">
        <v>471</v>
      </c>
      <c r="BJ15" s="1054" t="s">
        <v>471</v>
      </c>
      <c r="BK15" s="1054" t="s">
        <v>458</v>
      </c>
      <c r="BL15" s="1054" t="s">
        <v>458</v>
      </c>
      <c r="BM15" s="1054" t="s">
        <v>458</v>
      </c>
      <c r="BN15" s="1054" t="s">
        <v>458</v>
      </c>
      <c r="BO15" s="1054" t="s">
        <v>458</v>
      </c>
      <c r="BP15" s="1054" t="s">
        <v>458</v>
      </c>
      <c r="BQ15" s="1054" t="s">
        <v>175</v>
      </c>
      <c r="BR15" s="1054" t="s">
        <v>64</v>
      </c>
      <c r="BS15" s="1054" t="s">
        <v>187</v>
      </c>
      <c r="BT15" s="1054" t="s">
        <v>60</v>
      </c>
      <c r="BU15" s="1054" t="s">
        <v>188</v>
      </c>
      <c r="BV15" s="1054"/>
      <c r="BW15" s="1054" t="s">
        <v>458</v>
      </c>
      <c r="BX15" s="1054" t="s">
        <v>177</v>
      </c>
      <c r="BY15" s="1054" t="s">
        <v>191</v>
      </c>
      <c r="BZ15" s="1054" t="s">
        <v>64</v>
      </c>
      <c r="CA15" s="1054" t="s">
        <v>64</v>
      </c>
      <c r="CB15" s="1054" t="s">
        <v>195</v>
      </c>
      <c r="CC15" s="1054" t="s">
        <v>64</v>
      </c>
      <c r="CD15" s="1054" t="s">
        <v>175</v>
      </c>
      <c r="CE15" s="1054" t="s">
        <v>64</v>
      </c>
      <c r="CF15" s="1054" t="s">
        <v>197</v>
      </c>
      <c r="CG15" s="1054" t="s">
        <v>198</v>
      </c>
      <c r="CH15" s="1054" t="s">
        <v>199</v>
      </c>
      <c r="CI15" s="1054" t="s">
        <v>200</v>
      </c>
      <c r="CJ15" s="1054" t="s">
        <v>199</v>
      </c>
      <c r="CK15" s="1054" t="s">
        <v>200</v>
      </c>
      <c r="CL15" s="1054" t="s">
        <v>677</v>
      </c>
      <c r="CM15" s="1054" t="s">
        <v>204</v>
      </c>
      <c r="CN15" s="1054" t="s">
        <v>64</v>
      </c>
      <c r="CO15" s="1054" t="s">
        <v>680</v>
      </c>
      <c r="CP15" s="1054" t="s">
        <v>681</v>
      </c>
      <c r="CQ15" s="1054" t="s">
        <v>682</v>
      </c>
      <c r="CR15" s="1054" t="s">
        <v>64</v>
      </c>
      <c r="CS15" s="1054" t="s">
        <v>175</v>
      </c>
      <c r="CT15" s="1054" t="s">
        <v>64</v>
      </c>
      <c r="CU15" s="1054" t="s">
        <v>208</v>
      </c>
      <c r="CV15" s="1054" t="s">
        <v>64</v>
      </c>
      <c r="CW15" s="1054" t="s">
        <v>205</v>
      </c>
      <c r="CX15" s="1054" t="s">
        <v>206</v>
      </c>
      <c r="CY15" s="1054" t="s">
        <v>207</v>
      </c>
      <c r="CZ15" s="1054" t="s">
        <v>175</v>
      </c>
      <c r="DA15" s="1054" t="s">
        <v>64</v>
      </c>
      <c r="DB15" s="1054" t="s">
        <v>175</v>
      </c>
      <c r="DC15" s="1054" t="s">
        <v>64</v>
      </c>
      <c r="DD15" s="1054" t="s">
        <v>175</v>
      </c>
      <c r="DE15" s="1054" t="s">
        <v>64</v>
      </c>
      <c r="DF15" s="1054" t="s">
        <v>458</v>
      </c>
      <c r="DG15" s="1054" t="s">
        <v>494</v>
      </c>
      <c r="DH15" s="1054" t="s">
        <v>175</v>
      </c>
      <c r="DI15" s="1054" t="s">
        <v>64</v>
      </c>
      <c r="DJ15" s="1054" t="s">
        <v>458</v>
      </c>
      <c r="DK15" s="1054" t="s">
        <v>175</v>
      </c>
      <c r="DL15" s="1054" t="s">
        <v>462</v>
      </c>
      <c r="DM15" s="1054" t="s">
        <v>206</v>
      </c>
      <c r="DN15" s="1054" t="s">
        <v>175</v>
      </c>
      <c r="DO15" s="1054" t="s">
        <v>206</v>
      </c>
      <c r="DP15" s="1054" t="s">
        <v>175</v>
      </c>
      <c r="DQ15" s="1056" t="s">
        <v>206</v>
      </c>
      <c r="DR15" s="1075"/>
      <c r="DS15" s="1075"/>
      <c r="DT15" s="1075"/>
      <c r="DU15" s="1077"/>
      <c r="DV15" s="1079"/>
      <c r="DW15" s="234"/>
      <c r="DX15" s="234"/>
      <c r="DY15" s="234"/>
      <c r="DZ15" s="234"/>
      <c r="EA15" s="234"/>
      <c r="EB15" s="234"/>
      <c r="EC15" s="234"/>
      <c r="ED15" s="234"/>
      <c r="EE15" s="234"/>
      <c r="EF15" s="234"/>
      <c r="EG15" s="234"/>
      <c r="EH15" s="234"/>
      <c r="EI15" s="234"/>
      <c r="EJ15" s="234"/>
      <c r="EK15" s="234"/>
      <c r="EL15" s="234"/>
      <c r="EM15" s="234"/>
      <c r="EN15" s="234"/>
      <c r="EO15" s="234"/>
      <c r="EP15" s="234"/>
      <c r="EQ15" s="234"/>
      <c r="ER15" s="234"/>
      <c r="ES15" s="234"/>
      <c r="ET15" s="234"/>
      <c r="EU15" s="234"/>
      <c r="EV15" s="234"/>
      <c r="EW15" s="234"/>
      <c r="EX15" s="234"/>
      <c r="EY15" s="234"/>
      <c r="EZ15" s="234"/>
      <c r="FA15" s="234"/>
      <c r="FB15" s="234"/>
      <c r="FC15" s="234"/>
      <c r="FD15" s="234"/>
      <c r="FE15" s="234"/>
      <c r="FF15" s="234"/>
      <c r="FG15" s="234"/>
      <c r="FH15" s="234"/>
      <c r="FI15" s="234"/>
      <c r="FJ15" s="234"/>
      <c r="FK15" s="234"/>
      <c r="FL15" s="234"/>
      <c r="FM15" s="234"/>
      <c r="FN15" s="234"/>
      <c r="FO15" s="234"/>
      <c r="FP15" s="234"/>
      <c r="FQ15" s="234"/>
      <c r="FR15" s="234"/>
      <c r="FS15" s="234"/>
      <c r="FT15" s="234"/>
      <c r="FU15" s="234"/>
      <c r="FV15" s="234"/>
      <c r="FW15" s="234"/>
      <c r="FX15" s="234"/>
      <c r="FY15" s="234"/>
      <c r="FZ15" s="234"/>
      <c r="GA15" s="234"/>
      <c r="GB15" s="234"/>
      <c r="GC15" s="234"/>
      <c r="GD15" s="234"/>
      <c r="GE15" s="234"/>
      <c r="GF15" s="234"/>
      <c r="GG15" s="234"/>
      <c r="GH15" s="234"/>
      <c r="GI15" s="234"/>
      <c r="GJ15" s="234"/>
      <c r="GK15" s="234"/>
      <c r="GL15" s="234"/>
      <c r="GM15" s="234"/>
      <c r="GN15" s="234"/>
      <c r="GO15" s="234"/>
      <c r="GP15" s="234"/>
      <c r="GQ15" s="234"/>
      <c r="GR15" s="234"/>
      <c r="GS15" s="234"/>
      <c r="GT15" s="234"/>
      <c r="GU15" s="234"/>
      <c r="GV15" s="234"/>
      <c r="GW15" s="234"/>
      <c r="GX15" s="234"/>
      <c r="GY15" s="234"/>
      <c r="GZ15" s="234"/>
      <c r="HA15" s="234"/>
      <c r="HB15" s="234"/>
      <c r="HC15" s="234"/>
      <c r="HD15" s="234"/>
      <c r="HE15" s="234"/>
      <c r="HF15" s="234"/>
      <c r="HG15" s="234"/>
      <c r="HH15" s="234"/>
      <c r="HI15" s="234"/>
      <c r="HJ15" s="234"/>
      <c r="HK15" s="234"/>
      <c r="HL15" s="234"/>
      <c r="HM15" s="234"/>
      <c r="HN15" s="234"/>
      <c r="HO15" s="234"/>
      <c r="HP15" s="234"/>
      <c r="HQ15" s="234"/>
      <c r="HR15" s="234"/>
      <c r="HS15" s="234"/>
      <c r="HT15" s="234"/>
      <c r="HU15" s="234"/>
      <c r="HV15" s="234"/>
      <c r="HW15" s="234"/>
      <c r="HX15" s="234"/>
      <c r="HY15" s="234"/>
      <c r="HZ15" s="234"/>
      <c r="IA15" s="234"/>
      <c r="IB15" s="234"/>
      <c r="IC15" s="234"/>
      <c r="ID15" s="234"/>
      <c r="IE15" s="234"/>
      <c r="IF15" s="234"/>
      <c r="IG15" s="234"/>
      <c r="IH15" s="234"/>
      <c r="II15" s="234"/>
      <c r="IJ15" s="234"/>
      <c r="IK15" s="234"/>
      <c r="IL15" s="234"/>
      <c r="IM15" s="234"/>
      <c r="IN15" s="234"/>
      <c r="IO15" s="234"/>
      <c r="IP15" s="234"/>
      <c r="IQ15" s="234"/>
      <c r="IR15" s="234"/>
      <c r="IS15" s="234"/>
      <c r="IT15" s="234"/>
      <c r="IU15" s="234"/>
      <c r="IV15" s="234"/>
      <c r="IW15" s="234"/>
      <c r="IX15" s="234"/>
      <c r="IY15" s="234"/>
      <c r="IZ15" s="234"/>
      <c r="JA15" s="234"/>
      <c r="JB15" s="234"/>
      <c r="JC15" s="234"/>
      <c r="JD15" s="234"/>
      <c r="JE15" s="234"/>
      <c r="JF15" s="234"/>
      <c r="JG15" s="234"/>
      <c r="JH15" s="234"/>
      <c r="JI15" s="234"/>
      <c r="JJ15" s="234"/>
      <c r="JK15" s="234"/>
      <c r="JL15" s="234"/>
      <c r="JM15" s="234"/>
      <c r="JN15" s="234"/>
      <c r="JO15" s="234"/>
      <c r="JP15" s="234"/>
      <c r="JQ15" s="234"/>
      <c r="JR15" s="234"/>
      <c r="JS15" s="234"/>
      <c r="JT15" s="234"/>
      <c r="JU15" s="234"/>
      <c r="JV15" s="234"/>
      <c r="JW15" s="234"/>
      <c r="JX15" s="234"/>
      <c r="JY15" s="234"/>
      <c r="JZ15" s="234"/>
      <c r="KA15" s="234"/>
      <c r="KB15" s="234"/>
      <c r="KC15" s="234"/>
      <c r="KD15" s="234"/>
      <c r="KE15" s="234"/>
      <c r="KF15" s="234"/>
    </row>
    <row r="16" spans="1:292" s="228" customFormat="1" ht="364.5" customHeight="1">
      <c r="A16" s="1112"/>
      <c r="B16" s="1112"/>
      <c r="C16" s="1112"/>
      <c r="D16" s="1115"/>
      <c r="E16" s="1055" t="s">
        <v>175</v>
      </c>
      <c r="F16" s="1055" t="s">
        <v>64</v>
      </c>
      <c r="G16" s="1055" t="s">
        <v>175</v>
      </c>
      <c r="H16" s="1055" t="s">
        <v>179</v>
      </c>
      <c r="I16" s="1055" t="s">
        <v>64</v>
      </c>
      <c r="J16" s="1055" t="s">
        <v>175</v>
      </c>
      <c r="K16" s="1055" t="s">
        <v>64</v>
      </c>
      <c r="L16" s="1055" t="s">
        <v>175</v>
      </c>
      <c r="M16" s="1055" t="s">
        <v>64</v>
      </c>
      <c r="N16" s="1055" t="s">
        <v>175</v>
      </c>
      <c r="O16" s="1055" t="s">
        <v>64</v>
      </c>
      <c r="P16" s="1055" t="s">
        <v>175</v>
      </c>
      <c r="Q16" s="1055" t="s">
        <v>64</v>
      </c>
      <c r="R16" s="1055" t="s">
        <v>177</v>
      </c>
      <c r="S16" s="1055" t="s">
        <v>175</v>
      </c>
      <c r="T16" s="1055" t="s">
        <v>64</v>
      </c>
      <c r="U16" s="1055" t="s">
        <v>177</v>
      </c>
      <c r="V16" s="1055" t="s">
        <v>64</v>
      </c>
      <c r="W16" s="1055" t="s">
        <v>177</v>
      </c>
      <c r="X16" s="1055" t="s">
        <v>175</v>
      </c>
      <c r="Y16" s="1055" t="s">
        <v>64</v>
      </c>
      <c r="Z16" s="1055" t="s">
        <v>177</v>
      </c>
      <c r="AA16" s="1055" t="s">
        <v>175</v>
      </c>
      <c r="AB16" s="1055" t="s">
        <v>64</v>
      </c>
      <c r="AC16" s="1055" t="s">
        <v>175</v>
      </c>
      <c r="AD16" s="1055" t="s">
        <v>64</v>
      </c>
      <c r="AE16" s="1055" t="s">
        <v>175</v>
      </c>
      <c r="AF16" s="1055" t="s">
        <v>64</v>
      </c>
      <c r="AG16" s="1055" t="s">
        <v>175</v>
      </c>
      <c r="AH16" s="1055" t="s">
        <v>64</v>
      </c>
      <c r="AI16" s="1055" t="s">
        <v>175</v>
      </c>
      <c r="AJ16" s="1055" t="s">
        <v>64</v>
      </c>
      <c r="AK16" s="1055" t="s">
        <v>175</v>
      </c>
      <c r="AL16" s="1055" t="s">
        <v>64</v>
      </c>
      <c r="AM16" s="1055" t="s">
        <v>175</v>
      </c>
      <c r="AN16" s="1055" t="s">
        <v>64</v>
      </c>
      <c r="AO16" s="1055" t="s">
        <v>175</v>
      </c>
      <c r="AP16" s="1055" t="s">
        <v>64</v>
      </c>
      <c r="AQ16" s="1055" t="s">
        <v>175</v>
      </c>
      <c r="AR16" s="1055" t="s">
        <v>179</v>
      </c>
      <c r="AS16" s="1055" t="s">
        <v>180</v>
      </c>
      <c r="AT16" s="1055" t="s">
        <v>175</v>
      </c>
      <c r="AU16" s="1055" t="s">
        <v>179</v>
      </c>
      <c r="AV16" s="1055" t="s">
        <v>180</v>
      </c>
      <c r="AW16" s="1055" t="s">
        <v>175</v>
      </c>
      <c r="AX16" s="1055" t="s">
        <v>179</v>
      </c>
      <c r="AY16" s="1055" t="s">
        <v>180</v>
      </c>
      <c r="AZ16" s="1055" t="s">
        <v>175</v>
      </c>
      <c r="BA16" s="1055" t="s">
        <v>179</v>
      </c>
      <c r="BB16" s="1055" t="s">
        <v>180</v>
      </c>
      <c r="BC16" s="1055" t="s">
        <v>175</v>
      </c>
      <c r="BD16" s="1055" t="s">
        <v>179</v>
      </c>
      <c r="BE16" s="1055" t="s">
        <v>180</v>
      </c>
      <c r="BF16" s="1055" t="s">
        <v>458</v>
      </c>
      <c r="BG16" s="1055" t="s">
        <v>458</v>
      </c>
      <c r="BH16" s="1055" t="s">
        <v>458</v>
      </c>
      <c r="BI16" s="1055" t="s">
        <v>471</v>
      </c>
      <c r="BJ16" s="1055" t="s">
        <v>471</v>
      </c>
      <c r="BK16" s="1055" t="s">
        <v>458</v>
      </c>
      <c r="BL16" s="1055" t="s">
        <v>458</v>
      </c>
      <c r="BM16" s="1055" t="s">
        <v>458</v>
      </c>
      <c r="BN16" s="1055" t="s">
        <v>458</v>
      </c>
      <c r="BO16" s="1055" t="s">
        <v>458</v>
      </c>
      <c r="BP16" s="1055" t="s">
        <v>458</v>
      </c>
      <c r="BQ16" s="1055" t="s">
        <v>175</v>
      </c>
      <c r="BR16" s="1055" t="s">
        <v>64</v>
      </c>
      <c r="BS16" s="1055" t="s">
        <v>187</v>
      </c>
      <c r="BT16" s="1055" t="s">
        <v>60</v>
      </c>
      <c r="BU16" s="1055" t="s">
        <v>188</v>
      </c>
      <c r="BV16" s="1055" t="s">
        <v>494</v>
      </c>
      <c r="BW16" s="1055"/>
      <c r="BX16" s="1055"/>
      <c r="BY16" s="1055"/>
      <c r="BZ16" s="1055"/>
      <c r="CA16" s="1055"/>
      <c r="CB16" s="1055"/>
      <c r="CC16" s="1055"/>
      <c r="CD16" s="1055"/>
      <c r="CE16" s="1055"/>
      <c r="CF16" s="1055"/>
      <c r="CG16" s="1055"/>
      <c r="CH16" s="1055"/>
      <c r="CI16" s="1055"/>
      <c r="CJ16" s="1055"/>
      <c r="CK16" s="1055"/>
      <c r="CL16" s="1055"/>
      <c r="CM16" s="1055"/>
      <c r="CN16" s="1055"/>
      <c r="CO16" s="1055"/>
      <c r="CP16" s="1055"/>
      <c r="CQ16" s="1055"/>
      <c r="CR16" s="1055"/>
      <c r="CS16" s="1055"/>
      <c r="CT16" s="1055"/>
      <c r="CU16" s="1055"/>
      <c r="CV16" s="1055"/>
      <c r="CW16" s="1055"/>
      <c r="CX16" s="1055"/>
      <c r="CY16" s="1055"/>
      <c r="CZ16" s="1055"/>
      <c r="DA16" s="1055"/>
      <c r="DB16" s="1055"/>
      <c r="DC16" s="1055"/>
      <c r="DD16" s="1055"/>
      <c r="DE16" s="1055"/>
      <c r="DF16" s="1055"/>
      <c r="DG16" s="1055"/>
      <c r="DH16" s="1055"/>
      <c r="DI16" s="1055"/>
      <c r="DJ16" s="1055"/>
      <c r="DK16" s="1055"/>
      <c r="DL16" s="1055"/>
      <c r="DM16" s="1055"/>
      <c r="DN16" s="1055"/>
      <c r="DO16" s="1055"/>
      <c r="DP16" s="1055"/>
      <c r="DQ16" s="1057"/>
      <c r="DR16" s="1075"/>
      <c r="DS16" s="1075"/>
      <c r="DT16" s="1075"/>
      <c r="DU16" s="1077"/>
      <c r="DV16" s="1079"/>
    </row>
    <row r="17" spans="1:126" s="230" customFormat="1" ht="120" customHeight="1">
      <c r="A17" s="406" t="s">
        <v>124</v>
      </c>
      <c r="B17" s="407" t="s">
        <v>716</v>
      </c>
      <c r="C17" s="409">
        <v>43598</v>
      </c>
      <c r="D17" s="408" t="s">
        <v>1155</v>
      </c>
      <c r="E17" s="390">
        <v>4</v>
      </c>
      <c r="F17" s="390">
        <v>4</v>
      </c>
      <c r="G17" s="390">
        <v>4</v>
      </c>
      <c r="H17" s="390">
        <v>4</v>
      </c>
      <c r="I17" s="390">
        <v>4</v>
      </c>
      <c r="J17" s="391" t="s">
        <v>69</v>
      </c>
      <c r="K17" s="391" t="s">
        <v>69</v>
      </c>
      <c r="L17" s="391" t="s">
        <v>69</v>
      </c>
      <c r="M17" s="391" t="s">
        <v>69</v>
      </c>
      <c r="N17" s="391" t="s">
        <v>69</v>
      </c>
      <c r="O17" s="391" t="s">
        <v>69</v>
      </c>
      <c r="P17" s="391" t="s">
        <v>69</v>
      </c>
      <c r="Q17" s="391" t="s">
        <v>69</v>
      </c>
      <c r="R17" s="390">
        <v>4</v>
      </c>
      <c r="S17" s="390">
        <v>4</v>
      </c>
      <c r="T17" s="391" t="s">
        <v>212</v>
      </c>
      <c r="U17" s="391" t="s">
        <v>69</v>
      </c>
      <c r="V17" s="391" t="s">
        <v>69</v>
      </c>
      <c r="W17" s="391" t="s">
        <v>69</v>
      </c>
      <c r="X17" s="391" t="s">
        <v>69</v>
      </c>
      <c r="Y17" s="391" t="s">
        <v>69</v>
      </c>
      <c r="Z17" s="391" t="s">
        <v>69</v>
      </c>
      <c r="AA17" s="391" t="s">
        <v>69</v>
      </c>
      <c r="AB17" s="391" t="s">
        <v>69</v>
      </c>
      <c r="AC17" s="391" t="s">
        <v>69</v>
      </c>
      <c r="AD17" s="391" t="s">
        <v>69</v>
      </c>
      <c r="AE17" s="391" t="s">
        <v>69</v>
      </c>
      <c r="AF17" s="391" t="s">
        <v>69</v>
      </c>
      <c r="AG17" s="390">
        <v>4</v>
      </c>
      <c r="AH17" s="390">
        <v>4</v>
      </c>
      <c r="AI17" s="391" t="s">
        <v>212</v>
      </c>
      <c r="AJ17" s="391" t="s">
        <v>212</v>
      </c>
      <c r="AK17" s="391" t="s">
        <v>69</v>
      </c>
      <c r="AL17" s="391">
        <v>4</v>
      </c>
      <c r="AM17" s="391" t="s">
        <v>69</v>
      </c>
      <c r="AN17" s="391">
        <v>4</v>
      </c>
      <c r="AO17" s="390">
        <v>4</v>
      </c>
      <c r="AP17" s="390">
        <v>4</v>
      </c>
      <c r="AQ17" s="391" t="s">
        <v>69</v>
      </c>
      <c r="AR17" s="391" t="s">
        <v>69</v>
      </c>
      <c r="AS17" s="391">
        <v>4</v>
      </c>
      <c r="AT17" s="391">
        <v>4</v>
      </c>
      <c r="AU17" s="391" t="s">
        <v>69</v>
      </c>
      <c r="AV17" s="391">
        <v>4</v>
      </c>
      <c r="AW17" s="391">
        <v>4</v>
      </c>
      <c r="AX17" s="391" t="s">
        <v>69</v>
      </c>
      <c r="AY17" s="391">
        <v>4</v>
      </c>
      <c r="AZ17" s="391" t="s">
        <v>69</v>
      </c>
      <c r="BA17" s="391" t="s">
        <v>69</v>
      </c>
      <c r="BB17" s="391" t="s">
        <v>69</v>
      </c>
      <c r="BC17" s="390">
        <v>4</v>
      </c>
      <c r="BD17" s="391">
        <v>4</v>
      </c>
      <c r="BE17" s="391">
        <v>4</v>
      </c>
      <c r="BF17" s="391" t="s">
        <v>69</v>
      </c>
      <c r="BG17" s="391" t="s">
        <v>69</v>
      </c>
      <c r="BH17" s="391" t="s">
        <v>212</v>
      </c>
      <c r="BI17" s="391">
        <v>4</v>
      </c>
      <c r="BJ17" s="391">
        <v>4</v>
      </c>
      <c r="BK17" s="391" t="s">
        <v>69</v>
      </c>
      <c r="BL17" s="391" t="s">
        <v>69</v>
      </c>
      <c r="BM17" s="393">
        <v>4</v>
      </c>
      <c r="BN17" s="391" t="s">
        <v>69</v>
      </c>
      <c r="BO17" s="390" t="s">
        <v>69</v>
      </c>
      <c r="BP17" s="391">
        <v>4</v>
      </c>
      <c r="BQ17" s="390">
        <v>4</v>
      </c>
      <c r="BR17" s="391" t="s">
        <v>69</v>
      </c>
      <c r="BS17" s="391" t="s">
        <v>69</v>
      </c>
      <c r="BT17" s="391" t="s">
        <v>69</v>
      </c>
      <c r="BU17" s="391" t="s">
        <v>69</v>
      </c>
      <c r="BV17" s="391">
        <v>4</v>
      </c>
      <c r="BW17" s="391" t="s">
        <v>69</v>
      </c>
      <c r="BX17" s="390" t="s">
        <v>69</v>
      </c>
      <c r="BY17" s="391">
        <v>4</v>
      </c>
      <c r="BZ17" s="391" t="s">
        <v>69</v>
      </c>
      <c r="CA17" s="391" t="s">
        <v>69</v>
      </c>
      <c r="CB17" s="391" t="s">
        <v>69</v>
      </c>
      <c r="CC17" s="391" t="s">
        <v>69</v>
      </c>
      <c r="CD17" s="391">
        <v>4</v>
      </c>
      <c r="CE17" s="391">
        <v>4</v>
      </c>
      <c r="CF17" s="390">
        <v>4</v>
      </c>
      <c r="CG17" s="391" t="s">
        <v>69</v>
      </c>
      <c r="CH17" s="391" t="s">
        <v>69</v>
      </c>
      <c r="CI17" s="391">
        <v>4</v>
      </c>
      <c r="CJ17" s="392">
        <v>4</v>
      </c>
      <c r="CK17" s="392">
        <v>4</v>
      </c>
      <c r="CL17" s="392">
        <v>4</v>
      </c>
      <c r="CM17" s="392" t="s">
        <v>69</v>
      </c>
      <c r="CN17" s="392">
        <v>4</v>
      </c>
      <c r="CO17" s="392" t="s">
        <v>69</v>
      </c>
      <c r="CP17" s="392" t="s">
        <v>69</v>
      </c>
      <c r="CQ17" s="392">
        <v>4</v>
      </c>
      <c r="CR17" s="392" t="s">
        <v>69</v>
      </c>
      <c r="CS17" s="391" t="s">
        <v>69</v>
      </c>
      <c r="CT17" s="391" t="s">
        <v>69</v>
      </c>
      <c r="CU17" s="390" t="s">
        <v>212</v>
      </c>
      <c r="CV17" s="390" t="s">
        <v>212</v>
      </c>
      <c r="CW17" s="393" t="s">
        <v>212</v>
      </c>
      <c r="CX17" s="390" t="s">
        <v>212</v>
      </c>
      <c r="CY17" s="391" t="s">
        <v>212</v>
      </c>
      <c r="CZ17" s="391" t="s">
        <v>69</v>
      </c>
      <c r="DA17" s="391">
        <v>4</v>
      </c>
      <c r="DB17" s="393" t="s">
        <v>69</v>
      </c>
      <c r="DC17" s="390" t="s">
        <v>69</v>
      </c>
      <c r="DD17" s="391" t="s">
        <v>69</v>
      </c>
      <c r="DE17" s="393" t="s">
        <v>69</v>
      </c>
      <c r="DF17" s="390" t="s">
        <v>69</v>
      </c>
      <c r="DG17" s="391" t="s">
        <v>69</v>
      </c>
      <c r="DH17" s="390" t="s">
        <v>69</v>
      </c>
      <c r="DI17" s="391" t="s">
        <v>69</v>
      </c>
      <c r="DJ17" s="391" t="s">
        <v>69</v>
      </c>
      <c r="DK17" s="391" t="s">
        <v>69</v>
      </c>
      <c r="DL17" s="391" t="s">
        <v>69</v>
      </c>
      <c r="DM17" s="391" t="s">
        <v>69</v>
      </c>
      <c r="DN17" s="391" t="s">
        <v>69</v>
      </c>
      <c r="DO17" s="391">
        <v>3</v>
      </c>
      <c r="DP17" s="391" t="s">
        <v>69</v>
      </c>
      <c r="DQ17" s="391" t="s">
        <v>69</v>
      </c>
      <c r="DR17" s="393" t="s">
        <v>69</v>
      </c>
      <c r="DS17" s="391" t="s">
        <v>212</v>
      </c>
      <c r="DT17" s="393">
        <v>4</v>
      </c>
      <c r="DU17" s="398">
        <f t="shared" ref="DU17:DU61" si="0">COUNTIF(E17:DT17,"&gt;0")/63</f>
        <v>0.63492063492063489</v>
      </c>
      <c r="DV17" s="399">
        <f t="shared" ref="DV17:DV61" si="1">+COUNTIF(E17:DT17,"&gt;2")/COUNTIF(E17:DT17,"&gt;1")</f>
        <v>1</v>
      </c>
    </row>
    <row r="18" spans="1:126" s="230" customFormat="1" ht="120" customHeight="1">
      <c r="A18" s="406" t="s">
        <v>823</v>
      </c>
      <c r="B18" s="407" t="s">
        <v>643</v>
      </c>
      <c r="C18" s="409">
        <v>45363</v>
      </c>
      <c r="D18" s="408" t="s">
        <v>1155</v>
      </c>
      <c r="E18" s="391" t="s">
        <v>69</v>
      </c>
      <c r="F18" s="391" t="s">
        <v>69</v>
      </c>
      <c r="G18" s="391" t="s">
        <v>69</v>
      </c>
      <c r="H18" s="391" t="s">
        <v>69</v>
      </c>
      <c r="I18" s="391" t="s">
        <v>69</v>
      </c>
      <c r="J18" s="391" t="s">
        <v>69</v>
      </c>
      <c r="K18" s="391" t="s">
        <v>69</v>
      </c>
      <c r="L18" s="391" t="s">
        <v>69</v>
      </c>
      <c r="M18" s="391" t="s">
        <v>69</v>
      </c>
      <c r="N18" s="391" t="s">
        <v>69</v>
      </c>
      <c r="O18" s="391" t="s">
        <v>69</v>
      </c>
      <c r="P18" s="391" t="s">
        <v>69</v>
      </c>
      <c r="Q18" s="391" t="s">
        <v>69</v>
      </c>
      <c r="R18" s="391" t="s">
        <v>69</v>
      </c>
      <c r="S18" s="391" t="s">
        <v>69</v>
      </c>
      <c r="T18" s="391" t="s">
        <v>69</v>
      </c>
      <c r="U18" s="391" t="s">
        <v>69</v>
      </c>
      <c r="V18" s="391" t="s">
        <v>69</v>
      </c>
      <c r="W18" s="391" t="s">
        <v>69</v>
      </c>
      <c r="X18" s="391" t="s">
        <v>69</v>
      </c>
      <c r="Y18" s="391" t="s">
        <v>69</v>
      </c>
      <c r="Z18" s="391" t="s">
        <v>69</v>
      </c>
      <c r="AA18" s="391" t="s">
        <v>69</v>
      </c>
      <c r="AB18" s="391" t="s">
        <v>69</v>
      </c>
      <c r="AC18" s="391" t="s">
        <v>69</v>
      </c>
      <c r="AD18" s="391" t="s">
        <v>69</v>
      </c>
      <c r="AE18" s="391">
        <v>4</v>
      </c>
      <c r="AF18" s="391" t="s">
        <v>69</v>
      </c>
      <c r="AG18" s="391">
        <v>4</v>
      </c>
      <c r="AH18" s="391">
        <v>3</v>
      </c>
      <c r="AI18" s="391" t="s">
        <v>69</v>
      </c>
      <c r="AJ18" s="391" t="s">
        <v>69</v>
      </c>
      <c r="AK18" s="391" t="s">
        <v>69</v>
      </c>
      <c r="AL18" s="391" t="s">
        <v>69</v>
      </c>
      <c r="AM18" s="391">
        <v>3</v>
      </c>
      <c r="AN18" s="391" t="s">
        <v>69</v>
      </c>
      <c r="AO18" s="391" t="s">
        <v>69</v>
      </c>
      <c r="AP18" s="391" t="s">
        <v>69</v>
      </c>
      <c r="AQ18" s="391" t="s">
        <v>69</v>
      </c>
      <c r="AR18" s="391" t="s">
        <v>69</v>
      </c>
      <c r="AS18" s="391" t="s">
        <v>69</v>
      </c>
      <c r="AT18" s="391">
        <v>4</v>
      </c>
      <c r="AU18" s="391" t="s">
        <v>69</v>
      </c>
      <c r="AV18" s="391" t="s">
        <v>69</v>
      </c>
      <c r="AW18" s="391" t="s">
        <v>69</v>
      </c>
      <c r="AX18" s="391" t="s">
        <v>69</v>
      </c>
      <c r="AY18" s="391" t="s">
        <v>69</v>
      </c>
      <c r="AZ18" s="391" t="s">
        <v>69</v>
      </c>
      <c r="BA18" s="391" t="s">
        <v>69</v>
      </c>
      <c r="BB18" s="391" t="s">
        <v>69</v>
      </c>
      <c r="BC18" s="391" t="s">
        <v>69</v>
      </c>
      <c r="BD18" s="391" t="s">
        <v>69</v>
      </c>
      <c r="BE18" s="391" t="s">
        <v>69</v>
      </c>
      <c r="BF18" s="391">
        <v>4</v>
      </c>
      <c r="BG18" s="391" t="s">
        <v>69</v>
      </c>
      <c r="BH18" s="391">
        <v>4</v>
      </c>
      <c r="BI18" s="391" t="s">
        <v>69</v>
      </c>
      <c r="BJ18" s="391">
        <v>4</v>
      </c>
      <c r="BK18" s="391" t="s">
        <v>69</v>
      </c>
      <c r="BL18" s="391" t="s">
        <v>69</v>
      </c>
      <c r="BM18" s="391" t="s">
        <v>69</v>
      </c>
      <c r="BN18" s="391" t="s">
        <v>69</v>
      </c>
      <c r="BO18" s="391" t="s">
        <v>69</v>
      </c>
      <c r="BP18" s="391" t="s">
        <v>69</v>
      </c>
      <c r="BQ18" s="391" t="s">
        <v>69</v>
      </c>
      <c r="BR18" s="391" t="s">
        <v>69</v>
      </c>
      <c r="BS18" s="391" t="s">
        <v>69</v>
      </c>
      <c r="BT18" s="391" t="s">
        <v>69</v>
      </c>
      <c r="BU18" s="391" t="s">
        <v>69</v>
      </c>
      <c r="BV18" s="391" t="s">
        <v>69</v>
      </c>
      <c r="BW18" s="391" t="s">
        <v>69</v>
      </c>
      <c r="BX18" s="391" t="s">
        <v>69</v>
      </c>
      <c r="BY18" s="391" t="s">
        <v>69</v>
      </c>
      <c r="BZ18" s="391" t="s">
        <v>69</v>
      </c>
      <c r="CA18" s="391" t="s">
        <v>69</v>
      </c>
      <c r="CB18" s="391" t="s">
        <v>69</v>
      </c>
      <c r="CC18" s="391" t="s">
        <v>69</v>
      </c>
      <c r="CD18" s="391" t="s">
        <v>69</v>
      </c>
      <c r="CE18" s="391" t="s">
        <v>69</v>
      </c>
      <c r="CF18" s="391" t="s">
        <v>69</v>
      </c>
      <c r="CG18" s="391" t="s">
        <v>69</v>
      </c>
      <c r="CH18" s="391" t="s">
        <v>69</v>
      </c>
      <c r="CI18" s="391" t="s">
        <v>69</v>
      </c>
      <c r="CJ18" s="392" t="s">
        <v>69</v>
      </c>
      <c r="CK18" s="392" t="s">
        <v>69</v>
      </c>
      <c r="CL18" s="392" t="s">
        <v>69</v>
      </c>
      <c r="CM18" s="392" t="s">
        <v>69</v>
      </c>
      <c r="CN18" s="392" t="s">
        <v>69</v>
      </c>
      <c r="CO18" s="392" t="s">
        <v>69</v>
      </c>
      <c r="CP18" s="392" t="s">
        <v>69</v>
      </c>
      <c r="CQ18" s="392" t="s">
        <v>69</v>
      </c>
      <c r="CR18" s="392" t="s">
        <v>69</v>
      </c>
      <c r="CS18" s="391" t="s">
        <v>69</v>
      </c>
      <c r="CT18" s="391" t="s">
        <v>69</v>
      </c>
      <c r="CU18" s="390" t="s">
        <v>212</v>
      </c>
      <c r="CV18" s="390" t="s">
        <v>212</v>
      </c>
      <c r="CW18" s="391" t="s">
        <v>69</v>
      </c>
      <c r="CX18" s="391" t="s">
        <v>69</v>
      </c>
      <c r="CY18" s="391" t="s">
        <v>69</v>
      </c>
      <c r="CZ18" s="391">
        <v>4</v>
      </c>
      <c r="DA18" s="391" t="s">
        <v>69</v>
      </c>
      <c r="DB18" s="391">
        <v>3</v>
      </c>
      <c r="DC18" s="391" t="s">
        <v>69</v>
      </c>
      <c r="DD18" s="391" t="s">
        <v>69</v>
      </c>
      <c r="DE18" s="391" t="s">
        <v>69</v>
      </c>
      <c r="DF18" s="391" t="s">
        <v>69</v>
      </c>
      <c r="DG18" s="391" t="s">
        <v>69</v>
      </c>
      <c r="DH18" s="391" t="s">
        <v>69</v>
      </c>
      <c r="DI18" s="391">
        <v>4</v>
      </c>
      <c r="DJ18" s="391">
        <v>4</v>
      </c>
      <c r="DK18" s="391" t="s">
        <v>69</v>
      </c>
      <c r="DL18" s="391" t="s">
        <v>69</v>
      </c>
      <c r="DM18" s="391" t="s">
        <v>69</v>
      </c>
      <c r="DN18" s="391" t="s">
        <v>69</v>
      </c>
      <c r="DO18" s="391" t="s">
        <v>69</v>
      </c>
      <c r="DP18" s="391" t="s">
        <v>69</v>
      </c>
      <c r="DQ18" s="391" t="s">
        <v>69</v>
      </c>
      <c r="DR18" s="391" t="s">
        <v>69</v>
      </c>
      <c r="DS18" s="391" t="s">
        <v>69</v>
      </c>
      <c r="DT18" s="391" t="s">
        <v>69</v>
      </c>
      <c r="DU18" s="398">
        <f t="shared" ref="DU18" si="2">COUNTIF(E18:DT18,"&gt;0")/63</f>
        <v>0.19047619047619047</v>
      </c>
      <c r="DV18" s="399">
        <f t="shared" ref="DV18" si="3">+COUNTIF(E18:DT18,"&gt;2")/COUNTIF(E18:DT18,"&gt;1")</f>
        <v>1</v>
      </c>
    </row>
    <row r="19" spans="1:126" s="230" customFormat="1" ht="120" customHeight="1">
      <c r="A19" s="406" t="s">
        <v>747</v>
      </c>
      <c r="B19" s="407" t="s">
        <v>749</v>
      </c>
      <c r="C19" s="409">
        <v>45750</v>
      </c>
      <c r="D19" s="408" t="s">
        <v>1155</v>
      </c>
      <c r="E19" s="391">
        <v>4</v>
      </c>
      <c r="F19" s="391" t="s">
        <v>69</v>
      </c>
      <c r="G19" s="391">
        <v>4</v>
      </c>
      <c r="H19" s="391">
        <v>4</v>
      </c>
      <c r="I19" s="391" t="s">
        <v>69</v>
      </c>
      <c r="J19" s="391" t="s">
        <v>69</v>
      </c>
      <c r="K19" s="391" t="s">
        <v>69</v>
      </c>
      <c r="L19" s="391" t="s">
        <v>69</v>
      </c>
      <c r="M19" s="391" t="s">
        <v>69</v>
      </c>
      <c r="N19" s="391">
        <v>4</v>
      </c>
      <c r="O19" s="391" t="s">
        <v>69</v>
      </c>
      <c r="P19" s="391" t="s">
        <v>69</v>
      </c>
      <c r="Q19" s="391" t="s">
        <v>69</v>
      </c>
      <c r="R19" s="391" t="s">
        <v>69</v>
      </c>
      <c r="S19" s="391" t="s">
        <v>69</v>
      </c>
      <c r="T19" s="391" t="s">
        <v>69</v>
      </c>
      <c r="U19" s="391" t="s">
        <v>69</v>
      </c>
      <c r="V19" s="391" t="s">
        <v>69</v>
      </c>
      <c r="W19" s="391" t="s">
        <v>69</v>
      </c>
      <c r="X19" s="391" t="s">
        <v>69</v>
      </c>
      <c r="Y19" s="391" t="s">
        <v>69</v>
      </c>
      <c r="Z19" s="391" t="s">
        <v>69</v>
      </c>
      <c r="AA19" s="391" t="s">
        <v>69</v>
      </c>
      <c r="AB19" s="391" t="s">
        <v>69</v>
      </c>
      <c r="AC19" s="391" t="s">
        <v>69</v>
      </c>
      <c r="AD19" s="391" t="s">
        <v>69</v>
      </c>
      <c r="AE19" s="391" t="s">
        <v>69</v>
      </c>
      <c r="AF19" s="391" t="s">
        <v>69</v>
      </c>
      <c r="AG19" s="391" t="s">
        <v>69</v>
      </c>
      <c r="AH19" s="391" t="s">
        <v>69</v>
      </c>
      <c r="AI19" s="391" t="s">
        <v>69</v>
      </c>
      <c r="AJ19" s="391" t="s">
        <v>69</v>
      </c>
      <c r="AK19" s="391" t="s">
        <v>69</v>
      </c>
      <c r="AL19" s="391" t="s">
        <v>69</v>
      </c>
      <c r="AM19" s="391" t="s">
        <v>69</v>
      </c>
      <c r="AN19" s="391" t="s">
        <v>69</v>
      </c>
      <c r="AO19" s="391" t="s">
        <v>69</v>
      </c>
      <c r="AP19" s="391" t="s">
        <v>69</v>
      </c>
      <c r="AQ19" s="391" t="s">
        <v>69</v>
      </c>
      <c r="AR19" s="391" t="s">
        <v>69</v>
      </c>
      <c r="AS19" s="391" t="s">
        <v>69</v>
      </c>
      <c r="AT19" s="391" t="s">
        <v>69</v>
      </c>
      <c r="AU19" s="391" t="s">
        <v>69</v>
      </c>
      <c r="AV19" s="391" t="s">
        <v>69</v>
      </c>
      <c r="AW19" s="391" t="s">
        <v>69</v>
      </c>
      <c r="AX19" s="391" t="s">
        <v>69</v>
      </c>
      <c r="AY19" s="391" t="s">
        <v>69</v>
      </c>
      <c r="AZ19" s="391" t="s">
        <v>69</v>
      </c>
      <c r="BA19" s="391" t="s">
        <v>69</v>
      </c>
      <c r="BB19" s="391" t="s">
        <v>69</v>
      </c>
      <c r="BC19" s="391" t="s">
        <v>69</v>
      </c>
      <c r="BD19" s="391" t="s">
        <v>69</v>
      </c>
      <c r="BE19" s="391" t="s">
        <v>69</v>
      </c>
      <c r="BF19" s="391" t="s">
        <v>69</v>
      </c>
      <c r="BG19" s="391" t="s">
        <v>69</v>
      </c>
      <c r="BH19" s="391" t="s">
        <v>69</v>
      </c>
      <c r="BI19" s="391" t="s">
        <v>69</v>
      </c>
      <c r="BJ19" s="391" t="s">
        <v>69</v>
      </c>
      <c r="BK19" s="391" t="s">
        <v>69</v>
      </c>
      <c r="BL19" s="391" t="s">
        <v>69</v>
      </c>
      <c r="BM19" s="391" t="s">
        <v>69</v>
      </c>
      <c r="BN19" s="391" t="s">
        <v>69</v>
      </c>
      <c r="BO19" s="391" t="s">
        <v>69</v>
      </c>
      <c r="BP19" s="391" t="s">
        <v>69</v>
      </c>
      <c r="BQ19" s="391" t="s">
        <v>69</v>
      </c>
      <c r="BR19" s="391" t="s">
        <v>69</v>
      </c>
      <c r="BS19" s="391" t="s">
        <v>69</v>
      </c>
      <c r="BT19" s="391" t="s">
        <v>69</v>
      </c>
      <c r="BU19" s="391" t="s">
        <v>69</v>
      </c>
      <c r="BV19" s="391" t="s">
        <v>69</v>
      </c>
      <c r="BW19" s="391" t="s">
        <v>69</v>
      </c>
      <c r="BX19" s="391" t="s">
        <v>69</v>
      </c>
      <c r="BY19" s="391" t="s">
        <v>69</v>
      </c>
      <c r="BZ19" s="391" t="s">
        <v>69</v>
      </c>
      <c r="CA19" s="391" t="s">
        <v>69</v>
      </c>
      <c r="CB19" s="391" t="s">
        <v>69</v>
      </c>
      <c r="CC19" s="391" t="s">
        <v>69</v>
      </c>
      <c r="CD19" s="391" t="s">
        <v>69</v>
      </c>
      <c r="CE19" s="391" t="s">
        <v>69</v>
      </c>
      <c r="CF19" s="391" t="s">
        <v>69</v>
      </c>
      <c r="CG19" s="391" t="s">
        <v>69</v>
      </c>
      <c r="CH19" s="391" t="s">
        <v>69</v>
      </c>
      <c r="CI19" s="391" t="s">
        <v>69</v>
      </c>
      <c r="CJ19" s="391">
        <v>4</v>
      </c>
      <c r="CK19" s="391">
        <v>4</v>
      </c>
      <c r="CL19" s="391">
        <v>4</v>
      </c>
      <c r="CM19" s="391">
        <v>4</v>
      </c>
      <c r="CN19" s="391" t="s">
        <v>69</v>
      </c>
      <c r="CO19" s="391" t="s">
        <v>69</v>
      </c>
      <c r="CP19" s="391" t="s">
        <v>69</v>
      </c>
      <c r="CQ19" s="391" t="s">
        <v>69</v>
      </c>
      <c r="CR19" s="391" t="s">
        <v>69</v>
      </c>
      <c r="CS19" s="391" t="s">
        <v>69</v>
      </c>
      <c r="CT19" s="391" t="s">
        <v>69</v>
      </c>
      <c r="CU19" s="390" t="s">
        <v>212</v>
      </c>
      <c r="CV19" s="390" t="s">
        <v>212</v>
      </c>
      <c r="CW19" s="391" t="s">
        <v>69</v>
      </c>
      <c r="CX19" s="391" t="s">
        <v>69</v>
      </c>
      <c r="CY19" s="391" t="s">
        <v>69</v>
      </c>
      <c r="CZ19" s="391" t="s">
        <v>69</v>
      </c>
      <c r="DA19" s="391" t="s">
        <v>69</v>
      </c>
      <c r="DB19" s="391" t="s">
        <v>69</v>
      </c>
      <c r="DC19" s="391" t="s">
        <v>69</v>
      </c>
      <c r="DD19" s="391" t="s">
        <v>69</v>
      </c>
      <c r="DE19" s="391" t="s">
        <v>69</v>
      </c>
      <c r="DF19" s="391" t="s">
        <v>69</v>
      </c>
      <c r="DG19" s="391" t="s">
        <v>69</v>
      </c>
      <c r="DH19" s="391" t="s">
        <v>69</v>
      </c>
      <c r="DI19" s="391" t="s">
        <v>69</v>
      </c>
      <c r="DJ19" s="391" t="s">
        <v>69</v>
      </c>
      <c r="DK19" s="391" t="s">
        <v>69</v>
      </c>
      <c r="DL19" s="391" t="s">
        <v>69</v>
      </c>
      <c r="DM19" s="391" t="s">
        <v>69</v>
      </c>
      <c r="DN19" s="391" t="s">
        <v>69</v>
      </c>
      <c r="DO19" s="391" t="s">
        <v>69</v>
      </c>
      <c r="DP19" s="391" t="s">
        <v>69</v>
      </c>
      <c r="DQ19" s="391" t="s">
        <v>69</v>
      </c>
      <c r="DR19" s="391" t="s">
        <v>69</v>
      </c>
      <c r="DS19" s="391" t="s">
        <v>69</v>
      </c>
      <c r="DT19" s="391" t="s">
        <v>69</v>
      </c>
      <c r="DU19" s="398">
        <f t="shared" si="0"/>
        <v>0.12698412698412698</v>
      </c>
      <c r="DV19" s="399">
        <f t="shared" si="1"/>
        <v>1</v>
      </c>
    </row>
    <row r="20" spans="1:126" s="230" customFormat="1" ht="120" customHeight="1">
      <c r="A20" s="406" t="s">
        <v>1212</v>
      </c>
      <c r="B20" s="407" t="s">
        <v>1213</v>
      </c>
      <c r="C20" s="409">
        <v>46118</v>
      </c>
      <c r="D20" s="408" t="s">
        <v>635</v>
      </c>
      <c r="E20" s="391" t="s">
        <v>69</v>
      </c>
      <c r="F20" s="391" t="s">
        <v>69</v>
      </c>
      <c r="G20" s="391" t="s">
        <v>69</v>
      </c>
      <c r="H20" s="391" t="s">
        <v>69</v>
      </c>
      <c r="I20" s="391" t="s">
        <v>69</v>
      </c>
      <c r="J20" s="391"/>
      <c r="K20" s="391" t="s">
        <v>69</v>
      </c>
      <c r="L20" s="391" t="s">
        <v>69</v>
      </c>
      <c r="M20" s="391" t="s">
        <v>69</v>
      </c>
      <c r="N20" s="391" t="s">
        <v>69</v>
      </c>
      <c r="O20" s="391" t="s">
        <v>69</v>
      </c>
      <c r="P20" s="391" t="s">
        <v>69</v>
      </c>
      <c r="Q20" s="391" t="s">
        <v>69</v>
      </c>
      <c r="R20" s="391" t="s">
        <v>69</v>
      </c>
      <c r="S20" s="391" t="s">
        <v>69</v>
      </c>
      <c r="T20" s="391" t="s">
        <v>69</v>
      </c>
      <c r="U20" s="391" t="s">
        <v>69</v>
      </c>
      <c r="V20" s="391" t="s">
        <v>69</v>
      </c>
      <c r="W20" s="391" t="s">
        <v>69</v>
      </c>
      <c r="X20" s="391" t="s">
        <v>69</v>
      </c>
      <c r="Y20" s="391" t="s">
        <v>69</v>
      </c>
      <c r="Z20" s="391" t="s">
        <v>69</v>
      </c>
      <c r="AA20" s="391" t="s">
        <v>69</v>
      </c>
      <c r="AB20" s="391" t="s">
        <v>69</v>
      </c>
      <c r="AC20" s="391" t="s">
        <v>69</v>
      </c>
      <c r="AD20" s="391" t="s">
        <v>69</v>
      </c>
      <c r="AE20" s="391" t="s">
        <v>69</v>
      </c>
      <c r="AF20" s="391" t="s">
        <v>69</v>
      </c>
      <c r="AG20" s="391" t="s">
        <v>69</v>
      </c>
      <c r="AH20" s="391" t="s">
        <v>69</v>
      </c>
      <c r="AI20" s="391" t="s">
        <v>69</v>
      </c>
      <c r="AJ20" s="391" t="s">
        <v>69</v>
      </c>
      <c r="AK20" s="391" t="s">
        <v>69</v>
      </c>
      <c r="AL20" s="391" t="s">
        <v>69</v>
      </c>
      <c r="AM20" s="391" t="s">
        <v>69</v>
      </c>
      <c r="AN20" s="391" t="s">
        <v>69</v>
      </c>
      <c r="AO20" s="391" t="s">
        <v>69</v>
      </c>
      <c r="AP20" s="391" t="s">
        <v>69</v>
      </c>
      <c r="AQ20" s="391" t="s">
        <v>69</v>
      </c>
      <c r="AR20" s="391" t="s">
        <v>69</v>
      </c>
      <c r="AS20" s="391" t="s">
        <v>69</v>
      </c>
      <c r="AT20" s="391" t="s">
        <v>69</v>
      </c>
      <c r="AU20" s="391" t="s">
        <v>69</v>
      </c>
      <c r="AV20" s="391" t="s">
        <v>69</v>
      </c>
      <c r="AW20" s="391" t="s">
        <v>69</v>
      </c>
      <c r="AX20" s="391" t="s">
        <v>69</v>
      </c>
      <c r="AY20" s="391" t="s">
        <v>69</v>
      </c>
      <c r="AZ20" s="391" t="s">
        <v>69</v>
      </c>
      <c r="BA20" s="391" t="s">
        <v>69</v>
      </c>
      <c r="BB20" s="391" t="s">
        <v>69</v>
      </c>
      <c r="BC20" s="391" t="s">
        <v>69</v>
      </c>
      <c r="BD20" s="391" t="s">
        <v>69</v>
      </c>
      <c r="BE20" s="391" t="s">
        <v>69</v>
      </c>
      <c r="BF20" s="391" t="s">
        <v>69</v>
      </c>
      <c r="BG20" s="391" t="s">
        <v>69</v>
      </c>
      <c r="BH20" s="391" t="s">
        <v>69</v>
      </c>
      <c r="BI20" s="391" t="s">
        <v>69</v>
      </c>
      <c r="BJ20" s="391" t="s">
        <v>69</v>
      </c>
      <c r="BK20" s="391" t="s">
        <v>69</v>
      </c>
      <c r="BL20" s="391" t="s">
        <v>69</v>
      </c>
      <c r="BM20" s="391" t="s">
        <v>69</v>
      </c>
      <c r="BN20" s="391" t="s">
        <v>69</v>
      </c>
      <c r="BO20" s="391" t="s">
        <v>69</v>
      </c>
      <c r="BP20" s="391" t="s">
        <v>69</v>
      </c>
      <c r="BQ20" s="391" t="s">
        <v>69</v>
      </c>
      <c r="BR20" s="391" t="s">
        <v>69</v>
      </c>
      <c r="BS20" s="391" t="s">
        <v>69</v>
      </c>
      <c r="BT20" s="391" t="s">
        <v>69</v>
      </c>
      <c r="BU20" s="391" t="s">
        <v>69</v>
      </c>
      <c r="BV20" s="391" t="s">
        <v>69</v>
      </c>
      <c r="BW20" s="391" t="s">
        <v>69</v>
      </c>
      <c r="BX20" s="391" t="s">
        <v>69</v>
      </c>
      <c r="BY20" s="391" t="s">
        <v>69</v>
      </c>
      <c r="BZ20" s="391" t="s">
        <v>69</v>
      </c>
      <c r="CA20" s="391" t="s">
        <v>69</v>
      </c>
      <c r="CB20" s="391" t="s">
        <v>69</v>
      </c>
      <c r="CC20" s="391" t="s">
        <v>69</v>
      </c>
      <c r="CD20" s="391" t="s">
        <v>69</v>
      </c>
      <c r="CE20" s="391" t="s">
        <v>69</v>
      </c>
      <c r="CF20" s="391" t="s">
        <v>69</v>
      </c>
      <c r="CG20" s="391" t="s">
        <v>69</v>
      </c>
      <c r="CH20" s="391" t="s">
        <v>69</v>
      </c>
      <c r="CI20" s="391" t="s">
        <v>69</v>
      </c>
      <c r="CJ20" s="391">
        <v>4</v>
      </c>
      <c r="CK20" s="391">
        <v>2</v>
      </c>
      <c r="CL20" s="391" t="s">
        <v>69</v>
      </c>
      <c r="CM20" s="391">
        <v>2</v>
      </c>
      <c r="CN20" s="391" t="s">
        <v>69</v>
      </c>
      <c r="CO20" s="391" t="s">
        <v>69</v>
      </c>
      <c r="CP20" s="391" t="s">
        <v>69</v>
      </c>
      <c r="CQ20" s="391" t="s">
        <v>69</v>
      </c>
      <c r="CR20" s="391" t="s">
        <v>69</v>
      </c>
      <c r="CS20" s="391" t="s">
        <v>69</v>
      </c>
      <c r="CT20" s="391" t="s">
        <v>69</v>
      </c>
      <c r="CU20" s="391" t="s">
        <v>69</v>
      </c>
      <c r="CV20" s="391" t="s">
        <v>69</v>
      </c>
      <c r="CW20" s="391" t="s">
        <v>69</v>
      </c>
      <c r="CX20" s="391" t="s">
        <v>69</v>
      </c>
      <c r="CY20" s="391" t="s">
        <v>69</v>
      </c>
      <c r="CZ20" s="391" t="s">
        <v>69</v>
      </c>
      <c r="DA20" s="391" t="s">
        <v>69</v>
      </c>
      <c r="DB20" s="391" t="s">
        <v>69</v>
      </c>
      <c r="DC20" s="391" t="s">
        <v>69</v>
      </c>
      <c r="DD20" s="391" t="s">
        <v>69</v>
      </c>
      <c r="DE20" s="391" t="s">
        <v>69</v>
      </c>
      <c r="DF20" s="391" t="s">
        <v>69</v>
      </c>
      <c r="DG20" s="391" t="s">
        <v>69</v>
      </c>
      <c r="DH20" s="391" t="s">
        <v>69</v>
      </c>
      <c r="DI20" s="391" t="s">
        <v>69</v>
      </c>
      <c r="DJ20" s="391" t="s">
        <v>69</v>
      </c>
      <c r="DK20" s="391" t="s">
        <v>69</v>
      </c>
      <c r="DL20" s="391" t="s">
        <v>69</v>
      </c>
      <c r="DM20" s="391" t="s">
        <v>69</v>
      </c>
      <c r="DN20" s="391" t="s">
        <v>69</v>
      </c>
      <c r="DO20" s="391" t="s">
        <v>69</v>
      </c>
      <c r="DP20" s="391" t="s">
        <v>69</v>
      </c>
      <c r="DQ20" s="391" t="s">
        <v>69</v>
      </c>
      <c r="DR20" s="391" t="s">
        <v>69</v>
      </c>
      <c r="DS20" s="391" t="s">
        <v>69</v>
      </c>
      <c r="DT20" s="391" t="s">
        <v>69</v>
      </c>
      <c r="DU20" s="398">
        <f t="shared" si="0"/>
        <v>4.7619047619047616E-2</v>
      </c>
      <c r="DV20" s="399">
        <f t="shared" si="1"/>
        <v>0.33333333333333331</v>
      </c>
    </row>
    <row r="21" spans="1:126" s="230" customFormat="1" ht="120" customHeight="1">
      <c r="A21" s="406" t="s">
        <v>1210</v>
      </c>
      <c r="B21" s="407" t="s">
        <v>1211</v>
      </c>
      <c r="C21" s="409">
        <v>46118</v>
      </c>
      <c r="D21" s="408" t="s">
        <v>635</v>
      </c>
      <c r="E21" s="391">
        <v>3</v>
      </c>
      <c r="F21" s="391" t="s">
        <v>69</v>
      </c>
      <c r="G21" s="391">
        <v>3</v>
      </c>
      <c r="H21" s="391" t="s">
        <v>69</v>
      </c>
      <c r="I21" s="391" t="s">
        <v>69</v>
      </c>
      <c r="J21" s="391" t="s">
        <v>69</v>
      </c>
      <c r="K21" s="391" t="s">
        <v>69</v>
      </c>
      <c r="L21" s="391" t="s">
        <v>69</v>
      </c>
      <c r="M21" s="391" t="s">
        <v>69</v>
      </c>
      <c r="N21" s="391" t="s">
        <v>69</v>
      </c>
      <c r="O21" s="391" t="s">
        <v>69</v>
      </c>
      <c r="P21" s="391" t="s">
        <v>69</v>
      </c>
      <c r="Q21" s="391" t="s">
        <v>69</v>
      </c>
      <c r="R21" s="391" t="s">
        <v>69</v>
      </c>
      <c r="S21" s="391" t="s">
        <v>69</v>
      </c>
      <c r="T21" s="391" t="s">
        <v>69</v>
      </c>
      <c r="U21" s="391" t="s">
        <v>69</v>
      </c>
      <c r="V21" s="391" t="s">
        <v>69</v>
      </c>
      <c r="W21" s="391" t="s">
        <v>69</v>
      </c>
      <c r="X21" s="391" t="s">
        <v>69</v>
      </c>
      <c r="Y21" s="391" t="s">
        <v>69</v>
      </c>
      <c r="Z21" s="391" t="s">
        <v>69</v>
      </c>
      <c r="AA21" s="391" t="s">
        <v>69</v>
      </c>
      <c r="AB21" s="391" t="s">
        <v>69</v>
      </c>
      <c r="AC21" s="391" t="s">
        <v>69</v>
      </c>
      <c r="AD21" s="391" t="s">
        <v>69</v>
      </c>
      <c r="AE21" s="391" t="s">
        <v>69</v>
      </c>
      <c r="AF21" s="391" t="s">
        <v>69</v>
      </c>
      <c r="AG21" s="391" t="s">
        <v>69</v>
      </c>
      <c r="AH21" s="391" t="s">
        <v>69</v>
      </c>
      <c r="AI21" s="391" t="s">
        <v>69</v>
      </c>
      <c r="AJ21" s="391" t="s">
        <v>69</v>
      </c>
      <c r="AK21" s="391" t="s">
        <v>69</v>
      </c>
      <c r="AL21" s="391" t="s">
        <v>69</v>
      </c>
      <c r="AM21" s="391" t="s">
        <v>69</v>
      </c>
      <c r="AN21" s="391" t="s">
        <v>69</v>
      </c>
      <c r="AO21" s="391" t="s">
        <v>69</v>
      </c>
      <c r="AP21" s="391" t="s">
        <v>69</v>
      </c>
      <c r="AQ21" s="391" t="s">
        <v>69</v>
      </c>
      <c r="AR21" s="391" t="s">
        <v>69</v>
      </c>
      <c r="AS21" s="391" t="s">
        <v>69</v>
      </c>
      <c r="AT21" s="391" t="s">
        <v>69</v>
      </c>
      <c r="AU21" s="391" t="s">
        <v>69</v>
      </c>
      <c r="AV21" s="391" t="s">
        <v>69</v>
      </c>
      <c r="AW21" s="391" t="s">
        <v>69</v>
      </c>
      <c r="AX21" s="391" t="s">
        <v>69</v>
      </c>
      <c r="AY21" s="391" t="s">
        <v>69</v>
      </c>
      <c r="AZ21" s="391" t="s">
        <v>69</v>
      </c>
      <c r="BA21" s="391" t="s">
        <v>69</v>
      </c>
      <c r="BB21" s="391" t="s">
        <v>69</v>
      </c>
      <c r="BC21" s="391" t="s">
        <v>69</v>
      </c>
      <c r="BD21" s="391" t="s">
        <v>69</v>
      </c>
      <c r="BE21" s="391" t="s">
        <v>69</v>
      </c>
      <c r="BF21" s="391" t="s">
        <v>69</v>
      </c>
      <c r="BG21" s="391" t="s">
        <v>69</v>
      </c>
      <c r="BH21" s="391" t="s">
        <v>69</v>
      </c>
      <c r="BI21" s="391" t="s">
        <v>69</v>
      </c>
      <c r="BJ21" s="391" t="s">
        <v>69</v>
      </c>
      <c r="BK21" s="391" t="s">
        <v>69</v>
      </c>
      <c r="BL21" s="391" t="s">
        <v>69</v>
      </c>
      <c r="BM21" s="391" t="s">
        <v>69</v>
      </c>
      <c r="BN21" s="391" t="s">
        <v>69</v>
      </c>
      <c r="BO21" s="391" t="s">
        <v>69</v>
      </c>
      <c r="BP21" s="391" t="s">
        <v>69</v>
      </c>
      <c r="BQ21" s="391" t="s">
        <v>69</v>
      </c>
      <c r="BR21" s="391" t="s">
        <v>69</v>
      </c>
      <c r="BS21" s="391" t="s">
        <v>69</v>
      </c>
      <c r="BT21" s="391" t="s">
        <v>69</v>
      </c>
      <c r="BU21" s="391" t="s">
        <v>69</v>
      </c>
      <c r="BV21" s="391" t="s">
        <v>69</v>
      </c>
      <c r="BW21" s="391" t="s">
        <v>69</v>
      </c>
      <c r="BX21" s="391" t="s">
        <v>69</v>
      </c>
      <c r="BY21" s="391" t="s">
        <v>69</v>
      </c>
      <c r="BZ21" s="391" t="s">
        <v>69</v>
      </c>
      <c r="CA21" s="391" t="s">
        <v>69</v>
      </c>
      <c r="CB21" s="391" t="s">
        <v>69</v>
      </c>
      <c r="CC21" s="391" t="s">
        <v>69</v>
      </c>
      <c r="CD21" s="391" t="s">
        <v>69</v>
      </c>
      <c r="CE21" s="391" t="s">
        <v>69</v>
      </c>
      <c r="CF21" s="391" t="s">
        <v>69</v>
      </c>
      <c r="CG21" s="391" t="s">
        <v>69</v>
      </c>
      <c r="CH21" s="391" t="s">
        <v>69</v>
      </c>
      <c r="CI21" s="391" t="s">
        <v>69</v>
      </c>
      <c r="CJ21" s="391" t="s">
        <v>69</v>
      </c>
      <c r="CK21" s="391" t="s">
        <v>69</v>
      </c>
      <c r="CL21" s="391" t="s">
        <v>69</v>
      </c>
      <c r="CM21" s="391" t="s">
        <v>69</v>
      </c>
      <c r="CN21" s="391" t="s">
        <v>69</v>
      </c>
      <c r="CO21" s="391" t="s">
        <v>69</v>
      </c>
      <c r="CP21" s="391" t="s">
        <v>69</v>
      </c>
      <c r="CQ21" s="391" t="s">
        <v>69</v>
      </c>
      <c r="CR21" s="391" t="s">
        <v>69</v>
      </c>
      <c r="CS21" s="391" t="s">
        <v>69</v>
      </c>
      <c r="CT21" s="391" t="s">
        <v>69</v>
      </c>
      <c r="CU21" s="391" t="s">
        <v>69</v>
      </c>
      <c r="CV21" s="391" t="s">
        <v>69</v>
      </c>
      <c r="CW21" s="391" t="s">
        <v>69</v>
      </c>
      <c r="CX21" s="391" t="s">
        <v>69</v>
      </c>
      <c r="CY21" s="391" t="s">
        <v>69</v>
      </c>
      <c r="CZ21" s="391" t="s">
        <v>69</v>
      </c>
      <c r="DA21" s="391" t="s">
        <v>69</v>
      </c>
      <c r="DB21" s="391" t="s">
        <v>69</v>
      </c>
      <c r="DC21" s="391" t="s">
        <v>69</v>
      </c>
      <c r="DD21" s="391" t="s">
        <v>69</v>
      </c>
      <c r="DE21" s="391" t="s">
        <v>69</v>
      </c>
      <c r="DF21" s="391" t="s">
        <v>69</v>
      </c>
      <c r="DG21" s="391" t="s">
        <v>69</v>
      </c>
      <c r="DH21" s="391" t="s">
        <v>69</v>
      </c>
      <c r="DI21" s="391" t="s">
        <v>69</v>
      </c>
      <c r="DJ21" s="391" t="s">
        <v>69</v>
      </c>
      <c r="DK21" s="391" t="s">
        <v>69</v>
      </c>
      <c r="DL21" s="391" t="s">
        <v>69</v>
      </c>
      <c r="DM21" s="391" t="s">
        <v>69</v>
      </c>
      <c r="DN21" s="391" t="s">
        <v>69</v>
      </c>
      <c r="DO21" s="391" t="s">
        <v>69</v>
      </c>
      <c r="DP21" s="391" t="s">
        <v>69</v>
      </c>
      <c r="DQ21" s="391" t="s">
        <v>69</v>
      </c>
      <c r="DR21" s="391" t="s">
        <v>69</v>
      </c>
      <c r="DS21" s="391" t="s">
        <v>69</v>
      </c>
      <c r="DT21" s="391" t="s">
        <v>69</v>
      </c>
      <c r="DU21" s="398">
        <f t="shared" si="0"/>
        <v>3.1746031746031744E-2</v>
      </c>
      <c r="DV21" s="399">
        <f t="shared" si="1"/>
        <v>1</v>
      </c>
    </row>
    <row r="22" spans="1:126" s="230" customFormat="1" ht="120" customHeight="1">
      <c r="A22" s="406" t="s">
        <v>159</v>
      </c>
      <c r="B22" s="407" t="s">
        <v>160</v>
      </c>
      <c r="C22" s="409">
        <v>42770</v>
      </c>
      <c r="D22" s="408" t="s">
        <v>1155</v>
      </c>
      <c r="E22" s="390">
        <v>4</v>
      </c>
      <c r="F22" s="391" t="s">
        <v>212</v>
      </c>
      <c r="G22" s="390">
        <v>4</v>
      </c>
      <c r="H22" s="391">
        <v>4</v>
      </c>
      <c r="I22" s="391" t="s">
        <v>212</v>
      </c>
      <c r="J22" s="391" t="s">
        <v>212</v>
      </c>
      <c r="K22" s="391" t="s">
        <v>212</v>
      </c>
      <c r="L22" s="391" t="s">
        <v>212</v>
      </c>
      <c r="M22" s="391">
        <v>4</v>
      </c>
      <c r="N22" s="391" t="s">
        <v>212</v>
      </c>
      <c r="O22" s="391" t="s">
        <v>212</v>
      </c>
      <c r="P22" s="391" t="s">
        <v>69</v>
      </c>
      <c r="Q22" s="391" t="s">
        <v>69</v>
      </c>
      <c r="R22" s="391" t="s">
        <v>212</v>
      </c>
      <c r="S22" s="391" t="s">
        <v>212</v>
      </c>
      <c r="T22" s="391" t="s">
        <v>212</v>
      </c>
      <c r="U22" s="391" t="s">
        <v>212</v>
      </c>
      <c r="V22" s="391" t="s">
        <v>212</v>
      </c>
      <c r="W22" s="391" t="s">
        <v>212</v>
      </c>
      <c r="X22" s="391" t="s">
        <v>212</v>
      </c>
      <c r="Y22" s="391" t="s">
        <v>212</v>
      </c>
      <c r="Z22" s="391" t="s">
        <v>69</v>
      </c>
      <c r="AA22" s="391" t="s">
        <v>69</v>
      </c>
      <c r="AB22" s="391" t="s">
        <v>69</v>
      </c>
      <c r="AC22" s="391" t="s">
        <v>69</v>
      </c>
      <c r="AD22" s="391" t="s">
        <v>69</v>
      </c>
      <c r="AE22" s="391" t="s">
        <v>69</v>
      </c>
      <c r="AF22" s="391" t="s">
        <v>69</v>
      </c>
      <c r="AG22" s="391" t="s">
        <v>212</v>
      </c>
      <c r="AH22" s="391" t="s">
        <v>212</v>
      </c>
      <c r="AI22" s="391" t="s">
        <v>212</v>
      </c>
      <c r="AJ22" s="391" t="s">
        <v>212</v>
      </c>
      <c r="AK22" s="391" t="s">
        <v>69</v>
      </c>
      <c r="AL22" s="391" t="s">
        <v>69</v>
      </c>
      <c r="AM22" s="391" t="s">
        <v>69</v>
      </c>
      <c r="AN22" s="391" t="s">
        <v>69</v>
      </c>
      <c r="AO22" s="390" t="s">
        <v>212</v>
      </c>
      <c r="AP22" s="391">
        <v>4</v>
      </c>
      <c r="AQ22" s="391" t="s">
        <v>69</v>
      </c>
      <c r="AR22" s="390">
        <v>4</v>
      </c>
      <c r="AS22" s="391" t="s">
        <v>69</v>
      </c>
      <c r="AT22" s="391" t="s">
        <v>69</v>
      </c>
      <c r="AU22" s="390">
        <v>4</v>
      </c>
      <c r="AV22" s="391" t="s">
        <v>69</v>
      </c>
      <c r="AW22" s="391" t="s">
        <v>69</v>
      </c>
      <c r="AX22" s="391">
        <v>4</v>
      </c>
      <c r="AY22" s="391" t="s">
        <v>69</v>
      </c>
      <c r="AZ22" s="391" t="s">
        <v>69</v>
      </c>
      <c r="BA22" s="391" t="s">
        <v>69</v>
      </c>
      <c r="BB22" s="391" t="s">
        <v>69</v>
      </c>
      <c r="BC22" s="390" t="s">
        <v>212</v>
      </c>
      <c r="BD22" s="391">
        <v>4</v>
      </c>
      <c r="BE22" s="391">
        <v>4</v>
      </c>
      <c r="BF22" s="391" t="s">
        <v>69</v>
      </c>
      <c r="BG22" s="391" t="s">
        <v>69</v>
      </c>
      <c r="BH22" s="391" t="s">
        <v>212</v>
      </c>
      <c r="BI22" s="391" t="s">
        <v>212</v>
      </c>
      <c r="BJ22" s="391">
        <v>4</v>
      </c>
      <c r="BK22" s="391" t="s">
        <v>69</v>
      </c>
      <c r="BL22" s="391" t="s">
        <v>69</v>
      </c>
      <c r="BM22" s="391" t="s">
        <v>69</v>
      </c>
      <c r="BN22" s="391" t="s">
        <v>69</v>
      </c>
      <c r="BO22" s="390" t="s">
        <v>212</v>
      </c>
      <c r="BP22" s="391" t="s">
        <v>212</v>
      </c>
      <c r="BQ22" s="390">
        <v>4</v>
      </c>
      <c r="BR22" s="391">
        <v>4</v>
      </c>
      <c r="BS22" s="391" t="s">
        <v>212</v>
      </c>
      <c r="BT22" s="391" t="s">
        <v>69</v>
      </c>
      <c r="BU22" s="391" t="s">
        <v>69</v>
      </c>
      <c r="BV22" s="391" t="s">
        <v>69</v>
      </c>
      <c r="BW22" s="391">
        <v>4</v>
      </c>
      <c r="BX22" s="390" t="s">
        <v>212</v>
      </c>
      <c r="BY22" s="391" t="s">
        <v>212</v>
      </c>
      <c r="BZ22" s="390" t="s">
        <v>212</v>
      </c>
      <c r="CA22" s="391" t="s">
        <v>212</v>
      </c>
      <c r="CB22" s="391" t="s">
        <v>212</v>
      </c>
      <c r="CC22" s="391" t="s">
        <v>212</v>
      </c>
      <c r="CD22" s="391" t="s">
        <v>212</v>
      </c>
      <c r="CE22" s="391" t="s">
        <v>212</v>
      </c>
      <c r="CF22" s="390">
        <v>4</v>
      </c>
      <c r="CG22" s="391">
        <v>4</v>
      </c>
      <c r="CH22" s="391" t="s">
        <v>212</v>
      </c>
      <c r="CI22" s="391" t="s">
        <v>212</v>
      </c>
      <c r="CJ22" s="392" t="s">
        <v>69</v>
      </c>
      <c r="CK22" s="392" t="s">
        <v>69</v>
      </c>
      <c r="CL22" s="392">
        <v>4</v>
      </c>
      <c r="CM22" s="392">
        <v>4</v>
      </c>
      <c r="CN22" s="392" t="s">
        <v>69</v>
      </c>
      <c r="CO22" s="392" t="s">
        <v>69</v>
      </c>
      <c r="CP22" s="392" t="s">
        <v>69</v>
      </c>
      <c r="CQ22" s="392" t="s">
        <v>69</v>
      </c>
      <c r="CR22" s="392" t="s">
        <v>69</v>
      </c>
      <c r="CS22" s="391" t="s">
        <v>212</v>
      </c>
      <c r="CT22" s="391" t="s">
        <v>212</v>
      </c>
      <c r="CU22" s="390" t="s">
        <v>212</v>
      </c>
      <c r="CV22" s="390" t="s">
        <v>212</v>
      </c>
      <c r="CW22" s="391" t="s">
        <v>212</v>
      </c>
      <c r="CX22" s="390" t="s">
        <v>212</v>
      </c>
      <c r="CY22" s="391" t="s">
        <v>212</v>
      </c>
      <c r="CZ22" s="390" t="s">
        <v>212</v>
      </c>
      <c r="DA22" s="391" t="s">
        <v>212</v>
      </c>
      <c r="DB22" s="391" t="s">
        <v>212</v>
      </c>
      <c r="DC22" s="390" t="s">
        <v>212</v>
      </c>
      <c r="DD22" s="391" t="s">
        <v>212</v>
      </c>
      <c r="DE22" s="391">
        <v>4</v>
      </c>
      <c r="DF22" s="390">
        <v>4</v>
      </c>
      <c r="DG22" s="391" t="s">
        <v>212</v>
      </c>
      <c r="DH22" s="390" t="s">
        <v>212</v>
      </c>
      <c r="DI22" s="391" t="s">
        <v>212</v>
      </c>
      <c r="DJ22" s="391" t="s">
        <v>212</v>
      </c>
      <c r="DK22" s="391" t="s">
        <v>69</v>
      </c>
      <c r="DL22" s="391" t="s">
        <v>69</v>
      </c>
      <c r="DM22" s="391" t="s">
        <v>69</v>
      </c>
      <c r="DN22" s="391" t="s">
        <v>69</v>
      </c>
      <c r="DO22" s="391" t="s">
        <v>69</v>
      </c>
      <c r="DP22" s="391" t="s">
        <v>69</v>
      </c>
      <c r="DQ22" s="391" t="s">
        <v>69</v>
      </c>
      <c r="DR22" s="391" t="s">
        <v>212</v>
      </c>
      <c r="DS22" s="391" t="s">
        <v>212</v>
      </c>
      <c r="DT22" s="390">
        <v>4</v>
      </c>
      <c r="DU22" s="398">
        <f t="shared" si="0"/>
        <v>0.33333333333333331</v>
      </c>
      <c r="DV22" s="399">
        <f t="shared" si="1"/>
        <v>1</v>
      </c>
    </row>
    <row r="23" spans="1:126" s="230" customFormat="1" ht="120" customHeight="1">
      <c r="A23" s="406" t="s">
        <v>127</v>
      </c>
      <c r="B23" s="407" t="s">
        <v>128</v>
      </c>
      <c r="C23" s="409">
        <v>43277</v>
      </c>
      <c r="D23" s="408" t="s">
        <v>1155</v>
      </c>
      <c r="E23" s="391">
        <v>4</v>
      </c>
      <c r="F23" s="391">
        <v>4</v>
      </c>
      <c r="G23" s="391">
        <v>4</v>
      </c>
      <c r="H23" s="391">
        <v>4</v>
      </c>
      <c r="I23" s="391">
        <v>4</v>
      </c>
      <c r="J23" s="391" t="s">
        <v>212</v>
      </c>
      <c r="K23" s="391" t="s">
        <v>212</v>
      </c>
      <c r="L23" s="391" t="s">
        <v>212</v>
      </c>
      <c r="M23" s="391" t="s">
        <v>212</v>
      </c>
      <c r="N23" s="391" t="s">
        <v>212</v>
      </c>
      <c r="O23" s="391" t="s">
        <v>212</v>
      </c>
      <c r="P23" s="391">
        <v>4</v>
      </c>
      <c r="Q23" s="391">
        <v>4</v>
      </c>
      <c r="R23" s="391" t="s">
        <v>69</v>
      </c>
      <c r="S23" s="391" t="s">
        <v>69</v>
      </c>
      <c r="T23" s="391" t="s">
        <v>69</v>
      </c>
      <c r="U23" s="391">
        <v>4</v>
      </c>
      <c r="V23" s="391" t="s">
        <v>212</v>
      </c>
      <c r="W23" s="391" t="s">
        <v>212</v>
      </c>
      <c r="X23" s="391" t="s">
        <v>212</v>
      </c>
      <c r="Y23" s="391" t="s">
        <v>212</v>
      </c>
      <c r="Z23" s="391" t="s">
        <v>69</v>
      </c>
      <c r="AA23" s="391" t="s">
        <v>69</v>
      </c>
      <c r="AB23" s="391" t="s">
        <v>69</v>
      </c>
      <c r="AC23" s="391">
        <v>4</v>
      </c>
      <c r="AD23" s="391">
        <v>4</v>
      </c>
      <c r="AE23" s="391">
        <v>4</v>
      </c>
      <c r="AF23" s="391">
        <v>4</v>
      </c>
      <c r="AG23" s="391">
        <v>4</v>
      </c>
      <c r="AH23" s="391">
        <v>4</v>
      </c>
      <c r="AI23" s="391" t="s">
        <v>212</v>
      </c>
      <c r="AJ23" s="391" t="s">
        <v>212</v>
      </c>
      <c r="AK23" s="391">
        <v>4</v>
      </c>
      <c r="AL23" s="391">
        <v>4</v>
      </c>
      <c r="AM23" s="391">
        <v>4</v>
      </c>
      <c r="AN23" s="391">
        <v>4</v>
      </c>
      <c r="AO23" s="391">
        <v>4</v>
      </c>
      <c r="AP23" s="391">
        <v>4</v>
      </c>
      <c r="AQ23" s="391" t="s">
        <v>69</v>
      </c>
      <c r="AR23" s="391" t="s">
        <v>69</v>
      </c>
      <c r="AS23" s="391">
        <v>4</v>
      </c>
      <c r="AT23" s="391" t="s">
        <v>69</v>
      </c>
      <c r="AU23" s="391">
        <v>4</v>
      </c>
      <c r="AV23" s="391">
        <v>4</v>
      </c>
      <c r="AW23" s="391">
        <v>4</v>
      </c>
      <c r="AX23" s="391">
        <v>4</v>
      </c>
      <c r="AY23" s="391">
        <v>4</v>
      </c>
      <c r="AZ23" s="391" t="s">
        <v>69</v>
      </c>
      <c r="BA23" s="391">
        <v>4</v>
      </c>
      <c r="BB23" s="391" t="s">
        <v>69</v>
      </c>
      <c r="BC23" s="391" t="s">
        <v>69</v>
      </c>
      <c r="BD23" s="391">
        <v>4</v>
      </c>
      <c r="BE23" s="391">
        <v>4</v>
      </c>
      <c r="BF23" s="391" t="s">
        <v>69</v>
      </c>
      <c r="BG23" s="391" t="s">
        <v>69</v>
      </c>
      <c r="BH23" s="391">
        <v>4</v>
      </c>
      <c r="BI23" s="391">
        <v>4</v>
      </c>
      <c r="BJ23" s="391" t="s">
        <v>69</v>
      </c>
      <c r="BK23" s="391" t="s">
        <v>69</v>
      </c>
      <c r="BL23" s="391" t="s">
        <v>69</v>
      </c>
      <c r="BM23" s="391">
        <v>4</v>
      </c>
      <c r="BN23" s="391" t="s">
        <v>69</v>
      </c>
      <c r="BO23" s="391" t="s">
        <v>69</v>
      </c>
      <c r="BP23" s="391" t="s">
        <v>69</v>
      </c>
      <c r="BQ23" s="390">
        <v>4</v>
      </c>
      <c r="BR23" s="391">
        <v>4</v>
      </c>
      <c r="BS23" s="391">
        <v>4</v>
      </c>
      <c r="BT23" s="391" t="s">
        <v>69</v>
      </c>
      <c r="BU23" s="391" t="s">
        <v>69</v>
      </c>
      <c r="BV23" s="391">
        <v>3</v>
      </c>
      <c r="BW23" s="391">
        <v>4</v>
      </c>
      <c r="BX23" s="391" t="s">
        <v>69</v>
      </c>
      <c r="BY23" s="391" t="s">
        <v>69</v>
      </c>
      <c r="BZ23" s="391" t="s">
        <v>69</v>
      </c>
      <c r="CA23" s="391" t="s">
        <v>69</v>
      </c>
      <c r="CB23" s="391" t="s">
        <v>69</v>
      </c>
      <c r="CC23" s="391" t="s">
        <v>69</v>
      </c>
      <c r="CD23" s="391" t="s">
        <v>69</v>
      </c>
      <c r="CE23" s="391" t="s">
        <v>69</v>
      </c>
      <c r="CF23" s="391" t="s">
        <v>69</v>
      </c>
      <c r="CG23" s="391" t="s">
        <v>69</v>
      </c>
      <c r="CH23" s="391" t="s">
        <v>69</v>
      </c>
      <c r="CI23" s="391" t="s">
        <v>69</v>
      </c>
      <c r="CJ23" s="392" t="s">
        <v>69</v>
      </c>
      <c r="CK23" s="392" t="s">
        <v>69</v>
      </c>
      <c r="CL23" s="392" t="s">
        <v>69</v>
      </c>
      <c r="CM23" s="392" t="s">
        <v>69</v>
      </c>
      <c r="CN23" s="392" t="s">
        <v>69</v>
      </c>
      <c r="CO23" s="392" t="s">
        <v>69</v>
      </c>
      <c r="CP23" s="392" t="s">
        <v>69</v>
      </c>
      <c r="CQ23" s="392" t="s">
        <v>69</v>
      </c>
      <c r="CR23" s="392" t="s">
        <v>69</v>
      </c>
      <c r="CS23" s="391">
        <v>4</v>
      </c>
      <c r="CT23" s="391" t="s">
        <v>69</v>
      </c>
      <c r="CU23" s="390" t="s">
        <v>212</v>
      </c>
      <c r="CV23" s="390" t="s">
        <v>212</v>
      </c>
      <c r="CW23" s="391">
        <v>4</v>
      </c>
      <c r="CX23" s="391" t="s">
        <v>212</v>
      </c>
      <c r="CY23" s="391" t="s">
        <v>212</v>
      </c>
      <c r="CZ23" s="391">
        <v>4</v>
      </c>
      <c r="DA23" s="391">
        <v>4</v>
      </c>
      <c r="DB23" s="391">
        <v>4</v>
      </c>
      <c r="DC23" s="391">
        <v>4</v>
      </c>
      <c r="DD23" s="391" t="s">
        <v>69</v>
      </c>
      <c r="DE23" s="391" t="s">
        <v>69</v>
      </c>
      <c r="DF23" s="391" t="s">
        <v>69</v>
      </c>
      <c r="DG23" s="391" t="s">
        <v>69</v>
      </c>
      <c r="DH23" s="391" t="s">
        <v>69</v>
      </c>
      <c r="DI23" s="391" t="s">
        <v>69</v>
      </c>
      <c r="DJ23" s="391" t="s">
        <v>69</v>
      </c>
      <c r="DK23" s="391" t="s">
        <v>69</v>
      </c>
      <c r="DL23" s="391" t="s">
        <v>69</v>
      </c>
      <c r="DM23" s="391" t="s">
        <v>69</v>
      </c>
      <c r="DN23" s="391" t="s">
        <v>69</v>
      </c>
      <c r="DO23" s="391" t="s">
        <v>69</v>
      </c>
      <c r="DP23" s="391" t="s">
        <v>69</v>
      </c>
      <c r="DQ23" s="391" t="s">
        <v>69</v>
      </c>
      <c r="DR23" s="391" t="s">
        <v>69</v>
      </c>
      <c r="DS23" s="391" t="s">
        <v>69</v>
      </c>
      <c r="DT23" s="393">
        <v>4</v>
      </c>
      <c r="DU23" s="398">
        <f t="shared" si="0"/>
        <v>0.69841269841269837</v>
      </c>
      <c r="DV23" s="399">
        <f t="shared" si="1"/>
        <v>1</v>
      </c>
    </row>
    <row r="24" spans="1:126" s="230" customFormat="1" ht="120" customHeight="1">
      <c r="A24" s="406" t="s">
        <v>793</v>
      </c>
      <c r="B24" s="407" t="s">
        <v>794</v>
      </c>
      <c r="C24" s="409">
        <v>45946</v>
      </c>
      <c r="D24" s="408" t="s">
        <v>1155</v>
      </c>
      <c r="E24" s="391" t="s">
        <v>69</v>
      </c>
      <c r="F24" s="391" t="s">
        <v>69</v>
      </c>
      <c r="G24" s="391" t="s">
        <v>69</v>
      </c>
      <c r="H24" s="391" t="s">
        <v>69</v>
      </c>
      <c r="I24" s="391" t="s">
        <v>69</v>
      </c>
      <c r="J24" s="391" t="s">
        <v>69</v>
      </c>
      <c r="K24" s="391" t="s">
        <v>69</v>
      </c>
      <c r="L24" s="391" t="s">
        <v>69</v>
      </c>
      <c r="M24" s="391" t="s">
        <v>69</v>
      </c>
      <c r="N24" s="391" t="s">
        <v>69</v>
      </c>
      <c r="O24" s="391" t="s">
        <v>69</v>
      </c>
      <c r="P24" s="391" t="s">
        <v>69</v>
      </c>
      <c r="Q24" s="391" t="s">
        <v>69</v>
      </c>
      <c r="R24" s="391" t="s">
        <v>69</v>
      </c>
      <c r="S24" s="391" t="s">
        <v>69</v>
      </c>
      <c r="T24" s="391" t="s">
        <v>69</v>
      </c>
      <c r="U24" s="391" t="s">
        <v>69</v>
      </c>
      <c r="V24" s="391" t="s">
        <v>69</v>
      </c>
      <c r="W24" s="391" t="s">
        <v>69</v>
      </c>
      <c r="X24" s="391" t="s">
        <v>69</v>
      </c>
      <c r="Y24" s="391" t="s">
        <v>69</v>
      </c>
      <c r="Z24" s="391" t="s">
        <v>69</v>
      </c>
      <c r="AA24" s="391" t="s">
        <v>69</v>
      </c>
      <c r="AB24" s="391" t="s">
        <v>69</v>
      </c>
      <c r="AC24" s="391" t="s">
        <v>69</v>
      </c>
      <c r="AD24" s="391" t="s">
        <v>69</v>
      </c>
      <c r="AE24" s="391" t="s">
        <v>69</v>
      </c>
      <c r="AF24" s="391" t="s">
        <v>69</v>
      </c>
      <c r="AG24" s="391" t="s">
        <v>69</v>
      </c>
      <c r="AH24" s="391" t="s">
        <v>69</v>
      </c>
      <c r="AI24" s="391" t="s">
        <v>69</v>
      </c>
      <c r="AJ24" s="391" t="s">
        <v>69</v>
      </c>
      <c r="AK24" s="391">
        <v>4</v>
      </c>
      <c r="AL24" s="391" t="s">
        <v>69</v>
      </c>
      <c r="AM24" s="391">
        <v>4</v>
      </c>
      <c r="AN24" s="391" t="s">
        <v>69</v>
      </c>
      <c r="AO24" s="391" t="s">
        <v>69</v>
      </c>
      <c r="AP24" s="391" t="s">
        <v>69</v>
      </c>
      <c r="AQ24" s="391" t="s">
        <v>69</v>
      </c>
      <c r="AR24" s="391" t="s">
        <v>69</v>
      </c>
      <c r="AS24" s="391" t="s">
        <v>69</v>
      </c>
      <c r="AT24" s="391" t="s">
        <v>69</v>
      </c>
      <c r="AU24" s="391" t="s">
        <v>69</v>
      </c>
      <c r="AV24" s="391" t="s">
        <v>69</v>
      </c>
      <c r="AW24" s="391" t="s">
        <v>69</v>
      </c>
      <c r="AX24" s="391" t="s">
        <v>69</v>
      </c>
      <c r="AY24" s="391" t="s">
        <v>69</v>
      </c>
      <c r="AZ24" s="391" t="s">
        <v>69</v>
      </c>
      <c r="BA24" s="391" t="s">
        <v>69</v>
      </c>
      <c r="BB24" s="391" t="s">
        <v>69</v>
      </c>
      <c r="BC24" s="391" t="s">
        <v>69</v>
      </c>
      <c r="BD24" s="391" t="s">
        <v>69</v>
      </c>
      <c r="BE24" s="391" t="s">
        <v>69</v>
      </c>
      <c r="BF24" s="391" t="s">
        <v>69</v>
      </c>
      <c r="BG24" s="391" t="s">
        <v>69</v>
      </c>
      <c r="BH24" s="391" t="s">
        <v>69</v>
      </c>
      <c r="BI24" s="391" t="s">
        <v>69</v>
      </c>
      <c r="BJ24" s="391" t="s">
        <v>69</v>
      </c>
      <c r="BK24" s="391" t="s">
        <v>69</v>
      </c>
      <c r="BL24" s="391" t="s">
        <v>69</v>
      </c>
      <c r="BM24" s="391" t="s">
        <v>69</v>
      </c>
      <c r="BN24" s="391" t="s">
        <v>69</v>
      </c>
      <c r="BO24" s="391" t="s">
        <v>69</v>
      </c>
      <c r="BP24" s="391">
        <v>4</v>
      </c>
      <c r="BQ24" s="391" t="s">
        <v>69</v>
      </c>
      <c r="BR24" s="391" t="s">
        <v>69</v>
      </c>
      <c r="BS24" s="391" t="s">
        <v>69</v>
      </c>
      <c r="BT24" s="391" t="s">
        <v>69</v>
      </c>
      <c r="BU24" s="391" t="s">
        <v>69</v>
      </c>
      <c r="BV24" s="391" t="s">
        <v>69</v>
      </c>
      <c r="BW24" s="391">
        <v>4</v>
      </c>
      <c r="BX24" s="391" t="s">
        <v>69</v>
      </c>
      <c r="BY24" s="391" t="s">
        <v>69</v>
      </c>
      <c r="BZ24" s="391" t="s">
        <v>69</v>
      </c>
      <c r="CA24" s="391" t="s">
        <v>69</v>
      </c>
      <c r="CB24" s="391" t="s">
        <v>69</v>
      </c>
      <c r="CC24" s="391" t="s">
        <v>69</v>
      </c>
      <c r="CD24" s="391" t="s">
        <v>69</v>
      </c>
      <c r="CE24" s="391" t="s">
        <v>69</v>
      </c>
      <c r="CF24" s="391" t="s">
        <v>69</v>
      </c>
      <c r="CG24" s="391" t="s">
        <v>69</v>
      </c>
      <c r="CH24" s="391" t="s">
        <v>69</v>
      </c>
      <c r="CI24" s="391" t="s">
        <v>69</v>
      </c>
      <c r="CJ24" s="391">
        <v>4</v>
      </c>
      <c r="CK24" s="391">
        <v>4</v>
      </c>
      <c r="CL24" s="391">
        <v>4</v>
      </c>
      <c r="CM24" s="391">
        <v>4</v>
      </c>
      <c r="CN24" s="391" t="s">
        <v>69</v>
      </c>
      <c r="CO24" s="391" t="s">
        <v>69</v>
      </c>
      <c r="CP24" s="391" t="s">
        <v>69</v>
      </c>
      <c r="CQ24" s="391" t="s">
        <v>69</v>
      </c>
      <c r="CR24" s="391" t="s">
        <v>69</v>
      </c>
      <c r="CS24" s="391" t="s">
        <v>69</v>
      </c>
      <c r="CT24" s="391" t="s">
        <v>69</v>
      </c>
      <c r="CU24" s="390" t="s">
        <v>212</v>
      </c>
      <c r="CV24" s="390" t="s">
        <v>212</v>
      </c>
      <c r="CW24" s="391" t="s">
        <v>69</v>
      </c>
      <c r="CX24" s="391" t="s">
        <v>69</v>
      </c>
      <c r="CY24" s="391" t="s">
        <v>69</v>
      </c>
      <c r="CZ24" s="391" t="s">
        <v>69</v>
      </c>
      <c r="DA24" s="391" t="s">
        <v>69</v>
      </c>
      <c r="DB24" s="391" t="s">
        <v>69</v>
      </c>
      <c r="DC24" s="391" t="s">
        <v>69</v>
      </c>
      <c r="DD24" s="391" t="s">
        <v>69</v>
      </c>
      <c r="DE24" s="391">
        <v>4</v>
      </c>
      <c r="DF24" s="391" t="s">
        <v>69</v>
      </c>
      <c r="DG24" s="391" t="s">
        <v>69</v>
      </c>
      <c r="DH24" s="391" t="s">
        <v>69</v>
      </c>
      <c r="DI24" s="391" t="s">
        <v>69</v>
      </c>
      <c r="DJ24" s="391" t="s">
        <v>69</v>
      </c>
      <c r="DK24" s="391" t="s">
        <v>69</v>
      </c>
      <c r="DL24" s="391" t="s">
        <v>69</v>
      </c>
      <c r="DM24" s="391" t="s">
        <v>69</v>
      </c>
      <c r="DN24" s="391" t="s">
        <v>69</v>
      </c>
      <c r="DO24" s="391" t="s">
        <v>69</v>
      </c>
      <c r="DP24" s="391" t="s">
        <v>69</v>
      </c>
      <c r="DQ24" s="391" t="s">
        <v>69</v>
      </c>
      <c r="DR24" s="391" t="s">
        <v>69</v>
      </c>
      <c r="DS24" s="391" t="s">
        <v>69</v>
      </c>
      <c r="DT24" s="391" t="s">
        <v>69</v>
      </c>
      <c r="DU24" s="398">
        <f t="shared" si="0"/>
        <v>0.14285714285714285</v>
      </c>
      <c r="DV24" s="399">
        <f t="shared" si="1"/>
        <v>1</v>
      </c>
    </row>
    <row r="25" spans="1:126" s="230" customFormat="1" ht="120" customHeight="1">
      <c r="A25" s="406" t="s">
        <v>130</v>
      </c>
      <c r="B25" s="407" t="s">
        <v>131</v>
      </c>
      <c r="C25" s="409">
        <v>43475</v>
      </c>
      <c r="D25" s="408" t="s">
        <v>1155</v>
      </c>
      <c r="E25" s="391">
        <v>4</v>
      </c>
      <c r="F25" s="391" t="s">
        <v>69</v>
      </c>
      <c r="G25" s="391">
        <v>4</v>
      </c>
      <c r="H25" s="391">
        <v>4</v>
      </c>
      <c r="I25" s="391" t="s">
        <v>69</v>
      </c>
      <c r="J25" s="391">
        <v>4</v>
      </c>
      <c r="K25" s="391" t="s">
        <v>212</v>
      </c>
      <c r="L25" s="391">
        <v>4</v>
      </c>
      <c r="M25" s="391" t="s">
        <v>212</v>
      </c>
      <c r="N25" s="391">
        <v>4</v>
      </c>
      <c r="O25" s="391" t="s">
        <v>212</v>
      </c>
      <c r="P25" s="391">
        <v>4</v>
      </c>
      <c r="Q25" s="391" t="s">
        <v>69</v>
      </c>
      <c r="R25" s="391">
        <v>4</v>
      </c>
      <c r="S25" s="391" t="s">
        <v>69</v>
      </c>
      <c r="T25" s="391" t="s">
        <v>69</v>
      </c>
      <c r="U25" s="391">
        <v>4</v>
      </c>
      <c r="V25" s="391" t="s">
        <v>212</v>
      </c>
      <c r="W25" s="391">
        <v>3</v>
      </c>
      <c r="X25" s="391" t="s">
        <v>212</v>
      </c>
      <c r="Y25" s="391" t="s">
        <v>212</v>
      </c>
      <c r="Z25" s="391">
        <v>4</v>
      </c>
      <c r="AA25" s="391">
        <v>4</v>
      </c>
      <c r="AB25" s="391" t="s">
        <v>69</v>
      </c>
      <c r="AC25" s="391" t="s">
        <v>69</v>
      </c>
      <c r="AD25" s="391" t="s">
        <v>69</v>
      </c>
      <c r="AE25" s="391" t="s">
        <v>69</v>
      </c>
      <c r="AF25" s="391" t="s">
        <v>69</v>
      </c>
      <c r="AG25" s="391" t="s">
        <v>69</v>
      </c>
      <c r="AH25" s="391" t="s">
        <v>69</v>
      </c>
      <c r="AI25" s="391" t="s">
        <v>212</v>
      </c>
      <c r="AJ25" s="391" t="s">
        <v>212</v>
      </c>
      <c r="AK25" s="391">
        <v>4</v>
      </c>
      <c r="AL25" s="391">
        <v>4</v>
      </c>
      <c r="AM25" s="391">
        <v>4</v>
      </c>
      <c r="AN25" s="391">
        <v>4</v>
      </c>
      <c r="AO25" s="391">
        <v>4</v>
      </c>
      <c r="AP25" s="391">
        <v>4</v>
      </c>
      <c r="AQ25" s="391">
        <v>4</v>
      </c>
      <c r="AR25" s="391">
        <v>4</v>
      </c>
      <c r="AS25" s="391" t="s">
        <v>69</v>
      </c>
      <c r="AT25" s="391">
        <v>4</v>
      </c>
      <c r="AU25" s="391">
        <v>4</v>
      </c>
      <c r="AV25" s="391" t="s">
        <v>69</v>
      </c>
      <c r="AW25" s="391">
        <v>4</v>
      </c>
      <c r="AX25" s="391">
        <v>4</v>
      </c>
      <c r="AY25" s="391" t="s">
        <v>69</v>
      </c>
      <c r="AZ25" s="391">
        <v>4</v>
      </c>
      <c r="BA25" s="391">
        <v>4</v>
      </c>
      <c r="BB25" s="391" t="s">
        <v>69</v>
      </c>
      <c r="BC25" s="390">
        <v>4</v>
      </c>
      <c r="BD25" s="391">
        <v>4</v>
      </c>
      <c r="BE25" s="391" t="s">
        <v>69</v>
      </c>
      <c r="BF25" s="391">
        <v>3</v>
      </c>
      <c r="BG25" s="391">
        <v>4</v>
      </c>
      <c r="BH25" s="391">
        <v>4</v>
      </c>
      <c r="BI25" s="391">
        <v>4</v>
      </c>
      <c r="BJ25" s="391" t="s">
        <v>69</v>
      </c>
      <c r="BK25" s="391">
        <v>4</v>
      </c>
      <c r="BL25" s="391" t="s">
        <v>69</v>
      </c>
      <c r="BM25" s="391">
        <v>4</v>
      </c>
      <c r="BN25" s="391" t="s">
        <v>69</v>
      </c>
      <c r="BO25" s="390">
        <v>4</v>
      </c>
      <c r="BP25" s="391">
        <v>4</v>
      </c>
      <c r="BQ25" s="390">
        <v>4</v>
      </c>
      <c r="BR25" s="391" t="s">
        <v>69</v>
      </c>
      <c r="BS25" s="391" t="s">
        <v>69</v>
      </c>
      <c r="BT25" s="391" t="s">
        <v>69</v>
      </c>
      <c r="BU25" s="391" t="s">
        <v>69</v>
      </c>
      <c r="BV25" s="391" t="s">
        <v>69</v>
      </c>
      <c r="BW25" s="391">
        <v>4</v>
      </c>
      <c r="BX25" s="390" t="s">
        <v>69</v>
      </c>
      <c r="BY25" s="391" t="s">
        <v>69</v>
      </c>
      <c r="BZ25" s="390" t="s">
        <v>69</v>
      </c>
      <c r="CA25" s="391" t="s">
        <v>69</v>
      </c>
      <c r="CB25" s="391">
        <v>4</v>
      </c>
      <c r="CC25" s="391" t="s">
        <v>69</v>
      </c>
      <c r="CD25" s="391">
        <v>4</v>
      </c>
      <c r="CE25" s="391" t="s">
        <v>69</v>
      </c>
      <c r="CF25" s="390">
        <v>4</v>
      </c>
      <c r="CG25" s="391" t="s">
        <v>69</v>
      </c>
      <c r="CH25" s="391">
        <v>4</v>
      </c>
      <c r="CI25" s="391">
        <v>3</v>
      </c>
      <c r="CJ25" s="392" t="s">
        <v>69</v>
      </c>
      <c r="CK25" s="392" t="s">
        <v>69</v>
      </c>
      <c r="CL25" s="392" t="s">
        <v>69</v>
      </c>
      <c r="CM25" s="392" t="s">
        <v>69</v>
      </c>
      <c r="CN25" s="392" t="s">
        <v>69</v>
      </c>
      <c r="CO25" s="392" t="s">
        <v>69</v>
      </c>
      <c r="CP25" s="392" t="s">
        <v>69</v>
      </c>
      <c r="CQ25" s="392" t="s">
        <v>69</v>
      </c>
      <c r="CR25" s="392" t="s">
        <v>69</v>
      </c>
      <c r="CS25" s="391">
        <v>4</v>
      </c>
      <c r="CT25" s="391">
        <v>4</v>
      </c>
      <c r="CU25" s="390" t="s">
        <v>212</v>
      </c>
      <c r="CV25" s="390">
        <v>2</v>
      </c>
      <c r="CW25" s="391">
        <v>4</v>
      </c>
      <c r="CX25" s="390" t="s">
        <v>212</v>
      </c>
      <c r="CY25" s="391" t="s">
        <v>212</v>
      </c>
      <c r="CZ25" s="391">
        <v>3</v>
      </c>
      <c r="DA25" s="391" t="s">
        <v>69</v>
      </c>
      <c r="DB25" s="391" t="s">
        <v>69</v>
      </c>
      <c r="DC25" s="390" t="s">
        <v>69</v>
      </c>
      <c r="DD25" s="391" t="s">
        <v>69</v>
      </c>
      <c r="DE25" s="391" t="s">
        <v>69</v>
      </c>
      <c r="DF25" s="390" t="s">
        <v>69</v>
      </c>
      <c r="DG25" s="391">
        <v>4</v>
      </c>
      <c r="DH25" s="390">
        <v>4</v>
      </c>
      <c r="DI25" s="391" t="s">
        <v>69</v>
      </c>
      <c r="DJ25" s="391" t="s">
        <v>69</v>
      </c>
      <c r="DK25" s="391">
        <v>4</v>
      </c>
      <c r="DL25" s="391">
        <v>4</v>
      </c>
      <c r="DM25" s="391" t="s">
        <v>69</v>
      </c>
      <c r="DN25" s="391" t="s">
        <v>69</v>
      </c>
      <c r="DO25" s="391" t="s">
        <v>69</v>
      </c>
      <c r="DP25" s="391" t="s">
        <v>69</v>
      </c>
      <c r="DQ25" s="391" t="s">
        <v>69</v>
      </c>
      <c r="DR25" s="391" t="s">
        <v>69</v>
      </c>
      <c r="DS25" s="391" t="s">
        <v>69</v>
      </c>
      <c r="DT25" s="393">
        <v>4</v>
      </c>
      <c r="DU25" s="398">
        <f t="shared" si="0"/>
        <v>0.84126984126984128</v>
      </c>
      <c r="DV25" s="399">
        <f t="shared" si="1"/>
        <v>0.98113207547169812</v>
      </c>
    </row>
    <row r="26" spans="1:126" s="230" customFormat="1" ht="120" customHeight="1">
      <c r="A26" s="406" t="s">
        <v>149</v>
      </c>
      <c r="B26" s="407" t="s">
        <v>150</v>
      </c>
      <c r="C26" s="409">
        <v>43808</v>
      </c>
      <c r="D26" s="408" t="s">
        <v>1155</v>
      </c>
      <c r="E26" s="391">
        <v>4</v>
      </c>
      <c r="F26" s="391" t="s">
        <v>212</v>
      </c>
      <c r="G26" s="390">
        <v>4</v>
      </c>
      <c r="H26" s="391" t="s">
        <v>212</v>
      </c>
      <c r="I26" s="391" t="s">
        <v>212</v>
      </c>
      <c r="J26" s="391">
        <v>4</v>
      </c>
      <c r="K26" s="391" t="s">
        <v>212</v>
      </c>
      <c r="L26" s="391">
        <v>4</v>
      </c>
      <c r="M26" s="391" t="s">
        <v>212</v>
      </c>
      <c r="N26" s="391" t="s">
        <v>212</v>
      </c>
      <c r="O26" s="391" t="s">
        <v>212</v>
      </c>
      <c r="P26" s="391" t="s">
        <v>69</v>
      </c>
      <c r="Q26" s="391" t="s">
        <v>69</v>
      </c>
      <c r="R26" s="391" t="s">
        <v>212</v>
      </c>
      <c r="S26" s="391" t="s">
        <v>212</v>
      </c>
      <c r="T26" s="391" t="s">
        <v>212</v>
      </c>
      <c r="U26" s="391" t="s">
        <v>212</v>
      </c>
      <c r="V26" s="391" t="s">
        <v>212</v>
      </c>
      <c r="W26" s="391" t="s">
        <v>212</v>
      </c>
      <c r="X26" s="391" t="s">
        <v>212</v>
      </c>
      <c r="Y26" s="391" t="s">
        <v>212</v>
      </c>
      <c r="Z26" s="391">
        <v>4</v>
      </c>
      <c r="AA26" s="391" t="s">
        <v>69</v>
      </c>
      <c r="AB26" s="391" t="s">
        <v>69</v>
      </c>
      <c r="AC26" s="391" t="s">
        <v>69</v>
      </c>
      <c r="AD26" s="391" t="s">
        <v>69</v>
      </c>
      <c r="AE26" s="391">
        <v>4</v>
      </c>
      <c r="AF26" s="391" t="s">
        <v>69</v>
      </c>
      <c r="AG26" s="391">
        <v>4</v>
      </c>
      <c r="AH26" s="391" t="s">
        <v>212</v>
      </c>
      <c r="AI26" s="391" t="s">
        <v>212</v>
      </c>
      <c r="AJ26" s="391" t="s">
        <v>212</v>
      </c>
      <c r="AK26" s="391" t="s">
        <v>69</v>
      </c>
      <c r="AL26" s="391" t="s">
        <v>69</v>
      </c>
      <c r="AM26" s="391" t="s">
        <v>69</v>
      </c>
      <c r="AN26" s="391" t="s">
        <v>69</v>
      </c>
      <c r="AO26" s="390">
        <v>3</v>
      </c>
      <c r="AP26" s="391" t="s">
        <v>212</v>
      </c>
      <c r="AQ26" s="391" t="s">
        <v>69</v>
      </c>
      <c r="AR26" s="391" t="s">
        <v>69</v>
      </c>
      <c r="AS26" s="391" t="s">
        <v>69</v>
      </c>
      <c r="AT26" s="391" t="s">
        <v>69</v>
      </c>
      <c r="AU26" s="391" t="s">
        <v>69</v>
      </c>
      <c r="AV26" s="391" t="s">
        <v>69</v>
      </c>
      <c r="AW26" s="391" t="s">
        <v>69</v>
      </c>
      <c r="AX26" s="391" t="s">
        <v>69</v>
      </c>
      <c r="AY26" s="391" t="s">
        <v>69</v>
      </c>
      <c r="AZ26" s="391" t="s">
        <v>69</v>
      </c>
      <c r="BA26" s="391" t="s">
        <v>69</v>
      </c>
      <c r="BB26" s="391" t="s">
        <v>69</v>
      </c>
      <c r="BC26" s="390" t="s">
        <v>212</v>
      </c>
      <c r="BD26" s="391" t="s">
        <v>212</v>
      </c>
      <c r="BE26" s="391" t="s">
        <v>212</v>
      </c>
      <c r="BF26" s="391" t="s">
        <v>69</v>
      </c>
      <c r="BG26" s="391" t="s">
        <v>69</v>
      </c>
      <c r="BH26" s="391">
        <v>4</v>
      </c>
      <c r="BI26" s="391" t="s">
        <v>212</v>
      </c>
      <c r="BJ26" s="391">
        <v>4</v>
      </c>
      <c r="BK26" s="391" t="s">
        <v>69</v>
      </c>
      <c r="BL26" s="391" t="s">
        <v>69</v>
      </c>
      <c r="BM26" s="391" t="s">
        <v>212</v>
      </c>
      <c r="BN26" s="391" t="s">
        <v>69</v>
      </c>
      <c r="BO26" s="390">
        <v>4</v>
      </c>
      <c r="BP26" s="391" t="s">
        <v>212</v>
      </c>
      <c r="BQ26" s="390">
        <v>4</v>
      </c>
      <c r="BR26" s="391" t="s">
        <v>212</v>
      </c>
      <c r="BS26" s="391" t="s">
        <v>212</v>
      </c>
      <c r="BT26" s="391" t="s">
        <v>69</v>
      </c>
      <c r="BU26" s="391" t="s">
        <v>69</v>
      </c>
      <c r="BV26" s="391" t="s">
        <v>69</v>
      </c>
      <c r="BW26" s="391" t="s">
        <v>212</v>
      </c>
      <c r="BX26" s="390" t="s">
        <v>212</v>
      </c>
      <c r="BY26" s="391" t="s">
        <v>212</v>
      </c>
      <c r="BZ26" s="390" t="s">
        <v>212</v>
      </c>
      <c r="CA26" s="391" t="s">
        <v>212</v>
      </c>
      <c r="CB26" s="391" t="s">
        <v>212</v>
      </c>
      <c r="CC26" s="391" t="s">
        <v>212</v>
      </c>
      <c r="CD26" s="391">
        <v>4</v>
      </c>
      <c r="CE26" s="391">
        <v>4</v>
      </c>
      <c r="CF26" s="390" t="s">
        <v>212</v>
      </c>
      <c r="CG26" s="391" t="s">
        <v>212</v>
      </c>
      <c r="CH26" s="391" t="s">
        <v>212</v>
      </c>
      <c r="CI26" s="391" t="s">
        <v>212</v>
      </c>
      <c r="CJ26" s="392" t="s">
        <v>69</v>
      </c>
      <c r="CK26" s="392" t="s">
        <v>69</v>
      </c>
      <c r="CL26" s="392">
        <v>4</v>
      </c>
      <c r="CM26" s="392">
        <v>4</v>
      </c>
      <c r="CN26" s="392" t="s">
        <v>69</v>
      </c>
      <c r="CO26" s="392" t="s">
        <v>69</v>
      </c>
      <c r="CP26" s="392" t="s">
        <v>69</v>
      </c>
      <c r="CQ26" s="392" t="s">
        <v>69</v>
      </c>
      <c r="CR26" s="392" t="s">
        <v>69</v>
      </c>
      <c r="CS26" s="391">
        <v>3</v>
      </c>
      <c r="CT26" s="391">
        <v>3</v>
      </c>
      <c r="CU26" s="390">
        <v>2</v>
      </c>
      <c r="CV26" s="390" t="s">
        <v>212</v>
      </c>
      <c r="CW26" s="391" t="s">
        <v>212</v>
      </c>
      <c r="CX26" s="390" t="s">
        <v>212</v>
      </c>
      <c r="CY26" s="391" t="s">
        <v>212</v>
      </c>
      <c r="CZ26" s="391">
        <v>4</v>
      </c>
      <c r="DA26" s="391">
        <v>4</v>
      </c>
      <c r="DB26" s="391">
        <v>4</v>
      </c>
      <c r="DC26" s="390">
        <v>4</v>
      </c>
      <c r="DD26" s="391" t="s">
        <v>212</v>
      </c>
      <c r="DE26" s="391">
        <v>4</v>
      </c>
      <c r="DF26" s="390">
        <v>4</v>
      </c>
      <c r="DG26" s="391" t="s">
        <v>212</v>
      </c>
      <c r="DH26" s="390" t="s">
        <v>212</v>
      </c>
      <c r="DI26" s="391" t="s">
        <v>212</v>
      </c>
      <c r="DJ26" s="391" t="s">
        <v>212</v>
      </c>
      <c r="DK26" s="391" t="s">
        <v>69</v>
      </c>
      <c r="DL26" s="391" t="s">
        <v>69</v>
      </c>
      <c r="DM26" s="391" t="s">
        <v>69</v>
      </c>
      <c r="DN26" s="391" t="s">
        <v>69</v>
      </c>
      <c r="DO26" s="391" t="s">
        <v>69</v>
      </c>
      <c r="DP26" s="391" t="s">
        <v>69</v>
      </c>
      <c r="DQ26" s="391" t="s">
        <v>69</v>
      </c>
      <c r="DR26" s="391" t="s">
        <v>212</v>
      </c>
      <c r="DS26" s="391" t="s">
        <v>212</v>
      </c>
      <c r="DT26" s="393">
        <v>4</v>
      </c>
      <c r="DU26" s="398">
        <f t="shared" si="0"/>
        <v>0.41269841269841268</v>
      </c>
      <c r="DV26" s="399">
        <f t="shared" si="1"/>
        <v>0.96153846153846156</v>
      </c>
    </row>
    <row r="27" spans="1:126" s="230" customFormat="1" ht="120" customHeight="1">
      <c r="A27" s="406" t="s">
        <v>147</v>
      </c>
      <c r="B27" s="407" t="s">
        <v>148</v>
      </c>
      <c r="C27" s="409" t="s">
        <v>613</v>
      </c>
      <c r="D27" s="408" t="s">
        <v>1155</v>
      </c>
      <c r="E27" s="390">
        <v>4</v>
      </c>
      <c r="F27" s="391" t="s">
        <v>212</v>
      </c>
      <c r="G27" s="390">
        <v>4</v>
      </c>
      <c r="H27" s="391">
        <v>4</v>
      </c>
      <c r="I27" s="391" t="s">
        <v>212</v>
      </c>
      <c r="J27" s="391">
        <v>4</v>
      </c>
      <c r="K27" s="391" t="s">
        <v>212</v>
      </c>
      <c r="L27" s="391">
        <v>4</v>
      </c>
      <c r="M27" s="391" t="s">
        <v>212</v>
      </c>
      <c r="N27" s="391">
        <v>4</v>
      </c>
      <c r="O27" s="391" t="s">
        <v>212</v>
      </c>
      <c r="P27" s="391">
        <v>4</v>
      </c>
      <c r="Q27" s="391" t="s">
        <v>69</v>
      </c>
      <c r="R27" s="391">
        <v>3</v>
      </c>
      <c r="S27" s="391">
        <v>3</v>
      </c>
      <c r="T27" s="391" t="s">
        <v>212</v>
      </c>
      <c r="U27" s="391" t="s">
        <v>212</v>
      </c>
      <c r="V27" s="391" t="s">
        <v>212</v>
      </c>
      <c r="W27" s="391">
        <v>4</v>
      </c>
      <c r="X27" s="391">
        <v>4</v>
      </c>
      <c r="Y27" s="391" t="s">
        <v>212</v>
      </c>
      <c r="Z27" s="391">
        <v>4</v>
      </c>
      <c r="AA27" s="391">
        <v>4</v>
      </c>
      <c r="AB27" s="391" t="s">
        <v>69</v>
      </c>
      <c r="AC27" s="391" t="s">
        <v>69</v>
      </c>
      <c r="AD27" s="391" t="s">
        <v>69</v>
      </c>
      <c r="AE27" s="391" t="s">
        <v>69</v>
      </c>
      <c r="AF27" s="391" t="s">
        <v>69</v>
      </c>
      <c r="AG27" s="391" t="s">
        <v>212</v>
      </c>
      <c r="AH27" s="391" t="s">
        <v>212</v>
      </c>
      <c r="AI27" s="391" t="s">
        <v>212</v>
      </c>
      <c r="AJ27" s="391" t="s">
        <v>212</v>
      </c>
      <c r="AK27" s="391" t="s">
        <v>69</v>
      </c>
      <c r="AL27" s="391" t="s">
        <v>69</v>
      </c>
      <c r="AM27" s="391" t="s">
        <v>69</v>
      </c>
      <c r="AN27" s="391" t="s">
        <v>69</v>
      </c>
      <c r="AO27" s="390" t="s">
        <v>212</v>
      </c>
      <c r="AP27" s="391" t="s">
        <v>212</v>
      </c>
      <c r="AQ27" s="391" t="s">
        <v>69</v>
      </c>
      <c r="AR27" s="391">
        <v>4</v>
      </c>
      <c r="AS27" s="391" t="s">
        <v>69</v>
      </c>
      <c r="AT27" s="391" t="s">
        <v>69</v>
      </c>
      <c r="AU27" s="391">
        <v>4</v>
      </c>
      <c r="AV27" s="391">
        <v>4</v>
      </c>
      <c r="AW27" s="391" t="s">
        <v>69</v>
      </c>
      <c r="AX27" s="391">
        <v>4</v>
      </c>
      <c r="AY27" s="391">
        <v>4</v>
      </c>
      <c r="AZ27" s="391" t="s">
        <v>69</v>
      </c>
      <c r="BA27" s="391">
        <v>4</v>
      </c>
      <c r="BB27" s="391" t="s">
        <v>69</v>
      </c>
      <c r="BC27" s="390" t="s">
        <v>212</v>
      </c>
      <c r="BD27" s="391">
        <v>4</v>
      </c>
      <c r="BE27" s="391" t="s">
        <v>212</v>
      </c>
      <c r="BF27" s="391" t="s">
        <v>69</v>
      </c>
      <c r="BG27" s="391" t="s">
        <v>69</v>
      </c>
      <c r="BH27" s="391" t="s">
        <v>212</v>
      </c>
      <c r="BI27" s="391">
        <v>4</v>
      </c>
      <c r="BJ27" s="391" t="s">
        <v>212</v>
      </c>
      <c r="BK27" s="391" t="s">
        <v>69</v>
      </c>
      <c r="BL27" s="391" t="s">
        <v>69</v>
      </c>
      <c r="BM27" s="391" t="s">
        <v>212</v>
      </c>
      <c r="BN27" s="391" t="s">
        <v>69</v>
      </c>
      <c r="BO27" s="390" t="s">
        <v>212</v>
      </c>
      <c r="BP27" s="391" t="s">
        <v>212</v>
      </c>
      <c r="BQ27" s="390">
        <v>4</v>
      </c>
      <c r="BR27" s="391" t="s">
        <v>212</v>
      </c>
      <c r="BS27" s="391" t="s">
        <v>212</v>
      </c>
      <c r="BT27" s="391" t="s">
        <v>69</v>
      </c>
      <c r="BU27" s="391" t="s">
        <v>69</v>
      </c>
      <c r="BV27" s="391">
        <v>4</v>
      </c>
      <c r="BW27" s="391" t="s">
        <v>212</v>
      </c>
      <c r="BX27" s="390" t="s">
        <v>212</v>
      </c>
      <c r="BY27" s="391" t="s">
        <v>212</v>
      </c>
      <c r="BZ27" s="390" t="s">
        <v>212</v>
      </c>
      <c r="CA27" s="391" t="s">
        <v>212</v>
      </c>
      <c r="CB27" s="391" t="s">
        <v>212</v>
      </c>
      <c r="CC27" s="391" t="s">
        <v>212</v>
      </c>
      <c r="CD27" s="391" t="s">
        <v>212</v>
      </c>
      <c r="CE27" s="391" t="s">
        <v>212</v>
      </c>
      <c r="CF27" s="390" t="s">
        <v>212</v>
      </c>
      <c r="CG27" s="391" t="s">
        <v>212</v>
      </c>
      <c r="CH27" s="391">
        <v>4</v>
      </c>
      <c r="CI27" s="391" t="s">
        <v>212</v>
      </c>
      <c r="CJ27" s="392">
        <v>4</v>
      </c>
      <c r="CK27" s="392">
        <v>4</v>
      </c>
      <c r="CL27" s="392">
        <v>4</v>
      </c>
      <c r="CM27" s="392">
        <v>4</v>
      </c>
      <c r="CN27" s="392">
        <v>4</v>
      </c>
      <c r="CO27" s="392">
        <v>4</v>
      </c>
      <c r="CP27" s="392" t="s">
        <v>69</v>
      </c>
      <c r="CQ27" s="392" t="s">
        <v>69</v>
      </c>
      <c r="CR27" s="392" t="s">
        <v>69</v>
      </c>
      <c r="CS27" s="391" t="s">
        <v>212</v>
      </c>
      <c r="CT27" s="391" t="s">
        <v>212</v>
      </c>
      <c r="CU27" s="390" t="s">
        <v>212</v>
      </c>
      <c r="CV27" s="390" t="s">
        <v>212</v>
      </c>
      <c r="CW27" s="391" t="s">
        <v>212</v>
      </c>
      <c r="CX27" s="390" t="s">
        <v>212</v>
      </c>
      <c r="CY27" s="391" t="s">
        <v>212</v>
      </c>
      <c r="CZ27" s="391">
        <v>3</v>
      </c>
      <c r="DA27" s="391" t="s">
        <v>212</v>
      </c>
      <c r="DB27" s="391">
        <v>3</v>
      </c>
      <c r="DC27" s="390" t="s">
        <v>212</v>
      </c>
      <c r="DD27" s="391" t="s">
        <v>212</v>
      </c>
      <c r="DE27" s="391" t="s">
        <v>212</v>
      </c>
      <c r="DF27" s="390" t="s">
        <v>212</v>
      </c>
      <c r="DG27" s="391" t="s">
        <v>212</v>
      </c>
      <c r="DH27" s="390" t="s">
        <v>212</v>
      </c>
      <c r="DI27" s="391" t="s">
        <v>212</v>
      </c>
      <c r="DJ27" s="391" t="s">
        <v>212</v>
      </c>
      <c r="DK27" s="391" t="s">
        <v>69</v>
      </c>
      <c r="DL27" s="391" t="s">
        <v>69</v>
      </c>
      <c r="DM27" s="391" t="s">
        <v>69</v>
      </c>
      <c r="DN27" s="391" t="s">
        <v>69</v>
      </c>
      <c r="DO27" s="391" t="s">
        <v>69</v>
      </c>
      <c r="DP27" s="391" t="s">
        <v>69</v>
      </c>
      <c r="DQ27" s="391" t="s">
        <v>69</v>
      </c>
      <c r="DR27" s="391" t="s">
        <v>212</v>
      </c>
      <c r="DS27" s="391" t="s">
        <v>212</v>
      </c>
      <c r="DT27" s="393">
        <v>4</v>
      </c>
      <c r="DU27" s="398">
        <f t="shared" si="0"/>
        <v>0.52380952380952384</v>
      </c>
      <c r="DV27" s="399">
        <f t="shared" si="1"/>
        <v>1</v>
      </c>
    </row>
    <row r="28" spans="1:126" s="230" customFormat="1" ht="120" customHeight="1">
      <c r="A28" s="406" t="s">
        <v>155</v>
      </c>
      <c r="B28" s="407" t="s">
        <v>156</v>
      </c>
      <c r="C28" s="409">
        <v>43565</v>
      </c>
      <c r="D28" s="408" t="s">
        <v>1155</v>
      </c>
      <c r="E28" s="391">
        <v>4</v>
      </c>
      <c r="F28" s="391">
        <v>4</v>
      </c>
      <c r="G28" s="391">
        <v>4</v>
      </c>
      <c r="H28" s="391">
        <v>4</v>
      </c>
      <c r="I28" s="391">
        <v>4</v>
      </c>
      <c r="J28" s="391" t="s">
        <v>212</v>
      </c>
      <c r="K28" s="391" t="s">
        <v>212</v>
      </c>
      <c r="L28" s="391" t="s">
        <v>212</v>
      </c>
      <c r="M28" s="391" t="s">
        <v>212</v>
      </c>
      <c r="N28" s="391" t="s">
        <v>212</v>
      </c>
      <c r="O28" s="391" t="s">
        <v>212</v>
      </c>
      <c r="P28" s="391" t="s">
        <v>69</v>
      </c>
      <c r="Q28" s="391" t="s">
        <v>69</v>
      </c>
      <c r="R28" s="391">
        <v>4</v>
      </c>
      <c r="S28" s="391">
        <v>4</v>
      </c>
      <c r="T28" s="391">
        <v>4</v>
      </c>
      <c r="U28" s="391" t="s">
        <v>212</v>
      </c>
      <c r="V28" s="391">
        <v>4</v>
      </c>
      <c r="W28" s="391" t="s">
        <v>212</v>
      </c>
      <c r="X28" s="391" t="s">
        <v>212</v>
      </c>
      <c r="Y28" s="391" t="s">
        <v>212</v>
      </c>
      <c r="Z28" s="391" t="s">
        <v>69</v>
      </c>
      <c r="AA28" s="391" t="s">
        <v>69</v>
      </c>
      <c r="AB28" s="391">
        <v>4</v>
      </c>
      <c r="AC28" s="391" t="s">
        <v>69</v>
      </c>
      <c r="AD28" s="391" t="s">
        <v>69</v>
      </c>
      <c r="AE28" s="391" t="s">
        <v>69</v>
      </c>
      <c r="AF28" s="391" t="s">
        <v>69</v>
      </c>
      <c r="AG28" s="391">
        <v>4</v>
      </c>
      <c r="AH28" s="391">
        <v>4</v>
      </c>
      <c r="AI28" s="391" t="s">
        <v>212</v>
      </c>
      <c r="AJ28" s="391" t="s">
        <v>212</v>
      </c>
      <c r="AK28" s="391" t="s">
        <v>69</v>
      </c>
      <c r="AL28" s="391" t="s">
        <v>69</v>
      </c>
      <c r="AM28" s="391" t="s">
        <v>69</v>
      </c>
      <c r="AN28" s="391">
        <v>4</v>
      </c>
      <c r="AO28" s="391">
        <v>4</v>
      </c>
      <c r="AP28" s="391">
        <v>4</v>
      </c>
      <c r="AQ28" s="391" t="s">
        <v>69</v>
      </c>
      <c r="AR28" s="391" t="s">
        <v>69</v>
      </c>
      <c r="AS28" s="391" t="s">
        <v>69</v>
      </c>
      <c r="AT28" s="391" t="s">
        <v>69</v>
      </c>
      <c r="AU28" s="391" t="s">
        <v>69</v>
      </c>
      <c r="AV28" s="391" t="s">
        <v>69</v>
      </c>
      <c r="AW28" s="391" t="s">
        <v>69</v>
      </c>
      <c r="AX28" s="391" t="s">
        <v>69</v>
      </c>
      <c r="AY28" s="391" t="s">
        <v>69</v>
      </c>
      <c r="AZ28" s="391" t="s">
        <v>69</v>
      </c>
      <c r="BA28" s="391" t="s">
        <v>69</v>
      </c>
      <c r="BB28" s="391" t="s">
        <v>69</v>
      </c>
      <c r="BC28" s="391">
        <v>4</v>
      </c>
      <c r="BD28" s="391">
        <v>4</v>
      </c>
      <c r="BE28" s="391">
        <v>4</v>
      </c>
      <c r="BF28" s="391" t="s">
        <v>69</v>
      </c>
      <c r="BG28" s="391" t="s">
        <v>69</v>
      </c>
      <c r="BH28" s="391">
        <v>4</v>
      </c>
      <c r="BI28" s="391" t="s">
        <v>212</v>
      </c>
      <c r="BJ28" s="391" t="s">
        <v>212</v>
      </c>
      <c r="BK28" s="391">
        <v>4</v>
      </c>
      <c r="BL28" s="391" t="s">
        <v>69</v>
      </c>
      <c r="BM28" s="391">
        <v>4</v>
      </c>
      <c r="BN28" s="391" t="s">
        <v>69</v>
      </c>
      <c r="BO28" s="391" t="s">
        <v>212</v>
      </c>
      <c r="BP28" s="391">
        <v>4</v>
      </c>
      <c r="BQ28" s="390">
        <v>4</v>
      </c>
      <c r="BR28" s="391" t="s">
        <v>212</v>
      </c>
      <c r="BS28" s="391" t="s">
        <v>212</v>
      </c>
      <c r="BT28" s="391" t="s">
        <v>69</v>
      </c>
      <c r="BU28" s="391" t="s">
        <v>69</v>
      </c>
      <c r="BV28" s="391" t="s">
        <v>69</v>
      </c>
      <c r="BW28" s="391" t="s">
        <v>212</v>
      </c>
      <c r="BX28" s="391" t="s">
        <v>212</v>
      </c>
      <c r="BY28" s="391">
        <v>4</v>
      </c>
      <c r="BZ28" s="391" t="s">
        <v>212</v>
      </c>
      <c r="CA28" s="391" t="s">
        <v>212</v>
      </c>
      <c r="CB28" s="391" t="s">
        <v>212</v>
      </c>
      <c r="CC28" s="391" t="s">
        <v>212</v>
      </c>
      <c r="CD28" s="391" t="s">
        <v>212</v>
      </c>
      <c r="CE28" s="391">
        <v>4</v>
      </c>
      <c r="CF28" s="391" t="s">
        <v>69</v>
      </c>
      <c r="CG28" s="391" t="s">
        <v>69</v>
      </c>
      <c r="CH28" s="391" t="s">
        <v>69</v>
      </c>
      <c r="CI28" s="391" t="s">
        <v>69</v>
      </c>
      <c r="CJ28" s="392" t="s">
        <v>69</v>
      </c>
      <c r="CK28" s="392" t="s">
        <v>69</v>
      </c>
      <c r="CL28" s="392">
        <v>4</v>
      </c>
      <c r="CM28" s="392">
        <v>4</v>
      </c>
      <c r="CN28" s="392">
        <v>4</v>
      </c>
      <c r="CO28" s="392" t="s">
        <v>69</v>
      </c>
      <c r="CP28" s="392" t="s">
        <v>69</v>
      </c>
      <c r="CQ28" s="392" t="s">
        <v>69</v>
      </c>
      <c r="CR28" s="392" t="s">
        <v>69</v>
      </c>
      <c r="CS28" s="391">
        <v>4</v>
      </c>
      <c r="CT28" s="391">
        <v>3</v>
      </c>
      <c r="CU28" s="390" t="s">
        <v>212</v>
      </c>
      <c r="CV28" s="390" t="s">
        <v>212</v>
      </c>
      <c r="CW28" s="391" t="s">
        <v>69</v>
      </c>
      <c r="CX28" s="391" t="s">
        <v>69</v>
      </c>
      <c r="CY28" s="391">
        <v>3</v>
      </c>
      <c r="CZ28" s="391" t="s">
        <v>69</v>
      </c>
      <c r="DA28" s="391">
        <v>4</v>
      </c>
      <c r="DB28" s="391" t="s">
        <v>212</v>
      </c>
      <c r="DC28" s="391">
        <v>4</v>
      </c>
      <c r="DD28" s="391" t="s">
        <v>69</v>
      </c>
      <c r="DE28" s="391">
        <v>4</v>
      </c>
      <c r="DF28" s="391">
        <v>4</v>
      </c>
      <c r="DG28" s="391" t="s">
        <v>212</v>
      </c>
      <c r="DH28" s="391" t="s">
        <v>212</v>
      </c>
      <c r="DI28" s="391" t="s">
        <v>212</v>
      </c>
      <c r="DJ28" s="391">
        <v>4</v>
      </c>
      <c r="DK28" s="391" t="s">
        <v>69</v>
      </c>
      <c r="DL28" s="391" t="s">
        <v>69</v>
      </c>
      <c r="DM28" s="391" t="s">
        <v>69</v>
      </c>
      <c r="DN28" s="391" t="s">
        <v>69</v>
      </c>
      <c r="DO28" s="391" t="s">
        <v>69</v>
      </c>
      <c r="DP28" s="391" t="s">
        <v>69</v>
      </c>
      <c r="DQ28" s="391" t="s">
        <v>69</v>
      </c>
      <c r="DR28" s="391" t="s">
        <v>212</v>
      </c>
      <c r="DS28" s="391" t="s">
        <v>212</v>
      </c>
      <c r="DT28" s="390">
        <v>4</v>
      </c>
      <c r="DU28" s="398">
        <f t="shared" si="0"/>
        <v>0.58730158730158732</v>
      </c>
      <c r="DV28" s="399">
        <f t="shared" si="1"/>
        <v>1</v>
      </c>
    </row>
    <row r="29" spans="1:126" s="230" customFormat="1" ht="120" customHeight="1">
      <c r="A29" s="406" t="s">
        <v>132</v>
      </c>
      <c r="B29" s="407" t="s">
        <v>133</v>
      </c>
      <c r="C29" s="409">
        <v>43566</v>
      </c>
      <c r="D29" s="408" t="s">
        <v>1155</v>
      </c>
      <c r="E29" s="391">
        <v>4</v>
      </c>
      <c r="F29" s="391" t="s">
        <v>69</v>
      </c>
      <c r="G29" s="391">
        <v>4</v>
      </c>
      <c r="H29" s="391" t="s">
        <v>69</v>
      </c>
      <c r="I29" s="391" t="s">
        <v>69</v>
      </c>
      <c r="J29" s="391">
        <v>4</v>
      </c>
      <c r="K29" s="391" t="s">
        <v>212</v>
      </c>
      <c r="L29" s="391" t="s">
        <v>212</v>
      </c>
      <c r="M29" s="391" t="s">
        <v>212</v>
      </c>
      <c r="N29" s="391" t="s">
        <v>212</v>
      </c>
      <c r="O29" s="391" t="s">
        <v>212</v>
      </c>
      <c r="P29" s="391" t="s">
        <v>69</v>
      </c>
      <c r="Q29" s="391" t="s">
        <v>69</v>
      </c>
      <c r="R29" s="391" t="s">
        <v>69</v>
      </c>
      <c r="S29" s="391" t="s">
        <v>69</v>
      </c>
      <c r="T29" s="391">
        <v>4</v>
      </c>
      <c r="U29" s="391" t="s">
        <v>212</v>
      </c>
      <c r="V29" s="391" t="s">
        <v>212</v>
      </c>
      <c r="W29" s="391" t="s">
        <v>212</v>
      </c>
      <c r="X29" s="391" t="s">
        <v>212</v>
      </c>
      <c r="Y29" s="391" t="s">
        <v>212</v>
      </c>
      <c r="Z29" s="391">
        <v>4</v>
      </c>
      <c r="AA29" s="391" t="s">
        <v>69</v>
      </c>
      <c r="AB29" s="391">
        <v>4</v>
      </c>
      <c r="AC29" s="391" t="s">
        <v>69</v>
      </c>
      <c r="AD29" s="391" t="s">
        <v>69</v>
      </c>
      <c r="AE29" s="391" t="s">
        <v>69</v>
      </c>
      <c r="AF29" s="391" t="s">
        <v>69</v>
      </c>
      <c r="AG29" s="391" t="s">
        <v>69</v>
      </c>
      <c r="AH29" s="391" t="s">
        <v>69</v>
      </c>
      <c r="AI29" s="391" t="s">
        <v>212</v>
      </c>
      <c r="AJ29" s="391" t="s">
        <v>212</v>
      </c>
      <c r="AK29" s="391" t="s">
        <v>69</v>
      </c>
      <c r="AL29" s="391">
        <v>4</v>
      </c>
      <c r="AM29" s="391" t="s">
        <v>69</v>
      </c>
      <c r="AN29" s="391">
        <v>4</v>
      </c>
      <c r="AO29" s="391" t="s">
        <v>69</v>
      </c>
      <c r="AP29" s="391">
        <v>4</v>
      </c>
      <c r="AQ29" s="391">
        <v>4</v>
      </c>
      <c r="AR29" s="391" t="s">
        <v>69</v>
      </c>
      <c r="AS29" s="391" t="s">
        <v>69</v>
      </c>
      <c r="AT29" s="391" t="s">
        <v>69</v>
      </c>
      <c r="AU29" s="391" t="s">
        <v>69</v>
      </c>
      <c r="AV29" s="391" t="s">
        <v>69</v>
      </c>
      <c r="AW29" s="391">
        <v>4</v>
      </c>
      <c r="AX29" s="391" t="s">
        <v>69</v>
      </c>
      <c r="AY29" s="391" t="s">
        <v>69</v>
      </c>
      <c r="AZ29" s="391" t="s">
        <v>69</v>
      </c>
      <c r="BA29" s="391" t="s">
        <v>69</v>
      </c>
      <c r="BB29" s="391" t="s">
        <v>69</v>
      </c>
      <c r="BC29" s="391" t="s">
        <v>69</v>
      </c>
      <c r="BD29" s="391" t="s">
        <v>69</v>
      </c>
      <c r="BE29" s="391" t="s">
        <v>69</v>
      </c>
      <c r="BF29" s="391" t="s">
        <v>69</v>
      </c>
      <c r="BG29" s="391" t="s">
        <v>69</v>
      </c>
      <c r="BH29" s="391" t="s">
        <v>212</v>
      </c>
      <c r="BI29" s="391" t="s">
        <v>69</v>
      </c>
      <c r="BJ29" s="391" t="s">
        <v>69</v>
      </c>
      <c r="BK29" s="391" t="s">
        <v>69</v>
      </c>
      <c r="BL29" s="391">
        <v>4</v>
      </c>
      <c r="BM29" s="391">
        <v>4</v>
      </c>
      <c r="BN29" s="391" t="s">
        <v>69</v>
      </c>
      <c r="BO29" s="391" t="s">
        <v>69</v>
      </c>
      <c r="BP29" s="391" t="s">
        <v>69</v>
      </c>
      <c r="BQ29" s="390">
        <v>4</v>
      </c>
      <c r="BR29" s="391" t="s">
        <v>69</v>
      </c>
      <c r="BS29" s="391">
        <v>4</v>
      </c>
      <c r="BT29" s="391" t="s">
        <v>69</v>
      </c>
      <c r="BU29" s="391" t="s">
        <v>69</v>
      </c>
      <c r="BV29" s="391" t="s">
        <v>69</v>
      </c>
      <c r="BW29" s="391" t="s">
        <v>69</v>
      </c>
      <c r="BX29" s="391">
        <v>4</v>
      </c>
      <c r="BY29" s="391">
        <v>4</v>
      </c>
      <c r="BZ29" s="391">
        <v>4</v>
      </c>
      <c r="CA29" s="391" t="s">
        <v>69</v>
      </c>
      <c r="CB29" s="391" t="s">
        <v>69</v>
      </c>
      <c r="CC29" s="391" t="s">
        <v>69</v>
      </c>
      <c r="CD29" s="391">
        <v>4</v>
      </c>
      <c r="CE29" s="391">
        <v>4</v>
      </c>
      <c r="CF29" s="391" t="s">
        <v>69</v>
      </c>
      <c r="CG29" s="391" t="s">
        <v>69</v>
      </c>
      <c r="CH29" s="391" t="s">
        <v>69</v>
      </c>
      <c r="CI29" s="391">
        <v>3</v>
      </c>
      <c r="CJ29" s="392" t="s">
        <v>69</v>
      </c>
      <c r="CK29" s="392" t="s">
        <v>69</v>
      </c>
      <c r="CL29" s="392" t="s">
        <v>69</v>
      </c>
      <c r="CM29" s="392" t="s">
        <v>69</v>
      </c>
      <c r="CN29" s="392" t="s">
        <v>69</v>
      </c>
      <c r="CO29" s="392" t="s">
        <v>69</v>
      </c>
      <c r="CP29" s="392" t="s">
        <v>69</v>
      </c>
      <c r="CQ29" s="392" t="s">
        <v>69</v>
      </c>
      <c r="CR29" s="392" t="s">
        <v>69</v>
      </c>
      <c r="CS29" s="391">
        <v>4</v>
      </c>
      <c r="CT29" s="391" t="s">
        <v>69</v>
      </c>
      <c r="CU29" s="390" t="s">
        <v>212</v>
      </c>
      <c r="CV29" s="390" t="s">
        <v>212</v>
      </c>
      <c r="CW29" s="391" t="s">
        <v>212</v>
      </c>
      <c r="CX29" s="391" t="s">
        <v>212</v>
      </c>
      <c r="CY29" s="391" t="s">
        <v>212</v>
      </c>
      <c r="CZ29" s="391" t="s">
        <v>69</v>
      </c>
      <c r="DA29" s="391" t="s">
        <v>69</v>
      </c>
      <c r="DB29" s="391" t="s">
        <v>69</v>
      </c>
      <c r="DC29" s="391" t="s">
        <v>69</v>
      </c>
      <c r="DD29" s="391" t="s">
        <v>69</v>
      </c>
      <c r="DE29" s="391" t="s">
        <v>69</v>
      </c>
      <c r="DF29" s="391" t="s">
        <v>69</v>
      </c>
      <c r="DG29" s="391" t="s">
        <v>69</v>
      </c>
      <c r="DH29" s="391" t="s">
        <v>69</v>
      </c>
      <c r="DI29" s="391" t="s">
        <v>69</v>
      </c>
      <c r="DJ29" s="391" t="s">
        <v>69</v>
      </c>
      <c r="DK29" s="391">
        <v>4</v>
      </c>
      <c r="DL29" s="391" t="s">
        <v>69</v>
      </c>
      <c r="DM29" s="391" t="s">
        <v>69</v>
      </c>
      <c r="DN29" s="391" t="s">
        <v>69</v>
      </c>
      <c r="DO29" s="391" t="s">
        <v>69</v>
      </c>
      <c r="DP29" s="391" t="s">
        <v>69</v>
      </c>
      <c r="DQ29" s="391" t="s">
        <v>69</v>
      </c>
      <c r="DR29" s="391" t="s">
        <v>212</v>
      </c>
      <c r="DS29" s="391" t="s">
        <v>69</v>
      </c>
      <c r="DT29" s="393">
        <v>4</v>
      </c>
      <c r="DU29" s="398">
        <f t="shared" si="0"/>
        <v>0.38095238095238093</v>
      </c>
      <c r="DV29" s="399">
        <f t="shared" si="1"/>
        <v>1</v>
      </c>
    </row>
    <row r="30" spans="1:126" s="230" customFormat="1" ht="120" customHeight="1">
      <c r="A30" s="406" t="s">
        <v>74</v>
      </c>
      <c r="B30" s="407" t="s">
        <v>75</v>
      </c>
      <c r="C30" s="409" t="s">
        <v>617</v>
      </c>
      <c r="D30" s="408" t="s">
        <v>1155</v>
      </c>
      <c r="E30" s="391">
        <v>4</v>
      </c>
      <c r="F30" s="391" t="s">
        <v>69</v>
      </c>
      <c r="G30" s="391">
        <v>4</v>
      </c>
      <c r="H30" s="391" t="s">
        <v>69</v>
      </c>
      <c r="I30" s="391" t="s">
        <v>69</v>
      </c>
      <c r="J30" s="391" t="s">
        <v>212</v>
      </c>
      <c r="K30" s="391" t="s">
        <v>212</v>
      </c>
      <c r="L30" s="391" t="s">
        <v>212</v>
      </c>
      <c r="M30" s="391" t="s">
        <v>212</v>
      </c>
      <c r="N30" s="391" t="s">
        <v>212</v>
      </c>
      <c r="O30" s="391" t="s">
        <v>212</v>
      </c>
      <c r="P30" s="391" t="s">
        <v>69</v>
      </c>
      <c r="Q30" s="391" t="s">
        <v>69</v>
      </c>
      <c r="R30" s="391" t="s">
        <v>69</v>
      </c>
      <c r="S30" s="391">
        <v>3</v>
      </c>
      <c r="T30" s="391" t="s">
        <v>69</v>
      </c>
      <c r="U30" s="391" t="s">
        <v>212</v>
      </c>
      <c r="V30" s="391" t="s">
        <v>212</v>
      </c>
      <c r="W30" s="391" t="s">
        <v>212</v>
      </c>
      <c r="X30" s="391" t="s">
        <v>212</v>
      </c>
      <c r="Y30" s="391" t="s">
        <v>212</v>
      </c>
      <c r="Z30" s="391" t="s">
        <v>69</v>
      </c>
      <c r="AA30" s="391">
        <v>4</v>
      </c>
      <c r="AB30" s="391" t="s">
        <v>69</v>
      </c>
      <c r="AC30" s="391" t="s">
        <v>69</v>
      </c>
      <c r="AD30" s="391" t="s">
        <v>69</v>
      </c>
      <c r="AE30" s="391" t="s">
        <v>69</v>
      </c>
      <c r="AF30" s="391" t="s">
        <v>69</v>
      </c>
      <c r="AG30" s="391" t="s">
        <v>69</v>
      </c>
      <c r="AH30" s="391" t="s">
        <v>69</v>
      </c>
      <c r="AI30" s="391" t="s">
        <v>212</v>
      </c>
      <c r="AJ30" s="391" t="s">
        <v>212</v>
      </c>
      <c r="AK30" s="391" t="s">
        <v>69</v>
      </c>
      <c r="AL30" s="391" t="s">
        <v>69</v>
      </c>
      <c r="AM30" s="391" t="s">
        <v>69</v>
      </c>
      <c r="AN30" s="391" t="s">
        <v>69</v>
      </c>
      <c r="AO30" s="391" t="s">
        <v>69</v>
      </c>
      <c r="AP30" s="391" t="s">
        <v>69</v>
      </c>
      <c r="AQ30" s="391" t="s">
        <v>69</v>
      </c>
      <c r="AR30" s="391" t="s">
        <v>69</v>
      </c>
      <c r="AS30" s="391" t="s">
        <v>69</v>
      </c>
      <c r="AT30" s="391" t="s">
        <v>69</v>
      </c>
      <c r="AU30" s="391" t="s">
        <v>69</v>
      </c>
      <c r="AV30" s="391" t="s">
        <v>69</v>
      </c>
      <c r="AW30" s="391" t="s">
        <v>69</v>
      </c>
      <c r="AX30" s="391" t="s">
        <v>69</v>
      </c>
      <c r="AY30" s="391" t="s">
        <v>69</v>
      </c>
      <c r="AZ30" s="391" t="s">
        <v>69</v>
      </c>
      <c r="BA30" s="391" t="s">
        <v>69</v>
      </c>
      <c r="BB30" s="391" t="s">
        <v>69</v>
      </c>
      <c r="BC30" s="391" t="s">
        <v>69</v>
      </c>
      <c r="BD30" s="391" t="s">
        <v>69</v>
      </c>
      <c r="BE30" s="391" t="s">
        <v>69</v>
      </c>
      <c r="BF30" s="391" t="s">
        <v>69</v>
      </c>
      <c r="BG30" s="391" t="s">
        <v>69</v>
      </c>
      <c r="BH30" s="391" t="s">
        <v>69</v>
      </c>
      <c r="BI30" s="391" t="s">
        <v>69</v>
      </c>
      <c r="BJ30" s="391" t="s">
        <v>69</v>
      </c>
      <c r="BK30" s="391" t="s">
        <v>69</v>
      </c>
      <c r="BL30" s="391" t="s">
        <v>69</v>
      </c>
      <c r="BM30" s="391" t="s">
        <v>69</v>
      </c>
      <c r="BN30" s="391" t="s">
        <v>69</v>
      </c>
      <c r="BO30" s="391" t="s">
        <v>69</v>
      </c>
      <c r="BP30" s="391" t="s">
        <v>69</v>
      </c>
      <c r="BQ30" s="390">
        <v>4</v>
      </c>
      <c r="BR30" s="391" t="s">
        <v>212</v>
      </c>
      <c r="BS30" s="391" t="s">
        <v>212</v>
      </c>
      <c r="BT30" s="391" t="s">
        <v>69</v>
      </c>
      <c r="BU30" s="391" t="s">
        <v>69</v>
      </c>
      <c r="BV30" s="391" t="s">
        <v>69</v>
      </c>
      <c r="BW30" s="391" t="s">
        <v>212</v>
      </c>
      <c r="BX30" s="391" t="s">
        <v>212</v>
      </c>
      <c r="BY30" s="391" t="s">
        <v>212</v>
      </c>
      <c r="BZ30" s="391" t="s">
        <v>212</v>
      </c>
      <c r="CA30" s="391" t="s">
        <v>212</v>
      </c>
      <c r="CB30" s="391" t="s">
        <v>212</v>
      </c>
      <c r="CC30" s="391" t="s">
        <v>212</v>
      </c>
      <c r="CD30" s="391" t="s">
        <v>212</v>
      </c>
      <c r="CE30" s="391" t="s">
        <v>212</v>
      </c>
      <c r="CF30" s="391" t="s">
        <v>212</v>
      </c>
      <c r="CG30" s="391" t="s">
        <v>212</v>
      </c>
      <c r="CH30" s="391" t="s">
        <v>212</v>
      </c>
      <c r="CI30" s="391" t="s">
        <v>212</v>
      </c>
      <c r="CJ30" s="392" t="s">
        <v>69</v>
      </c>
      <c r="CK30" s="392" t="s">
        <v>69</v>
      </c>
      <c r="CL30" s="392" t="s">
        <v>69</v>
      </c>
      <c r="CM30" s="392" t="s">
        <v>69</v>
      </c>
      <c r="CN30" s="392" t="s">
        <v>69</v>
      </c>
      <c r="CO30" s="392" t="s">
        <v>69</v>
      </c>
      <c r="CP30" s="392" t="s">
        <v>69</v>
      </c>
      <c r="CQ30" s="392" t="s">
        <v>69</v>
      </c>
      <c r="CR30" s="392" t="s">
        <v>69</v>
      </c>
      <c r="CS30" s="391" t="s">
        <v>212</v>
      </c>
      <c r="CT30" s="391" t="s">
        <v>212</v>
      </c>
      <c r="CU30" s="390" t="s">
        <v>212</v>
      </c>
      <c r="CV30" s="390" t="s">
        <v>212</v>
      </c>
      <c r="CW30" s="391" t="s">
        <v>212</v>
      </c>
      <c r="CX30" s="391" t="s">
        <v>212</v>
      </c>
      <c r="CY30" s="391" t="s">
        <v>212</v>
      </c>
      <c r="CZ30" s="391" t="s">
        <v>212</v>
      </c>
      <c r="DA30" s="391" t="s">
        <v>212</v>
      </c>
      <c r="DB30" s="391" t="s">
        <v>212</v>
      </c>
      <c r="DC30" s="391" t="s">
        <v>212</v>
      </c>
      <c r="DD30" s="391" t="s">
        <v>212</v>
      </c>
      <c r="DE30" s="391" t="s">
        <v>212</v>
      </c>
      <c r="DF30" s="391" t="s">
        <v>212</v>
      </c>
      <c r="DG30" s="391" t="s">
        <v>212</v>
      </c>
      <c r="DH30" s="391" t="s">
        <v>212</v>
      </c>
      <c r="DI30" s="391" t="s">
        <v>212</v>
      </c>
      <c r="DJ30" s="391" t="s">
        <v>212</v>
      </c>
      <c r="DK30" s="391" t="s">
        <v>212</v>
      </c>
      <c r="DL30" s="391" t="s">
        <v>212</v>
      </c>
      <c r="DM30" s="391" t="s">
        <v>212</v>
      </c>
      <c r="DN30" s="391" t="s">
        <v>212</v>
      </c>
      <c r="DO30" s="391" t="s">
        <v>212</v>
      </c>
      <c r="DP30" s="391" t="s">
        <v>212</v>
      </c>
      <c r="DQ30" s="391" t="s">
        <v>212</v>
      </c>
      <c r="DR30" s="391" t="s">
        <v>212</v>
      </c>
      <c r="DS30" s="391" t="s">
        <v>212</v>
      </c>
      <c r="DT30" s="391">
        <v>3</v>
      </c>
      <c r="DU30" s="398">
        <f t="shared" si="0"/>
        <v>9.5238095238095233E-2</v>
      </c>
      <c r="DV30" s="399">
        <f t="shared" si="1"/>
        <v>1</v>
      </c>
    </row>
    <row r="31" spans="1:126" s="230" customFormat="1" ht="120" customHeight="1">
      <c r="A31" s="406" t="s">
        <v>129</v>
      </c>
      <c r="B31" s="407" t="s">
        <v>1163</v>
      </c>
      <c r="C31" s="409">
        <v>44713</v>
      </c>
      <c r="D31" s="408" t="s">
        <v>1155</v>
      </c>
      <c r="E31" s="391">
        <v>4</v>
      </c>
      <c r="F31" s="391" t="s">
        <v>212</v>
      </c>
      <c r="G31" s="391">
        <v>4</v>
      </c>
      <c r="H31" s="391">
        <v>4</v>
      </c>
      <c r="I31" s="391" t="s">
        <v>212</v>
      </c>
      <c r="J31" s="391" t="s">
        <v>212</v>
      </c>
      <c r="K31" s="391" t="s">
        <v>212</v>
      </c>
      <c r="L31" s="391" t="s">
        <v>212</v>
      </c>
      <c r="M31" s="391" t="s">
        <v>212</v>
      </c>
      <c r="N31" s="391" t="s">
        <v>212</v>
      </c>
      <c r="O31" s="391" t="s">
        <v>212</v>
      </c>
      <c r="P31" s="391" t="s">
        <v>69</v>
      </c>
      <c r="Q31" s="391" t="s">
        <v>69</v>
      </c>
      <c r="R31" s="391" t="s">
        <v>212</v>
      </c>
      <c r="S31" s="391" t="s">
        <v>212</v>
      </c>
      <c r="T31" s="391" t="s">
        <v>212</v>
      </c>
      <c r="U31" s="391" t="s">
        <v>212</v>
      </c>
      <c r="V31" s="391" t="s">
        <v>212</v>
      </c>
      <c r="W31" s="391" t="s">
        <v>212</v>
      </c>
      <c r="X31" s="391" t="s">
        <v>212</v>
      </c>
      <c r="Y31" s="391" t="s">
        <v>212</v>
      </c>
      <c r="Z31" s="391">
        <v>4</v>
      </c>
      <c r="AA31" s="391">
        <v>4</v>
      </c>
      <c r="AB31" s="391">
        <v>4</v>
      </c>
      <c r="AC31" s="391" t="s">
        <v>69</v>
      </c>
      <c r="AD31" s="391" t="s">
        <v>69</v>
      </c>
      <c r="AE31" s="391" t="s">
        <v>69</v>
      </c>
      <c r="AF31" s="391" t="s">
        <v>69</v>
      </c>
      <c r="AG31" s="391" t="s">
        <v>212</v>
      </c>
      <c r="AH31" s="391" t="s">
        <v>212</v>
      </c>
      <c r="AI31" s="391" t="s">
        <v>212</v>
      </c>
      <c r="AJ31" s="391" t="s">
        <v>212</v>
      </c>
      <c r="AK31" s="391">
        <v>4</v>
      </c>
      <c r="AL31" s="391" t="s">
        <v>69</v>
      </c>
      <c r="AM31" s="391">
        <v>4</v>
      </c>
      <c r="AN31" s="391" t="s">
        <v>69</v>
      </c>
      <c r="AO31" s="391">
        <v>4</v>
      </c>
      <c r="AP31" s="391" t="s">
        <v>212</v>
      </c>
      <c r="AQ31" s="391">
        <v>4</v>
      </c>
      <c r="AR31" s="391">
        <v>4</v>
      </c>
      <c r="AS31" s="391" t="s">
        <v>69</v>
      </c>
      <c r="AT31" s="391" t="s">
        <v>69</v>
      </c>
      <c r="AU31" s="391">
        <v>4</v>
      </c>
      <c r="AV31" s="391" t="s">
        <v>69</v>
      </c>
      <c r="AW31" s="391">
        <v>4</v>
      </c>
      <c r="AX31" s="391">
        <v>4</v>
      </c>
      <c r="AY31" s="391" t="s">
        <v>69</v>
      </c>
      <c r="AZ31" s="391" t="s">
        <v>69</v>
      </c>
      <c r="BA31" s="391" t="s">
        <v>69</v>
      </c>
      <c r="BB31" s="391" t="s">
        <v>69</v>
      </c>
      <c r="BC31" s="391">
        <v>4</v>
      </c>
      <c r="BD31" s="391">
        <v>4</v>
      </c>
      <c r="BE31" s="391" t="s">
        <v>212</v>
      </c>
      <c r="BF31" s="391" t="s">
        <v>69</v>
      </c>
      <c r="BG31" s="391" t="s">
        <v>69</v>
      </c>
      <c r="BH31" s="391" t="s">
        <v>212</v>
      </c>
      <c r="BI31" s="391">
        <v>4</v>
      </c>
      <c r="BJ31" s="391" t="s">
        <v>212</v>
      </c>
      <c r="BK31" s="391" t="s">
        <v>69</v>
      </c>
      <c r="BL31" s="391" t="s">
        <v>69</v>
      </c>
      <c r="BM31" s="391" t="s">
        <v>212</v>
      </c>
      <c r="BN31" s="391" t="s">
        <v>69</v>
      </c>
      <c r="BO31" s="391" t="s">
        <v>212</v>
      </c>
      <c r="BP31" s="391" t="s">
        <v>69</v>
      </c>
      <c r="BQ31" s="390">
        <v>4</v>
      </c>
      <c r="BR31" s="391" t="s">
        <v>212</v>
      </c>
      <c r="BS31" s="391" t="s">
        <v>212</v>
      </c>
      <c r="BT31" s="391" t="s">
        <v>69</v>
      </c>
      <c r="BU31" s="391" t="s">
        <v>69</v>
      </c>
      <c r="BV31" s="391">
        <v>4</v>
      </c>
      <c r="BW31" s="391">
        <v>4</v>
      </c>
      <c r="BX31" s="391" t="s">
        <v>212</v>
      </c>
      <c r="BY31" s="391" t="s">
        <v>212</v>
      </c>
      <c r="BZ31" s="391" t="s">
        <v>212</v>
      </c>
      <c r="CA31" s="391" t="s">
        <v>69</v>
      </c>
      <c r="CB31" s="391" t="s">
        <v>69</v>
      </c>
      <c r="CC31" s="391" t="s">
        <v>69</v>
      </c>
      <c r="CD31" s="391" t="s">
        <v>212</v>
      </c>
      <c r="CE31" s="391" t="s">
        <v>212</v>
      </c>
      <c r="CF31" s="391" t="s">
        <v>69</v>
      </c>
      <c r="CG31" s="391" t="s">
        <v>69</v>
      </c>
      <c r="CH31" s="391">
        <v>4</v>
      </c>
      <c r="CI31" s="391" t="s">
        <v>91</v>
      </c>
      <c r="CJ31" s="392">
        <v>4</v>
      </c>
      <c r="CK31" s="392">
        <v>4</v>
      </c>
      <c r="CL31" s="392">
        <v>4</v>
      </c>
      <c r="CM31" s="392">
        <v>4</v>
      </c>
      <c r="CN31" s="392" t="s">
        <v>69</v>
      </c>
      <c r="CO31" s="392" t="s">
        <v>69</v>
      </c>
      <c r="CP31" s="392" t="s">
        <v>69</v>
      </c>
      <c r="CQ31" s="392" t="s">
        <v>69</v>
      </c>
      <c r="CR31" s="392" t="s">
        <v>69</v>
      </c>
      <c r="CS31" s="391" t="s">
        <v>69</v>
      </c>
      <c r="CT31" s="391" t="s">
        <v>69</v>
      </c>
      <c r="CU31" s="390" t="s">
        <v>212</v>
      </c>
      <c r="CV31" s="390" t="s">
        <v>212</v>
      </c>
      <c r="CW31" s="391" t="s">
        <v>212</v>
      </c>
      <c r="CX31" s="391" t="s">
        <v>212</v>
      </c>
      <c r="CY31" s="391" t="s">
        <v>212</v>
      </c>
      <c r="CZ31" s="391" t="s">
        <v>69</v>
      </c>
      <c r="DA31" s="391" t="s">
        <v>69</v>
      </c>
      <c r="DB31" s="391" t="s">
        <v>212</v>
      </c>
      <c r="DC31" s="391" t="s">
        <v>212</v>
      </c>
      <c r="DD31" s="391" t="s">
        <v>69</v>
      </c>
      <c r="DE31" s="391" t="s">
        <v>69</v>
      </c>
      <c r="DF31" s="391" t="s">
        <v>69</v>
      </c>
      <c r="DG31" s="391" t="s">
        <v>69</v>
      </c>
      <c r="DH31" s="391" t="s">
        <v>69</v>
      </c>
      <c r="DI31" s="391" t="s">
        <v>69</v>
      </c>
      <c r="DJ31" s="391" t="s">
        <v>69</v>
      </c>
      <c r="DK31" s="391">
        <v>4</v>
      </c>
      <c r="DL31" s="391" t="s">
        <v>69</v>
      </c>
      <c r="DM31" s="391" t="s">
        <v>69</v>
      </c>
      <c r="DN31" s="391" t="s">
        <v>69</v>
      </c>
      <c r="DO31" s="391" t="s">
        <v>69</v>
      </c>
      <c r="DP31" s="391" t="s">
        <v>69</v>
      </c>
      <c r="DQ31" s="391" t="s">
        <v>69</v>
      </c>
      <c r="DR31" s="391" t="s">
        <v>69</v>
      </c>
      <c r="DS31" s="391" t="s">
        <v>69</v>
      </c>
      <c r="DT31" s="393">
        <v>4</v>
      </c>
      <c r="DU31" s="398">
        <f t="shared" si="0"/>
        <v>0.42857142857142855</v>
      </c>
      <c r="DV31" s="399">
        <f t="shared" si="1"/>
        <v>1</v>
      </c>
    </row>
    <row r="32" spans="1:126" s="230" customFormat="1" ht="120" customHeight="1">
      <c r="A32" s="406" t="s">
        <v>72</v>
      </c>
      <c r="B32" s="407" t="s">
        <v>73</v>
      </c>
      <c r="C32" s="409">
        <v>44077</v>
      </c>
      <c r="D32" s="408" t="s">
        <v>1155</v>
      </c>
      <c r="E32" s="391">
        <v>4</v>
      </c>
      <c r="F32" s="391">
        <v>4</v>
      </c>
      <c r="G32" s="391">
        <v>4</v>
      </c>
      <c r="H32" s="391">
        <v>4</v>
      </c>
      <c r="I32" s="391">
        <v>4</v>
      </c>
      <c r="J32" s="391">
        <v>4</v>
      </c>
      <c r="K32" s="391">
        <v>4</v>
      </c>
      <c r="L32" s="391" t="s">
        <v>212</v>
      </c>
      <c r="M32" s="391">
        <v>4</v>
      </c>
      <c r="N32" s="391" t="s">
        <v>212</v>
      </c>
      <c r="O32" s="391" t="s">
        <v>212</v>
      </c>
      <c r="P32" s="391">
        <v>4</v>
      </c>
      <c r="Q32" s="391" t="s">
        <v>69</v>
      </c>
      <c r="R32" s="391" t="s">
        <v>69</v>
      </c>
      <c r="S32" s="391" t="s">
        <v>69</v>
      </c>
      <c r="T32" s="391" t="s">
        <v>69</v>
      </c>
      <c r="U32" s="391">
        <v>4</v>
      </c>
      <c r="V32" s="391">
        <v>4</v>
      </c>
      <c r="W32" s="391" t="s">
        <v>212</v>
      </c>
      <c r="X32" s="391" t="s">
        <v>212</v>
      </c>
      <c r="Y32" s="391" t="s">
        <v>212</v>
      </c>
      <c r="Z32" s="391" t="s">
        <v>69</v>
      </c>
      <c r="AA32" s="391" t="s">
        <v>69</v>
      </c>
      <c r="AB32" s="391" t="s">
        <v>69</v>
      </c>
      <c r="AC32" s="391" t="s">
        <v>69</v>
      </c>
      <c r="AD32" s="391" t="s">
        <v>69</v>
      </c>
      <c r="AE32" s="391">
        <v>4</v>
      </c>
      <c r="AF32" s="391">
        <v>4</v>
      </c>
      <c r="AG32" s="391">
        <v>4</v>
      </c>
      <c r="AH32" s="391">
        <v>4</v>
      </c>
      <c r="AI32" s="391" t="s">
        <v>212</v>
      </c>
      <c r="AJ32" s="391" t="s">
        <v>212</v>
      </c>
      <c r="AK32" s="391">
        <v>4</v>
      </c>
      <c r="AL32" s="391">
        <v>4</v>
      </c>
      <c r="AM32" s="391">
        <v>4</v>
      </c>
      <c r="AN32" s="391">
        <v>4</v>
      </c>
      <c r="AO32" s="391">
        <v>4</v>
      </c>
      <c r="AP32" s="391">
        <v>4</v>
      </c>
      <c r="AQ32" s="391">
        <v>4</v>
      </c>
      <c r="AR32" s="391">
        <v>4</v>
      </c>
      <c r="AS32" s="391" t="s">
        <v>69</v>
      </c>
      <c r="AT32" s="391">
        <v>4</v>
      </c>
      <c r="AU32" s="391">
        <v>4</v>
      </c>
      <c r="AV32" s="391">
        <v>4</v>
      </c>
      <c r="AW32" s="391">
        <v>4</v>
      </c>
      <c r="AX32" s="391">
        <v>4</v>
      </c>
      <c r="AY32" s="391">
        <v>4</v>
      </c>
      <c r="AZ32" s="391">
        <v>4</v>
      </c>
      <c r="BA32" s="391" t="s">
        <v>69</v>
      </c>
      <c r="BB32" s="391" t="s">
        <v>69</v>
      </c>
      <c r="BC32" s="391">
        <v>4</v>
      </c>
      <c r="BD32" s="391">
        <v>4</v>
      </c>
      <c r="BE32" s="391">
        <v>4</v>
      </c>
      <c r="BF32" s="391">
        <v>4</v>
      </c>
      <c r="BG32" s="391">
        <v>4</v>
      </c>
      <c r="BH32" s="391">
        <v>4</v>
      </c>
      <c r="BI32" s="391">
        <v>4</v>
      </c>
      <c r="BJ32" s="391" t="s">
        <v>69</v>
      </c>
      <c r="BK32" s="391" t="s">
        <v>69</v>
      </c>
      <c r="BL32" s="391">
        <v>4</v>
      </c>
      <c r="BM32" s="391">
        <v>4</v>
      </c>
      <c r="BN32" s="391">
        <v>4</v>
      </c>
      <c r="BO32" s="391">
        <v>4</v>
      </c>
      <c r="BP32" s="391" t="s">
        <v>69</v>
      </c>
      <c r="BQ32" s="390">
        <v>4</v>
      </c>
      <c r="BR32" s="391">
        <v>4</v>
      </c>
      <c r="BS32" s="391" t="s">
        <v>69</v>
      </c>
      <c r="BT32" s="391" t="s">
        <v>69</v>
      </c>
      <c r="BU32" s="391" t="s">
        <v>69</v>
      </c>
      <c r="BV32" s="391" t="s">
        <v>69</v>
      </c>
      <c r="BW32" s="391" t="s">
        <v>69</v>
      </c>
      <c r="BX32" s="391">
        <v>4</v>
      </c>
      <c r="BY32" s="391" t="s">
        <v>69</v>
      </c>
      <c r="BZ32" s="391" t="s">
        <v>69</v>
      </c>
      <c r="CA32" s="391" t="s">
        <v>69</v>
      </c>
      <c r="CB32" s="391" t="s">
        <v>69</v>
      </c>
      <c r="CC32" s="391" t="s">
        <v>69</v>
      </c>
      <c r="CD32" s="391" t="s">
        <v>69</v>
      </c>
      <c r="CE32" s="391" t="s">
        <v>69</v>
      </c>
      <c r="CF32" s="391" t="s">
        <v>69</v>
      </c>
      <c r="CG32" s="391" t="s">
        <v>69</v>
      </c>
      <c r="CH32" s="391" t="s">
        <v>69</v>
      </c>
      <c r="CI32" s="391">
        <v>3</v>
      </c>
      <c r="CJ32" s="392" t="s">
        <v>69</v>
      </c>
      <c r="CK32" s="392" t="s">
        <v>69</v>
      </c>
      <c r="CL32" s="392" t="s">
        <v>69</v>
      </c>
      <c r="CM32" s="392" t="s">
        <v>69</v>
      </c>
      <c r="CN32" s="392" t="s">
        <v>69</v>
      </c>
      <c r="CO32" s="392" t="s">
        <v>69</v>
      </c>
      <c r="CP32" s="392" t="s">
        <v>69</v>
      </c>
      <c r="CQ32" s="392" t="s">
        <v>69</v>
      </c>
      <c r="CR32" s="392" t="s">
        <v>69</v>
      </c>
      <c r="CS32" s="391" t="s">
        <v>69</v>
      </c>
      <c r="CT32" s="391" t="s">
        <v>69</v>
      </c>
      <c r="CU32" s="390" t="s">
        <v>212</v>
      </c>
      <c r="CV32" s="390" t="s">
        <v>212</v>
      </c>
      <c r="CW32" s="391" t="s">
        <v>212</v>
      </c>
      <c r="CX32" s="391" t="s">
        <v>212</v>
      </c>
      <c r="CY32" s="391" t="s">
        <v>212</v>
      </c>
      <c r="CZ32" s="391" t="s">
        <v>69</v>
      </c>
      <c r="DA32" s="391" t="s">
        <v>69</v>
      </c>
      <c r="DB32" s="391">
        <v>3</v>
      </c>
      <c r="DC32" s="391" t="s">
        <v>69</v>
      </c>
      <c r="DD32" s="391" t="s">
        <v>69</v>
      </c>
      <c r="DE32" s="391" t="s">
        <v>69</v>
      </c>
      <c r="DF32" s="391">
        <v>4</v>
      </c>
      <c r="DG32" s="391" t="s">
        <v>69</v>
      </c>
      <c r="DH32" s="391" t="s">
        <v>69</v>
      </c>
      <c r="DI32" s="391" t="s">
        <v>69</v>
      </c>
      <c r="DJ32" s="391" t="s">
        <v>69</v>
      </c>
      <c r="DK32" s="391" t="s">
        <v>69</v>
      </c>
      <c r="DL32" s="391" t="s">
        <v>69</v>
      </c>
      <c r="DM32" s="391" t="s">
        <v>69</v>
      </c>
      <c r="DN32" s="391" t="s">
        <v>69</v>
      </c>
      <c r="DO32" s="391">
        <v>3</v>
      </c>
      <c r="DP32" s="391" t="s">
        <v>69</v>
      </c>
      <c r="DQ32" s="391" t="s">
        <v>69</v>
      </c>
      <c r="DR32" s="391" t="s">
        <v>69</v>
      </c>
      <c r="DS32" s="391" t="s">
        <v>69</v>
      </c>
      <c r="DT32" s="393">
        <v>4</v>
      </c>
      <c r="DU32" s="398">
        <f t="shared" si="0"/>
        <v>0.77777777777777779</v>
      </c>
      <c r="DV32" s="399">
        <f t="shared" si="1"/>
        <v>1</v>
      </c>
    </row>
    <row r="33" spans="1:229" s="230" customFormat="1" ht="120" customHeight="1">
      <c r="A33" s="406" t="s">
        <v>138</v>
      </c>
      <c r="B33" s="407" t="s">
        <v>139</v>
      </c>
      <c r="C33" s="409">
        <v>44175</v>
      </c>
      <c r="D33" s="408" t="s">
        <v>1155</v>
      </c>
      <c r="E33" s="391">
        <v>4</v>
      </c>
      <c r="F33" s="391">
        <v>4</v>
      </c>
      <c r="G33" s="391">
        <v>4</v>
      </c>
      <c r="H33" s="391">
        <v>4</v>
      </c>
      <c r="I33" s="391">
        <v>4</v>
      </c>
      <c r="J33" s="391" t="s">
        <v>212</v>
      </c>
      <c r="K33" s="391" t="s">
        <v>212</v>
      </c>
      <c r="L33" s="391" t="s">
        <v>212</v>
      </c>
      <c r="M33" s="391" t="s">
        <v>212</v>
      </c>
      <c r="N33" s="391">
        <v>4</v>
      </c>
      <c r="O33" s="391" t="s">
        <v>212</v>
      </c>
      <c r="P33" s="391" t="s">
        <v>69</v>
      </c>
      <c r="Q33" s="391">
        <v>4</v>
      </c>
      <c r="R33" s="391">
        <v>4</v>
      </c>
      <c r="S33" s="391" t="s">
        <v>69</v>
      </c>
      <c r="T33" s="391" t="s">
        <v>69</v>
      </c>
      <c r="U33" s="391" t="s">
        <v>212</v>
      </c>
      <c r="V33" s="391" t="s">
        <v>212</v>
      </c>
      <c r="W33" s="391" t="s">
        <v>212</v>
      </c>
      <c r="X33" s="391" t="s">
        <v>212</v>
      </c>
      <c r="Y33" s="391" t="s">
        <v>212</v>
      </c>
      <c r="Z33" s="391" t="s">
        <v>69</v>
      </c>
      <c r="AA33" s="391" t="s">
        <v>69</v>
      </c>
      <c r="AB33" s="391" t="s">
        <v>69</v>
      </c>
      <c r="AC33" s="391" t="s">
        <v>69</v>
      </c>
      <c r="AD33" s="391" t="s">
        <v>69</v>
      </c>
      <c r="AE33" s="391" t="s">
        <v>69</v>
      </c>
      <c r="AF33" s="391">
        <v>4</v>
      </c>
      <c r="AG33" s="391">
        <v>4</v>
      </c>
      <c r="AH33" s="393">
        <v>4</v>
      </c>
      <c r="AI33" s="391" t="s">
        <v>212</v>
      </c>
      <c r="AJ33" s="391" t="s">
        <v>212</v>
      </c>
      <c r="AK33" s="391" t="s">
        <v>69</v>
      </c>
      <c r="AL33" s="391">
        <v>4</v>
      </c>
      <c r="AM33" s="391" t="s">
        <v>69</v>
      </c>
      <c r="AN33" s="391">
        <v>4</v>
      </c>
      <c r="AO33" s="390" t="s">
        <v>69</v>
      </c>
      <c r="AP33" s="391">
        <v>4</v>
      </c>
      <c r="AQ33" s="391">
        <v>4</v>
      </c>
      <c r="AR33" s="391">
        <v>4</v>
      </c>
      <c r="AS33" s="391" t="s">
        <v>69</v>
      </c>
      <c r="AT33" s="391">
        <v>4</v>
      </c>
      <c r="AU33" s="391">
        <v>4</v>
      </c>
      <c r="AV33" s="391" t="s">
        <v>69</v>
      </c>
      <c r="AW33" s="391">
        <v>4</v>
      </c>
      <c r="AX33" s="391">
        <v>4</v>
      </c>
      <c r="AY33" s="391" t="s">
        <v>69</v>
      </c>
      <c r="AZ33" s="391" t="s">
        <v>69</v>
      </c>
      <c r="BA33" s="391">
        <v>4</v>
      </c>
      <c r="BB33" s="391">
        <v>4</v>
      </c>
      <c r="BC33" s="390">
        <v>4</v>
      </c>
      <c r="BD33" s="391">
        <v>4</v>
      </c>
      <c r="BE33" s="391">
        <v>4</v>
      </c>
      <c r="BF33" s="391" t="s">
        <v>69</v>
      </c>
      <c r="BG33" s="391" t="s">
        <v>69</v>
      </c>
      <c r="BH33" s="391" t="s">
        <v>69</v>
      </c>
      <c r="BI33" s="391" t="s">
        <v>69</v>
      </c>
      <c r="BJ33" s="391" t="s">
        <v>69</v>
      </c>
      <c r="BK33" s="391" t="s">
        <v>69</v>
      </c>
      <c r="BL33" s="391" t="s">
        <v>69</v>
      </c>
      <c r="BM33" s="393">
        <v>4</v>
      </c>
      <c r="BN33" s="391" t="s">
        <v>69</v>
      </c>
      <c r="BO33" s="390" t="s">
        <v>69</v>
      </c>
      <c r="BP33" s="391">
        <v>4</v>
      </c>
      <c r="BQ33" s="390">
        <v>4</v>
      </c>
      <c r="BR33" s="391" t="s">
        <v>69</v>
      </c>
      <c r="BS33" s="391" t="s">
        <v>69</v>
      </c>
      <c r="BT33" s="391" t="s">
        <v>69</v>
      </c>
      <c r="BU33" s="391" t="s">
        <v>69</v>
      </c>
      <c r="BV33" s="391" t="s">
        <v>69</v>
      </c>
      <c r="BW33" s="393">
        <v>2</v>
      </c>
      <c r="BX33" s="390" t="s">
        <v>69</v>
      </c>
      <c r="BY33" s="391" t="s">
        <v>69</v>
      </c>
      <c r="BZ33" s="390">
        <v>4</v>
      </c>
      <c r="CA33" s="391" t="s">
        <v>69</v>
      </c>
      <c r="CB33" s="391" t="s">
        <v>69</v>
      </c>
      <c r="CC33" s="391" t="s">
        <v>69</v>
      </c>
      <c r="CD33" s="391">
        <v>4</v>
      </c>
      <c r="CE33" s="391" t="s">
        <v>69</v>
      </c>
      <c r="CF33" s="390" t="s">
        <v>69</v>
      </c>
      <c r="CG33" s="391" t="s">
        <v>69</v>
      </c>
      <c r="CH33" s="391" t="s">
        <v>69</v>
      </c>
      <c r="CI33" s="391" t="s">
        <v>69</v>
      </c>
      <c r="CJ33" s="392" t="s">
        <v>69</v>
      </c>
      <c r="CK33" s="392" t="s">
        <v>69</v>
      </c>
      <c r="CL33" s="392" t="s">
        <v>69</v>
      </c>
      <c r="CM33" s="392" t="s">
        <v>69</v>
      </c>
      <c r="CN33" s="392" t="s">
        <v>69</v>
      </c>
      <c r="CO33" s="392" t="s">
        <v>69</v>
      </c>
      <c r="CP33" s="392" t="s">
        <v>69</v>
      </c>
      <c r="CQ33" s="392" t="s">
        <v>69</v>
      </c>
      <c r="CR33" s="392" t="s">
        <v>69</v>
      </c>
      <c r="CS33" s="391">
        <v>4</v>
      </c>
      <c r="CT33" s="394">
        <v>4</v>
      </c>
      <c r="CU33" s="390" t="s">
        <v>212</v>
      </c>
      <c r="CV33" s="390" t="s">
        <v>212</v>
      </c>
      <c r="CW33" s="393" t="s">
        <v>212</v>
      </c>
      <c r="CX33" s="390" t="s">
        <v>212</v>
      </c>
      <c r="CY33" s="391" t="s">
        <v>212</v>
      </c>
      <c r="CZ33" s="391" t="s">
        <v>69</v>
      </c>
      <c r="DA33" s="391" t="s">
        <v>69</v>
      </c>
      <c r="DB33" s="393" t="s">
        <v>69</v>
      </c>
      <c r="DC33" s="390" t="s">
        <v>69</v>
      </c>
      <c r="DD33" s="391" t="s">
        <v>69</v>
      </c>
      <c r="DE33" s="393" t="s">
        <v>69</v>
      </c>
      <c r="DF33" s="390" t="s">
        <v>69</v>
      </c>
      <c r="DG33" s="391" t="s">
        <v>69</v>
      </c>
      <c r="DH33" s="390" t="s">
        <v>69</v>
      </c>
      <c r="DI33" s="391" t="s">
        <v>69</v>
      </c>
      <c r="DJ33" s="391" t="s">
        <v>69</v>
      </c>
      <c r="DK33" s="391" t="s">
        <v>69</v>
      </c>
      <c r="DL33" s="391" t="s">
        <v>69</v>
      </c>
      <c r="DM33" s="391" t="s">
        <v>69</v>
      </c>
      <c r="DN33" s="391" t="s">
        <v>69</v>
      </c>
      <c r="DO33" s="391">
        <v>3</v>
      </c>
      <c r="DP33" s="391" t="s">
        <v>69</v>
      </c>
      <c r="DQ33" s="391">
        <v>4</v>
      </c>
      <c r="DR33" s="393" t="s">
        <v>69</v>
      </c>
      <c r="DS33" s="391" t="s">
        <v>69</v>
      </c>
      <c r="DT33" s="393">
        <v>4</v>
      </c>
      <c r="DU33" s="398">
        <f t="shared" si="0"/>
        <v>0.5714285714285714</v>
      </c>
      <c r="DV33" s="399">
        <f t="shared" si="1"/>
        <v>0.97222222222222221</v>
      </c>
    </row>
    <row r="34" spans="1:229" s="230" customFormat="1" ht="120" customHeight="1">
      <c r="A34" s="406" t="s">
        <v>639</v>
      </c>
      <c r="B34" s="407" t="s">
        <v>1164</v>
      </c>
      <c r="C34" s="409">
        <v>44175</v>
      </c>
      <c r="D34" s="408" t="s">
        <v>1155</v>
      </c>
      <c r="E34" s="390">
        <v>4</v>
      </c>
      <c r="F34" s="391" t="s">
        <v>69</v>
      </c>
      <c r="G34" s="391">
        <v>4</v>
      </c>
      <c r="H34" s="391" t="s">
        <v>69</v>
      </c>
      <c r="I34" s="391" t="s">
        <v>69</v>
      </c>
      <c r="J34" s="391" t="s">
        <v>212</v>
      </c>
      <c r="K34" s="391" t="s">
        <v>212</v>
      </c>
      <c r="L34" s="391" t="s">
        <v>212</v>
      </c>
      <c r="M34" s="391" t="s">
        <v>212</v>
      </c>
      <c r="N34" s="391">
        <v>4</v>
      </c>
      <c r="O34" s="391" t="s">
        <v>212</v>
      </c>
      <c r="P34" s="391" t="s">
        <v>69</v>
      </c>
      <c r="Q34" s="391" t="s">
        <v>69</v>
      </c>
      <c r="R34" s="391">
        <v>4</v>
      </c>
      <c r="S34" s="391">
        <v>4</v>
      </c>
      <c r="T34" s="391">
        <v>4</v>
      </c>
      <c r="U34" s="391" t="s">
        <v>212</v>
      </c>
      <c r="V34" s="391" t="s">
        <v>212</v>
      </c>
      <c r="W34" s="391" t="s">
        <v>212</v>
      </c>
      <c r="X34" s="391" t="s">
        <v>212</v>
      </c>
      <c r="Y34" s="391">
        <v>4</v>
      </c>
      <c r="Z34" s="391" t="s">
        <v>69</v>
      </c>
      <c r="AA34" s="391" t="s">
        <v>69</v>
      </c>
      <c r="AB34" s="391" t="s">
        <v>69</v>
      </c>
      <c r="AC34" s="391" t="s">
        <v>69</v>
      </c>
      <c r="AD34" s="391" t="s">
        <v>69</v>
      </c>
      <c r="AE34" s="391" t="s">
        <v>69</v>
      </c>
      <c r="AF34" s="391" t="s">
        <v>69</v>
      </c>
      <c r="AG34" s="391" t="s">
        <v>69</v>
      </c>
      <c r="AH34" s="391" t="s">
        <v>69</v>
      </c>
      <c r="AI34" s="391" t="s">
        <v>212</v>
      </c>
      <c r="AJ34" s="391" t="s">
        <v>212</v>
      </c>
      <c r="AK34" s="391" t="s">
        <v>69</v>
      </c>
      <c r="AL34" s="391" t="s">
        <v>69</v>
      </c>
      <c r="AM34" s="391" t="s">
        <v>69</v>
      </c>
      <c r="AN34" s="391" t="s">
        <v>69</v>
      </c>
      <c r="AO34" s="390" t="s">
        <v>69</v>
      </c>
      <c r="AP34" s="391">
        <v>4</v>
      </c>
      <c r="AQ34" s="391">
        <v>4</v>
      </c>
      <c r="AR34" s="391" t="s">
        <v>69</v>
      </c>
      <c r="AS34" s="391" t="s">
        <v>69</v>
      </c>
      <c r="AT34" s="391">
        <v>4</v>
      </c>
      <c r="AU34" s="391" t="s">
        <v>69</v>
      </c>
      <c r="AV34" s="391" t="s">
        <v>69</v>
      </c>
      <c r="AW34" s="391">
        <v>4</v>
      </c>
      <c r="AX34" s="391" t="s">
        <v>69</v>
      </c>
      <c r="AY34" s="391" t="s">
        <v>69</v>
      </c>
      <c r="AZ34" s="391" t="s">
        <v>69</v>
      </c>
      <c r="BA34" s="391" t="s">
        <v>69</v>
      </c>
      <c r="BB34" s="391" t="s">
        <v>69</v>
      </c>
      <c r="BC34" s="390" t="s">
        <v>69</v>
      </c>
      <c r="BD34" s="391" t="s">
        <v>69</v>
      </c>
      <c r="BE34" s="391" t="s">
        <v>69</v>
      </c>
      <c r="BF34" s="391" t="s">
        <v>69</v>
      </c>
      <c r="BG34" s="391" t="s">
        <v>69</v>
      </c>
      <c r="BH34" s="391" t="s">
        <v>69</v>
      </c>
      <c r="BI34" s="391" t="s">
        <v>69</v>
      </c>
      <c r="BJ34" s="391">
        <v>4</v>
      </c>
      <c r="BK34" s="391" t="s">
        <v>69</v>
      </c>
      <c r="BL34" s="391" t="s">
        <v>69</v>
      </c>
      <c r="BM34" s="391" t="s">
        <v>69</v>
      </c>
      <c r="BN34" s="391" t="s">
        <v>69</v>
      </c>
      <c r="BO34" s="390" t="s">
        <v>69</v>
      </c>
      <c r="BP34" s="391" t="s">
        <v>69</v>
      </c>
      <c r="BQ34" s="390">
        <v>4</v>
      </c>
      <c r="BR34" s="391" t="s">
        <v>69</v>
      </c>
      <c r="BS34" s="391" t="s">
        <v>69</v>
      </c>
      <c r="BT34" s="391" t="s">
        <v>69</v>
      </c>
      <c r="BU34" s="391" t="s">
        <v>69</v>
      </c>
      <c r="BV34" s="391" t="s">
        <v>69</v>
      </c>
      <c r="BW34" s="391" t="s">
        <v>69</v>
      </c>
      <c r="BX34" s="390" t="s">
        <v>69</v>
      </c>
      <c r="BY34" s="391">
        <v>4</v>
      </c>
      <c r="BZ34" s="390" t="s">
        <v>69</v>
      </c>
      <c r="CA34" s="391" t="s">
        <v>69</v>
      </c>
      <c r="CB34" s="391" t="s">
        <v>69</v>
      </c>
      <c r="CC34" s="391">
        <v>4</v>
      </c>
      <c r="CD34" s="391" t="s">
        <v>69</v>
      </c>
      <c r="CE34" s="391" t="s">
        <v>69</v>
      </c>
      <c r="CF34" s="390" t="s">
        <v>69</v>
      </c>
      <c r="CG34" s="391" t="s">
        <v>69</v>
      </c>
      <c r="CH34" s="391" t="s">
        <v>69</v>
      </c>
      <c r="CI34" s="391" t="s">
        <v>69</v>
      </c>
      <c r="CJ34" s="392" t="s">
        <v>69</v>
      </c>
      <c r="CK34" s="392" t="s">
        <v>69</v>
      </c>
      <c r="CL34" s="392" t="s">
        <v>69</v>
      </c>
      <c r="CM34" s="392" t="s">
        <v>69</v>
      </c>
      <c r="CN34" s="392" t="s">
        <v>69</v>
      </c>
      <c r="CO34" s="392" t="s">
        <v>69</v>
      </c>
      <c r="CP34" s="392" t="s">
        <v>69</v>
      </c>
      <c r="CQ34" s="392" t="s">
        <v>69</v>
      </c>
      <c r="CR34" s="392" t="s">
        <v>69</v>
      </c>
      <c r="CS34" s="391" t="s">
        <v>69</v>
      </c>
      <c r="CT34" s="391" t="s">
        <v>69</v>
      </c>
      <c r="CU34" s="390" t="s">
        <v>212</v>
      </c>
      <c r="CV34" s="390" t="s">
        <v>212</v>
      </c>
      <c r="CW34" s="391" t="s">
        <v>212</v>
      </c>
      <c r="CX34" s="390" t="s">
        <v>212</v>
      </c>
      <c r="CY34" s="391" t="s">
        <v>212</v>
      </c>
      <c r="CZ34" s="391" t="s">
        <v>69</v>
      </c>
      <c r="DA34" s="391" t="s">
        <v>69</v>
      </c>
      <c r="DB34" s="391" t="s">
        <v>69</v>
      </c>
      <c r="DC34" s="390" t="s">
        <v>69</v>
      </c>
      <c r="DD34" s="391" t="s">
        <v>69</v>
      </c>
      <c r="DE34" s="391" t="s">
        <v>69</v>
      </c>
      <c r="DF34" s="390" t="s">
        <v>69</v>
      </c>
      <c r="DG34" s="391" t="s">
        <v>69</v>
      </c>
      <c r="DH34" s="390" t="s">
        <v>69</v>
      </c>
      <c r="DI34" s="391" t="s">
        <v>69</v>
      </c>
      <c r="DJ34" s="391" t="s">
        <v>69</v>
      </c>
      <c r="DK34" s="391" t="s">
        <v>69</v>
      </c>
      <c r="DL34" s="391" t="s">
        <v>69</v>
      </c>
      <c r="DM34" s="391" t="s">
        <v>69</v>
      </c>
      <c r="DN34" s="391" t="s">
        <v>69</v>
      </c>
      <c r="DO34" s="391" t="s">
        <v>69</v>
      </c>
      <c r="DP34" s="391" t="s">
        <v>69</v>
      </c>
      <c r="DQ34" s="391" t="s">
        <v>69</v>
      </c>
      <c r="DR34" s="391" t="s">
        <v>69</v>
      </c>
      <c r="DS34" s="391" t="s">
        <v>69</v>
      </c>
      <c r="DT34" s="393">
        <v>4</v>
      </c>
      <c r="DU34" s="398">
        <f t="shared" si="0"/>
        <v>0.25396825396825395</v>
      </c>
      <c r="DV34" s="399">
        <f t="shared" si="1"/>
        <v>1</v>
      </c>
    </row>
    <row r="35" spans="1:229" s="230" customFormat="1" ht="120" customHeight="1">
      <c r="A35" s="406" t="s">
        <v>145</v>
      </c>
      <c r="B35" s="407" t="s">
        <v>146</v>
      </c>
      <c r="C35" s="409">
        <v>44115</v>
      </c>
      <c r="D35" s="408" t="s">
        <v>1155</v>
      </c>
      <c r="E35" s="391">
        <v>4</v>
      </c>
      <c r="F35" s="391" t="s">
        <v>69</v>
      </c>
      <c r="G35" s="391">
        <v>4</v>
      </c>
      <c r="H35" s="391">
        <v>4</v>
      </c>
      <c r="I35" s="391" t="s">
        <v>69</v>
      </c>
      <c r="J35" s="391">
        <v>4</v>
      </c>
      <c r="K35" s="391">
        <v>4</v>
      </c>
      <c r="L35" s="391">
        <v>4</v>
      </c>
      <c r="M35" s="391" t="s">
        <v>212</v>
      </c>
      <c r="N35" s="391" t="s">
        <v>212</v>
      </c>
      <c r="O35" s="391" t="s">
        <v>212</v>
      </c>
      <c r="P35" s="391" t="s">
        <v>69</v>
      </c>
      <c r="Q35" s="391" t="s">
        <v>69</v>
      </c>
      <c r="R35" s="391" t="s">
        <v>69</v>
      </c>
      <c r="S35" s="391" t="s">
        <v>69</v>
      </c>
      <c r="T35" s="391" t="s">
        <v>69</v>
      </c>
      <c r="U35" s="391" t="s">
        <v>212</v>
      </c>
      <c r="V35" s="391" t="s">
        <v>212</v>
      </c>
      <c r="W35" s="391">
        <v>3</v>
      </c>
      <c r="X35" s="391" t="s">
        <v>212</v>
      </c>
      <c r="Y35" s="391" t="s">
        <v>212</v>
      </c>
      <c r="Z35" s="391" t="s">
        <v>69</v>
      </c>
      <c r="AA35" s="391" t="s">
        <v>69</v>
      </c>
      <c r="AB35" s="391" t="s">
        <v>69</v>
      </c>
      <c r="AC35" s="391" t="s">
        <v>69</v>
      </c>
      <c r="AD35" s="391" t="s">
        <v>69</v>
      </c>
      <c r="AE35" s="391">
        <v>4</v>
      </c>
      <c r="AF35" s="391">
        <v>4</v>
      </c>
      <c r="AG35" s="391">
        <v>4</v>
      </c>
      <c r="AH35" s="391">
        <v>4</v>
      </c>
      <c r="AI35" s="391" t="s">
        <v>212</v>
      </c>
      <c r="AJ35" s="391" t="s">
        <v>212</v>
      </c>
      <c r="AK35" s="391" t="s">
        <v>69</v>
      </c>
      <c r="AL35" s="391" t="s">
        <v>69</v>
      </c>
      <c r="AM35" s="391">
        <v>4</v>
      </c>
      <c r="AN35" s="391" t="s">
        <v>69</v>
      </c>
      <c r="AO35" s="391">
        <v>4</v>
      </c>
      <c r="AP35" s="391" t="s">
        <v>69</v>
      </c>
      <c r="AQ35" s="391">
        <v>4</v>
      </c>
      <c r="AR35" s="391">
        <v>4</v>
      </c>
      <c r="AS35" s="391" t="s">
        <v>69</v>
      </c>
      <c r="AT35" s="391">
        <v>4</v>
      </c>
      <c r="AU35" s="391">
        <v>4</v>
      </c>
      <c r="AV35" s="391" t="s">
        <v>69</v>
      </c>
      <c r="AW35" s="391">
        <v>4</v>
      </c>
      <c r="AX35" s="391">
        <v>4</v>
      </c>
      <c r="AY35" s="391">
        <v>4</v>
      </c>
      <c r="AZ35" s="391" t="s">
        <v>69</v>
      </c>
      <c r="BA35" s="391" t="s">
        <v>69</v>
      </c>
      <c r="BB35" s="391" t="s">
        <v>69</v>
      </c>
      <c r="BC35" s="391">
        <v>4</v>
      </c>
      <c r="BD35" s="391">
        <v>4</v>
      </c>
      <c r="BE35" s="391" t="s">
        <v>69</v>
      </c>
      <c r="BF35" s="391" t="s">
        <v>69</v>
      </c>
      <c r="BG35" s="391" t="s">
        <v>69</v>
      </c>
      <c r="BH35" s="391" t="s">
        <v>69</v>
      </c>
      <c r="BI35" s="391">
        <v>4</v>
      </c>
      <c r="BJ35" s="391" t="s">
        <v>69</v>
      </c>
      <c r="BK35" s="391" t="s">
        <v>69</v>
      </c>
      <c r="BL35" s="391" t="s">
        <v>69</v>
      </c>
      <c r="BM35" s="391">
        <v>4</v>
      </c>
      <c r="BN35" s="391" t="s">
        <v>69</v>
      </c>
      <c r="BO35" s="391" t="s">
        <v>69</v>
      </c>
      <c r="BP35" s="391" t="s">
        <v>69</v>
      </c>
      <c r="BQ35" s="390">
        <v>4</v>
      </c>
      <c r="BR35" s="391"/>
      <c r="BS35" s="391" t="s">
        <v>69</v>
      </c>
      <c r="BT35" s="391" t="s">
        <v>69</v>
      </c>
      <c r="BU35" s="391" t="s">
        <v>69</v>
      </c>
      <c r="BV35" s="391">
        <v>4</v>
      </c>
      <c r="BW35" s="391">
        <v>4</v>
      </c>
      <c r="BX35" s="391" t="s">
        <v>69</v>
      </c>
      <c r="BY35" s="391" t="s">
        <v>69</v>
      </c>
      <c r="BZ35" s="391" t="s">
        <v>69</v>
      </c>
      <c r="CA35" s="391">
        <v>4</v>
      </c>
      <c r="CB35" s="391" t="s">
        <v>212</v>
      </c>
      <c r="CC35" s="391" t="s">
        <v>212</v>
      </c>
      <c r="CD35" s="391" t="s">
        <v>69</v>
      </c>
      <c r="CE35" s="391" t="s">
        <v>69</v>
      </c>
      <c r="CF35" s="391" t="s">
        <v>69</v>
      </c>
      <c r="CG35" s="391" t="s">
        <v>69</v>
      </c>
      <c r="CH35" s="391" t="s">
        <v>69</v>
      </c>
      <c r="CI35" s="391" t="s">
        <v>69</v>
      </c>
      <c r="CJ35" s="392" t="s">
        <v>69</v>
      </c>
      <c r="CK35" s="392" t="s">
        <v>69</v>
      </c>
      <c r="CL35" s="392" t="s">
        <v>69</v>
      </c>
      <c r="CM35" s="392" t="s">
        <v>69</v>
      </c>
      <c r="CN35" s="392" t="s">
        <v>69</v>
      </c>
      <c r="CO35" s="392" t="s">
        <v>69</v>
      </c>
      <c r="CP35" s="392" t="s">
        <v>69</v>
      </c>
      <c r="CQ35" s="392">
        <v>4</v>
      </c>
      <c r="CR35" s="392" t="s">
        <v>69</v>
      </c>
      <c r="CS35" s="391">
        <v>4</v>
      </c>
      <c r="CT35" s="391">
        <v>4</v>
      </c>
      <c r="CU35" s="390" t="s">
        <v>212</v>
      </c>
      <c r="CV35" s="390" t="s">
        <v>212</v>
      </c>
      <c r="CW35" s="391" t="s">
        <v>212</v>
      </c>
      <c r="CX35" s="391" t="s">
        <v>212</v>
      </c>
      <c r="CY35" s="391" t="s">
        <v>212</v>
      </c>
      <c r="CZ35" s="391" t="s">
        <v>69</v>
      </c>
      <c r="DA35" s="391" t="s">
        <v>69</v>
      </c>
      <c r="DB35" s="391" t="s">
        <v>69</v>
      </c>
      <c r="DC35" s="391" t="s">
        <v>69</v>
      </c>
      <c r="DD35" s="391" t="s">
        <v>69</v>
      </c>
      <c r="DE35" s="391">
        <v>4</v>
      </c>
      <c r="DF35" s="391">
        <v>4</v>
      </c>
      <c r="DG35" s="391">
        <v>3</v>
      </c>
      <c r="DH35" s="391" t="s">
        <v>69</v>
      </c>
      <c r="DI35" s="391" t="s">
        <v>69</v>
      </c>
      <c r="DJ35" s="391" t="s">
        <v>69</v>
      </c>
      <c r="DK35" s="391" t="s">
        <v>69</v>
      </c>
      <c r="DL35" s="391" t="s">
        <v>69</v>
      </c>
      <c r="DM35" s="391" t="s">
        <v>69</v>
      </c>
      <c r="DN35" s="391" t="s">
        <v>69</v>
      </c>
      <c r="DO35" s="391" t="s">
        <v>69</v>
      </c>
      <c r="DP35" s="391" t="s">
        <v>69</v>
      </c>
      <c r="DQ35" s="391" t="s">
        <v>69</v>
      </c>
      <c r="DR35" s="391" t="s">
        <v>69</v>
      </c>
      <c r="DS35" s="391" t="s">
        <v>69</v>
      </c>
      <c r="DT35" s="393">
        <v>4</v>
      </c>
      <c r="DU35" s="398">
        <f t="shared" si="0"/>
        <v>0.55555555555555558</v>
      </c>
      <c r="DV35" s="399">
        <f t="shared" si="1"/>
        <v>1</v>
      </c>
    </row>
    <row r="36" spans="1:229" s="230" customFormat="1" ht="120" customHeight="1">
      <c r="A36" s="406" t="s">
        <v>136</v>
      </c>
      <c r="B36" s="407" t="s">
        <v>137</v>
      </c>
      <c r="C36" s="409">
        <v>44198</v>
      </c>
      <c r="D36" s="408" t="s">
        <v>1155</v>
      </c>
      <c r="E36" s="391">
        <v>4</v>
      </c>
      <c r="F36" s="391" t="s">
        <v>69</v>
      </c>
      <c r="G36" s="391">
        <v>4</v>
      </c>
      <c r="H36" s="391" t="s">
        <v>69</v>
      </c>
      <c r="I36" s="391" t="s">
        <v>69</v>
      </c>
      <c r="J36" s="391" t="s">
        <v>212</v>
      </c>
      <c r="K36" s="391" t="s">
        <v>212</v>
      </c>
      <c r="L36" s="391" t="s">
        <v>212</v>
      </c>
      <c r="M36" s="391" t="s">
        <v>212</v>
      </c>
      <c r="N36" s="391" t="s">
        <v>212</v>
      </c>
      <c r="O36" s="391" t="s">
        <v>212</v>
      </c>
      <c r="P36" s="391" t="s">
        <v>69</v>
      </c>
      <c r="Q36" s="391" t="s">
        <v>69</v>
      </c>
      <c r="R36" s="391">
        <v>4</v>
      </c>
      <c r="S36" s="391">
        <v>4</v>
      </c>
      <c r="T36" s="391">
        <v>4</v>
      </c>
      <c r="U36" s="391" t="s">
        <v>212</v>
      </c>
      <c r="V36" s="391" t="s">
        <v>212</v>
      </c>
      <c r="W36" s="391" t="s">
        <v>212</v>
      </c>
      <c r="X36" s="391" t="s">
        <v>212</v>
      </c>
      <c r="Y36" s="391" t="s">
        <v>212</v>
      </c>
      <c r="Z36" s="391" t="s">
        <v>69</v>
      </c>
      <c r="AA36" s="391" t="s">
        <v>69</v>
      </c>
      <c r="AB36" s="391" t="s">
        <v>69</v>
      </c>
      <c r="AC36" s="391" t="s">
        <v>69</v>
      </c>
      <c r="AD36" s="391" t="s">
        <v>69</v>
      </c>
      <c r="AE36" s="391" t="s">
        <v>69</v>
      </c>
      <c r="AF36" s="391" t="s">
        <v>69</v>
      </c>
      <c r="AG36" s="391">
        <v>4</v>
      </c>
      <c r="AH36" s="391" t="s">
        <v>69</v>
      </c>
      <c r="AI36" s="391" t="s">
        <v>212</v>
      </c>
      <c r="AJ36" s="391" t="s">
        <v>212</v>
      </c>
      <c r="AK36" s="391" t="s">
        <v>69</v>
      </c>
      <c r="AL36" s="391" t="s">
        <v>69</v>
      </c>
      <c r="AM36" s="391" t="s">
        <v>69</v>
      </c>
      <c r="AN36" s="391" t="s">
        <v>69</v>
      </c>
      <c r="AO36" s="391" t="s">
        <v>69</v>
      </c>
      <c r="AP36" s="391">
        <v>4</v>
      </c>
      <c r="AQ36" s="391" t="s">
        <v>69</v>
      </c>
      <c r="AR36" s="391" t="s">
        <v>69</v>
      </c>
      <c r="AS36" s="391" t="s">
        <v>69</v>
      </c>
      <c r="AT36" s="391" t="s">
        <v>69</v>
      </c>
      <c r="AU36" s="391" t="s">
        <v>69</v>
      </c>
      <c r="AV36" s="391" t="s">
        <v>69</v>
      </c>
      <c r="AW36" s="391" t="s">
        <v>69</v>
      </c>
      <c r="AX36" s="391" t="s">
        <v>69</v>
      </c>
      <c r="AY36" s="391" t="s">
        <v>69</v>
      </c>
      <c r="AZ36" s="391" t="s">
        <v>69</v>
      </c>
      <c r="BA36" s="391" t="s">
        <v>69</v>
      </c>
      <c r="BB36" s="391" t="s">
        <v>69</v>
      </c>
      <c r="BC36" s="391">
        <v>4</v>
      </c>
      <c r="BD36" s="391" t="s">
        <v>69</v>
      </c>
      <c r="BE36" s="391">
        <v>4</v>
      </c>
      <c r="BF36" s="391" t="s">
        <v>69</v>
      </c>
      <c r="BG36" s="391" t="s">
        <v>69</v>
      </c>
      <c r="BH36" s="391" t="s">
        <v>69</v>
      </c>
      <c r="BI36" s="391" t="s">
        <v>69</v>
      </c>
      <c r="BJ36" s="391" t="s">
        <v>69</v>
      </c>
      <c r="BK36" s="391" t="s">
        <v>69</v>
      </c>
      <c r="BL36" s="391" t="s">
        <v>69</v>
      </c>
      <c r="BM36" s="391" t="s">
        <v>69</v>
      </c>
      <c r="BN36" s="391" t="s">
        <v>69</v>
      </c>
      <c r="BO36" s="391" t="s">
        <v>69</v>
      </c>
      <c r="BP36" s="391" t="s">
        <v>69</v>
      </c>
      <c r="BQ36" s="390">
        <v>4</v>
      </c>
      <c r="BR36" s="391" t="s">
        <v>69</v>
      </c>
      <c r="BS36" s="391" t="s">
        <v>69</v>
      </c>
      <c r="BT36" s="391" t="s">
        <v>69</v>
      </c>
      <c r="BU36" s="391" t="s">
        <v>69</v>
      </c>
      <c r="BV36" s="391" t="s">
        <v>69</v>
      </c>
      <c r="BW36" s="391" t="s">
        <v>69</v>
      </c>
      <c r="BX36" s="391" t="s">
        <v>69</v>
      </c>
      <c r="BY36" s="391" t="s">
        <v>69</v>
      </c>
      <c r="BZ36" s="391" t="s">
        <v>69</v>
      </c>
      <c r="CA36" s="391" t="s">
        <v>69</v>
      </c>
      <c r="CB36" s="391" t="s">
        <v>69</v>
      </c>
      <c r="CC36" s="391" t="s">
        <v>69</v>
      </c>
      <c r="CD36" s="391" t="s">
        <v>69</v>
      </c>
      <c r="CE36" s="391" t="s">
        <v>69</v>
      </c>
      <c r="CF36" s="391" t="s">
        <v>69</v>
      </c>
      <c r="CG36" s="391" t="s">
        <v>69</v>
      </c>
      <c r="CH36" s="391" t="s">
        <v>69</v>
      </c>
      <c r="CI36" s="391" t="s">
        <v>69</v>
      </c>
      <c r="CJ36" s="392" t="s">
        <v>69</v>
      </c>
      <c r="CK36" s="392" t="s">
        <v>69</v>
      </c>
      <c r="CL36" s="392" t="s">
        <v>69</v>
      </c>
      <c r="CM36" s="392" t="s">
        <v>69</v>
      </c>
      <c r="CN36" s="392" t="s">
        <v>69</v>
      </c>
      <c r="CO36" s="392" t="s">
        <v>69</v>
      </c>
      <c r="CP36" s="392" t="s">
        <v>69</v>
      </c>
      <c r="CQ36" s="392" t="s">
        <v>69</v>
      </c>
      <c r="CR36" s="392" t="s">
        <v>69</v>
      </c>
      <c r="CS36" s="391" t="s">
        <v>69</v>
      </c>
      <c r="CT36" s="391" t="s">
        <v>69</v>
      </c>
      <c r="CU36" s="390" t="s">
        <v>212</v>
      </c>
      <c r="CV36" s="390" t="s">
        <v>212</v>
      </c>
      <c r="CW36" s="391" t="s">
        <v>212</v>
      </c>
      <c r="CX36" s="391" t="s">
        <v>212</v>
      </c>
      <c r="CY36" s="391" t="s">
        <v>212</v>
      </c>
      <c r="CZ36" s="391" t="s">
        <v>69</v>
      </c>
      <c r="DA36" s="391" t="s">
        <v>69</v>
      </c>
      <c r="DB36" s="391" t="s">
        <v>69</v>
      </c>
      <c r="DC36" s="391" t="s">
        <v>69</v>
      </c>
      <c r="DD36" s="391" t="s">
        <v>69</v>
      </c>
      <c r="DE36" s="391" t="s">
        <v>69</v>
      </c>
      <c r="DF36" s="391" t="s">
        <v>69</v>
      </c>
      <c r="DG36" s="391" t="s">
        <v>69</v>
      </c>
      <c r="DH36" s="391" t="s">
        <v>69</v>
      </c>
      <c r="DI36" s="391" t="s">
        <v>69</v>
      </c>
      <c r="DJ36" s="391" t="s">
        <v>69</v>
      </c>
      <c r="DK36" s="391" t="s">
        <v>69</v>
      </c>
      <c r="DL36" s="391" t="s">
        <v>69</v>
      </c>
      <c r="DM36" s="391" t="s">
        <v>69</v>
      </c>
      <c r="DN36" s="391" t="s">
        <v>69</v>
      </c>
      <c r="DO36" s="391" t="s">
        <v>69</v>
      </c>
      <c r="DP36" s="391" t="s">
        <v>69</v>
      </c>
      <c r="DQ36" s="391" t="s">
        <v>69</v>
      </c>
      <c r="DR36" s="391" t="s">
        <v>69</v>
      </c>
      <c r="DS36" s="391" t="s">
        <v>69</v>
      </c>
      <c r="DT36" s="393">
        <v>4</v>
      </c>
      <c r="DU36" s="398">
        <f t="shared" si="0"/>
        <v>0.17460317460317459</v>
      </c>
      <c r="DV36" s="399">
        <f t="shared" si="1"/>
        <v>1</v>
      </c>
    </row>
    <row r="37" spans="1:229" s="230" customFormat="1" ht="120" customHeight="1">
      <c r="A37" s="406" t="s">
        <v>125</v>
      </c>
      <c r="B37" s="407" t="s">
        <v>126</v>
      </c>
      <c r="C37" s="409">
        <v>44441</v>
      </c>
      <c r="D37" s="408" t="s">
        <v>1155</v>
      </c>
      <c r="E37" s="390">
        <v>4</v>
      </c>
      <c r="F37" s="391" t="s">
        <v>69</v>
      </c>
      <c r="G37" s="390">
        <v>4</v>
      </c>
      <c r="H37" s="391">
        <v>4</v>
      </c>
      <c r="I37" s="391" t="s">
        <v>69</v>
      </c>
      <c r="J37" s="391" t="s">
        <v>212</v>
      </c>
      <c r="K37" s="391" t="s">
        <v>212</v>
      </c>
      <c r="L37" s="391" t="s">
        <v>212</v>
      </c>
      <c r="M37" s="391" t="s">
        <v>212</v>
      </c>
      <c r="N37" s="391" t="s">
        <v>212</v>
      </c>
      <c r="O37" s="391" t="s">
        <v>212</v>
      </c>
      <c r="P37" s="391" t="s">
        <v>69</v>
      </c>
      <c r="Q37" s="391" t="s">
        <v>69</v>
      </c>
      <c r="R37" s="391">
        <v>4</v>
      </c>
      <c r="S37" s="391" t="s">
        <v>69</v>
      </c>
      <c r="T37" s="391" t="s">
        <v>69</v>
      </c>
      <c r="U37" s="391" t="s">
        <v>212</v>
      </c>
      <c r="V37" s="391" t="s">
        <v>212</v>
      </c>
      <c r="W37" s="391" t="s">
        <v>212</v>
      </c>
      <c r="X37" s="391">
        <v>4</v>
      </c>
      <c r="Y37" s="391">
        <v>4</v>
      </c>
      <c r="Z37" s="391" t="s">
        <v>69</v>
      </c>
      <c r="AA37" s="391" t="s">
        <v>69</v>
      </c>
      <c r="AB37" s="391" t="s">
        <v>69</v>
      </c>
      <c r="AC37" s="391" t="s">
        <v>69</v>
      </c>
      <c r="AD37" s="391" t="s">
        <v>69</v>
      </c>
      <c r="AE37" s="391" t="s">
        <v>69</v>
      </c>
      <c r="AF37" s="391" t="s">
        <v>69</v>
      </c>
      <c r="AG37" s="391">
        <v>4</v>
      </c>
      <c r="AH37" s="391" t="s">
        <v>69</v>
      </c>
      <c r="AI37" s="391" t="s">
        <v>212</v>
      </c>
      <c r="AJ37" s="391" t="s">
        <v>212</v>
      </c>
      <c r="AK37" s="391" t="s">
        <v>69</v>
      </c>
      <c r="AL37" s="391" t="s">
        <v>69</v>
      </c>
      <c r="AM37" s="391" t="s">
        <v>69</v>
      </c>
      <c r="AN37" s="391" t="s">
        <v>69</v>
      </c>
      <c r="AO37" s="390" t="s">
        <v>69</v>
      </c>
      <c r="AP37" s="391" t="s">
        <v>69</v>
      </c>
      <c r="AQ37" s="391" t="s">
        <v>69</v>
      </c>
      <c r="AR37" s="391" t="s">
        <v>69</v>
      </c>
      <c r="AS37" s="391" t="s">
        <v>69</v>
      </c>
      <c r="AT37" s="391" t="s">
        <v>69</v>
      </c>
      <c r="AU37" s="391" t="s">
        <v>69</v>
      </c>
      <c r="AV37" s="391" t="s">
        <v>69</v>
      </c>
      <c r="AW37" s="391" t="s">
        <v>69</v>
      </c>
      <c r="AX37" s="391" t="s">
        <v>69</v>
      </c>
      <c r="AY37" s="391" t="s">
        <v>69</v>
      </c>
      <c r="AZ37" s="391" t="s">
        <v>69</v>
      </c>
      <c r="BA37" s="391" t="s">
        <v>69</v>
      </c>
      <c r="BB37" s="391" t="s">
        <v>69</v>
      </c>
      <c r="BC37" s="390">
        <v>4</v>
      </c>
      <c r="BD37" s="391">
        <v>4</v>
      </c>
      <c r="BE37" s="391" t="s">
        <v>69</v>
      </c>
      <c r="BF37" s="391" t="s">
        <v>69</v>
      </c>
      <c r="BG37" s="391" t="s">
        <v>69</v>
      </c>
      <c r="BH37" s="391" t="s">
        <v>69</v>
      </c>
      <c r="BI37" s="391" t="s">
        <v>69</v>
      </c>
      <c r="BJ37" s="391">
        <v>4</v>
      </c>
      <c r="BK37" s="391" t="s">
        <v>69</v>
      </c>
      <c r="BL37" s="391" t="s">
        <v>69</v>
      </c>
      <c r="BM37" s="391" t="s">
        <v>69</v>
      </c>
      <c r="BN37" s="391" t="s">
        <v>69</v>
      </c>
      <c r="BO37" s="390" t="s">
        <v>69</v>
      </c>
      <c r="BP37" s="391" t="s">
        <v>69</v>
      </c>
      <c r="BQ37" s="390">
        <v>4</v>
      </c>
      <c r="BR37" s="391" t="s">
        <v>69</v>
      </c>
      <c r="BS37" s="391" t="s">
        <v>69</v>
      </c>
      <c r="BT37" s="391" t="s">
        <v>69</v>
      </c>
      <c r="BU37" s="391" t="s">
        <v>69</v>
      </c>
      <c r="BV37" s="391" t="s">
        <v>69</v>
      </c>
      <c r="BW37" s="391" t="s">
        <v>69</v>
      </c>
      <c r="BX37" s="390" t="s">
        <v>69</v>
      </c>
      <c r="BY37" s="391" t="s">
        <v>69</v>
      </c>
      <c r="BZ37" s="390" t="s">
        <v>69</v>
      </c>
      <c r="CA37" s="391" t="s">
        <v>69</v>
      </c>
      <c r="CB37" s="391" t="s">
        <v>69</v>
      </c>
      <c r="CC37" s="391" t="s">
        <v>69</v>
      </c>
      <c r="CD37" s="391" t="s">
        <v>69</v>
      </c>
      <c r="CE37" s="391" t="s">
        <v>69</v>
      </c>
      <c r="CF37" s="390" t="s">
        <v>69</v>
      </c>
      <c r="CG37" s="391" t="s">
        <v>69</v>
      </c>
      <c r="CH37" s="391" t="s">
        <v>69</v>
      </c>
      <c r="CI37" s="391" t="s">
        <v>69</v>
      </c>
      <c r="CJ37" s="392" t="s">
        <v>69</v>
      </c>
      <c r="CK37" s="392" t="s">
        <v>69</v>
      </c>
      <c r="CL37" s="392" t="s">
        <v>69</v>
      </c>
      <c r="CM37" s="392" t="s">
        <v>69</v>
      </c>
      <c r="CN37" s="392" t="s">
        <v>69</v>
      </c>
      <c r="CO37" s="392" t="s">
        <v>69</v>
      </c>
      <c r="CP37" s="392" t="s">
        <v>69</v>
      </c>
      <c r="CQ37" s="392" t="s">
        <v>69</v>
      </c>
      <c r="CR37" s="392" t="s">
        <v>69</v>
      </c>
      <c r="CS37" s="391" t="s">
        <v>69</v>
      </c>
      <c r="CT37" s="391" t="s">
        <v>69</v>
      </c>
      <c r="CU37" s="390" t="s">
        <v>212</v>
      </c>
      <c r="CV37" s="390" t="s">
        <v>212</v>
      </c>
      <c r="CW37" s="391" t="s">
        <v>212</v>
      </c>
      <c r="CX37" s="390" t="s">
        <v>212</v>
      </c>
      <c r="CY37" s="391" t="s">
        <v>212</v>
      </c>
      <c r="CZ37" s="391" t="s">
        <v>69</v>
      </c>
      <c r="DA37" s="391" t="s">
        <v>69</v>
      </c>
      <c r="DB37" s="391" t="s">
        <v>69</v>
      </c>
      <c r="DC37" s="390" t="s">
        <v>69</v>
      </c>
      <c r="DD37" s="391" t="s">
        <v>69</v>
      </c>
      <c r="DE37" s="391" t="s">
        <v>69</v>
      </c>
      <c r="DF37" s="390" t="s">
        <v>69</v>
      </c>
      <c r="DG37" s="391" t="s">
        <v>69</v>
      </c>
      <c r="DH37" s="390" t="s">
        <v>69</v>
      </c>
      <c r="DI37" s="391" t="s">
        <v>69</v>
      </c>
      <c r="DJ37" s="391" t="s">
        <v>69</v>
      </c>
      <c r="DK37" s="391" t="s">
        <v>69</v>
      </c>
      <c r="DL37" s="391" t="s">
        <v>69</v>
      </c>
      <c r="DM37" s="391" t="s">
        <v>69</v>
      </c>
      <c r="DN37" s="391" t="s">
        <v>69</v>
      </c>
      <c r="DO37" s="391" t="s">
        <v>69</v>
      </c>
      <c r="DP37" s="391" t="s">
        <v>69</v>
      </c>
      <c r="DQ37" s="391" t="s">
        <v>69</v>
      </c>
      <c r="DR37" s="391" t="s">
        <v>69</v>
      </c>
      <c r="DS37" s="391" t="s">
        <v>69</v>
      </c>
      <c r="DT37" s="393">
        <v>4</v>
      </c>
      <c r="DU37" s="398">
        <f t="shared" si="0"/>
        <v>0.19047619047619047</v>
      </c>
      <c r="DV37" s="399">
        <f t="shared" si="1"/>
        <v>1</v>
      </c>
    </row>
    <row r="38" spans="1:229" s="230" customFormat="1" ht="120" customHeight="1">
      <c r="A38" s="406" t="s">
        <v>142</v>
      </c>
      <c r="B38" s="407" t="s">
        <v>143</v>
      </c>
      <c r="C38" s="409">
        <v>44289</v>
      </c>
      <c r="D38" s="408" t="s">
        <v>1155</v>
      </c>
      <c r="E38" s="391">
        <v>4</v>
      </c>
      <c r="F38" s="391" t="s">
        <v>212</v>
      </c>
      <c r="G38" s="391">
        <v>4</v>
      </c>
      <c r="H38" s="391" t="s">
        <v>212</v>
      </c>
      <c r="I38" s="391" t="s">
        <v>212</v>
      </c>
      <c r="J38" s="391">
        <v>4</v>
      </c>
      <c r="K38" s="391" t="s">
        <v>212</v>
      </c>
      <c r="L38" s="391" t="s">
        <v>212</v>
      </c>
      <c r="M38" s="391" t="s">
        <v>212</v>
      </c>
      <c r="N38" s="391" t="s">
        <v>212</v>
      </c>
      <c r="O38" s="391" t="s">
        <v>212</v>
      </c>
      <c r="P38" s="391" t="s">
        <v>69</v>
      </c>
      <c r="Q38" s="391" t="s">
        <v>69</v>
      </c>
      <c r="R38" s="391">
        <v>4</v>
      </c>
      <c r="S38" s="391">
        <v>4</v>
      </c>
      <c r="T38" s="391">
        <v>4</v>
      </c>
      <c r="U38" s="391" t="s">
        <v>212</v>
      </c>
      <c r="V38" s="391" t="s">
        <v>212</v>
      </c>
      <c r="W38" s="391" t="s">
        <v>212</v>
      </c>
      <c r="X38" s="391" t="s">
        <v>212</v>
      </c>
      <c r="Y38" s="391" t="s">
        <v>212</v>
      </c>
      <c r="Z38" s="391" t="s">
        <v>69</v>
      </c>
      <c r="AA38" s="391" t="s">
        <v>69</v>
      </c>
      <c r="AB38" s="391" t="s">
        <v>69</v>
      </c>
      <c r="AC38" s="391" t="s">
        <v>69</v>
      </c>
      <c r="AD38" s="391" t="s">
        <v>69</v>
      </c>
      <c r="AE38" s="391" t="s">
        <v>69</v>
      </c>
      <c r="AF38" s="391" t="s">
        <v>69</v>
      </c>
      <c r="AG38" s="391">
        <v>4</v>
      </c>
      <c r="AH38" s="391" t="s">
        <v>212</v>
      </c>
      <c r="AI38" s="391" t="s">
        <v>212</v>
      </c>
      <c r="AJ38" s="391" t="s">
        <v>212</v>
      </c>
      <c r="AK38" s="391" t="s">
        <v>69</v>
      </c>
      <c r="AL38" s="391" t="s">
        <v>69</v>
      </c>
      <c r="AM38" s="391" t="s">
        <v>69</v>
      </c>
      <c r="AN38" s="391" t="s">
        <v>69</v>
      </c>
      <c r="AO38" s="391" t="s">
        <v>212</v>
      </c>
      <c r="AP38" s="391" t="s">
        <v>212</v>
      </c>
      <c r="AQ38" s="391">
        <v>4</v>
      </c>
      <c r="AR38" s="391" t="s">
        <v>69</v>
      </c>
      <c r="AS38" s="391" t="s">
        <v>69</v>
      </c>
      <c r="AT38" s="391" t="s">
        <v>69</v>
      </c>
      <c r="AU38" s="391" t="s">
        <v>69</v>
      </c>
      <c r="AV38" s="391" t="s">
        <v>69</v>
      </c>
      <c r="AW38" s="391">
        <v>4</v>
      </c>
      <c r="AX38" s="391" t="s">
        <v>69</v>
      </c>
      <c r="AY38" s="391" t="s">
        <v>69</v>
      </c>
      <c r="AZ38" s="391" t="s">
        <v>69</v>
      </c>
      <c r="BA38" s="391" t="s">
        <v>69</v>
      </c>
      <c r="BB38" s="391" t="s">
        <v>69</v>
      </c>
      <c r="BC38" s="391">
        <v>4</v>
      </c>
      <c r="BD38" s="391" t="s">
        <v>212</v>
      </c>
      <c r="BE38" s="391" t="s">
        <v>212</v>
      </c>
      <c r="BF38" s="391" t="s">
        <v>69</v>
      </c>
      <c r="BG38" s="391" t="s">
        <v>69</v>
      </c>
      <c r="BH38" s="391" t="s">
        <v>212</v>
      </c>
      <c r="BI38" s="391" t="s">
        <v>212</v>
      </c>
      <c r="BJ38" s="391">
        <v>4</v>
      </c>
      <c r="BK38" s="391" t="s">
        <v>69</v>
      </c>
      <c r="BL38" s="391" t="s">
        <v>69</v>
      </c>
      <c r="BM38" s="391" t="s">
        <v>212</v>
      </c>
      <c r="BN38" s="391" t="s">
        <v>69</v>
      </c>
      <c r="BO38" s="391">
        <v>4</v>
      </c>
      <c r="BP38" s="391">
        <v>4</v>
      </c>
      <c r="BQ38" s="390">
        <v>4</v>
      </c>
      <c r="BR38" s="391" t="s">
        <v>69</v>
      </c>
      <c r="BS38" s="391" t="s">
        <v>212</v>
      </c>
      <c r="BT38" s="391" t="s">
        <v>69</v>
      </c>
      <c r="BU38" s="391" t="s">
        <v>69</v>
      </c>
      <c r="BV38" s="391" t="s">
        <v>69</v>
      </c>
      <c r="BW38" s="391" t="s">
        <v>212</v>
      </c>
      <c r="BX38" s="391" t="s">
        <v>69</v>
      </c>
      <c r="BY38" s="391" t="s">
        <v>69</v>
      </c>
      <c r="BZ38" s="391" t="s">
        <v>69</v>
      </c>
      <c r="CA38" s="391" t="s">
        <v>69</v>
      </c>
      <c r="CB38" s="391" t="s">
        <v>69</v>
      </c>
      <c r="CC38" s="391" t="s">
        <v>69</v>
      </c>
      <c r="CD38" s="391">
        <v>4</v>
      </c>
      <c r="CE38" s="391" t="s">
        <v>69</v>
      </c>
      <c r="CF38" s="391">
        <v>1</v>
      </c>
      <c r="CG38" s="391" t="s">
        <v>69</v>
      </c>
      <c r="CH38" s="391" t="s">
        <v>69</v>
      </c>
      <c r="CI38" s="391" t="s">
        <v>69</v>
      </c>
      <c r="CJ38" s="392" t="s">
        <v>69</v>
      </c>
      <c r="CK38" s="392" t="s">
        <v>69</v>
      </c>
      <c r="CL38" s="392" t="s">
        <v>69</v>
      </c>
      <c r="CM38" s="392" t="s">
        <v>69</v>
      </c>
      <c r="CN38" s="392" t="s">
        <v>69</v>
      </c>
      <c r="CO38" s="392" t="s">
        <v>69</v>
      </c>
      <c r="CP38" s="392">
        <v>4</v>
      </c>
      <c r="CQ38" s="392">
        <v>4</v>
      </c>
      <c r="CR38" s="392" t="s">
        <v>69</v>
      </c>
      <c r="CS38" s="391">
        <v>4</v>
      </c>
      <c r="CT38" s="391">
        <v>4</v>
      </c>
      <c r="CU38" s="390" t="s">
        <v>212</v>
      </c>
      <c r="CV38" s="390" t="s">
        <v>212</v>
      </c>
      <c r="CW38" s="391">
        <v>4</v>
      </c>
      <c r="CX38" s="391">
        <v>4</v>
      </c>
      <c r="CY38" s="391" t="s">
        <v>212</v>
      </c>
      <c r="CZ38" s="391" t="s">
        <v>69</v>
      </c>
      <c r="DA38" s="391" t="s">
        <v>69</v>
      </c>
      <c r="DB38" s="391" t="s">
        <v>69</v>
      </c>
      <c r="DC38" s="391" t="s">
        <v>69</v>
      </c>
      <c r="DD38" s="391" t="s">
        <v>69</v>
      </c>
      <c r="DE38" s="391">
        <v>3</v>
      </c>
      <c r="DF38" s="391" t="s">
        <v>69</v>
      </c>
      <c r="DG38" s="391" t="s">
        <v>69</v>
      </c>
      <c r="DH38" s="391" t="s">
        <v>69</v>
      </c>
      <c r="DI38" s="391" t="s">
        <v>69</v>
      </c>
      <c r="DJ38" s="391" t="s">
        <v>69</v>
      </c>
      <c r="DK38" s="391">
        <v>4</v>
      </c>
      <c r="DL38" s="391" t="s">
        <v>69</v>
      </c>
      <c r="DM38" s="391" t="s">
        <v>69</v>
      </c>
      <c r="DN38" s="391" t="s">
        <v>69</v>
      </c>
      <c r="DO38" s="391" t="s">
        <v>69</v>
      </c>
      <c r="DP38" s="391" t="s">
        <v>69</v>
      </c>
      <c r="DQ38" s="391" t="s">
        <v>69</v>
      </c>
      <c r="DR38" s="391" t="s">
        <v>69</v>
      </c>
      <c r="DS38" s="391" t="s">
        <v>212</v>
      </c>
      <c r="DT38" s="393">
        <v>4</v>
      </c>
      <c r="DU38" s="398">
        <f t="shared" si="0"/>
        <v>0.3968253968253968</v>
      </c>
      <c r="DV38" s="399">
        <f t="shared" si="1"/>
        <v>1</v>
      </c>
    </row>
    <row r="39" spans="1:229" s="230" customFormat="1" ht="120" customHeight="1">
      <c r="A39" s="406" t="s">
        <v>153</v>
      </c>
      <c r="B39" s="407" t="s">
        <v>154</v>
      </c>
      <c r="C39" s="409">
        <v>44289</v>
      </c>
      <c r="D39" s="408" t="s">
        <v>1155</v>
      </c>
      <c r="E39" s="391" t="s">
        <v>212</v>
      </c>
      <c r="F39" s="391" t="s">
        <v>212</v>
      </c>
      <c r="G39" s="391" t="s">
        <v>212</v>
      </c>
      <c r="H39" s="391" t="s">
        <v>212</v>
      </c>
      <c r="I39" s="391" t="s">
        <v>212</v>
      </c>
      <c r="J39" s="391" t="s">
        <v>212</v>
      </c>
      <c r="K39" s="391" t="s">
        <v>212</v>
      </c>
      <c r="L39" s="391" t="s">
        <v>212</v>
      </c>
      <c r="M39" s="391" t="s">
        <v>212</v>
      </c>
      <c r="N39" s="391" t="s">
        <v>212</v>
      </c>
      <c r="O39" s="391" t="s">
        <v>212</v>
      </c>
      <c r="P39" s="391" t="s">
        <v>69</v>
      </c>
      <c r="Q39" s="391" t="s">
        <v>69</v>
      </c>
      <c r="R39" s="391">
        <v>4</v>
      </c>
      <c r="S39" s="391" t="s">
        <v>212</v>
      </c>
      <c r="T39" s="391" t="s">
        <v>212</v>
      </c>
      <c r="U39" s="391" t="s">
        <v>212</v>
      </c>
      <c r="V39" s="391" t="s">
        <v>212</v>
      </c>
      <c r="W39" s="391" t="s">
        <v>212</v>
      </c>
      <c r="X39" s="391" t="s">
        <v>212</v>
      </c>
      <c r="Y39" s="391" t="s">
        <v>212</v>
      </c>
      <c r="Z39" s="391">
        <v>4</v>
      </c>
      <c r="AA39" s="391" t="s">
        <v>69</v>
      </c>
      <c r="AB39" s="391" t="s">
        <v>69</v>
      </c>
      <c r="AC39" s="391" t="s">
        <v>69</v>
      </c>
      <c r="AD39" s="391" t="s">
        <v>69</v>
      </c>
      <c r="AE39" s="391" t="s">
        <v>69</v>
      </c>
      <c r="AF39" s="391" t="s">
        <v>69</v>
      </c>
      <c r="AG39" s="391">
        <v>4</v>
      </c>
      <c r="AH39" s="391">
        <v>4</v>
      </c>
      <c r="AI39" s="391" t="s">
        <v>212</v>
      </c>
      <c r="AJ39" s="391" t="s">
        <v>212</v>
      </c>
      <c r="AK39" s="391" t="s">
        <v>212</v>
      </c>
      <c r="AL39" s="391" t="s">
        <v>212</v>
      </c>
      <c r="AM39" s="391" t="s">
        <v>69</v>
      </c>
      <c r="AN39" s="391" t="s">
        <v>69</v>
      </c>
      <c r="AO39" s="391" t="s">
        <v>212</v>
      </c>
      <c r="AP39" s="391" t="s">
        <v>212</v>
      </c>
      <c r="AQ39" s="391" t="s">
        <v>69</v>
      </c>
      <c r="AR39" s="391" t="s">
        <v>69</v>
      </c>
      <c r="AS39" s="391" t="s">
        <v>69</v>
      </c>
      <c r="AT39" s="391" t="s">
        <v>69</v>
      </c>
      <c r="AU39" s="391" t="s">
        <v>69</v>
      </c>
      <c r="AV39" s="391" t="s">
        <v>69</v>
      </c>
      <c r="AW39" s="391" t="s">
        <v>69</v>
      </c>
      <c r="AX39" s="391" t="s">
        <v>69</v>
      </c>
      <c r="AY39" s="391" t="s">
        <v>69</v>
      </c>
      <c r="AZ39" s="391" t="s">
        <v>69</v>
      </c>
      <c r="BA39" s="391" t="s">
        <v>69</v>
      </c>
      <c r="BB39" s="391" t="s">
        <v>69</v>
      </c>
      <c r="BC39" s="391">
        <v>4</v>
      </c>
      <c r="BD39" s="391" t="s">
        <v>212</v>
      </c>
      <c r="BE39" s="391" t="s">
        <v>212</v>
      </c>
      <c r="BF39" s="391" t="s">
        <v>69</v>
      </c>
      <c r="BG39" s="391" t="s">
        <v>69</v>
      </c>
      <c r="BH39" s="391" t="s">
        <v>212</v>
      </c>
      <c r="BI39" s="391" t="s">
        <v>212</v>
      </c>
      <c r="BJ39" s="391" t="s">
        <v>212</v>
      </c>
      <c r="BK39" s="391" t="s">
        <v>69</v>
      </c>
      <c r="BL39" s="391" t="s">
        <v>69</v>
      </c>
      <c r="BM39" s="391" t="s">
        <v>212</v>
      </c>
      <c r="BN39" s="391" t="s">
        <v>69</v>
      </c>
      <c r="BO39" s="391" t="s">
        <v>212</v>
      </c>
      <c r="BP39" s="391">
        <v>4</v>
      </c>
      <c r="BQ39" s="390">
        <v>4</v>
      </c>
      <c r="BR39" s="391" t="s">
        <v>212</v>
      </c>
      <c r="BS39" s="391" t="s">
        <v>212</v>
      </c>
      <c r="BT39" s="391" t="s">
        <v>69</v>
      </c>
      <c r="BU39" s="391" t="s">
        <v>69</v>
      </c>
      <c r="BV39" s="391" t="s">
        <v>69</v>
      </c>
      <c r="BW39" s="391">
        <v>4</v>
      </c>
      <c r="BX39" s="391">
        <v>3</v>
      </c>
      <c r="BY39" s="391" t="s">
        <v>212</v>
      </c>
      <c r="BZ39" s="391" t="s">
        <v>212</v>
      </c>
      <c r="CA39" s="391" t="s">
        <v>212</v>
      </c>
      <c r="CB39" s="391" t="s">
        <v>212</v>
      </c>
      <c r="CC39" s="391">
        <v>3</v>
      </c>
      <c r="CD39" s="391">
        <v>3</v>
      </c>
      <c r="CE39" s="391" t="s">
        <v>212</v>
      </c>
      <c r="CF39" s="391" t="s">
        <v>69</v>
      </c>
      <c r="CG39" s="391" t="s">
        <v>69</v>
      </c>
      <c r="CH39" s="391" t="s">
        <v>69</v>
      </c>
      <c r="CI39" s="391" t="s">
        <v>69</v>
      </c>
      <c r="CJ39" s="392" t="s">
        <v>69</v>
      </c>
      <c r="CK39" s="392" t="s">
        <v>69</v>
      </c>
      <c r="CL39" s="392" t="s">
        <v>69</v>
      </c>
      <c r="CM39" s="392" t="s">
        <v>69</v>
      </c>
      <c r="CN39" s="392" t="s">
        <v>69</v>
      </c>
      <c r="CO39" s="392" t="s">
        <v>69</v>
      </c>
      <c r="CP39" s="392" t="s">
        <v>69</v>
      </c>
      <c r="CQ39" s="392" t="s">
        <v>69</v>
      </c>
      <c r="CR39" s="392" t="s">
        <v>69</v>
      </c>
      <c r="CS39" s="391">
        <v>4</v>
      </c>
      <c r="CT39" s="391" t="s">
        <v>69</v>
      </c>
      <c r="CU39" s="390">
        <v>2</v>
      </c>
      <c r="CV39" s="390" t="s">
        <v>212</v>
      </c>
      <c r="CW39" s="391" t="s">
        <v>69</v>
      </c>
      <c r="CX39" s="391" t="s">
        <v>69</v>
      </c>
      <c r="CY39" s="391" t="s">
        <v>69</v>
      </c>
      <c r="CZ39" s="391">
        <v>4</v>
      </c>
      <c r="DA39" s="391" t="s">
        <v>69</v>
      </c>
      <c r="DB39" s="391" t="s">
        <v>212</v>
      </c>
      <c r="DC39" s="391" t="s">
        <v>212</v>
      </c>
      <c r="DD39" s="391">
        <v>4</v>
      </c>
      <c r="DE39" s="391">
        <v>4</v>
      </c>
      <c r="DF39" s="391">
        <v>4</v>
      </c>
      <c r="DG39" s="391" t="s">
        <v>212</v>
      </c>
      <c r="DH39" s="391" t="s">
        <v>212</v>
      </c>
      <c r="DI39" s="391" t="s">
        <v>212</v>
      </c>
      <c r="DJ39" s="391" t="s">
        <v>212</v>
      </c>
      <c r="DK39" s="391" t="s">
        <v>69</v>
      </c>
      <c r="DL39" s="391" t="s">
        <v>69</v>
      </c>
      <c r="DM39" s="391" t="s">
        <v>69</v>
      </c>
      <c r="DN39" s="391" t="s">
        <v>69</v>
      </c>
      <c r="DO39" s="391" t="s">
        <v>69</v>
      </c>
      <c r="DP39" s="391" t="s">
        <v>69</v>
      </c>
      <c r="DQ39" s="391" t="s">
        <v>69</v>
      </c>
      <c r="DR39" s="391" t="s">
        <v>212</v>
      </c>
      <c r="DS39" s="391" t="s">
        <v>212</v>
      </c>
      <c r="DT39" s="390">
        <v>4</v>
      </c>
      <c r="DU39" s="398">
        <f t="shared" si="0"/>
        <v>0.2857142857142857</v>
      </c>
      <c r="DV39" s="399">
        <f t="shared" si="1"/>
        <v>0.94444444444444442</v>
      </c>
    </row>
    <row r="40" spans="1:229" s="230" customFormat="1" ht="120" customHeight="1">
      <c r="A40" s="406" t="s">
        <v>78</v>
      </c>
      <c r="B40" s="407" t="s">
        <v>79</v>
      </c>
      <c r="C40" s="409">
        <v>44686</v>
      </c>
      <c r="D40" s="408" t="s">
        <v>1155</v>
      </c>
      <c r="E40" s="391">
        <v>4</v>
      </c>
      <c r="F40" s="391" t="s">
        <v>212</v>
      </c>
      <c r="G40" s="391">
        <v>4</v>
      </c>
      <c r="H40" s="391" t="s">
        <v>212</v>
      </c>
      <c r="I40" s="391" t="s">
        <v>212</v>
      </c>
      <c r="J40" s="391" t="s">
        <v>212</v>
      </c>
      <c r="K40" s="391" t="s">
        <v>212</v>
      </c>
      <c r="L40" s="391" t="s">
        <v>212</v>
      </c>
      <c r="M40" s="391" t="s">
        <v>212</v>
      </c>
      <c r="N40" s="391">
        <v>4</v>
      </c>
      <c r="O40" s="391" t="s">
        <v>212</v>
      </c>
      <c r="P40" s="391" t="s">
        <v>69</v>
      </c>
      <c r="Q40" s="391" t="s">
        <v>69</v>
      </c>
      <c r="R40" s="391" t="s">
        <v>212</v>
      </c>
      <c r="S40" s="391" t="s">
        <v>212</v>
      </c>
      <c r="T40" s="391" t="s">
        <v>212</v>
      </c>
      <c r="U40" s="391" t="s">
        <v>212</v>
      </c>
      <c r="V40" s="391" t="s">
        <v>212</v>
      </c>
      <c r="W40" s="391" t="s">
        <v>212</v>
      </c>
      <c r="X40" s="391" t="s">
        <v>212</v>
      </c>
      <c r="Y40" s="391" t="s">
        <v>212</v>
      </c>
      <c r="Z40" s="391" t="s">
        <v>69</v>
      </c>
      <c r="AA40" s="391" t="s">
        <v>69</v>
      </c>
      <c r="AB40" s="391" t="s">
        <v>69</v>
      </c>
      <c r="AC40" s="391" t="s">
        <v>69</v>
      </c>
      <c r="AD40" s="391" t="s">
        <v>69</v>
      </c>
      <c r="AE40" s="391" t="s">
        <v>69</v>
      </c>
      <c r="AF40" s="391" t="s">
        <v>69</v>
      </c>
      <c r="AG40" s="391">
        <v>4</v>
      </c>
      <c r="AH40" s="393" t="s">
        <v>212</v>
      </c>
      <c r="AI40" s="391" t="s">
        <v>212</v>
      </c>
      <c r="AJ40" s="391" t="s">
        <v>212</v>
      </c>
      <c r="AK40" s="391" t="s">
        <v>69</v>
      </c>
      <c r="AL40" s="391" t="s">
        <v>69</v>
      </c>
      <c r="AM40" s="391" t="s">
        <v>69</v>
      </c>
      <c r="AN40" s="391" t="s">
        <v>69</v>
      </c>
      <c r="AO40" s="390" t="s">
        <v>212</v>
      </c>
      <c r="AP40" s="391" t="s">
        <v>212</v>
      </c>
      <c r="AQ40" s="391">
        <v>4</v>
      </c>
      <c r="AR40" s="391" t="s">
        <v>69</v>
      </c>
      <c r="AS40" s="391" t="s">
        <v>69</v>
      </c>
      <c r="AT40" s="391" t="s">
        <v>69</v>
      </c>
      <c r="AU40" s="391" t="s">
        <v>69</v>
      </c>
      <c r="AV40" s="391" t="s">
        <v>69</v>
      </c>
      <c r="AW40" s="391">
        <v>4</v>
      </c>
      <c r="AX40" s="391" t="s">
        <v>69</v>
      </c>
      <c r="AY40" s="391" t="s">
        <v>69</v>
      </c>
      <c r="AZ40" s="391" t="s">
        <v>69</v>
      </c>
      <c r="BA40" s="391" t="s">
        <v>69</v>
      </c>
      <c r="BB40" s="391" t="s">
        <v>69</v>
      </c>
      <c r="BC40" s="390" t="s">
        <v>212</v>
      </c>
      <c r="BD40" s="391" t="s">
        <v>212</v>
      </c>
      <c r="BE40" s="391" t="s">
        <v>212</v>
      </c>
      <c r="BF40" s="391" t="s">
        <v>69</v>
      </c>
      <c r="BG40" s="391" t="s">
        <v>69</v>
      </c>
      <c r="BH40" s="391" t="s">
        <v>212</v>
      </c>
      <c r="BI40" s="391" t="s">
        <v>212</v>
      </c>
      <c r="BJ40" s="391" t="s">
        <v>212</v>
      </c>
      <c r="BK40" s="391" t="s">
        <v>69</v>
      </c>
      <c r="BL40" s="391" t="s">
        <v>69</v>
      </c>
      <c r="BM40" s="393" t="s">
        <v>212</v>
      </c>
      <c r="BN40" s="391" t="s">
        <v>69</v>
      </c>
      <c r="BO40" s="390" t="s">
        <v>212</v>
      </c>
      <c r="BP40" s="391" t="s">
        <v>212</v>
      </c>
      <c r="BQ40" s="390">
        <v>4</v>
      </c>
      <c r="BR40" s="391" t="s">
        <v>212</v>
      </c>
      <c r="BS40" s="391" t="s">
        <v>212</v>
      </c>
      <c r="BT40" s="391" t="s">
        <v>69</v>
      </c>
      <c r="BU40" s="391" t="s">
        <v>69</v>
      </c>
      <c r="BV40" s="391">
        <v>3</v>
      </c>
      <c r="BW40" s="393">
        <v>3</v>
      </c>
      <c r="BX40" s="390" t="s">
        <v>212</v>
      </c>
      <c r="BY40" s="391" t="s">
        <v>212</v>
      </c>
      <c r="BZ40" s="390" t="s">
        <v>212</v>
      </c>
      <c r="CA40" s="391" t="s">
        <v>212</v>
      </c>
      <c r="CB40" s="391" t="s">
        <v>212</v>
      </c>
      <c r="CC40" s="391" t="s">
        <v>212</v>
      </c>
      <c r="CD40" s="391">
        <v>4</v>
      </c>
      <c r="CE40" s="391" t="s">
        <v>212</v>
      </c>
      <c r="CF40" s="390" t="s">
        <v>212</v>
      </c>
      <c r="CG40" s="391" t="s">
        <v>212</v>
      </c>
      <c r="CH40" s="391" t="s">
        <v>69</v>
      </c>
      <c r="CI40" s="391" t="s">
        <v>69</v>
      </c>
      <c r="CJ40" s="392" t="s">
        <v>69</v>
      </c>
      <c r="CK40" s="392" t="s">
        <v>69</v>
      </c>
      <c r="CL40" s="392">
        <v>4</v>
      </c>
      <c r="CM40" s="392">
        <v>4</v>
      </c>
      <c r="CN40" s="392" t="s">
        <v>69</v>
      </c>
      <c r="CO40" s="392" t="s">
        <v>69</v>
      </c>
      <c r="CP40" s="392" t="s">
        <v>69</v>
      </c>
      <c r="CQ40" s="392">
        <v>4</v>
      </c>
      <c r="CR40" s="392" t="s">
        <v>69</v>
      </c>
      <c r="CS40" s="391" t="s">
        <v>69</v>
      </c>
      <c r="CT40" s="391" t="s">
        <v>69</v>
      </c>
      <c r="CU40" s="390" t="s">
        <v>212</v>
      </c>
      <c r="CV40" s="390" t="s">
        <v>212</v>
      </c>
      <c r="CW40" s="393">
        <v>3</v>
      </c>
      <c r="CX40" s="390">
        <v>4</v>
      </c>
      <c r="CY40" s="391" t="s">
        <v>212</v>
      </c>
      <c r="CZ40" s="391" t="s">
        <v>69</v>
      </c>
      <c r="DA40" s="391">
        <v>3</v>
      </c>
      <c r="DB40" s="393" t="s">
        <v>212</v>
      </c>
      <c r="DC40" s="390" t="s">
        <v>212</v>
      </c>
      <c r="DD40" s="391" t="s">
        <v>69</v>
      </c>
      <c r="DE40" s="393" t="s">
        <v>69</v>
      </c>
      <c r="DF40" s="390" t="s">
        <v>69</v>
      </c>
      <c r="DG40" s="391" t="s">
        <v>69</v>
      </c>
      <c r="DH40" s="390" t="s">
        <v>69</v>
      </c>
      <c r="DI40" s="391" t="s">
        <v>69</v>
      </c>
      <c r="DJ40" s="391" t="s">
        <v>69</v>
      </c>
      <c r="DK40" s="391" t="s">
        <v>69</v>
      </c>
      <c r="DL40" s="391" t="s">
        <v>69</v>
      </c>
      <c r="DM40" s="391" t="s">
        <v>69</v>
      </c>
      <c r="DN40" s="391" t="s">
        <v>69</v>
      </c>
      <c r="DO40" s="391" t="s">
        <v>69</v>
      </c>
      <c r="DP40" s="391" t="s">
        <v>69</v>
      </c>
      <c r="DQ40" s="391" t="s">
        <v>69</v>
      </c>
      <c r="DR40" s="391" t="s">
        <v>212</v>
      </c>
      <c r="DS40" s="391" t="s">
        <v>69</v>
      </c>
      <c r="DT40" s="393">
        <v>4</v>
      </c>
      <c r="DU40" s="398">
        <f t="shared" si="0"/>
        <v>0.26984126984126983</v>
      </c>
      <c r="DV40" s="399">
        <f t="shared" si="1"/>
        <v>1</v>
      </c>
    </row>
    <row r="41" spans="1:229" s="230" customFormat="1" ht="120" customHeight="1">
      <c r="A41" s="406" t="s">
        <v>632</v>
      </c>
      <c r="B41" s="407" t="s">
        <v>631</v>
      </c>
      <c r="C41" s="409">
        <v>44686</v>
      </c>
      <c r="D41" s="408" t="s">
        <v>1155</v>
      </c>
      <c r="E41" s="391">
        <v>4</v>
      </c>
      <c r="F41" s="391">
        <v>4</v>
      </c>
      <c r="G41" s="391">
        <v>4</v>
      </c>
      <c r="H41" s="391" t="s">
        <v>212</v>
      </c>
      <c r="I41" s="391" t="s">
        <v>212</v>
      </c>
      <c r="J41" s="391">
        <v>3</v>
      </c>
      <c r="K41" s="391" t="s">
        <v>212</v>
      </c>
      <c r="L41" s="391" t="s">
        <v>212</v>
      </c>
      <c r="M41" s="391" t="s">
        <v>212</v>
      </c>
      <c r="N41" s="391">
        <v>4</v>
      </c>
      <c r="O41" s="391">
        <v>4</v>
      </c>
      <c r="P41" s="391" t="s">
        <v>69</v>
      </c>
      <c r="Q41" s="391" t="s">
        <v>69</v>
      </c>
      <c r="R41" s="391" t="s">
        <v>212</v>
      </c>
      <c r="S41" s="391" t="s">
        <v>212</v>
      </c>
      <c r="T41" s="391" t="s">
        <v>212</v>
      </c>
      <c r="U41" s="391" t="s">
        <v>212</v>
      </c>
      <c r="V41" s="391" t="s">
        <v>212</v>
      </c>
      <c r="W41" s="391" t="s">
        <v>212</v>
      </c>
      <c r="X41" s="391" t="s">
        <v>212</v>
      </c>
      <c r="Y41" s="391" t="s">
        <v>212</v>
      </c>
      <c r="Z41" s="391" t="s">
        <v>69</v>
      </c>
      <c r="AA41" s="391" t="s">
        <v>69</v>
      </c>
      <c r="AB41" s="391" t="s">
        <v>69</v>
      </c>
      <c r="AC41" s="391" t="s">
        <v>69</v>
      </c>
      <c r="AD41" s="391" t="s">
        <v>69</v>
      </c>
      <c r="AE41" s="391" t="s">
        <v>69</v>
      </c>
      <c r="AF41" s="391" t="s">
        <v>69</v>
      </c>
      <c r="AG41" s="391" t="s">
        <v>69</v>
      </c>
      <c r="AH41" s="391" t="s">
        <v>212</v>
      </c>
      <c r="AI41" s="391" t="s">
        <v>212</v>
      </c>
      <c r="AJ41" s="391" t="s">
        <v>212</v>
      </c>
      <c r="AK41" s="391" t="s">
        <v>69</v>
      </c>
      <c r="AL41" s="391" t="s">
        <v>69</v>
      </c>
      <c r="AM41" s="391" t="s">
        <v>69</v>
      </c>
      <c r="AN41" s="391" t="s">
        <v>69</v>
      </c>
      <c r="AO41" s="391" t="s">
        <v>212</v>
      </c>
      <c r="AP41" s="391" t="s">
        <v>212</v>
      </c>
      <c r="AQ41" s="391">
        <v>4</v>
      </c>
      <c r="AR41" s="391" t="s">
        <v>69</v>
      </c>
      <c r="AS41" s="391" t="s">
        <v>69</v>
      </c>
      <c r="AT41" s="391">
        <v>4</v>
      </c>
      <c r="AU41" s="391" t="s">
        <v>69</v>
      </c>
      <c r="AV41" s="391" t="s">
        <v>69</v>
      </c>
      <c r="AW41" s="391">
        <v>4</v>
      </c>
      <c r="AX41" s="391" t="s">
        <v>69</v>
      </c>
      <c r="AY41" s="391" t="s">
        <v>69</v>
      </c>
      <c r="AZ41" s="391" t="s">
        <v>69</v>
      </c>
      <c r="BA41" s="391" t="s">
        <v>69</v>
      </c>
      <c r="BB41" s="391" t="s">
        <v>69</v>
      </c>
      <c r="BC41" s="391">
        <v>4</v>
      </c>
      <c r="BD41" s="391" t="s">
        <v>212</v>
      </c>
      <c r="BE41" s="391">
        <v>4</v>
      </c>
      <c r="BF41" s="391" t="s">
        <v>69</v>
      </c>
      <c r="BG41" s="391" t="s">
        <v>69</v>
      </c>
      <c r="BH41" s="391" t="s">
        <v>212</v>
      </c>
      <c r="BI41" s="391" t="s">
        <v>212</v>
      </c>
      <c r="BJ41" s="391" t="s">
        <v>212</v>
      </c>
      <c r="BK41" s="391" t="s">
        <v>69</v>
      </c>
      <c r="BL41" s="391" t="s">
        <v>69</v>
      </c>
      <c r="BM41" s="391" t="s">
        <v>212</v>
      </c>
      <c r="BN41" s="391" t="s">
        <v>69</v>
      </c>
      <c r="BO41" s="391" t="s">
        <v>212</v>
      </c>
      <c r="BP41" s="391" t="s">
        <v>212</v>
      </c>
      <c r="BQ41" s="390">
        <v>4</v>
      </c>
      <c r="BR41" s="391" t="s">
        <v>212</v>
      </c>
      <c r="BS41" s="391" t="s">
        <v>212</v>
      </c>
      <c r="BT41" s="391" t="s">
        <v>69</v>
      </c>
      <c r="BU41" s="391" t="s">
        <v>69</v>
      </c>
      <c r="BV41" s="391" t="s">
        <v>69</v>
      </c>
      <c r="BW41" s="391" t="s">
        <v>212</v>
      </c>
      <c r="BX41" s="391" t="s">
        <v>212</v>
      </c>
      <c r="BY41" s="391" t="s">
        <v>212</v>
      </c>
      <c r="BZ41" s="391" t="s">
        <v>212</v>
      </c>
      <c r="CA41" s="391" t="s">
        <v>212</v>
      </c>
      <c r="CB41" s="391" t="s">
        <v>212</v>
      </c>
      <c r="CC41" s="391" t="s">
        <v>212</v>
      </c>
      <c r="CD41" s="391" t="s">
        <v>212</v>
      </c>
      <c r="CE41" s="391" t="s">
        <v>212</v>
      </c>
      <c r="CF41" s="391" t="s">
        <v>212</v>
      </c>
      <c r="CG41" s="391" t="s">
        <v>212</v>
      </c>
      <c r="CH41" s="391">
        <v>4</v>
      </c>
      <c r="CI41" s="391" t="s">
        <v>212</v>
      </c>
      <c r="CJ41" s="392" t="s">
        <v>69</v>
      </c>
      <c r="CK41" s="392" t="s">
        <v>69</v>
      </c>
      <c r="CL41" s="392" t="s">
        <v>69</v>
      </c>
      <c r="CM41" s="392" t="s">
        <v>69</v>
      </c>
      <c r="CN41" s="392" t="s">
        <v>69</v>
      </c>
      <c r="CO41" s="392" t="s">
        <v>69</v>
      </c>
      <c r="CP41" s="392" t="s">
        <v>69</v>
      </c>
      <c r="CQ41" s="392" t="s">
        <v>69</v>
      </c>
      <c r="CR41" s="392" t="s">
        <v>69</v>
      </c>
      <c r="CS41" s="391">
        <v>4</v>
      </c>
      <c r="CT41" s="391">
        <v>4</v>
      </c>
      <c r="CU41" s="390" t="s">
        <v>212</v>
      </c>
      <c r="CV41" s="390" t="s">
        <v>212</v>
      </c>
      <c r="CW41" s="391" t="s">
        <v>212</v>
      </c>
      <c r="CX41" s="391" t="s">
        <v>212</v>
      </c>
      <c r="CY41" s="391" t="s">
        <v>212</v>
      </c>
      <c r="CZ41" s="391" t="s">
        <v>69</v>
      </c>
      <c r="DA41" s="391" t="s">
        <v>69</v>
      </c>
      <c r="DB41" s="391" t="s">
        <v>212</v>
      </c>
      <c r="DC41" s="391" t="s">
        <v>212</v>
      </c>
      <c r="DD41" s="391" t="s">
        <v>69</v>
      </c>
      <c r="DE41" s="391" t="s">
        <v>69</v>
      </c>
      <c r="DF41" s="391" t="s">
        <v>69</v>
      </c>
      <c r="DG41" s="391" t="s">
        <v>69</v>
      </c>
      <c r="DH41" s="391" t="s">
        <v>69</v>
      </c>
      <c r="DI41" s="391" t="s">
        <v>69</v>
      </c>
      <c r="DJ41" s="391" t="s">
        <v>69</v>
      </c>
      <c r="DK41" s="391">
        <v>4</v>
      </c>
      <c r="DL41" s="391">
        <v>4</v>
      </c>
      <c r="DM41" s="391">
        <v>3</v>
      </c>
      <c r="DN41" s="391" t="s">
        <v>69</v>
      </c>
      <c r="DO41" s="391" t="s">
        <v>69</v>
      </c>
      <c r="DP41" s="391" t="s">
        <v>69</v>
      </c>
      <c r="DQ41" s="391" t="s">
        <v>69</v>
      </c>
      <c r="DR41" s="391" t="s">
        <v>212</v>
      </c>
      <c r="DS41" s="391" t="s">
        <v>212</v>
      </c>
      <c r="DT41" s="393">
        <v>4</v>
      </c>
      <c r="DU41" s="398">
        <f t="shared" si="0"/>
        <v>0.30158730158730157</v>
      </c>
      <c r="DV41" s="399">
        <f t="shared" si="1"/>
        <v>1</v>
      </c>
    </row>
    <row r="42" spans="1:229" s="230" customFormat="1" ht="120" customHeight="1">
      <c r="A42" s="406" t="s">
        <v>151</v>
      </c>
      <c r="B42" s="407" t="s">
        <v>152</v>
      </c>
      <c r="C42" s="409" t="s">
        <v>614</v>
      </c>
      <c r="D42" s="408" t="s">
        <v>1155</v>
      </c>
      <c r="E42" s="391">
        <v>3</v>
      </c>
      <c r="F42" s="391" t="s">
        <v>212</v>
      </c>
      <c r="G42" s="391">
        <v>3</v>
      </c>
      <c r="H42" s="391" t="s">
        <v>212</v>
      </c>
      <c r="I42" s="391" t="s">
        <v>212</v>
      </c>
      <c r="J42" s="391" t="s">
        <v>212</v>
      </c>
      <c r="K42" s="391" t="s">
        <v>212</v>
      </c>
      <c r="L42" s="391" t="s">
        <v>212</v>
      </c>
      <c r="M42" s="391" t="s">
        <v>212</v>
      </c>
      <c r="N42" s="391" t="s">
        <v>212</v>
      </c>
      <c r="O42" s="391" t="s">
        <v>212</v>
      </c>
      <c r="P42" s="391" t="s">
        <v>69</v>
      </c>
      <c r="Q42" s="391" t="s">
        <v>69</v>
      </c>
      <c r="R42" s="391" t="s">
        <v>212</v>
      </c>
      <c r="S42" s="391" t="s">
        <v>212</v>
      </c>
      <c r="T42" s="391" t="s">
        <v>212</v>
      </c>
      <c r="U42" s="391" t="s">
        <v>212</v>
      </c>
      <c r="V42" s="391" t="s">
        <v>212</v>
      </c>
      <c r="W42" s="391" t="s">
        <v>212</v>
      </c>
      <c r="X42" s="391" t="s">
        <v>212</v>
      </c>
      <c r="Y42" s="391" t="s">
        <v>212</v>
      </c>
      <c r="Z42" s="391" t="s">
        <v>69</v>
      </c>
      <c r="AA42" s="391" t="s">
        <v>69</v>
      </c>
      <c r="AB42" s="391" t="s">
        <v>69</v>
      </c>
      <c r="AC42" s="391" t="s">
        <v>69</v>
      </c>
      <c r="AD42" s="391" t="s">
        <v>69</v>
      </c>
      <c r="AE42" s="391" t="s">
        <v>69</v>
      </c>
      <c r="AF42" s="391" t="s">
        <v>69</v>
      </c>
      <c r="AG42" s="391" t="s">
        <v>212</v>
      </c>
      <c r="AH42" s="391" t="s">
        <v>212</v>
      </c>
      <c r="AI42" s="391" t="s">
        <v>212</v>
      </c>
      <c r="AJ42" s="391" t="s">
        <v>212</v>
      </c>
      <c r="AK42" s="391" t="s">
        <v>69</v>
      </c>
      <c r="AL42" s="391" t="s">
        <v>69</v>
      </c>
      <c r="AM42" s="391" t="s">
        <v>69</v>
      </c>
      <c r="AN42" s="391" t="s">
        <v>69</v>
      </c>
      <c r="AO42" s="391" t="s">
        <v>212</v>
      </c>
      <c r="AP42" s="391" t="s">
        <v>212</v>
      </c>
      <c r="AQ42" s="391" t="s">
        <v>69</v>
      </c>
      <c r="AR42" s="391" t="s">
        <v>69</v>
      </c>
      <c r="AS42" s="391" t="s">
        <v>69</v>
      </c>
      <c r="AT42" s="391" t="s">
        <v>69</v>
      </c>
      <c r="AU42" s="391" t="s">
        <v>69</v>
      </c>
      <c r="AV42" s="391" t="s">
        <v>69</v>
      </c>
      <c r="AW42" s="391" t="s">
        <v>69</v>
      </c>
      <c r="AX42" s="391" t="s">
        <v>69</v>
      </c>
      <c r="AY42" s="391" t="s">
        <v>69</v>
      </c>
      <c r="AZ42" s="391" t="s">
        <v>69</v>
      </c>
      <c r="BA42" s="391" t="s">
        <v>69</v>
      </c>
      <c r="BB42" s="391" t="s">
        <v>69</v>
      </c>
      <c r="BC42" s="391" t="s">
        <v>212</v>
      </c>
      <c r="BD42" s="391" t="s">
        <v>212</v>
      </c>
      <c r="BE42" s="391" t="s">
        <v>212</v>
      </c>
      <c r="BF42" s="391" t="s">
        <v>69</v>
      </c>
      <c r="BG42" s="391" t="s">
        <v>69</v>
      </c>
      <c r="BH42" s="391" t="s">
        <v>212</v>
      </c>
      <c r="BI42" s="391" t="s">
        <v>212</v>
      </c>
      <c r="BJ42" s="391" t="s">
        <v>212</v>
      </c>
      <c r="BK42" s="391" t="s">
        <v>69</v>
      </c>
      <c r="BL42" s="391" t="s">
        <v>69</v>
      </c>
      <c r="BM42" s="391" t="s">
        <v>212</v>
      </c>
      <c r="BN42" s="391" t="s">
        <v>69</v>
      </c>
      <c r="BO42" s="391" t="s">
        <v>212</v>
      </c>
      <c r="BP42" s="391" t="s">
        <v>212</v>
      </c>
      <c r="BQ42" s="390">
        <v>4</v>
      </c>
      <c r="BR42" s="391" t="s">
        <v>212</v>
      </c>
      <c r="BS42" s="391" t="s">
        <v>212</v>
      </c>
      <c r="BT42" s="391" t="s">
        <v>69</v>
      </c>
      <c r="BU42" s="391" t="s">
        <v>69</v>
      </c>
      <c r="BV42" s="391" t="s">
        <v>69</v>
      </c>
      <c r="BW42" s="391" t="s">
        <v>212</v>
      </c>
      <c r="BX42" s="391" t="s">
        <v>212</v>
      </c>
      <c r="BY42" s="391" t="s">
        <v>212</v>
      </c>
      <c r="BZ42" s="391" t="s">
        <v>212</v>
      </c>
      <c r="CA42" s="391" t="s">
        <v>212</v>
      </c>
      <c r="CB42" s="391" t="s">
        <v>212</v>
      </c>
      <c r="CC42" s="391" t="s">
        <v>212</v>
      </c>
      <c r="CD42" s="391" t="s">
        <v>212</v>
      </c>
      <c r="CE42" s="391" t="s">
        <v>212</v>
      </c>
      <c r="CF42" s="391" t="s">
        <v>212</v>
      </c>
      <c r="CG42" s="391" t="s">
        <v>212</v>
      </c>
      <c r="CH42" s="391">
        <v>4</v>
      </c>
      <c r="CI42" s="391" t="s">
        <v>212</v>
      </c>
      <c r="CJ42" s="392" t="s">
        <v>69</v>
      </c>
      <c r="CK42" s="392" t="s">
        <v>69</v>
      </c>
      <c r="CL42" s="392" t="s">
        <v>69</v>
      </c>
      <c r="CM42" s="392" t="s">
        <v>69</v>
      </c>
      <c r="CN42" s="392" t="s">
        <v>69</v>
      </c>
      <c r="CO42" s="392" t="s">
        <v>69</v>
      </c>
      <c r="CP42" s="392" t="s">
        <v>69</v>
      </c>
      <c r="CQ42" s="392" t="s">
        <v>69</v>
      </c>
      <c r="CR42" s="392" t="s">
        <v>69</v>
      </c>
      <c r="CS42" s="391" t="s">
        <v>212</v>
      </c>
      <c r="CT42" s="391" t="s">
        <v>212</v>
      </c>
      <c r="CU42" s="390" t="s">
        <v>212</v>
      </c>
      <c r="CV42" s="390" t="s">
        <v>212</v>
      </c>
      <c r="CW42" s="391" t="s">
        <v>212</v>
      </c>
      <c r="CX42" s="391" t="s">
        <v>212</v>
      </c>
      <c r="CY42" s="391" t="s">
        <v>212</v>
      </c>
      <c r="CZ42" s="391" t="s">
        <v>212</v>
      </c>
      <c r="DA42" s="391" t="s">
        <v>212</v>
      </c>
      <c r="DB42" s="391" t="s">
        <v>212</v>
      </c>
      <c r="DC42" s="391" t="s">
        <v>212</v>
      </c>
      <c r="DD42" s="391" t="s">
        <v>212</v>
      </c>
      <c r="DE42" s="391" t="s">
        <v>212</v>
      </c>
      <c r="DF42" s="391" t="s">
        <v>212</v>
      </c>
      <c r="DG42" s="391" t="s">
        <v>212</v>
      </c>
      <c r="DH42" s="391" t="s">
        <v>212</v>
      </c>
      <c r="DI42" s="391" t="s">
        <v>212</v>
      </c>
      <c r="DJ42" s="391" t="s">
        <v>212</v>
      </c>
      <c r="DK42" s="391" t="s">
        <v>69</v>
      </c>
      <c r="DL42" s="391" t="s">
        <v>69</v>
      </c>
      <c r="DM42" s="391" t="s">
        <v>69</v>
      </c>
      <c r="DN42" s="391" t="s">
        <v>69</v>
      </c>
      <c r="DO42" s="391" t="s">
        <v>69</v>
      </c>
      <c r="DP42" s="391" t="s">
        <v>69</v>
      </c>
      <c r="DQ42" s="391" t="s">
        <v>69</v>
      </c>
      <c r="DR42" s="391">
        <v>3</v>
      </c>
      <c r="DS42" s="391">
        <v>4</v>
      </c>
      <c r="DT42" s="393" t="s">
        <v>212</v>
      </c>
      <c r="DU42" s="398">
        <f t="shared" si="0"/>
        <v>9.5238095238095233E-2</v>
      </c>
      <c r="DV42" s="399">
        <f t="shared" si="1"/>
        <v>1</v>
      </c>
    </row>
    <row r="43" spans="1:229" s="230" customFormat="1" ht="120" customHeight="1">
      <c r="A43" s="406" t="s">
        <v>157</v>
      </c>
      <c r="B43" s="407" t="s">
        <v>158</v>
      </c>
      <c r="C43" s="409">
        <v>44958</v>
      </c>
      <c r="D43" s="408" t="s">
        <v>1155</v>
      </c>
      <c r="E43" s="391">
        <v>4</v>
      </c>
      <c r="F43" s="391" t="s">
        <v>212</v>
      </c>
      <c r="G43" s="391">
        <v>4</v>
      </c>
      <c r="H43" s="391" t="s">
        <v>212</v>
      </c>
      <c r="I43" s="391" t="s">
        <v>212</v>
      </c>
      <c r="J43" s="391" t="s">
        <v>212</v>
      </c>
      <c r="K43" s="391">
        <v>4</v>
      </c>
      <c r="L43" s="391" t="s">
        <v>212</v>
      </c>
      <c r="M43" s="391" t="s">
        <v>212</v>
      </c>
      <c r="N43" s="391" t="s">
        <v>212</v>
      </c>
      <c r="O43" s="391" t="s">
        <v>212</v>
      </c>
      <c r="P43" s="391">
        <v>4</v>
      </c>
      <c r="Q43" s="391" t="s">
        <v>69</v>
      </c>
      <c r="R43" s="391" t="s">
        <v>212</v>
      </c>
      <c r="S43" s="391" t="s">
        <v>212</v>
      </c>
      <c r="T43" s="391" t="s">
        <v>212</v>
      </c>
      <c r="U43" s="391" t="s">
        <v>212</v>
      </c>
      <c r="V43" s="391" t="s">
        <v>212</v>
      </c>
      <c r="W43" s="391">
        <v>4</v>
      </c>
      <c r="X43" s="391">
        <v>4</v>
      </c>
      <c r="Y43" s="391" t="s">
        <v>212</v>
      </c>
      <c r="Z43" s="391" t="s">
        <v>69</v>
      </c>
      <c r="AA43" s="391" t="s">
        <v>69</v>
      </c>
      <c r="AB43" s="391" t="s">
        <v>69</v>
      </c>
      <c r="AC43" s="391" t="s">
        <v>69</v>
      </c>
      <c r="AD43" s="391" t="s">
        <v>69</v>
      </c>
      <c r="AE43" s="391" t="s">
        <v>69</v>
      </c>
      <c r="AF43" s="391" t="s">
        <v>69</v>
      </c>
      <c r="AG43" s="391" t="s">
        <v>212</v>
      </c>
      <c r="AH43" s="391" t="s">
        <v>212</v>
      </c>
      <c r="AI43" s="391" t="s">
        <v>212</v>
      </c>
      <c r="AJ43" s="391" t="s">
        <v>212</v>
      </c>
      <c r="AK43" s="391" t="s">
        <v>69</v>
      </c>
      <c r="AL43" s="391" t="s">
        <v>69</v>
      </c>
      <c r="AM43" s="391" t="s">
        <v>69</v>
      </c>
      <c r="AN43" s="391" t="s">
        <v>69</v>
      </c>
      <c r="AO43" s="391" t="s">
        <v>212</v>
      </c>
      <c r="AP43" s="391" t="s">
        <v>212</v>
      </c>
      <c r="AQ43" s="391" t="s">
        <v>69</v>
      </c>
      <c r="AR43" s="390">
        <v>4</v>
      </c>
      <c r="AS43" s="391" t="s">
        <v>69</v>
      </c>
      <c r="AT43" s="391" t="s">
        <v>69</v>
      </c>
      <c r="AU43" s="390">
        <v>4</v>
      </c>
      <c r="AV43" s="391" t="s">
        <v>69</v>
      </c>
      <c r="AW43" s="391" t="s">
        <v>69</v>
      </c>
      <c r="AX43" s="391">
        <v>4</v>
      </c>
      <c r="AY43" s="391" t="s">
        <v>69</v>
      </c>
      <c r="AZ43" s="391" t="s">
        <v>69</v>
      </c>
      <c r="BA43" s="391" t="s">
        <v>69</v>
      </c>
      <c r="BB43" s="391" t="s">
        <v>69</v>
      </c>
      <c r="BC43" s="391">
        <v>4</v>
      </c>
      <c r="BD43" s="391">
        <v>4</v>
      </c>
      <c r="BE43" s="391">
        <v>4</v>
      </c>
      <c r="BF43" s="391" t="s">
        <v>69</v>
      </c>
      <c r="BG43" s="391" t="s">
        <v>69</v>
      </c>
      <c r="BH43" s="391" t="s">
        <v>212</v>
      </c>
      <c r="BI43" s="391" t="s">
        <v>212</v>
      </c>
      <c r="BJ43" s="391" t="s">
        <v>212</v>
      </c>
      <c r="BK43" s="391" t="s">
        <v>69</v>
      </c>
      <c r="BL43" s="391" t="s">
        <v>69</v>
      </c>
      <c r="BM43" s="391" t="s">
        <v>212</v>
      </c>
      <c r="BN43" s="391" t="s">
        <v>69</v>
      </c>
      <c r="BO43" s="391" t="s">
        <v>212</v>
      </c>
      <c r="BP43" s="391">
        <v>4</v>
      </c>
      <c r="BQ43" s="390">
        <v>4</v>
      </c>
      <c r="BR43" s="391" t="s">
        <v>212</v>
      </c>
      <c r="BS43" s="391" t="s">
        <v>212</v>
      </c>
      <c r="BT43" s="391" t="s">
        <v>69</v>
      </c>
      <c r="BU43" s="391" t="s">
        <v>69</v>
      </c>
      <c r="BV43" s="391" t="s">
        <v>69</v>
      </c>
      <c r="BW43" s="391" t="s">
        <v>212</v>
      </c>
      <c r="BX43" s="391" t="s">
        <v>212</v>
      </c>
      <c r="BY43" s="391" t="s">
        <v>212</v>
      </c>
      <c r="BZ43" s="391" t="s">
        <v>212</v>
      </c>
      <c r="CA43" s="391" t="s">
        <v>212</v>
      </c>
      <c r="CB43" s="391" t="s">
        <v>212</v>
      </c>
      <c r="CC43" s="391" t="s">
        <v>212</v>
      </c>
      <c r="CD43" s="391" t="s">
        <v>212</v>
      </c>
      <c r="CE43" s="391" t="s">
        <v>212</v>
      </c>
      <c r="CF43" s="391" t="s">
        <v>212</v>
      </c>
      <c r="CG43" s="391" t="s">
        <v>212</v>
      </c>
      <c r="CH43" s="391">
        <v>4</v>
      </c>
      <c r="CI43" s="391">
        <v>4</v>
      </c>
      <c r="CJ43" s="392">
        <v>4</v>
      </c>
      <c r="CK43" s="392">
        <v>4</v>
      </c>
      <c r="CL43" s="392">
        <v>4</v>
      </c>
      <c r="CM43" s="392" t="s">
        <v>69</v>
      </c>
      <c r="CN43" s="392">
        <v>4</v>
      </c>
      <c r="CO43" s="392">
        <v>4</v>
      </c>
      <c r="CP43" s="392" t="s">
        <v>69</v>
      </c>
      <c r="CQ43" s="392" t="s">
        <v>69</v>
      </c>
      <c r="CR43" s="392" t="s">
        <v>69</v>
      </c>
      <c r="CS43" s="391" t="s">
        <v>212</v>
      </c>
      <c r="CT43" s="391" t="s">
        <v>212</v>
      </c>
      <c r="CU43" s="390" t="s">
        <v>212</v>
      </c>
      <c r="CV43" s="390" t="s">
        <v>212</v>
      </c>
      <c r="CW43" s="391" t="s">
        <v>212</v>
      </c>
      <c r="CX43" s="391" t="s">
        <v>212</v>
      </c>
      <c r="CY43" s="391" t="s">
        <v>212</v>
      </c>
      <c r="CZ43" s="391" t="s">
        <v>212</v>
      </c>
      <c r="DA43" s="391" t="s">
        <v>69</v>
      </c>
      <c r="DB43" s="391" t="s">
        <v>212</v>
      </c>
      <c r="DC43" s="391" t="s">
        <v>212</v>
      </c>
      <c r="DD43" s="391" t="s">
        <v>69</v>
      </c>
      <c r="DE43" s="391" t="s">
        <v>69</v>
      </c>
      <c r="DF43" s="391" t="s">
        <v>69</v>
      </c>
      <c r="DG43" s="391" t="s">
        <v>212</v>
      </c>
      <c r="DH43" s="391" t="s">
        <v>212</v>
      </c>
      <c r="DI43" s="391" t="s">
        <v>212</v>
      </c>
      <c r="DJ43" s="391" t="s">
        <v>212</v>
      </c>
      <c r="DK43" s="391" t="s">
        <v>69</v>
      </c>
      <c r="DL43" s="391" t="s">
        <v>69</v>
      </c>
      <c r="DM43" s="391" t="s">
        <v>69</v>
      </c>
      <c r="DN43" s="391" t="s">
        <v>69</v>
      </c>
      <c r="DO43" s="391" t="s">
        <v>69</v>
      </c>
      <c r="DP43" s="391" t="s">
        <v>69</v>
      </c>
      <c r="DQ43" s="391" t="s">
        <v>69</v>
      </c>
      <c r="DR43" s="391" t="s">
        <v>212</v>
      </c>
      <c r="DS43" s="391" t="s">
        <v>212</v>
      </c>
      <c r="DT43" s="390">
        <v>4</v>
      </c>
      <c r="DU43" s="398">
        <f t="shared" si="0"/>
        <v>0.34920634920634919</v>
      </c>
      <c r="DV43" s="399">
        <f t="shared" si="1"/>
        <v>1</v>
      </c>
    </row>
    <row r="44" spans="1:229" s="230" customFormat="1" ht="120" customHeight="1">
      <c r="A44" s="406" t="s">
        <v>163</v>
      </c>
      <c r="B44" s="407" t="s">
        <v>164</v>
      </c>
      <c r="C44" s="409">
        <v>45020</v>
      </c>
      <c r="D44" s="408" t="s">
        <v>1155</v>
      </c>
      <c r="E44" s="390" t="s">
        <v>212</v>
      </c>
      <c r="F44" s="391">
        <v>4</v>
      </c>
      <c r="G44" s="390" t="s">
        <v>212</v>
      </c>
      <c r="H44" s="391">
        <v>4</v>
      </c>
      <c r="I44" s="391" t="s">
        <v>212</v>
      </c>
      <c r="J44" s="391" t="s">
        <v>212</v>
      </c>
      <c r="K44" s="391" t="s">
        <v>212</v>
      </c>
      <c r="L44" s="391" t="s">
        <v>212</v>
      </c>
      <c r="M44" s="391" t="s">
        <v>212</v>
      </c>
      <c r="N44" s="391">
        <v>4</v>
      </c>
      <c r="O44" s="391" t="s">
        <v>212</v>
      </c>
      <c r="P44" s="391" t="s">
        <v>69</v>
      </c>
      <c r="Q44" s="391" t="s">
        <v>69</v>
      </c>
      <c r="R44" s="391" t="s">
        <v>212</v>
      </c>
      <c r="S44" s="391" t="s">
        <v>212</v>
      </c>
      <c r="T44" s="391" t="s">
        <v>212</v>
      </c>
      <c r="U44" s="391" t="s">
        <v>212</v>
      </c>
      <c r="V44" s="391" t="s">
        <v>212</v>
      </c>
      <c r="W44" s="391" t="s">
        <v>212</v>
      </c>
      <c r="X44" s="391" t="s">
        <v>212</v>
      </c>
      <c r="Y44" s="391" t="s">
        <v>212</v>
      </c>
      <c r="Z44" s="391" t="s">
        <v>69</v>
      </c>
      <c r="AA44" s="391" t="s">
        <v>69</v>
      </c>
      <c r="AB44" s="391" t="s">
        <v>69</v>
      </c>
      <c r="AC44" s="391" t="s">
        <v>69</v>
      </c>
      <c r="AD44" s="391" t="s">
        <v>69</v>
      </c>
      <c r="AE44" s="391">
        <v>3</v>
      </c>
      <c r="AF44" s="391" t="s">
        <v>69</v>
      </c>
      <c r="AG44" s="391" t="s">
        <v>212</v>
      </c>
      <c r="AH44" s="393" t="s">
        <v>212</v>
      </c>
      <c r="AI44" s="391" t="s">
        <v>212</v>
      </c>
      <c r="AJ44" s="391" t="s">
        <v>212</v>
      </c>
      <c r="AK44" s="391" t="s">
        <v>69</v>
      </c>
      <c r="AL44" s="391" t="s">
        <v>69</v>
      </c>
      <c r="AM44" s="391" t="s">
        <v>69</v>
      </c>
      <c r="AN44" s="391" t="s">
        <v>69</v>
      </c>
      <c r="AO44" s="390" t="s">
        <v>212</v>
      </c>
      <c r="AP44" s="391" t="s">
        <v>212</v>
      </c>
      <c r="AQ44" s="391" t="s">
        <v>69</v>
      </c>
      <c r="AR44" s="391" t="s">
        <v>69</v>
      </c>
      <c r="AS44" s="391" t="s">
        <v>69</v>
      </c>
      <c r="AT44" s="391" t="s">
        <v>69</v>
      </c>
      <c r="AU44" s="391" t="s">
        <v>69</v>
      </c>
      <c r="AV44" s="391" t="s">
        <v>69</v>
      </c>
      <c r="AW44" s="391" t="s">
        <v>69</v>
      </c>
      <c r="AX44" s="391">
        <v>4</v>
      </c>
      <c r="AY44" s="391" t="s">
        <v>69</v>
      </c>
      <c r="AZ44" s="391" t="s">
        <v>69</v>
      </c>
      <c r="BA44" s="391" t="s">
        <v>69</v>
      </c>
      <c r="BB44" s="391" t="s">
        <v>69</v>
      </c>
      <c r="BC44" s="390" t="s">
        <v>212</v>
      </c>
      <c r="BD44" s="391" t="s">
        <v>212</v>
      </c>
      <c r="BE44" s="391" t="s">
        <v>212</v>
      </c>
      <c r="BF44" s="391" t="s">
        <v>69</v>
      </c>
      <c r="BG44" s="391" t="s">
        <v>69</v>
      </c>
      <c r="BH44" s="391" t="s">
        <v>212</v>
      </c>
      <c r="BI44" s="391" t="s">
        <v>212</v>
      </c>
      <c r="BJ44" s="391" t="s">
        <v>212</v>
      </c>
      <c r="BK44" s="391" t="s">
        <v>69</v>
      </c>
      <c r="BL44" s="391" t="s">
        <v>69</v>
      </c>
      <c r="BM44" s="393" t="s">
        <v>212</v>
      </c>
      <c r="BN44" s="391" t="s">
        <v>69</v>
      </c>
      <c r="BO44" s="390" t="s">
        <v>212</v>
      </c>
      <c r="BP44" s="391" t="s">
        <v>212</v>
      </c>
      <c r="BQ44" s="391" t="s">
        <v>212</v>
      </c>
      <c r="BR44" s="391" t="s">
        <v>212</v>
      </c>
      <c r="BS44" s="391" t="s">
        <v>212</v>
      </c>
      <c r="BT44" s="391" t="s">
        <v>69</v>
      </c>
      <c r="BU44" s="391" t="s">
        <v>69</v>
      </c>
      <c r="BV44" s="391" t="s">
        <v>69</v>
      </c>
      <c r="BW44" s="393" t="s">
        <v>212</v>
      </c>
      <c r="BX44" s="390" t="s">
        <v>212</v>
      </c>
      <c r="BY44" s="391" t="s">
        <v>212</v>
      </c>
      <c r="BZ44" s="390" t="s">
        <v>212</v>
      </c>
      <c r="CA44" s="391" t="s">
        <v>212</v>
      </c>
      <c r="CB44" s="391" t="s">
        <v>212</v>
      </c>
      <c r="CC44" s="391" t="s">
        <v>212</v>
      </c>
      <c r="CD44" s="391" t="s">
        <v>212</v>
      </c>
      <c r="CE44" s="391" t="s">
        <v>212</v>
      </c>
      <c r="CF44" s="390" t="s">
        <v>212</v>
      </c>
      <c r="CG44" s="391">
        <v>4</v>
      </c>
      <c r="CH44" s="391" t="s">
        <v>212</v>
      </c>
      <c r="CI44" s="391" t="s">
        <v>212</v>
      </c>
      <c r="CJ44" s="392">
        <v>4</v>
      </c>
      <c r="CK44" s="392">
        <v>4</v>
      </c>
      <c r="CL44" s="392">
        <v>4</v>
      </c>
      <c r="CM44" s="392">
        <v>4</v>
      </c>
      <c r="CN44" s="392" t="s">
        <v>69</v>
      </c>
      <c r="CO44" s="392" t="s">
        <v>69</v>
      </c>
      <c r="CP44" s="392" t="s">
        <v>69</v>
      </c>
      <c r="CQ44" s="392" t="s">
        <v>69</v>
      </c>
      <c r="CR44" s="392" t="s">
        <v>69</v>
      </c>
      <c r="CS44" s="391" t="s">
        <v>212</v>
      </c>
      <c r="CT44" s="391" t="s">
        <v>212</v>
      </c>
      <c r="CU44" s="390" t="s">
        <v>212</v>
      </c>
      <c r="CV44" s="390" t="s">
        <v>212</v>
      </c>
      <c r="CW44" s="393" t="s">
        <v>212</v>
      </c>
      <c r="CX44" s="390" t="s">
        <v>212</v>
      </c>
      <c r="CY44" s="391" t="s">
        <v>212</v>
      </c>
      <c r="CZ44" s="391" t="s">
        <v>212</v>
      </c>
      <c r="DA44" s="391" t="s">
        <v>212</v>
      </c>
      <c r="DB44" s="393" t="s">
        <v>212</v>
      </c>
      <c r="DC44" s="390" t="s">
        <v>212</v>
      </c>
      <c r="DD44" s="391" t="s">
        <v>212</v>
      </c>
      <c r="DE44" s="393" t="s">
        <v>212</v>
      </c>
      <c r="DF44" s="390" t="s">
        <v>212</v>
      </c>
      <c r="DG44" s="391" t="s">
        <v>212</v>
      </c>
      <c r="DH44" s="390" t="s">
        <v>212</v>
      </c>
      <c r="DI44" s="391" t="s">
        <v>212</v>
      </c>
      <c r="DJ44" s="391" t="s">
        <v>212</v>
      </c>
      <c r="DK44" s="391" t="s">
        <v>69</v>
      </c>
      <c r="DL44" s="391" t="s">
        <v>69</v>
      </c>
      <c r="DM44" s="391" t="s">
        <v>69</v>
      </c>
      <c r="DN44" s="391" t="s">
        <v>69</v>
      </c>
      <c r="DO44" s="391" t="s">
        <v>69</v>
      </c>
      <c r="DP44" s="391" t="s">
        <v>69</v>
      </c>
      <c r="DQ44" s="391" t="s">
        <v>69</v>
      </c>
      <c r="DR44" s="393" t="s">
        <v>212</v>
      </c>
      <c r="DS44" s="391" t="s">
        <v>212</v>
      </c>
      <c r="DT44" s="393" t="s">
        <v>212</v>
      </c>
      <c r="DU44" s="398">
        <f t="shared" si="0"/>
        <v>0.15873015873015872</v>
      </c>
      <c r="DV44" s="399">
        <f t="shared" si="1"/>
        <v>1</v>
      </c>
    </row>
    <row r="45" spans="1:229" s="230" customFormat="1" ht="120" customHeight="1">
      <c r="A45" s="406" t="s">
        <v>161</v>
      </c>
      <c r="B45" s="407" t="s">
        <v>162</v>
      </c>
      <c r="C45" s="409">
        <v>45020</v>
      </c>
      <c r="D45" s="408" t="s">
        <v>1155</v>
      </c>
      <c r="E45" s="390">
        <v>4</v>
      </c>
      <c r="F45" s="390">
        <v>4</v>
      </c>
      <c r="G45" s="390">
        <v>4</v>
      </c>
      <c r="H45" s="391">
        <v>4</v>
      </c>
      <c r="I45" s="390">
        <v>4</v>
      </c>
      <c r="J45" s="391" t="s">
        <v>212</v>
      </c>
      <c r="K45" s="391">
        <v>3</v>
      </c>
      <c r="L45" s="391">
        <v>4</v>
      </c>
      <c r="M45" s="391" t="s">
        <v>212</v>
      </c>
      <c r="N45" s="390">
        <v>4</v>
      </c>
      <c r="O45" s="390">
        <v>4</v>
      </c>
      <c r="P45" s="391" t="s">
        <v>69</v>
      </c>
      <c r="Q45" s="391" t="s">
        <v>69</v>
      </c>
      <c r="R45" s="391" t="s">
        <v>212</v>
      </c>
      <c r="S45" s="391" t="s">
        <v>212</v>
      </c>
      <c r="T45" s="391" t="s">
        <v>212</v>
      </c>
      <c r="U45" s="391" t="s">
        <v>212</v>
      </c>
      <c r="V45" s="391" t="s">
        <v>212</v>
      </c>
      <c r="W45" s="391" t="s">
        <v>212</v>
      </c>
      <c r="X45" s="391" t="s">
        <v>212</v>
      </c>
      <c r="Y45" s="391" t="s">
        <v>212</v>
      </c>
      <c r="Z45" s="391" t="s">
        <v>69</v>
      </c>
      <c r="AA45" s="391" t="s">
        <v>69</v>
      </c>
      <c r="AB45" s="391" t="s">
        <v>69</v>
      </c>
      <c r="AC45" s="391" t="s">
        <v>69</v>
      </c>
      <c r="AD45" s="391" t="s">
        <v>69</v>
      </c>
      <c r="AE45" s="391" t="s">
        <v>69</v>
      </c>
      <c r="AF45" s="391" t="s">
        <v>69</v>
      </c>
      <c r="AG45" s="391" t="s">
        <v>212</v>
      </c>
      <c r="AH45" s="391" t="s">
        <v>212</v>
      </c>
      <c r="AI45" s="391" t="s">
        <v>212</v>
      </c>
      <c r="AJ45" s="391" t="s">
        <v>212</v>
      </c>
      <c r="AK45" s="391" t="s">
        <v>69</v>
      </c>
      <c r="AL45" s="391" t="s">
        <v>69</v>
      </c>
      <c r="AM45" s="391" t="s">
        <v>69</v>
      </c>
      <c r="AN45" s="391" t="s">
        <v>69</v>
      </c>
      <c r="AO45" s="391" t="s">
        <v>212</v>
      </c>
      <c r="AP45" s="391" t="s">
        <v>212</v>
      </c>
      <c r="AQ45" s="391">
        <v>4</v>
      </c>
      <c r="AR45" s="391" t="s">
        <v>69</v>
      </c>
      <c r="AS45" s="391" t="s">
        <v>69</v>
      </c>
      <c r="AT45" s="390">
        <v>4</v>
      </c>
      <c r="AU45" s="391" t="s">
        <v>69</v>
      </c>
      <c r="AV45" s="391" t="s">
        <v>69</v>
      </c>
      <c r="AW45" s="391">
        <v>4</v>
      </c>
      <c r="AX45" s="391" t="s">
        <v>69</v>
      </c>
      <c r="AY45" s="391" t="s">
        <v>69</v>
      </c>
      <c r="AZ45" s="391" t="s">
        <v>69</v>
      </c>
      <c r="BA45" s="391" t="s">
        <v>69</v>
      </c>
      <c r="BB45" s="391" t="s">
        <v>69</v>
      </c>
      <c r="BC45" s="391">
        <v>4</v>
      </c>
      <c r="BD45" s="391" t="s">
        <v>212</v>
      </c>
      <c r="BE45" s="391" t="s">
        <v>212</v>
      </c>
      <c r="BF45" s="391" t="s">
        <v>69</v>
      </c>
      <c r="BG45" s="391" t="s">
        <v>69</v>
      </c>
      <c r="BH45" s="391" t="s">
        <v>212</v>
      </c>
      <c r="BI45" s="391" t="s">
        <v>212</v>
      </c>
      <c r="BJ45" s="391" t="s">
        <v>212</v>
      </c>
      <c r="BK45" s="391" t="s">
        <v>69</v>
      </c>
      <c r="BL45" s="391" t="s">
        <v>69</v>
      </c>
      <c r="BM45" s="391" t="s">
        <v>212</v>
      </c>
      <c r="BN45" s="391" t="s">
        <v>69</v>
      </c>
      <c r="BO45" s="391" t="s">
        <v>212</v>
      </c>
      <c r="BP45" s="391" t="s">
        <v>212</v>
      </c>
      <c r="BQ45" s="390">
        <v>4</v>
      </c>
      <c r="BR45" s="391" t="s">
        <v>212</v>
      </c>
      <c r="BS45" s="391" t="s">
        <v>212</v>
      </c>
      <c r="BT45" s="391" t="s">
        <v>69</v>
      </c>
      <c r="BU45" s="391" t="s">
        <v>69</v>
      </c>
      <c r="BV45" s="391" t="s">
        <v>69</v>
      </c>
      <c r="BW45" s="391" t="s">
        <v>212</v>
      </c>
      <c r="BX45" s="391" t="s">
        <v>212</v>
      </c>
      <c r="BY45" s="391" t="s">
        <v>212</v>
      </c>
      <c r="BZ45" s="391" t="s">
        <v>212</v>
      </c>
      <c r="CA45" s="391" t="s">
        <v>212</v>
      </c>
      <c r="CB45" s="391" t="s">
        <v>212</v>
      </c>
      <c r="CC45" s="391" t="s">
        <v>212</v>
      </c>
      <c r="CD45" s="391" t="s">
        <v>212</v>
      </c>
      <c r="CE45" s="391" t="s">
        <v>212</v>
      </c>
      <c r="CF45" s="391">
        <v>4</v>
      </c>
      <c r="CG45" s="391">
        <v>4</v>
      </c>
      <c r="CH45" s="391">
        <v>4</v>
      </c>
      <c r="CI45" s="391">
        <v>4</v>
      </c>
      <c r="CJ45" s="392" t="s">
        <v>69</v>
      </c>
      <c r="CK45" s="392" t="s">
        <v>69</v>
      </c>
      <c r="CL45" s="392" t="s">
        <v>69</v>
      </c>
      <c r="CM45" s="392">
        <v>4</v>
      </c>
      <c r="CN45" s="392" t="s">
        <v>69</v>
      </c>
      <c r="CO45" s="392" t="s">
        <v>69</v>
      </c>
      <c r="CP45" s="392" t="s">
        <v>69</v>
      </c>
      <c r="CQ45" s="392" t="s">
        <v>69</v>
      </c>
      <c r="CR45" s="392" t="s">
        <v>69</v>
      </c>
      <c r="CS45" s="391" t="s">
        <v>212</v>
      </c>
      <c r="CT45" s="391" t="s">
        <v>212</v>
      </c>
      <c r="CU45" s="390" t="s">
        <v>212</v>
      </c>
      <c r="CV45" s="390" t="s">
        <v>212</v>
      </c>
      <c r="CW45" s="391" t="s">
        <v>212</v>
      </c>
      <c r="CX45" s="391" t="s">
        <v>212</v>
      </c>
      <c r="CY45" s="391" t="s">
        <v>212</v>
      </c>
      <c r="CZ45" s="391" t="s">
        <v>212</v>
      </c>
      <c r="DA45" s="391" t="s">
        <v>212</v>
      </c>
      <c r="DB45" s="391">
        <v>3</v>
      </c>
      <c r="DC45" s="391" t="s">
        <v>212</v>
      </c>
      <c r="DD45" s="391" t="s">
        <v>212</v>
      </c>
      <c r="DE45" s="391" t="s">
        <v>212</v>
      </c>
      <c r="DF45" s="391" t="s">
        <v>212</v>
      </c>
      <c r="DG45" s="391" t="s">
        <v>212</v>
      </c>
      <c r="DH45" s="391" t="s">
        <v>212</v>
      </c>
      <c r="DI45" s="391" t="s">
        <v>212</v>
      </c>
      <c r="DJ45" s="391" t="s">
        <v>212</v>
      </c>
      <c r="DK45" s="391">
        <v>4</v>
      </c>
      <c r="DL45" s="391">
        <v>4</v>
      </c>
      <c r="DM45" s="391">
        <v>4</v>
      </c>
      <c r="DN45" s="391"/>
      <c r="DO45" s="391" t="s">
        <v>69</v>
      </c>
      <c r="DP45" s="391" t="s">
        <v>69</v>
      </c>
      <c r="DQ45" s="391" t="s">
        <v>69</v>
      </c>
      <c r="DR45" s="391" t="s">
        <v>212</v>
      </c>
      <c r="DS45" s="391" t="s">
        <v>212</v>
      </c>
      <c r="DT45" s="390">
        <v>4</v>
      </c>
      <c r="DU45" s="398">
        <f t="shared" si="0"/>
        <v>0.38095238095238093</v>
      </c>
      <c r="DV45" s="399">
        <f t="shared" si="1"/>
        <v>1</v>
      </c>
    </row>
    <row r="46" spans="1:229" s="230" customFormat="1" ht="120" customHeight="1">
      <c r="A46" s="406" t="s">
        <v>84</v>
      </c>
      <c r="B46" s="407" t="s">
        <v>85</v>
      </c>
      <c r="C46" s="409" t="s">
        <v>610</v>
      </c>
      <c r="D46" s="408" t="s">
        <v>1155</v>
      </c>
      <c r="E46" s="391" t="s">
        <v>212</v>
      </c>
      <c r="F46" s="391" t="s">
        <v>69</v>
      </c>
      <c r="G46" s="391" t="s">
        <v>212</v>
      </c>
      <c r="H46" s="391" t="s">
        <v>69</v>
      </c>
      <c r="I46" s="391" t="s">
        <v>69</v>
      </c>
      <c r="J46" s="391" t="s">
        <v>212</v>
      </c>
      <c r="K46" s="391" t="s">
        <v>212</v>
      </c>
      <c r="L46" s="391" t="s">
        <v>212</v>
      </c>
      <c r="M46" s="391" t="s">
        <v>212</v>
      </c>
      <c r="N46" s="391" t="s">
        <v>212</v>
      </c>
      <c r="O46" s="391" t="s">
        <v>212</v>
      </c>
      <c r="P46" s="391" t="s">
        <v>69</v>
      </c>
      <c r="Q46" s="391" t="s">
        <v>69</v>
      </c>
      <c r="R46" s="391" t="s">
        <v>69</v>
      </c>
      <c r="S46" s="391" t="s">
        <v>69</v>
      </c>
      <c r="T46" s="391" t="s">
        <v>69</v>
      </c>
      <c r="U46" s="391" t="s">
        <v>212</v>
      </c>
      <c r="V46" s="391" t="s">
        <v>212</v>
      </c>
      <c r="W46" s="391" t="s">
        <v>212</v>
      </c>
      <c r="X46" s="391" t="s">
        <v>212</v>
      </c>
      <c r="Y46" s="391" t="s">
        <v>212</v>
      </c>
      <c r="Z46" s="391" t="s">
        <v>69</v>
      </c>
      <c r="AA46" s="391" t="s">
        <v>69</v>
      </c>
      <c r="AB46" s="391" t="s">
        <v>69</v>
      </c>
      <c r="AC46" s="391" t="s">
        <v>69</v>
      </c>
      <c r="AD46" s="391" t="s">
        <v>69</v>
      </c>
      <c r="AE46" s="391" t="s">
        <v>69</v>
      </c>
      <c r="AF46" s="391" t="s">
        <v>69</v>
      </c>
      <c r="AG46" s="391" t="s">
        <v>69</v>
      </c>
      <c r="AH46" s="391" t="s">
        <v>69</v>
      </c>
      <c r="AI46" s="391" t="s">
        <v>212</v>
      </c>
      <c r="AJ46" s="391" t="s">
        <v>212</v>
      </c>
      <c r="AK46" s="391" t="s">
        <v>69</v>
      </c>
      <c r="AL46" s="391" t="s">
        <v>69</v>
      </c>
      <c r="AM46" s="391" t="s">
        <v>69</v>
      </c>
      <c r="AN46" s="391" t="s">
        <v>69</v>
      </c>
      <c r="AO46" s="391" t="s">
        <v>69</v>
      </c>
      <c r="AP46" s="391" t="s">
        <v>69</v>
      </c>
      <c r="AQ46" s="391" t="s">
        <v>69</v>
      </c>
      <c r="AR46" s="391" t="s">
        <v>69</v>
      </c>
      <c r="AS46" s="391" t="s">
        <v>69</v>
      </c>
      <c r="AT46" s="391">
        <v>4</v>
      </c>
      <c r="AU46" s="391" t="s">
        <v>69</v>
      </c>
      <c r="AV46" s="391">
        <v>4</v>
      </c>
      <c r="AW46" s="391" t="s">
        <v>69</v>
      </c>
      <c r="AX46" s="391" t="s">
        <v>69</v>
      </c>
      <c r="AY46" s="391" t="s">
        <v>69</v>
      </c>
      <c r="AZ46" s="391" t="s">
        <v>69</v>
      </c>
      <c r="BA46" s="391" t="s">
        <v>69</v>
      </c>
      <c r="BB46" s="391" t="s">
        <v>69</v>
      </c>
      <c r="BC46" s="391" t="s">
        <v>69</v>
      </c>
      <c r="BD46" s="391" t="s">
        <v>69</v>
      </c>
      <c r="BE46" s="391" t="s">
        <v>69</v>
      </c>
      <c r="BF46" s="391" t="s">
        <v>69</v>
      </c>
      <c r="BG46" s="391" t="s">
        <v>69</v>
      </c>
      <c r="BH46" s="391" t="s">
        <v>69</v>
      </c>
      <c r="BI46" s="391">
        <v>4</v>
      </c>
      <c r="BJ46" s="391" t="s">
        <v>69</v>
      </c>
      <c r="BK46" s="391" t="s">
        <v>69</v>
      </c>
      <c r="BL46" s="391" t="s">
        <v>69</v>
      </c>
      <c r="BM46" s="391" t="s">
        <v>69</v>
      </c>
      <c r="BN46" s="391" t="s">
        <v>69</v>
      </c>
      <c r="BO46" s="391" t="s">
        <v>69</v>
      </c>
      <c r="BP46" s="391" t="s">
        <v>69</v>
      </c>
      <c r="BQ46" s="390">
        <v>4</v>
      </c>
      <c r="BR46" s="391" t="s">
        <v>212</v>
      </c>
      <c r="BS46" s="391" t="s">
        <v>212</v>
      </c>
      <c r="BT46" s="391" t="s">
        <v>69</v>
      </c>
      <c r="BU46" s="391" t="s">
        <v>69</v>
      </c>
      <c r="BV46" s="391">
        <v>4</v>
      </c>
      <c r="BW46" s="391" t="s">
        <v>212</v>
      </c>
      <c r="BX46" s="391" t="s">
        <v>212</v>
      </c>
      <c r="BY46" s="391" t="s">
        <v>212</v>
      </c>
      <c r="BZ46" s="391" t="s">
        <v>212</v>
      </c>
      <c r="CA46" s="391" t="s">
        <v>212</v>
      </c>
      <c r="CB46" s="391" t="s">
        <v>212</v>
      </c>
      <c r="CC46" s="391" t="s">
        <v>212</v>
      </c>
      <c r="CD46" s="391" t="s">
        <v>212</v>
      </c>
      <c r="CE46" s="391" t="s">
        <v>212</v>
      </c>
      <c r="CF46" s="391" t="s">
        <v>212</v>
      </c>
      <c r="CG46" s="391" t="s">
        <v>212</v>
      </c>
      <c r="CH46" s="391" t="s">
        <v>212</v>
      </c>
      <c r="CI46" s="391" t="s">
        <v>212</v>
      </c>
      <c r="CJ46" s="392" t="s">
        <v>69</v>
      </c>
      <c r="CK46" s="392" t="s">
        <v>69</v>
      </c>
      <c r="CL46" s="392" t="s">
        <v>69</v>
      </c>
      <c r="CM46" s="392" t="s">
        <v>69</v>
      </c>
      <c r="CN46" s="392" t="s">
        <v>69</v>
      </c>
      <c r="CO46" s="392" t="s">
        <v>69</v>
      </c>
      <c r="CP46" s="392">
        <v>4</v>
      </c>
      <c r="CQ46" s="392" t="s">
        <v>69</v>
      </c>
      <c r="CR46" s="392" t="s">
        <v>69</v>
      </c>
      <c r="CS46" s="391" t="s">
        <v>212</v>
      </c>
      <c r="CT46" s="391" t="s">
        <v>212</v>
      </c>
      <c r="CU46" s="390" t="s">
        <v>212</v>
      </c>
      <c r="CV46" s="390" t="s">
        <v>212</v>
      </c>
      <c r="CW46" s="391" t="s">
        <v>212</v>
      </c>
      <c r="CX46" s="391" t="s">
        <v>212</v>
      </c>
      <c r="CY46" s="391" t="s">
        <v>212</v>
      </c>
      <c r="CZ46" s="391">
        <v>4</v>
      </c>
      <c r="DA46" s="391" t="s">
        <v>212</v>
      </c>
      <c r="DB46" s="391">
        <v>4</v>
      </c>
      <c r="DC46" s="391" t="s">
        <v>212</v>
      </c>
      <c r="DD46" s="391" t="s">
        <v>212</v>
      </c>
      <c r="DE46" s="391">
        <v>4</v>
      </c>
      <c r="DF46" s="391">
        <v>4</v>
      </c>
      <c r="DG46" s="391" t="s">
        <v>212</v>
      </c>
      <c r="DH46" s="391" t="s">
        <v>212</v>
      </c>
      <c r="DI46" s="391" t="s">
        <v>212</v>
      </c>
      <c r="DJ46" s="391" t="s">
        <v>212</v>
      </c>
      <c r="DK46" s="391" t="s">
        <v>69</v>
      </c>
      <c r="DL46" s="391" t="s">
        <v>69</v>
      </c>
      <c r="DM46" s="391" t="s">
        <v>69</v>
      </c>
      <c r="DN46" s="391" t="s">
        <v>69</v>
      </c>
      <c r="DO46" s="391" t="s">
        <v>69</v>
      </c>
      <c r="DP46" s="391" t="s">
        <v>69</v>
      </c>
      <c r="DQ46" s="391" t="s">
        <v>69</v>
      </c>
      <c r="DR46" s="391" t="s">
        <v>212</v>
      </c>
      <c r="DS46" s="391" t="s">
        <v>212</v>
      </c>
      <c r="DT46" s="393" t="s">
        <v>212</v>
      </c>
      <c r="DU46" s="398">
        <f t="shared" si="0"/>
        <v>0.15873015873015872</v>
      </c>
      <c r="DV46" s="399">
        <f t="shared" si="1"/>
        <v>1</v>
      </c>
    </row>
    <row r="47" spans="1:229" s="231" customFormat="1" ht="120" customHeight="1">
      <c r="A47" s="406" t="s">
        <v>166</v>
      </c>
      <c r="B47" s="407" t="s">
        <v>1165</v>
      </c>
      <c r="C47" s="409" t="s">
        <v>615</v>
      </c>
      <c r="D47" s="408" t="s">
        <v>1155</v>
      </c>
      <c r="E47" s="390">
        <v>4</v>
      </c>
      <c r="F47" s="391" t="s">
        <v>69</v>
      </c>
      <c r="G47" s="390">
        <v>4</v>
      </c>
      <c r="H47" s="391">
        <v>4</v>
      </c>
      <c r="I47" s="391" t="s">
        <v>69</v>
      </c>
      <c r="J47" s="391" t="s">
        <v>212</v>
      </c>
      <c r="K47" s="391" t="s">
        <v>212</v>
      </c>
      <c r="L47" s="391" t="s">
        <v>212</v>
      </c>
      <c r="M47" s="391" t="s">
        <v>212</v>
      </c>
      <c r="N47" s="391">
        <v>4</v>
      </c>
      <c r="O47" s="391" t="s">
        <v>212</v>
      </c>
      <c r="P47" s="391" t="s">
        <v>69</v>
      </c>
      <c r="Q47" s="391" t="s">
        <v>69</v>
      </c>
      <c r="R47" s="391" t="s">
        <v>69</v>
      </c>
      <c r="S47" s="391" t="s">
        <v>69</v>
      </c>
      <c r="T47" s="391" t="s">
        <v>69</v>
      </c>
      <c r="U47" s="391" t="s">
        <v>212</v>
      </c>
      <c r="V47" s="391" t="s">
        <v>212</v>
      </c>
      <c r="W47" s="391" t="s">
        <v>212</v>
      </c>
      <c r="X47" s="391" t="s">
        <v>212</v>
      </c>
      <c r="Y47" s="391" t="s">
        <v>212</v>
      </c>
      <c r="Z47" s="391" t="s">
        <v>69</v>
      </c>
      <c r="AA47" s="391" t="s">
        <v>69</v>
      </c>
      <c r="AB47" s="391" t="s">
        <v>69</v>
      </c>
      <c r="AC47" s="391" t="s">
        <v>69</v>
      </c>
      <c r="AD47" s="391" t="s">
        <v>69</v>
      </c>
      <c r="AE47" s="391" t="s">
        <v>69</v>
      </c>
      <c r="AF47" s="391" t="s">
        <v>69</v>
      </c>
      <c r="AG47" s="391" t="s">
        <v>69</v>
      </c>
      <c r="AH47" s="391" t="s">
        <v>69</v>
      </c>
      <c r="AI47" s="391" t="s">
        <v>212</v>
      </c>
      <c r="AJ47" s="391" t="s">
        <v>212</v>
      </c>
      <c r="AK47" s="391" t="s">
        <v>69</v>
      </c>
      <c r="AL47" s="391" t="s">
        <v>69</v>
      </c>
      <c r="AM47" s="391" t="s">
        <v>69</v>
      </c>
      <c r="AN47" s="391" t="s">
        <v>69</v>
      </c>
      <c r="AO47" s="390" t="s">
        <v>69</v>
      </c>
      <c r="AP47" s="391" t="s">
        <v>69</v>
      </c>
      <c r="AQ47" s="391" t="s">
        <v>69</v>
      </c>
      <c r="AR47" s="391">
        <v>4</v>
      </c>
      <c r="AS47" s="391" t="s">
        <v>69</v>
      </c>
      <c r="AT47" s="391" t="s">
        <v>69</v>
      </c>
      <c r="AU47" s="391">
        <v>4</v>
      </c>
      <c r="AV47" s="391" t="s">
        <v>69</v>
      </c>
      <c r="AW47" s="391" t="s">
        <v>69</v>
      </c>
      <c r="AX47" s="391">
        <v>4</v>
      </c>
      <c r="AY47" s="391" t="s">
        <v>69</v>
      </c>
      <c r="AZ47" s="391" t="s">
        <v>69</v>
      </c>
      <c r="BA47" s="391" t="s">
        <v>69</v>
      </c>
      <c r="BB47" s="391" t="s">
        <v>69</v>
      </c>
      <c r="BC47" s="390" t="s">
        <v>69</v>
      </c>
      <c r="BD47" s="391">
        <v>4</v>
      </c>
      <c r="BE47" s="391" t="s">
        <v>69</v>
      </c>
      <c r="BF47" s="391" t="s">
        <v>69</v>
      </c>
      <c r="BG47" s="391" t="s">
        <v>69</v>
      </c>
      <c r="BH47" s="391" t="s">
        <v>69</v>
      </c>
      <c r="BI47" s="391" t="s">
        <v>69</v>
      </c>
      <c r="BJ47" s="391" t="s">
        <v>69</v>
      </c>
      <c r="BK47" s="391" t="s">
        <v>69</v>
      </c>
      <c r="BL47" s="391" t="s">
        <v>69</v>
      </c>
      <c r="BM47" s="391" t="s">
        <v>69</v>
      </c>
      <c r="BN47" s="391" t="s">
        <v>69</v>
      </c>
      <c r="BO47" s="390" t="s">
        <v>69</v>
      </c>
      <c r="BP47" s="391" t="s">
        <v>69</v>
      </c>
      <c r="BQ47" s="390">
        <v>4</v>
      </c>
      <c r="BR47" s="391" t="s">
        <v>212</v>
      </c>
      <c r="BS47" s="391" t="s">
        <v>212</v>
      </c>
      <c r="BT47" s="391" t="s">
        <v>69</v>
      </c>
      <c r="BU47" s="391" t="s">
        <v>69</v>
      </c>
      <c r="BV47" s="391" t="s">
        <v>69</v>
      </c>
      <c r="BW47" s="391" t="s">
        <v>212</v>
      </c>
      <c r="BX47" s="390" t="s">
        <v>212</v>
      </c>
      <c r="BY47" s="391" t="s">
        <v>212</v>
      </c>
      <c r="BZ47" s="390" t="s">
        <v>212</v>
      </c>
      <c r="CA47" s="391" t="s">
        <v>212</v>
      </c>
      <c r="CB47" s="391" t="s">
        <v>212</v>
      </c>
      <c r="CC47" s="391" t="s">
        <v>212</v>
      </c>
      <c r="CD47" s="391" t="s">
        <v>212</v>
      </c>
      <c r="CE47" s="391" t="s">
        <v>212</v>
      </c>
      <c r="CF47" s="390" t="s">
        <v>69</v>
      </c>
      <c r="CG47" s="391" t="s">
        <v>69</v>
      </c>
      <c r="CH47" s="391" t="s">
        <v>69</v>
      </c>
      <c r="CI47" s="391" t="s">
        <v>69</v>
      </c>
      <c r="CJ47" s="392">
        <v>4</v>
      </c>
      <c r="CK47" s="392">
        <v>4</v>
      </c>
      <c r="CL47" s="392">
        <v>4</v>
      </c>
      <c r="CM47" s="392" t="s">
        <v>69</v>
      </c>
      <c r="CN47" s="392" t="s">
        <v>69</v>
      </c>
      <c r="CO47" s="392" t="s">
        <v>69</v>
      </c>
      <c r="CP47" s="392" t="s">
        <v>69</v>
      </c>
      <c r="CQ47" s="392" t="s">
        <v>69</v>
      </c>
      <c r="CR47" s="392" t="s">
        <v>69</v>
      </c>
      <c r="CS47" s="391" t="s">
        <v>69</v>
      </c>
      <c r="CT47" s="391" t="s">
        <v>212</v>
      </c>
      <c r="CU47" s="390" t="s">
        <v>212</v>
      </c>
      <c r="CV47" s="390" t="s">
        <v>212</v>
      </c>
      <c r="CW47" s="391" t="s">
        <v>212</v>
      </c>
      <c r="CX47" s="390" t="s">
        <v>212</v>
      </c>
      <c r="CY47" s="391" t="s">
        <v>212</v>
      </c>
      <c r="CZ47" s="391" t="s">
        <v>212</v>
      </c>
      <c r="DA47" s="391" t="s">
        <v>212</v>
      </c>
      <c r="DB47" s="391" t="s">
        <v>212</v>
      </c>
      <c r="DC47" s="390" t="s">
        <v>212</v>
      </c>
      <c r="DD47" s="391" t="s">
        <v>212</v>
      </c>
      <c r="DE47" s="391" t="s">
        <v>212</v>
      </c>
      <c r="DF47" s="390" t="s">
        <v>212</v>
      </c>
      <c r="DG47" s="391" t="s">
        <v>212</v>
      </c>
      <c r="DH47" s="390" t="s">
        <v>212</v>
      </c>
      <c r="DI47" s="391" t="s">
        <v>212</v>
      </c>
      <c r="DJ47" s="391" t="s">
        <v>212</v>
      </c>
      <c r="DK47" s="391" t="s">
        <v>69</v>
      </c>
      <c r="DL47" s="391" t="s">
        <v>69</v>
      </c>
      <c r="DM47" s="391" t="s">
        <v>69</v>
      </c>
      <c r="DN47" s="391" t="s">
        <v>69</v>
      </c>
      <c r="DO47" s="391" t="s">
        <v>69</v>
      </c>
      <c r="DP47" s="391" t="s">
        <v>69</v>
      </c>
      <c r="DQ47" s="391" t="s">
        <v>69</v>
      </c>
      <c r="DR47" s="391" t="s">
        <v>212</v>
      </c>
      <c r="DS47" s="391" t="s">
        <v>212</v>
      </c>
      <c r="DT47" s="393">
        <v>3</v>
      </c>
      <c r="DU47" s="398">
        <f t="shared" si="0"/>
        <v>0.20634920634920634</v>
      </c>
      <c r="DV47" s="399">
        <f t="shared" si="1"/>
        <v>1</v>
      </c>
      <c r="DW47" s="230"/>
      <c r="DX47" s="230"/>
      <c r="DY47" s="230"/>
      <c r="DZ47" s="230"/>
      <c r="EA47" s="230"/>
      <c r="EB47" s="230"/>
      <c r="EC47" s="230"/>
      <c r="ED47" s="230"/>
      <c r="EE47" s="230"/>
      <c r="EF47" s="230"/>
      <c r="EG47" s="230"/>
      <c r="EH47" s="230"/>
      <c r="EI47" s="230"/>
      <c r="EJ47" s="230"/>
      <c r="EK47" s="230"/>
      <c r="EL47" s="230"/>
      <c r="EM47" s="230"/>
      <c r="EN47" s="230"/>
      <c r="EO47" s="230"/>
      <c r="EP47" s="230"/>
      <c r="EQ47" s="230"/>
      <c r="ER47" s="230"/>
      <c r="ES47" s="230"/>
      <c r="ET47" s="230"/>
      <c r="EU47" s="230"/>
      <c r="EV47" s="230"/>
      <c r="EW47" s="230"/>
      <c r="EX47" s="230"/>
      <c r="EY47" s="230"/>
      <c r="EZ47" s="230"/>
      <c r="FA47" s="230"/>
      <c r="FB47" s="230"/>
      <c r="FC47" s="230"/>
      <c r="FD47" s="230"/>
      <c r="FE47" s="230"/>
      <c r="FF47" s="230"/>
      <c r="FG47" s="230"/>
      <c r="FH47" s="230"/>
      <c r="FI47" s="230"/>
      <c r="FJ47" s="230"/>
      <c r="FK47" s="230"/>
      <c r="FL47" s="230"/>
      <c r="FM47" s="230"/>
      <c r="FN47" s="230"/>
      <c r="FO47" s="230"/>
      <c r="FP47" s="230"/>
      <c r="FQ47" s="230"/>
      <c r="FR47" s="230"/>
      <c r="FS47" s="230"/>
      <c r="FT47" s="230"/>
      <c r="FU47" s="230"/>
      <c r="FV47" s="230"/>
      <c r="FW47" s="230"/>
      <c r="FX47" s="230"/>
      <c r="FY47" s="230"/>
      <c r="FZ47" s="230"/>
      <c r="GA47" s="230"/>
      <c r="GB47" s="230"/>
      <c r="GC47" s="230"/>
      <c r="GD47" s="230"/>
      <c r="GE47" s="230"/>
      <c r="GF47" s="230"/>
      <c r="GG47" s="230"/>
      <c r="GH47" s="230"/>
      <c r="GI47" s="230"/>
      <c r="GJ47" s="230"/>
      <c r="GK47" s="230"/>
      <c r="GL47" s="230"/>
      <c r="GM47" s="230"/>
      <c r="GN47" s="230"/>
      <c r="GO47" s="230"/>
      <c r="GP47" s="230"/>
      <c r="GQ47" s="230"/>
      <c r="GR47" s="230"/>
      <c r="GS47" s="230"/>
      <c r="GT47" s="230"/>
      <c r="GU47" s="230"/>
      <c r="GV47" s="230"/>
      <c r="GW47" s="230"/>
      <c r="GX47" s="230"/>
      <c r="GY47" s="230"/>
      <c r="GZ47" s="230"/>
      <c r="HA47" s="230"/>
      <c r="HB47" s="230"/>
      <c r="HC47" s="230"/>
      <c r="HD47" s="230"/>
      <c r="HE47" s="230"/>
      <c r="HF47" s="230"/>
      <c r="HG47" s="230"/>
      <c r="HH47" s="230"/>
      <c r="HI47" s="230"/>
      <c r="HJ47" s="230"/>
      <c r="HK47" s="230"/>
      <c r="HL47" s="230"/>
      <c r="HM47" s="230"/>
      <c r="HN47" s="230"/>
      <c r="HO47" s="230"/>
      <c r="HP47" s="230"/>
      <c r="HQ47" s="230"/>
      <c r="HR47" s="230"/>
      <c r="HS47" s="230"/>
      <c r="HT47" s="230"/>
      <c r="HU47" s="230"/>
    </row>
    <row r="48" spans="1:229" s="231" customFormat="1" ht="120" customHeight="1">
      <c r="A48" s="406" t="s">
        <v>87</v>
      </c>
      <c r="B48" s="407" t="s">
        <v>88</v>
      </c>
      <c r="C48" s="409" t="s">
        <v>615</v>
      </c>
      <c r="D48" s="408" t="s">
        <v>1155</v>
      </c>
      <c r="E48" s="391">
        <v>4</v>
      </c>
      <c r="F48" s="391" t="s">
        <v>69</v>
      </c>
      <c r="G48" s="391">
        <v>4</v>
      </c>
      <c r="H48" s="391">
        <v>4</v>
      </c>
      <c r="I48" s="391" t="s">
        <v>69</v>
      </c>
      <c r="J48" s="391" t="s">
        <v>212</v>
      </c>
      <c r="K48" s="391" t="s">
        <v>212</v>
      </c>
      <c r="L48" s="391" t="s">
        <v>212</v>
      </c>
      <c r="M48" s="391" t="s">
        <v>212</v>
      </c>
      <c r="N48" s="391" t="s">
        <v>212</v>
      </c>
      <c r="O48" s="391" t="s">
        <v>212</v>
      </c>
      <c r="P48" s="391" t="s">
        <v>69</v>
      </c>
      <c r="Q48" s="391" t="s">
        <v>69</v>
      </c>
      <c r="R48" s="391" t="s">
        <v>69</v>
      </c>
      <c r="S48" s="391" t="s">
        <v>69</v>
      </c>
      <c r="T48" s="391" t="s">
        <v>69</v>
      </c>
      <c r="U48" s="391" t="s">
        <v>212</v>
      </c>
      <c r="V48" s="391" t="s">
        <v>212</v>
      </c>
      <c r="W48" s="391" t="s">
        <v>212</v>
      </c>
      <c r="X48" s="391" t="s">
        <v>212</v>
      </c>
      <c r="Y48" s="391" t="s">
        <v>212</v>
      </c>
      <c r="Z48" s="391" t="s">
        <v>69</v>
      </c>
      <c r="AA48" s="391" t="s">
        <v>69</v>
      </c>
      <c r="AB48" s="391" t="s">
        <v>69</v>
      </c>
      <c r="AC48" s="391" t="s">
        <v>69</v>
      </c>
      <c r="AD48" s="391" t="s">
        <v>69</v>
      </c>
      <c r="AE48" s="391" t="s">
        <v>69</v>
      </c>
      <c r="AF48" s="391" t="s">
        <v>69</v>
      </c>
      <c r="AG48" s="391" t="s">
        <v>69</v>
      </c>
      <c r="AH48" s="391" t="s">
        <v>69</v>
      </c>
      <c r="AI48" s="391" t="s">
        <v>212</v>
      </c>
      <c r="AJ48" s="391" t="s">
        <v>212</v>
      </c>
      <c r="AK48" s="391" t="s">
        <v>69</v>
      </c>
      <c r="AL48" s="391" t="s">
        <v>69</v>
      </c>
      <c r="AM48" s="391" t="s">
        <v>69</v>
      </c>
      <c r="AN48" s="391" t="s">
        <v>69</v>
      </c>
      <c r="AO48" s="391" t="s">
        <v>69</v>
      </c>
      <c r="AP48" s="391" t="s">
        <v>69</v>
      </c>
      <c r="AQ48" s="391" t="s">
        <v>69</v>
      </c>
      <c r="AR48" s="391" t="s">
        <v>69</v>
      </c>
      <c r="AS48" s="391" t="s">
        <v>69</v>
      </c>
      <c r="AT48" s="391" t="s">
        <v>69</v>
      </c>
      <c r="AU48" s="391" t="s">
        <v>69</v>
      </c>
      <c r="AV48" s="391" t="s">
        <v>69</v>
      </c>
      <c r="AW48" s="391" t="s">
        <v>69</v>
      </c>
      <c r="AX48" s="391" t="s">
        <v>69</v>
      </c>
      <c r="AY48" s="391" t="s">
        <v>69</v>
      </c>
      <c r="AZ48" s="391" t="s">
        <v>69</v>
      </c>
      <c r="BA48" s="391" t="s">
        <v>69</v>
      </c>
      <c r="BB48" s="391" t="s">
        <v>69</v>
      </c>
      <c r="BC48" s="391">
        <v>4</v>
      </c>
      <c r="BD48" s="391">
        <v>4</v>
      </c>
      <c r="BE48" s="391" t="s">
        <v>69</v>
      </c>
      <c r="BF48" s="391" t="s">
        <v>69</v>
      </c>
      <c r="BG48" s="391" t="s">
        <v>69</v>
      </c>
      <c r="BH48" s="391" t="s">
        <v>69</v>
      </c>
      <c r="BI48" s="391" t="s">
        <v>69</v>
      </c>
      <c r="BJ48" s="391" t="s">
        <v>69</v>
      </c>
      <c r="BK48" s="391" t="s">
        <v>69</v>
      </c>
      <c r="BL48" s="391" t="s">
        <v>69</v>
      </c>
      <c r="BM48" s="391" t="s">
        <v>69</v>
      </c>
      <c r="BN48" s="391" t="s">
        <v>69</v>
      </c>
      <c r="BO48" s="391" t="s">
        <v>69</v>
      </c>
      <c r="BP48" s="391" t="s">
        <v>69</v>
      </c>
      <c r="BQ48" s="390">
        <v>4</v>
      </c>
      <c r="BR48" s="391" t="s">
        <v>212</v>
      </c>
      <c r="BS48" s="391" t="s">
        <v>212</v>
      </c>
      <c r="BT48" s="391" t="s">
        <v>69</v>
      </c>
      <c r="BU48" s="391" t="s">
        <v>69</v>
      </c>
      <c r="BV48" s="391" t="s">
        <v>69</v>
      </c>
      <c r="BW48" s="391" t="s">
        <v>212</v>
      </c>
      <c r="BX48" s="391" t="s">
        <v>212</v>
      </c>
      <c r="BY48" s="391" t="s">
        <v>212</v>
      </c>
      <c r="BZ48" s="391" t="s">
        <v>212</v>
      </c>
      <c r="CA48" s="391" t="s">
        <v>212</v>
      </c>
      <c r="CB48" s="391" t="s">
        <v>212</v>
      </c>
      <c r="CC48" s="391" t="s">
        <v>212</v>
      </c>
      <c r="CD48" s="391" t="s">
        <v>212</v>
      </c>
      <c r="CE48" s="391" t="s">
        <v>212</v>
      </c>
      <c r="CF48" s="391" t="s">
        <v>69</v>
      </c>
      <c r="CG48" s="391" t="s">
        <v>69</v>
      </c>
      <c r="CH48" s="391" t="s">
        <v>69</v>
      </c>
      <c r="CI48" s="391" t="s">
        <v>69</v>
      </c>
      <c r="CJ48" s="392" t="s">
        <v>69</v>
      </c>
      <c r="CK48" s="392" t="s">
        <v>69</v>
      </c>
      <c r="CL48" s="392">
        <v>4</v>
      </c>
      <c r="CM48" s="392">
        <v>4</v>
      </c>
      <c r="CN48" s="392" t="s">
        <v>69</v>
      </c>
      <c r="CO48" s="392" t="s">
        <v>69</v>
      </c>
      <c r="CP48" s="392" t="s">
        <v>69</v>
      </c>
      <c r="CQ48" s="392" t="s">
        <v>69</v>
      </c>
      <c r="CR48" s="392" t="s">
        <v>69</v>
      </c>
      <c r="CS48" s="391" t="s">
        <v>69</v>
      </c>
      <c r="CT48" s="391" t="s">
        <v>212</v>
      </c>
      <c r="CU48" s="390" t="s">
        <v>212</v>
      </c>
      <c r="CV48" s="390" t="s">
        <v>212</v>
      </c>
      <c r="CW48" s="391" t="s">
        <v>212</v>
      </c>
      <c r="CX48" s="391" t="s">
        <v>212</v>
      </c>
      <c r="CY48" s="391" t="s">
        <v>212</v>
      </c>
      <c r="CZ48" s="391" t="s">
        <v>212</v>
      </c>
      <c r="DA48" s="391" t="s">
        <v>212</v>
      </c>
      <c r="DB48" s="391" t="s">
        <v>212</v>
      </c>
      <c r="DC48" s="391" t="s">
        <v>212</v>
      </c>
      <c r="DD48" s="391" t="s">
        <v>212</v>
      </c>
      <c r="DE48" s="391" t="s">
        <v>212</v>
      </c>
      <c r="DF48" s="391" t="s">
        <v>212</v>
      </c>
      <c r="DG48" s="391" t="s">
        <v>212</v>
      </c>
      <c r="DH48" s="391" t="s">
        <v>212</v>
      </c>
      <c r="DI48" s="391" t="s">
        <v>212</v>
      </c>
      <c r="DJ48" s="391" t="s">
        <v>212</v>
      </c>
      <c r="DK48" s="391" t="s">
        <v>69</v>
      </c>
      <c r="DL48" s="391" t="s">
        <v>69</v>
      </c>
      <c r="DM48" s="391" t="s">
        <v>69</v>
      </c>
      <c r="DN48" s="391" t="s">
        <v>69</v>
      </c>
      <c r="DO48" s="391" t="s">
        <v>69</v>
      </c>
      <c r="DP48" s="391" t="s">
        <v>69</v>
      </c>
      <c r="DQ48" s="391" t="s">
        <v>69</v>
      </c>
      <c r="DR48" s="391" t="s">
        <v>212</v>
      </c>
      <c r="DS48" s="391" t="s">
        <v>212</v>
      </c>
      <c r="DT48" s="393" t="s">
        <v>212</v>
      </c>
      <c r="DU48" s="398">
        <f t="shared" si="0"/>
        <v>0.12698412698412698</v>
      </c>
      <c r="DV48" s="399">
        <f t="shared" si="1"/>
        <v>1</v>
      </c>
      <c r="DW48" s="230"/>
      <c r="DX48" s="230"/>
      <c r="DY48" s="230"/>
      <c r="DZ48" s="230"/>
      <c r="EA48" s="230"/>
      <c r="EB48" s="230"/>
      <c r="EC48" s="230"/>
      <c r="ED48" s="230"/>
      <c r="EE48" s="230"/>
      <c r="EF48" s="230"/>
      <c r="EG48" s="230"/>
      <c r="EH48" s="230"/>
      <c r="EI48" s="230"/>
      <c r="EJ48" s="230"/>
      <c r="EK48" s="230"/>
      <c r="EL48" s="230"/>
      <c r="EM48" s="230"/>
      <c r="EN48" s="230"/>
      <c r="EO48" s="230"/>
      <c r="EP48" s="230"/>
      <c r="EQ48" s="230"/>
      <c r="ER48" s="230"/>
      <c r="ES48" s="230"/>
      <c r="ET48" s="230"/>
      <c r="EU48" s="230"/>
      <c r="EV48" s="230"/>
      <c r="EW48" s="230"/>
      <c r="EX48" s="230"/>
      <c r="EY48" s="230"/>
      <c r="EZ48" s="230"/>
      <c r="FA48" s="230"/>
      <c r="FB48" s="230"/>
      <c r="FC48" s="230"/>
      <c r="FD48" s="230"/>
      <c r="FE48" s="230"/>
      <c r="FF48" s="230"/>
      <c r="FG48" s="230"/>
      <c r="FH48" s="230"/>
      <c r="FI48" s="230"/>
      <c r="FJ48" s="230"/>
      <c r="FK48" s="230"/>
      <c r="FL48" s="230"/>
      <c r="FM48" s="230"/>
      <c r="FN48" s="230"/>
      <c r="FO48" s="230"/>
      <c r="FP48" s="230"/>
      <c r="FQ48" s="230"/>
      <c r="FR48" s="230"/>
      <c r="FS48" s="230"/>
      <c r="FT48" s="230"/>
      <c r="FU48" s="230"/>
      <c r="FV48" s="230"/>
      <c r="FW48" s="230"/>
      <c r="FX48" s="230"/>
      <c r="FY48" s="230"/>
      <c r="FZ48" s="230"/>
      <c r="GA48" s="230"/>
      <c r="GB48" s="230"/>
      <c r="GC48" s="230"/>
      <c r="GD48" s="230"/>
      <c r="GE48" s="230"/>
      <c r="GF48" s="230"/>
      <c r="GG48" s="230"/>
      <c r="GH48" s="230"/>
      <c r="GI48" s="230"/>
      <c r="GJ48" s="230"/>
      <c r="GK48" s="230"/>
      <c r="GL48" s="230"/>
      <c r="GM48" s="230"/>
      <c r="GN48" s="230"/>
      <c r="GO48" s="230"/>
      <c r="GP48" s="230"/>
      <c r="GQ48" s="230"/>
      <c r="GR48" s="230"/>
      <c r="GS48" s="230"/>
      <c r="GT48" s="230"/>
      <c r="GU48" s="230"/>
      <c r="GV48" s="230"/>
      <c r="GW48" s="230"/>
      <c r="GX48" s="230"/>
      <c r="GY48" s="230"/>
      <c r="GZ48" s="230"/>
      <c r="HA48" s="230"/>
      <c r="HB48" s="230"/>
      <c r="HC48" s="230"/>
      <c r="HD48" s="230"/>
      <c r="HE48" s="230"/>
      <c r="HF48" s="230"/>
      <c r="HG48" s="230"/>
      <c r="HH48" s="230"/>
      <c r="HI48" s="230"/>
      <c r="HJ48" s="230"/>
      <c r="HK48" s="230"/>
      <c r="HL48" s="230"/>
      <c r="HM48" s="230"/>
      <c r="HN48" s="230"/>
      <c r="HO48" s="230"/>
      <c r="HP48" s="230"/>
      <c r="HQ48" s="230"/>
      <c r="HR48" s="230"/>
      <c r="HS48" s="230"/>
      <c r="HT48" s="230"/>
      <c r="HU48" s="230"/>
    </row>
    <row r="49" spans="1:229" s="231" customFormat="1" ht="120" customHeight="1">
      <c r="A49" s="406" t="s">
        <v>734</v>
      </c>
      <c r="B49" s="407" t="s">
        <v>735</v>
      </c>
      <c r="C49" s="409" t="s">
        <v>742</v>
      </c>
      <c r="D49" s="408" t="s">
        <v>1155</v>
      </c>
      <c r="E49" s="391">
        <v>4</v>
      </c>
      <c r="F49" s="391" t="s">
        <v>69</v>
      </c>
      <c r="G49" s="391">
        <v>4</v>
      </c>
      <c r="H49" s="391" t="s">
        <v>69</v>
      </c>
      <c r="I49" s="391" t="s">
        <v>69</v>
      </c>
      <c r="J49" s="391" t="s">
        <v>69</v>
      </c>
      <c r="K49" s="391" t="s">
        <v>69</v>
      </c>
      <c r="L49" s="391" t="s">
        <v>69</v>
      </c>
      <c r="M49" s="391" t="s">
        <v>69</v>
      </c>
      <c r="N49" s="391">
        <v>4</v>
      </c>
      <c r="O49" s="391" t="s">
        <v>69</v>
      </c>
      <c r="P49" s="391" t="s">
        <v>69</v>
      </c>
      <c r="Q49" s="391" t="s">
        <v>69</v>
      </c>
      <c r="R49" s="391" t="s">
        <v>69</v>
      </c>
      <c r="S49" s="391" t="s">
        <v>69</v>
      </c>
      <c r="T49" s="391" t="s">
        <v>69</v>
      </c>
      <c r="U49" s="391" t="s">
        <v>69</v>
      </c>
      <c r="V49" s="391" t="s">
        <v>69</v>
      </c>
      <c r="W49" s="391" t="s">
        <v>69</v>
      </c>
      <c r="X49" s="391" t="s">
        <v>69</v>
      </c>
      <c r="Y49" s="391" t="s">
        <v>69</v>
      </c>
      <c r="Z49" s="391" t="s">
        <v>69</v>
      </c>
      <c r="AA49" s="391" t="s">
        <v>69</v>
      </c>
      <c r="AB49" s="391" t="s">
        <v>69</v>
      </c>
      <c r="AC49" s="391" t="s">
        <v>69</v>
      </c>
      <c r="AD49" s="391" t="s">
        <v>69</v>
      </c>
      <c r="AE49" s="391" t="s">
        <v>69</v>
      </c>
      <c r="AF49" s="391" t="s">
        <v>69</v>
      </c>
      <c r="AG49" s="391" t="s">
        <v>69</v>
      </c>
      <c r="AH49" s="391" t="s">
        <v>69</v>
      </c>
      <c r="AI49" s="391" t="s">
        <v>69</v>
      </c>
      <c r="AJ49" s="391" t="s">
        <v>69</v>
      </c>
      <c r="AK49" s="391" t="s">
        <v>69</v>
      </c>
      <c r="AL49" s="391" t="s">
        <v>69</v>
      </c>
      <c r="AM49" s="391" t="s">
        <v>69</v>
      </c>
      <c r="AN49" s="391" t="s">
        <v>69</v>
      </c>
      <c r="AO49" s="391" t="s">
        <v>69</v>
      </c>
      <c r="AP49" s="391" t="s">
        <v>69</v>
      </c>
      <c r="AQ49" s="391" t="s">
        <v>69</v>
      </c>
      <c r="AR49" s="391" t="s">
        <v>69</v>
      </c>
      <c r="AS49" s="391" t="s">
        <v>69</v>
      </c>
      <c r="AT49" s="391" t="s">
        <v>69</v>
      </c>
      <c r="AU49" s="391" t="s">
        <v>69</v>
      </c>
      <c r="AV49" s="391" t="s">
        <v>69</v>
      </c>
      <c r="AW49" s="391" t="s">
        <v>69</v>
      </c>
      <c r="AX49" s="391" t="s">
        <v>69</v>
      </c>
      <c r="AY49" s="391" t="s">
        <v>69</v>
      </c>
      <c r="AZ49" s="391" t="s">
        <v>69</v>
      </c>
      <c r="BA49" s="391" t="s">
        <v>69</v>
      </c>
      <c r="BB49" s="391" t="s">
        <v>69</v>
      </c>
      <c r="BC49" s="391">
        <v>4</v>
      </c>
      <c r="BD49" s="391" t="s">
        <v>69</v>
      </c>
      <c r="BE49" s="391" t="s">
        <v>69</v>
      </c>
      <c r="BF49" s="391" t="s">
        <v>69</v>
      </c>
      <c r="BG49" s="391" t="s">
        <v>69</v>
      </c>
      <c r="BH49" s="391" t="s">
        <v>69</v>
      </c>
      <c r="BI49" s="391" t="s">
        <v>69</v>
      </c>
      <c r="BJ49" s="391" t="s">
        <v>69</v>
      </c>
      <c r="BK49" s="391" t="s">
        <v>69</v>
      </c>
      <c r="BL49" s="391" t="s">
        <v>69</v>
      </c>
      <c r="BM49" s="391" t="s">
        <v>69</v>
      </c>
      <c r="BN49" s="391" t="s">
        <v>69</v>
      </c>
      <c r="BO49" s="391" t="s">
        <v>69</v>
      </c>
      <c r="BP49" s="391" t="s">
        <v>69</v>
      </c>
      <c r="BQ49" s="391">
        <v>4</v>
      </c>
      <c r="BR49" s="391" t="s">
        <v>69</v>
      </c>
      <c r="BS49" s="391" t="s">
        <v>69</v>
      </c>
      <c r="BT49" s="391" t="s">
        <v>69</v>
      </c>
      <c r="BU49" s="391" t="s">
        <v>69</v>
      </c>
      <c r="BV49" s="391" t="s">
        <v>69</v>
      </c>
      <c r="BW49" s="391" t="s">
        <v>69</v>
      </c>
      <c r="BX49" s="391" t="s">
        <v>69</v>
      </c>
      <c r="BY49" s="391" t="s">
        <v>69</v>
      </c>
      <c r="BZ49" s="391" t="s">
        <v>69</v>
      </c>
      <c r="CA49" s="391" t="s">
        <v>69</v>
      </c>
      <c r="CB49" s="391" t="s">
        <v>69</v>
      </c>
      <c r="CC49" s="391" t="s">
        <v>69</v>
      </c>
      <c r="CD49" s="391" t="s">
        <v>69</v>
      </c>
      <c r="CE49" s="391" t="s">
        <v>69</v>
      </c>
      <c r="CF49" s="391" t="s">
        <v>69</v>
      </c>
      <c r="CG49" s="391" t="s">
        <v>69</v>
      </c>
      <c r="CH49" s="391" t="s">
        <v>69</v>
      </c>
      <c r="CI49" s="391" t="s">
        <v>69</v>
      </c>
      <c r="CJ49" s="391" t="s">
        <v>69</v>
      </c>
      <c r="CK49" s="391" t="s">
        <v>69</v>
      </c>
      <c r="CL49" s="391">
        <v>4</v>
      </c>
      <c r="CM49" s="391">
        <v>4</v>
      </c>
      <c r="CN49" s="391">
        <v>4</v>
      </c>
      <c r="CO49" s="391" t="s">
        <v>69</v>
      </c>
      <c r="CP49" s="391" t="s">
        <v>69</v>
      </c>
      <c r="CQ49" s="391" t="s">
        <v>69</v>
      </c>
      <c r="CR49" s="391" t="s">
        <v>69</v>
      </c>
      <c r="CS49" s="391" t="s">
        <v>69</v>
      </c>
      <c r="CT49" s="391" t="s">
        <v>69</v>
      </c>
      <c r="CU49" s="390" t="s">
        <v>212</v>
      </c>
      <c r="CV49" s="390" t="s">
        <v>212</v>
      </c>
      <c r="CW49" s="391" t="s">
        <v>69</v>
      </c>
      <c r="CX49" s="391" t="s">
        <v>69</v>
      </c>
      <c r="CY49" s="391" t="s">
        <v>69</v>
      </c>
      <c r="CZ49" s="391" t="s">
        <v>69</v>
      </c>
      <c r="DA49" s="391" t="s">
        <v>69</v>
      </c>
      <c r="DB49" s="391" t="s">
        <v>69</v>
      </c>
      <c r="DC49" s="391" t="s">
        <v>69</v>
      </c>
      <c r="DD49" s="391" t="s">
        <v>69</v>
      </c>
      <c r="DE49" s="391" t="s">
        <v>69</v>
      </c>
      <c r="DF49" s="391" t="s">
        <v>69</v>
      </c>
      <c r="DG49" s="391" t="s">
        <v>69</v>
      </c>
      <c r="DH49" s="391" t="s">
        <v>69</v>
      </c>
      <c r="DI49" s="391" t="s">
        <v>69</v>
      </c>
      <c r="DJ49" s="391" t="s">
        <v>69</v>
      </c>
      <c r="DK49" s="391" t="s">
        <v>69</v>
      </c>
      <c r="DL49" s="391" t="s">
        <v>69</v>
      </c>
      <c r="DM49" s="391" t="s">
        <v>69</v>
      </c>
      <c r="DN49" s="391" t="s">
        <v>69</v>
      </c>
      <c r="DO49" s="391" t="s">
        <v>69</v>
      </c>
      <c r="DP49" s="391" t="s">
        <v>69</v>
      </c>
      <c r="DQ49" s="391" t="s">
        <v>69</v>
      </c>
      <c r="DR49" s="391" t="s">
        <v>69</v>
      </c>
      <c r="DS49" s="391" t="s">
        <v>69</v>
      </c>
      <c r="DT49" s="391" t="s">
        <v>69</v>
      </c>
      <c r="DU49" s="398">
        <f t="shared" si="0"/>
        <v>0.12698412698412698</v>
      </c>
      <c r="DV49" s="399">
        <f t="shared" si="1"/>
        <v>1</v>
      </c>
      <c r="DW49" s="230"/>
      <c r="DX49" s="230"/>
      <c r="DY49" s="230"/>
      <c r="DZ49" s="230"/>
      <c r="EA49" s="230"/>
      <c r="EB49" s="230"/>
      <c r="EC49" s="230"/>
      <c r="ED49" s="230"/>
      <c r="EE49" s="230"/>
      <c r="EF49" s="230"/>
      <c r="EG49" s="230"/>
      <c r="EH49" s="230"/>
      <c r="EI49" s="230"/>
      <c r="EJ49" s="230"/>
      <c r="EK49" s="230"/>
      <c r="EL49" s="230"/>
      <c r="EM49" s="230"/>
      <c r="EN49" s="230"/>
      <c r="EO49" s="230"/>
      <c r="EP49" s="230"/>
      <c r="EQ49" s="230"/>
      <c r="ER49" s="230"/>
      <c r="ES49" s="230"/>
      <c r="ET49" s="230"/>
      <c r="EU49" s="230"/>
      <c r="EV49" s="230"/>
      <c r="EW49" s="230"/>
      <c r="EX49" s="230"/>
      <c r="EY49" s="230"/>
      <c r="EZ49" s="230"/>
      <c r="FA49" s="230"/>
      <c r="FB49" s="230"/>
      <c r="FC49" s="230"/>
      <c r="FD49" s="230"/>
      <c r="FE49" s="230"/>
      <c r="FF49" s="230"/>
      <c r="FG49" s="230"/>
      <c r="FH49" s="230"/>
      <c r="FI49" s="230"/>
      <c r="FJ49" s="230"/>
      <c r="FK49" s="230"/>
      <c r="FL49" s="230"/>
      <c r="FM49" s="230"/>
      <c r="FN49" s="230"/>
      <c r="FO49" s="230"/>
      <c r="FP49" s="230"/>
      <c r="FQ49" s="230"/>
      <c r="FR49" s="230"/>
      <c r="FS49" s="230"/>
      <c r="FT49" s="230"/>
      <c r="FU49" s="230"/>
      <c r="FV49" s="230"/>
      <c r="FW49" s="230"/>
      <c r="FX49" s="230"/>
      <c r="FY49" s="230"/>
      <c r="FZ49" s="230"/>
      <c r="GA49" s="230"/>
      <c r="GB49" s="230"/>
      <c r="GC49" s="230"/>
      <c r="GD49" s="230"/>
      <c r="GE49" s="230"/>
      <c r="GF49" s="230"/>
      <c r="GG49" s="230"/>
      <c r="GH49" s="230"/>
      <c r="GI49" s="230"/>
      <c r="GJ49" s="230"/>
      <c r="GK49" s="230"/>
      <c r="GL49" s="230"/>
      <c r="GM49" s="230"/>
      <c r="GN49" s="230"/>
      <c r="GO49" s="230"/>
      <c r="GP49" s="230"/>
      <c r="GQ49" s="230"/>
      <c r="GR49" s="230"/>
      <c r="GS49" s="230"/>
      <c r="GT49" s="230"/>
      <c r="GU49" s="230"/>
      <c r="GV49" s="230"/>
      <c r="GW49" s="230"/>
      <c r="GX49" s="230"/>
      <c r="GY49" s="230"/>
      <c r="GZ49" s="230"/>
      <c r="HA49" s="230"/>
      <c r="HB49" s="230"/>
      <c r="HC49" s="230"/>
      <c r="HD49" s="230"/>
      <c r="HE49" s="230"/>
      <c r="HF49" s="230"/>
      <c r="HG49" s="230"/>
      <c r="HH49" s="230"/>
      <c r="HI49" s="230"/>
      <c r="HJ49" s="230"/>
      <c r="HK49" s="230"/>
      <c r="HL49" s="230"/>
      <c r="HM49" s="230"/>
      <c r="HN49" s="230"/>
      <c r="HO49" s="230"/>
      <c r="HP49" s="230"/>
      <c r="HQ49" s="230"/>
      <c r="HR49" s="230"/>
      <c r="HS49" s="230"/>
      <c r="HT49" s="230"/>
      <c r="HU49" s="230"/>
    </row>
    <row r="50" spans="1:229" s="231" customFormat="1" ht="120" customHeight="1">
      <c r="A50" s="406" t="s">
        <v>167</v>
      </c>
      <c r="B50" s="407" t="s">
        <v>168</v>
      </c>
      <c r="C50" s="409">
        <v>45147</v>
      </c>
      <c r="D50" s="408" t="s">
        <v>1155</v>
      </c>
      <c r="E50" s="391">
        <v>4</v>
      </c>
      <c r="F50" s="391" t="s">
        <v>69</v>
      </c>
      <c r="G50" s="391">
        <v>4</v>
      </c>
      <c r="H50" s="391">
        <v>4</v>
      </c>
      <c r="I50" s="391" t="s">
        <v>69</v>
      </c>
      <c r="J50" s="391">
        <v>4</v>
      </c>
      <c r="K50" s="391" t="s">
        <v>212</v>
      </c>
      <c r="L50" s="391">
        <v>4</v>
      </c>
      <c r="M50" s="391" t="s">
        <v>212</v>
      </c>
      <c r="N50" s="391" t="s">
        <v>212</v>
      </c>
      <c r="O50" s="391" t="s">
        <v>212</v>
      </c>
      <c r="P50" s="391" t="s">
        <v>69</v>
      </c>
      <c r="Q50" s="391" t="s">
        <v>69</v>
      </c>
      <c r="R50" s="391" t="s">
        <v>69</v>
      </c>
      <c r="S50" s="391" t="s">
        <v>69</v>
      </c>
      <c r="T50" s="391" t="s">
        <v>69</v>
      </c>
      <c r="U50" s="391" t="s">
        <v>212</v>
      </c>
      <c r="V50" s="391" t="s">
        <v>212</v>
      </c>
      <c r="W50" s="391" t="s">
        <v>212</v>
      </c>
      <c r="X50" s="391" t="s">
        <v>212</v>
      </c>
      <c r="Y50" s="391" t="s">
        <v>212</v>
      </c>
      <c r="Z50" s="391" t="s">
        <v>69</v>
      </c>
      <c r="AA50" s="391" t="s">
        <v>69</v>
      </c>
      <c r="AB50" s="391" t="s">
        <v>69</v>
      </c>
      <c r="AC50" s="391" t="s">
        <v>69</v>
      </c>
      <c r="AD50" s="391" t="s">
        <v>69</v>
      </c>
      <c r="AE50" s="391" t="s">
        <v>69</v>
      </c>
      <c r="AF50" s="391" t="s">
        <v>69</v>
      </c>
      <c r="AG50" s="391" t="s">
        <v>69</v>
      </c>
      <c r="AH50" s="391" t="s">
        <v>69</v>
      </c>
      <c r="AI50" s="391" t="s">
        <v>212</v>
      </c>
      <c r="AJ50" s="391" t="s">
        <v>212</v>
      </c>
      <c r="AK50" s="391" t="s">
        <v>69</v>
      </c>
      <c r="AL50" s="391" t="s">
        <v>69</v>
      </c>
      <c r="AM50" s="391" t="s">
        <v>69</v>
      </c>
      <c r="AN50" s="391" t="s">
        <v>69</v>
      </c>
      <c r="AO50" s="391" t="s">
        <v>69</v>
      </c>
      <c r="AP50" s="391" t="s">
        <v>69</v>
      </c>
      <c r="AQ50" s="391" t="s">
        <v>69</v>
      </c>
      <c r="AR50" s="391">
        <v>4</v>
      </c>
      <c r="AS50" s="391" t="s">
        <v>69</v>
      </c>
      <c r="AT50" s="391" t="s">
        <v>69</v>
      </c>
      <c r="AU50" s="391">
        <v>4</v>
      </c>
      <c r="AV50" s="391" t="s">
        <v>69</v>
      </c>
      <c r="AW50" s="391" t="s">
        <v>69</v>
      </c>
      <c r="AX50" s="391">
        <v>4</v>
      </c>
      <c r="AY50" s="391" t="s">
        <v>69</v>
      </c>
      <c r="AZ50" s="391" t="s">
        <v>69</v>
      </c>
      <c r="BA50" s="391">
        <v>4</v>
      </c>
      <c r="BB50" s="391" t="s">
        <v>69</v>
      </c>
      <c r="BC50" s="391">
        <v>4</v>
      </c>
      <c r="BD50" s="391">
        <v>4</v>
      </c>
      <c r="BE50" s="391" t="s">
        <v>69</v>
      </c>
      <c r="BF50" s="391" t="s">
        <v>69</v>
      </c>
      <c r="BG50" s="391" t="s">
        <v>69</v>
      </c>
      <c r="BH50" s="391" t="s">
        <v>69</v>
      </c>
      <c r="BI50" s="391" t="s">
        <v>69</v>
      </c>
      <c r="BJ50" s="391" t="s">
        <v>69</v>
      </c>
      <c r="BK50" s="391" t="s">
        <v>69</v>
      </c>
      <c r="BL50" s="391" t="s">
        <v>69</v>
      </c>
      <c r="BM50" s="391" t="s">
        <v>69</v>
      </c>
      <c r="BN50" s="391" t="s">
        <v>69</v>
      </c>
      <c r="BO50" s="391" t="s">
        <v>69</v>
      </c>
      <c r="BP50" s="391" t="s">
        <v>69</v>
      </c>
      <c r="BQ50" s="390">
        <v>4</v>
      </c>
      <c r="BR50" s="391" t="s">
        <v>212</v>
      </c>
      <c r="BS50" s="391" t="s">
        <v>212</v>
      </c>
      <c r="BT50" s="391" t="s">
        <v>69</v>
      </c>
      <c r="BU50" s="391" t="s">
        <v>69</v>
      </c>
      <c r="BV50" s="391" t="s">
        <v>69</v>
      </c>
      <c r="BW50" s="391" t="s">
        <v>212</v>
      </c>
      <c r="BX50" s="391" t="s">
        <v>212</v>
      </c>
      <c r="BY50" s="391" t="s">
        <v>212</v>
      </c>
      <c r="BZ50" s="391" t="s">
        <v>212</v>
      </c>
      <c r="CA50" s="391" t="s">
        <v>212</v>
      </c>
      <c r="CB50" s="391" t="s">
        <v>212</v>
      </c>
      <c r="CC50" s="391" t="s">
        <v>212</v>
      </c>
      <c r="CD50" s="391" t="s">
        <v>212</v>
      </c>
      <c r="CE50" s="391" t="s">
        <v>212</v>
      </c>
      <c r="CF50" s="391">
        <v>4</v>
      </c>
      <c r="CG50" s="391" t="s">
        <v>69</v>
      </c>
      <c r="CH50" s="391" t="s">
        <v>69</v>
      </c>
      <c r="CI50" s="391" t="s">
        <v>69</v>
      </c>
      <c r="CJ50" s="392">
        <v>4</v>
      </c>
      <c r="CK50" s="392">
        <v>4</v>
      </c>
      <c r="CL50" s="392">
        <v>4</v>
      </c>
      <c r="CM50" s="392">
        <v>4</v>
      </c>
      <c r="CN50" s="392" t="s">
        <v>69</v>
      </c>
      <c r="CO50" s="392" t="s">
        <v>69</v>
      </c>
      <c r="CP50" s="392" t="s">
        <v>69</v>
      </c>
      <c r="CQ50" s="392" t="s">
        <v>69</v>
      </c>
      <c r="CR50" s="392" t="s">
        <v>69</v>
      </c>
      <c r="CS50" s="391" t="s">
        <v>69</v>
      </c>
      <c r="CT50" s="391" t="s">
        <v>212</v>
      </c>
      <c r="CU50" s="390" t="s">
        <v>212</v>
      </c>
      <c r="CV50" s="390" t="s">
        <v>212</v>
      </c>
      <c r="CW50" s="391" t="s">
        <v>212</v>
      </c>
      <c r="CX50" s="391" t="s">
        <v>212</v>
      </c>
      <c r="CY50" s="391" t="s">
        <v>212</v>
      </c>
      <c r="CZ50" s="391" t="s">
        <v>212</v>
      </c>
      <c r="DA50" s="391" t="s">
        <v>212</v>
      </c>
      <c r="DB50" s="391" t="s">
        <v>212</v>
      </c>
      <c r="DC50" s="391" t="s">
        <v>212</v>
      </c>
      <c r="DD50" s="391" t="s">
        <v>212</v>
      </c>
      <c r="DE50" s="391" t="s">
        <v>212</v>
      </c>
      <c r="DF50" s="391" t="s">
        <v>212</v>
      </c>
      <c r="DG50" s="391" t="s">
        <v>212</v>
      </c>
      <c r="DH50" s="391" t="s">
        <v>212</v>
      </c>
      <c r="DI50" s="391" t="s">
        <v>212</v>
      </c>
      <c r="DJ50" s="391" t="s">
        <v>212</v>
      </c>
      <c r="DK50" s="391" t="s">
        <v>69</v>
      </c>
      <c r="DL50" s="391" t="s">
        <v>69</v>
      </c>
      <c r="DM50" s="391" t="s">
        <v>69</v>
      </c>
      <c r="DN50" s="391" t="s">
        <v>69</v>
      </c>
      <c r="DO50" s="391" t="s">
        <v>69</v>
      </c>
      <c r="DP50" s="391" t="s">
        <v>69</v>
      </c>
      <c r="DQ50" s="391" t="s">
        <v>69</v>
      </c>
      <c r="DR50" s="391" t="s">
        <v>212</v>
      </c>
      <c r="DS50" s="391" t="s">
        <v>212</v>
      </c>
      <c r="DT50" s="393" t="s">
        <v>212</v>
      </c>
      <c r="DU50" s="398">
        <f t="shared" si="0"/>
        <v>0.26984126984126983</v>
      </c>
      <c r="DV50" s="399">
        <f t="shared" si="1"/>
        <v>1</v>
      </c>
      <c r="DW50" s="230"/>
      <c r="DX50" s="230"/>
      <c r="DY50" s="230"/>
      <c r="DZ50" s="230"/>
      <c r="EA50" s="230"/>
      <c r="EB50" s="230"/>
      <c r="EC50" s="230"/>
      <c r="ED50" s="230"/>
      <c r="EE50" s="230"/>
      <c r="EF50" s="230"/>
      <c r="EG50" s="230"/>
      <c r="EH50" s="230"/>
      <c r="EI50" s="230"/>
      <c r="EJ50" s="230"/>
      <c r="EK50" s="230"/>
      <c r="EL50" s="230"/>
      <c r="EM50" s="230"/>
      <c r="EN50" s="230"/>
      <c r="EO50" s="230"/>
      <c r="EP50" s="230"/>
      <c r="EQ50" s="230"/>
      <c r="ER50" s="230"/>
      <c r="ES50" s="230"/>
      <c r="ET50" s="230"/>
      <c r="EU50" s="230"/>
      <c r="EV50" s="230"/>
      <c r="EW50" s="230"/>
      <c r="EX50" s="230"/>
      <c r="EY50" s="230"/>
      <c r="EZ50" s="230"/>
      <c r="FA50" s="230"/>
      <c r="FB50" s="230"/>
      <c r="FC50" s="230"/>
      <c r="FD50" s="230"/>
      <c r="FE50" s="230"/>
      <c r="FF50" s="230"/>
      <c r="FG50" s="230"/>
      <c r="FH50" s="230"/>
      <c r="FI50" s="230"/>
      <c r="FJ50" s="230"/>
      <c r="FK50" s="230"/>
      <c r="FL50" s="230"/>
      <c r="FM50" s="230"/>
      <c r="FN50" s="230"/>
      <c r="FO50" s="230"/>
      <c r="FP50" s="230"/>
      <c r="FQ50" s="230"/>
      <c r="FR50" s="230"/>
      <c r="FS50" s="230"/>
      <c r="FT50" s="230"/>
      <c r="FU50" s="230"/>
      <c r="FV50" s="230"/>
      <c r="FW50" s="230"/>
      <c r="FX50" s="230"/>
      <c r="FY50" s="230"/>
      <c r="FZ50" s="230"/>
      <c r="GA50" s="230"/>
      <c r="GB50" s="230"/>
      <c r="GC50" s="230"/>
      <c r="GD50" s="230"/>
      <c r="GE50" s="230"/>
      <c r="GF50" s="230"/>
      <c r="GG50" s="230"/>
      <c r="GH50" s="230"/>
      <c r="GI50" s="230"/>
      <c r="GJ50" s="230"/>
      <c r="GK50" s="230"/>
      <c r="GL50" s="230"/>
      <c r="GM50" s="230"/>
      <c r="GN50" s="230"/>
      <c r="GO50" s="230"/>
      <c r="GP50" s="230"/>
      <c r="GQ50" s="230"/>
      <c r="GR50" s="230"/>
      <c r="GS50" s="230"/>
      <c r="GT50" s="230"/>
      <c r="GU50" s="230"/>
      <c r="GV50" s="230"/>
      <c r="GW50" s="230"/>
      <c r="GX50" s="230"/>
      <c r="GY50" s="230"/>
      <c r="GZ50" s="230"/>
      <c r="HA50" s="230"/>
      <c r="HB50" s="230"/>
      <c r="HC50" s="230"/>
      <c r="HD50" s="230"/>
      <c r="HE50" s="230"/>
      <c r="HF50" s="230"/>
      <c r="HG50" s="230"/>
      <c r="HH50" s="230"/>
      <c r="HI50" s="230"/>
      <c r="HJ50" s="230"/>
      <c r="HK50" s="230"/>
      <c r="HL50" s="230"/>
      <c r="HM50" s="230"/>
      <c r="HN50" s="230"/>
      <c r="HO50" s="230"/>
      <c r="HP50" s="230"/>
      <c r="HQ50" s="230"/>
      <c r="HR50" s="230"/>
      <c r="HS50" s="230"/>
      <c r="HT50" s="230"/>
      <c r="HU50" s="230"/>
    </row>
    <row r="51" spans="1:229" s="231" customFormat="1" ht="120" customHeight="1">
      <c r="A51" s="406" t="s">
        <v>169</v>
      </c>
      <c r="B51" s="407" t="s">
        <v>170</v>
      </c>
      <c r="C51" s="409">
        <v>45147</v>
      </c>
      <c r="D51" s="408" t="s">
        <v>1155</v>
      </c>
      <c r="E51" s="390">
        <v>4</v>
      </c>
      <c r="F51" s="391" t="s">
        <v>69</v>
      </c>
      <c r="G51" s="390">
        <v>4</v>
      </c>
      <c r="H51" s="391">
        <v>4</v>
      </c>
      <c r="I51" s="391" t="s">
        <v>69</v>
      </c>
      <c r="J51" s="391" t="s">
        <v>212</v>
      </c>
      <c r="K51" s="391" t="s">
        <v>212</v>
      </c>
      <c r="L51" s="391" t="s">
        <v>212</v>
      </c>
      <c r="M51" s="391" t="s">
        <v>212</v>
      </c>
      <c r="N51" s="391" t="s">
        <v>212</v>
      </c>
      <c r="O51" s="391" t="s">
        <v>212</v>
      </c>
      <c r="P51" s="391" t="s">
        <v>69</v>
      </c>
      <c r="Q51" s="391" t="s">
        <v>69</v>
      </c>
      <c r="R51" s="391" t="s">
        <v>69</v>
      </c>
      <c r="S51" s="391" t="s">
        <v>69</v>
      </c>
      <c r="T51" s="391" t="s">
        <v>69</v>
      </c>
      <c r="U51" s="391" t="s">
        <v>212</v>
      </c>
      <c r="V51" s="391" t="s">
        <v>212</v>
      </c>
      <c r="W51" s="391" t="s">
        <v>212</v>
      </c>
      <c r="X51" s="391" t="s">
        <v>212</v>
      </c>
      <c r="Y51" s="391" t="s">
        <v>212</v>
      </c>
      <c r="Z51" s="391" t="s">
        <v>69</v>
      </c>
      <c r="AA51" s="391" t="s">
        <v>69</v>
      </c>
      <c r="AB51" s="391" t="s">
        <v>69</v>
      </c>
      <c r="AC51" s="391" t="s">
        <v>69</v>
      </c>
      <c r="AD51" s="391" t="s">
        <v>69</v>
      </c>
      <c r="AE51" s="391" t="s">
        <v>69</v>
      </c>
      <c r="AF51" s="391" t="s">
        <v>69</v>
      </c>
      <c r="AG51" s="391" t="s">
        <v>69</v>
      </c>
      <c r="AH51" s="391" t="s">
        <v>69</v>
      </c>
      <c r="AI51" s="391" t="s">
        <v>212</v>
      </c>
      <c r="AJ51" s="391" t="s">
        <v>212</v>
      </c>
      <c r="AK51" s="391" t="s">
        <v>69</v>
      </c>
      <c r="AL51" s="391" t="s">
        <v>69</v>
      </c>
      <c r="AM51" s="391" t="s">
        <v>69</v>
      </c>
      <c r="AN51" s="391" t="s">
        <v>69</v>
      </c>
      <c r="AO51" s="390" t="s">
        <v>69</v>
      </c>
      <c r="AP51" s="391" t="s">
        <v>69</v>
      </c>
      <c r="AQ51" s="391" t="s">
        <v>69</v>
      </c>
      <c r="AR51" s="391" t="s">
        <v>69</v>
      </c>
      <c r="AS51" s="391" t="s">
        <v>69</v>
      </c>
      <c r="AT51" s="391" t="s">
        <v>69</v>
      </c>
      <c r="AU51" s="391">
        <v>4</v>
      </c>
      <c r="AV51" s="391">
        <v>3</v>
      </c>
      <c r="AW51" s="391" t="s">
        <v>69</v>
      </c>
      <c r="AX51" s="391">
        <v>4</v>
      </c>
      <c r="AY51" s="391">
        <v>4</v>
      </c>
      <c r="AZ51" s="391" t="s">
        <v>69</v>
      </c>
      <c r="BA51" s="391" t="s">
        <v>69</v>
      </c>
      <c r="BB51" s="391" t="s">
        <v>69</v>
      </c>
      <c r="BC51" s="390">
        <v>4</v>
      </c>
      <c r="BD51" s="391">
        <v>4</v>
      </c>
      <c r="BE51" s="391">
        <v>4</v>
      </c>
      <c r="BF51" s="391" t="s">
        <v>69</v>
      </c>
      <c r="BG51" s="391" t="s">
        <v>69</v>
      </c>
      <c r="BH51" s="391" t="s">
        <v>69</v>
      </c>
      <c r="BI51" s="391" t="s">
        <v>69</v>
      </c>
      <c r="BJ51" s="391" t="s">
        <v>69</v>
      </c>
      <c r="BK51" s="391" t="s">
        <v>69</v>
      </c>
      <c r="BL51" s="391" t="s">
        <v>69</v>
      </c>
      <c r="BM51" s="391" t="s">
        <v>69</v>
      </c>
      <c r="BN51" s="391" t="s">
        <v>69</v>
      </c>
      <c r="BO51" s="390" t="s">
        <v>69</v>
      </c>
      <c r="BP51" s="391" t="s">
        <v>69</v>
      </c>
      <c r="BQ51" s="390">
        <v>4</v>
      </c>
      <c r="BR51" s="391">
        <v>4</v>
      </c>
      <c r="BS51" s="391" t="s">
        <v>212</v>
      </c>
      <c r="BT51" s="391" t="s">
        <v>69</v>
      </c>
      <c r="BU51" s="391" t="s">
        <v>69</v>
      </c>
      <c r="BV51" s="391" t="s">
        <v>69</v>
      </c>
      <c r="BW51" s="391" t="s">
        <v>212</v>
      </c>
      <c r="BX51" s="390" t="s">
        <v>212</v>
      </c>
      <c r="BY51" s="391" t="s">
        <v>212</v>
      </c>
      <c r="BZ51" s="390" t="s">
        <v>212</v>
      </c>
      <c r="CA51" s="391" t="s">
        <v>212</v>
      </c>
      <c r="CB51" s="391" t="s">
        <v>212</v>
      </c>
      <c r="CC51" s="391" t="s">
        <v>212</v>
      </c>
      <c r="CD51" s="391" t="s">
        <v>212</v>
      </c>
      <c r="CE51" s="391" t="s">
        <v>212</v>
      </c>
      <c r="CF51" s="390" t="s">
        <v>69</v>
      </c>
      <c r="CG51" s="391" t="s">
        <v>69</v>
      </c>
      <c r="CH51" s="391" t="s">
        <v>69</v>
      </c>
      <c r="CI51" s="391" t="s">
        <v>69</v>
      </c>
      <c r="CJ51" s="392">
        <v>4</v>
      </c>
      <c r="CK51" s="392">
        <v>4</v>
      </c>
      <c r="CL51" s="392">
        <v>4</v>
      </c>
      <c r="CM51" s="392">
        <v>4</v>
      </c>
      <c r="CN51" s="392">
        <v>4</v>
      </c>
      <c r="CO51" s="392" t="s">
        <v>69</v>
      </c>
      <c r="CP51" s="392" t="s">
        <v>69</v>
      </c>
      <c r="CQ51" s="392" t="s">
        <v>69</v>
      </c>
      <c r="CR51" s="392">
        <v>4</v>
      </c>
      <c r="CS51" s="391" t="s">
        <v>69</v>
      </c>
      <c r="CT51" s="391" t="s">
        <v>212</v>
      </c>
      <c r="CU51" s="390" t="s">
        <v>212</v>
      </c>
      <c r="CV51" s="390" t="s">
        <v>212</v>
      </c>
      <c r="CW51" s="391" t="s">
        <v>212</v>
      </c>
      <c r="CX51" s="390" t="s">
        <v>212</v>
      </c>
      <c r="CY51" s="391" t="s">
        <v>212</v>
      </c>
      <c r="CZ51" s="391" t="s">
        <v>212</v>
      </c>
      <c r="DA51" s="391" t="s">
        <v>212</v>
      </c>
      <c r="DB51" s="391" t="s">
        <v>212</v>
      </c>
      <c r="DC51" s="390" t="s">
        <v>212</v>
      </c>
      <c r="DD51" s="391" t="s">
        <v>212</v>
      </c>
      <c r="DE51" s="391" t="s">
        <v>212</v>
      </c>
      <c r="DF51" s="390" t="s">
        <v>212</v>
      </c>
      <c r="DG51" s="391" t="s">
        <v>212</v>
      </c>
      <c r="DH51" s="390" t="s">
        <v>212</v>
      </c>
      <c r="DI51" s="391" t="s">
        <v>212</v>
      </c>
      <c r="DJ51" s="391" t="s">
        <v>212</v>
      </c>
      <c r="DK51" s="391">
        <v>4</v>
      </c>
      <c r="DL51" s="391">
        <v>4</v>
      </c>
      <c r="DM51" s="391">
        <v>3</v>
      </c>
      <c r="DN51" s="391" t="s">
        <v>69</v>
      </c>
      <c r="DO51" s="391" t="s">
        <v>69</v>
      </c>
      <c r="DP51" s="391" t="s">
        <v>69</v>
      </c>
      <c r="DQ51" s="391" t="s">
        <v>69</v>
      </c>
      <c r="DR51" s="391" t="s">
        <v>212</v>
      </c>
      <c r="DS51" s="391" t="s">
        <v>212</v>
      </c>
      <c r="DT51" s="393">
        <v>2</v>
      </c>
      <c r="DU51" s="398">
        <f t="shared" si="0"/>
        <v>0.34920634920634919</v>
      </c>
      <c r="DV51" s="399">
        <f t="shared" si="1"/>
        <v>0.95454545454545459</v>
      </c>
      <c r="DW51" s="230"/>
      <c r="DX51" s="230"/>
      <c r="DY51" s="230"/>
      <c r="DZ51" s="230"/>
      <c r="EA51" s="230"/>
      <c r="EB51" s="230"/>
      <c r="EC51" s="230"/>
      <c r="ED51" s="230"/>
      <c r="EE51" s="230"/>
      <c r="EF51" s="230"/>
      <c r="EG51" s="230"/>
      <c r="EH51" s="230"/>
      <c r="EI51" s="230"/>
      <c r="EJ51" s="230"/>
      <c r="EK51" s="230"/>
      <c r="EL51" s="230"/>
      <c r="EM51" s="230"/>
      <c r="EN51" s="230"/>
      <c r="EO51" s="230"/>
      <c r="EP51" s="230"/>
      <c r="EQ51" s="230"/>
      <c r="ER51" s="230"/>
      <c r="ES51" s="230"/>
      <c r="ET51" s="230"/>
      <c r="EU51" s="230"/>
      <c r="EV51" s="230"/>
      <c r="EW51" s="230"/>
      <c r="EX51" s="230"/>
      <c r="EY51" s="230"/>
      <c r="EZ51" s="230"/>
      <c r="FA51" s="230"/>
      <c r="FB51" s="230"/>
      <c r="FC51" s="230"/>
      <c r="FD51" s="230"/>
      <c r="FE51" s="230"/>
      <c r="FF51" s="230"/>
      <c r="FG51" s="230"/>
      <c r="FH51" s="230"/>
      <c r="FI51" s="230"/>
      <c r="FJ51" s="230"/>
      <c r="FK51" s="230"/>
      <c r="FL51" s="230"/>
      <c r="FM51" s="230"/>
      <c r="FN51" s="230"/>
      <c r="FO51" s="230"/>
      <c r="FP51" s="230"/>
      <c r="FQ51" s="230"/>
      <c r="FR51" s="230"/>
      <c r="FS51" s="230"/>
      <c r="FT51" s="230"/>
      <c r="FU51" s="230"/>
      <c r="FV51" s="230"/>
      <c r="FW51" s="230"/>
      <c r="FX51" s="230"/>
      <c r="FY51" s="230"/>
      <c r="FZ51" s="230"/>
      <c r="GA51" s="230"/>
      <c r="GB51" s="230"/>
      <c r="GC51" s="230"/>
      <c r="GD51" s="230"/>
      <c r="GE51" s="230"/>
      <c r="GF51" s="230"/>
      <c r="GG51" s="230"/>
      <c r="GH51" s="230"/>
      <c r="GI51" s="230"/>
      <c r="GJ51" s="230"/>
      <c r="GK51" s="230"/>
      <c r="GL51" s="230"/>
      <c r="GM51" s="230"/>
      <c r="GN51" s="230"/>
      <c r="GO51" s="230"/>
      <c r="GP51" s="230"/>
      <c r="GQ51" s="230"/>
      <c r="GR51" s="230"/>
      <c r="GS51" s="230"/>
      <c r="GT51" s="230"/>
      <c r="GU51" s="230"/>
      <c r="GV51" s="230"/>
      <c r="GW51" s="230"/>
      <c r="GX51" s="230"/>
      <c r="GY51" s="230"/>
      <c r="GZ51" s="230"/>
      <c r="HA51" s="230"/>
      <c r="HB51" s="230"/>
      <c r="HC51" s="230"/>
      <c r="HD51" s="230"/>
      <c r="HE51" s="230"/>
      <c r="HF51" s="230"/>
      <c r="HG51" s="230"/>
      <c r="HH51" s="230"/>
      <c r="HI51" s="230"/>
      <c r="HJ51" s="230"/>
      <c r="HK51" s="230"/>
      <c r="HL51" s="230"/>
      <c r="HM51" s="230"/>
      <c r="HN51" s="230"/>
      <c r="HO51" s="230"/>
      <c r="HP51" s="230"/>
      <c r="HQ51" s="230"/>
      <c r="HR51" s="230"/>
      <c r="HS51" s="230"/>
      <c r="HT51" s="230"/>
      <c r="HU51" s="230"/>
    </row>
    <row r="52" spans="1:229" s="230" customFormat="1" ht="120" customHeight="1">
      <c r="A52" s="406" t="s">
        <v>740</v>
      </c>
      <c r="B52" s="407" t="s">
        <v>741</v>
      </c>
      <c r="C52" s="409">
        <v>45295</v>
      </c>
      <c r="D52" s="408" t="s">
        <v>1155</v>
      </c>
      <c r="E52" s="391">
        <v>4</v>
      </c>
      <c r="F52" s="391" t="s">
        <v>69</v>
      </c>
      <c r="G52" s="391">
        <v>4</v>
      </c>
      <c r="H52" s="391" t="s">
        <v>69</v>
      </c>
      <c r="I52" s="391" t="s">
        <v>69</v>
      </c>
      <c r="J52" s="391" t="s">
        <v>69</v>
      </c>
      <c r="K52" s="391" t="s">
        <v>69</v>
      </c>
      <c r="L52" s="391" t="s">
        <v>69</v>
      </c>
      <c r="M52" s="391" t="s">
        <v>69</v>
      </c>
      <c r="N52" s="391">
        <v>4</v>
      </c>
      <c r="O52" s="391" t="s">
        <v>69</v>
      </c>
      <c r="P52" s="391" t="s">
        <v>69</v>
      </c>
      <c r="Q52" s="391" t="s">
        <v>69</v>
      </c>
      <c r="R52" s="391" t="s">
        <v>69</v>
      </c>
      <c r="S52" s="391" t="s">
        <v>69</v>
      </c>
      <c r="T52" s="391" t="s">
        <v>69</v>
      </c>
      <c r="U52" s="391" t="s">
        <v>69</v>
      </c>
      <c r="V52" s="391" t="s">
        <v>69</v>
      </c>
      <c r="W52" s="391" t="s">
        <v>69</v>
      </c>
      <c r="X52" s="391" t="s">
        <v>69</v>
      </c>
      <c r="Y52" s="391" t="s">
        <v>69</v>
      </c>
      <c r="Z52" s="391">
        <v>3</v>
      </c>
      <c r="AA52" s="391" t="s">
        <v>69</v>
      </c>
      <c r="AB52" s="391" t="s">
        <v>69</v>
      </c>
      <c r="AC52" s="391" t="s">
        <v>69</v>
      </c>
      <c r="AD52" s="391" t="s">
        <v>69</v>
      </c>
      <c r="AE52" s="391" t="s">
        <v>69</v>
      </c>
      <c r="AF52" s="391" t="s">
        <v>69</v>
      </c>
      <c r="AG52" s="391" t="s">
        <v>69</v>
      </c>
      <c r="AH52" s="391" t="s">
        <v>69</v>
      </c>
      <c r="AI52" s="391" t="s">
        <v>69</v>
      </c>
      <c r="AJ52" s="391" t="s">
        <v>69</v>
      </c>
      <c r="AK52" s="391" t="s">
        <v>69</v>
      </c>
      <c r="AL52" s="391" t="s">
        <v>69</v>
      </c>
      <c r="AM52" s="391" t="s">
        <v>69</v>
      </c>
      <c r="AN52" s="391" t="s">
        <v>69</v>
      </c>
      <c r="AO52" s="391" t="s">
        <v>69</v>
      </c>
      <c r="AP52" s="391" t="s">
        <v>69</v>
      </c>
      <c r="AQ52" s="391" t="s">
        <v>69</v>
      </c>
      <c r="AR52" s="391" t="s">
        <v>69</v>
      </c>
      <c r="AS52" s="391" t="s">
        <v>69</v>
      </c>
      <c r="AT52" s="391" t="s">
        <v>69</v>
      </c>
      <c r="AU52" s="391" t="s">
        <v>69</v>
      </c>
      <c r="AV52" s="391" t="s">
        <v>69</v>
      </c>
      <c r="AW52" s="391" t="s">
        <v>69</v>
      </c>
      <c r="AX52" s="391" t="s">
        <v>69</v>
      </c>
      <c r="AY52" s="391" t="s">
        <v>69</v>
      </c>
      <c r="AZ52" s="391" t="s">
        <v>69</v>
      </c>
      <c r="BA52" s="391" t="s">
        <v>69</v>
      </c>
      <c r="BB52" s="391" t="s">
        <v>69</v>
      </c>
      <c r="BC52" s="391" t="s">
        <v>69</v>
      </c>
      <c r="BD52" s="391" t="s">
        <v>69</v>
      </c>
      <c r="BE52" s="391" t="s">
        <v>69</v>
      </c>
      <c r="BF52" s="391" t="s">
        <v>69</v>
      </c>
      <c r="BG52" s="391" t="s">
        <v>69</v>
      </c>
      <c r="BH52" s="391" t="s">
        <v>69</v>
      </c>
      <c r="BI52" s="391" t="s">
        <v>69</v>
      </c>
      <c r="BJ52" s="391" t="s">
        <v>69</v>
      </c>
      <c r="BK52" s="391" t="s">
        <v>69</v>
      </c>
      <c r="BL52" s="391" t="s">
        <v>69</v>
      </c>
      <c r="BM52" s="391" t="s">
        <v>69</v>
      </c>
      <c r="BN52" s="391" t="s">
        <v>69</v>
      </c>
      <c r="BO52" s="391" t="s">
        <v>69</v>
      </c>
      <c r="BP52" s="391" t="s">
        <v>69</v>
      </c>
      <c r="BQ52" s="391" t="s">
        <v>69</v>
      </c>
      <c r="BR52" s="391" t="s">
        <v>69</v>
      </c>
      <c r="BS52" s="391" t="s">
        <v>69</v>
      </c>
      <c r="BT52" s="391" t="s">
        <v>69</v>
      </c>
      <c r="BU52" s="391" t="s">
        <v>69</v>
      </c>
      <c r="BV52" s="391" t="s">
        <v>69</v>
      </c>
      <c r="BW52" s="391" t="s">
        <v>69</v>
      </c>
      <c r="BX52" s="391" t="s">
        <v>69</v>
      </c>
      <c r="BY52" s="391" t="s">
        <v>69</v>
      </c>
      <c r="BZ52" s="391" t="s">
        <v>69</v>
      </c>
      <c r="CA52" s="391" t="s">
        <v>69</v>
      </c>
      <c r="CB52" s="391" t="s">
        <v>69</v>
      </c>
      <c r="CC52" s="391" t="s">
        <v>69</v>
      </c>
      <c r="CD52" s="391" t="s">
        <v>69</v>
      </c>
      <c r="CE52" s="391" t="s">
        <v>69</v>
      </c>
      <c r="CF52" s="391" t="s">
        <v>69</v>
      </c>
      <c r="CG52" s="391" t="s">
        <v>69</v>
      </c>
      <c r="CH52" s="391" t="s">
        <v>69</v>
      </c>
      <c r="CI52" s="391" t="s">
        <v>69</v>
      </c>
      <c r="CJ52" s="391">
        <v>3</v>
      </c>
      <c r="CK52" s="391">
        <v>4</v>
      </c>
      <c r="CL52" s="391">
        <v>4</v>
      </c>
      <c r="CM52" s="391">
        <v>4</v>
      </c>
      <c r="CN52" s="391">
        <v>4</v>
      </c>
      <c r="CO52" s="391" t="s">
        <v>69</v>
      </c>
      <c r="CP52" s="391" t="s">
        <v>69</v>
      </c>
      <c r="CQ52" s="391" t="s">
        <v>69</v>
      </c>
      <c r="CR52" s="391" t="s">
        <v>69</v>
      </c>
      <c r="CS52" s="391" t="s">
        <v>69</v>
      </c>
      <c r="CT52" s="391" t="s">
        <v>69</v>
      </c>
      <c r="CU52" s="390" t="s">
        <v>212</v>
      </c>
      <c r="CV52" s="390" t="s">
        <v>212</v>
      </c>
      <c r="CW52" s="391" t="s">
        <v>69</v>
      </c>
      <c r="CX52" s="391" t="s">
        <v>69</v>
      </c>
      <c r="CY52" s="391" t="s">
        <v>69</v>
      </c>
      <c r="CZ52" s="391" t="s">
        <v>69</v>
      </c>
      <c r="DA52" s="391" t="s">
        <v>69</v>
      </c>
      <c r="DB52" s="391" t="s">
        <v>69</v>
      </c>
      <c r="DC52" s="391" t="s">
        <v>69</v>
      </c>
      <c r="DD52" s="391" t="s">
        <v>69</v>
      </c>
      <c r="DE52" s="391" t="s">
        <v>69</v>
      </c>
      <c r="DF52" s="391" t="s">
        <v>69</v>
      </c>
      <c r="DG52" s="391" t="s">
        <v>69</v>
      </c>
      <c r="DH52" s="391" t="s">
        <v>69</v>
      </c>
      <c r="DI52" s="391" t="s">
        <v>69</v>
      </c>
      <c r="DJ52" s="391" t="s">
        <v>69</v>
      </c>
      <c r="DK52" s="391" t="s">
        <v>69</v>
      </c>
      <c r="DL52" s="391" t="s">
        <v>69</v>
      </c>
      <c r="DM52" s="391" t="s">
        <v>69</v>
      </c>
      <c r="DN52" s="391" t="s">
        <v>69</v>
      </c>
      <c r="DO52" s="391" t="s">
        <v>69</v>
      </c>
      <c r="DP52" s="391" t="s">
        <v>69</v>
      </c>
      <c r="DQ52" s="391" t="s">
        <v>69</v>
      </c>
      <c r="DR52" s="391" t="s">
        <v>69</v>
      </c>
      <c r="DS52" s="391" t="s">
        <v>69</v>
      </c>
      <c r="DT52" s="391" t="s">
        <v>69</v>
      </c>
      <c r="DU52" s="398">
        <f t="shared" si="0"/>
        <v>0.14285714285714285</v>
      </c>
      <c r="DV52" s="399">
        <f t="shared" si="1"/>
        <v>1</v>
      </c>
    </row>
    <row r="53" spans="1:229" s="230" customFormat="1" ht="120" customHeight="1">
      <c r="A53" s="406" t="s">
        <v>505</v>
      </c>
      <c r="B53" s="407" t="s">
        <v>506</v>
      </c>
      <c r="C53" s="409">
        <v>45327</v>
      </c>
      <c r="D53" s="408" t="s">
        <v>1155</v>
      </c>
      <c r="E53" s="391">
        <v>4</v>
      </c>
      <c r="F53" s="391">
        <v>4</v>
      </c>
      <c r="G53" s="391">
        <v>4</v>
      </c>
      <c r="H53" s="391" t="s">
        <v>69</v>
      </c>
      <c r="I53" s="391" t="s">
        <v>69</v>
      </c>
      <c r="J53" s="391">
        <v>4</v>
      </c>
      <c r="K53" s="391">
        <v>4</v>
      </c>
      <c r="L53" s="391" t="s">
        <v>212</v>
      </c>
      <c r="M53" s="391" t="s">
        <v>212</v>
      </c>
      <c r="N53" s="391">
        <v>4</v>
      </c>
      <c r="O53" s="391" t="s">
        <v>212</v>
      </c>
      <c r="P53" s="391" t="s">
        <v>69</v>
      </c>
      <c r="Q53" s="391" t="s">
        <v>69</v>
      </c>
      <c r="R53" s="391">
        <v>4</v>
      </c>
      <c r="S53" s="391" t="s">
        <v>69</v>
      </c>
      <c r="T53" s="391" t="s">
        <v>69</v>
      </c>
      <c r="U53" s="391" t="s">
        <v>212</v>
      </c>
      <c r="V53" s="391" t="s">
        <v>212</v>
      </c>
      <c r="W53" s="391" t="s">
        <v>212</v>
      </c>
      <c r="X53" s="391" t="s">
        <v>212</v>
      </c>
      <c r="Y53" s="391" t="s">
        <v>212</v>
      </c>
      <c r="Z53" s="391">
        <v>4</v>
      </c>
      <c r="AA53" s="391" t="s">
        <v>69</v>
      </c>
      <c r="AB53" s="391" t="s">
        <v>69</v>
      </c>
      <c r="AC53" s="391" t="s">
        <v>69</v>
      </c>
      <c r="AD53" s="391" t="s">
        <v>69</v>
      </c>
      <c r="AE53" s="391" t="s">
        <v>69</v>
      </c>
      <c r="AF53" s="391" t="s">
        <v>69</v>
      </c>
      <c r="AG53" s="391" t="s">
        <v>69</v>
      </c>
      <c r="AH53" s="391" t="s">
        <v>69</v>
      </c>
      <c r="AI53" s="391" t="s">
        <v>212</v>
      </c>
      <c r="AJ53" s="391" t="s">
        <v>212</v>
      </c>
      <c r="AK53" s="391" t="s">
        <v>69</v>
      </c>
      <c r="AL53" s="391" t="s">
        <v>69</v>
      </c>
      <c r="AM53" s="391" t="s">
        <v>69</v>
      </c>
      <c r="AN53" s="391" t="s">
        <v>69</v>
      </c>
      <c r="AO53" s="391" t="s">
        <v>69</v>
      </c>
      <c r="AP53" s="391" t="s">
        <v>69</v>
      </c>
      <c r="AQ53" s="391">
        <v>4</v>
      </c>
      <c r="AR53" s="391" t="s">
        <v>69</v>
      </c>
      <c r="AS53" s="391" t="s">
        <v>69</v>
      </c>
      <c r="AT53" s="391">
        <v>3</v>
      </c>
      <c r="AU53" s="391" t="s">
        <v>69</v>
      </c>
      <c r="AV53" s="391" t="s">
        <v>69</v>
      </c>
      <c r="AW53" s="391">
        <v>4</v>
      </c>
      <c r="AX53" s="391" t="s">
        <v>69</v>
      </c>
      <c r="AY53" s="391" t="s">
        <v>69</v>
      </c>
      <c r="AZ53" s="391" t="s">
        <v>69</v>
      </c>
      <c r="BA53" s="391" t="s">
        <v>69</v>
      </c>
      <c r="BB53" s="391" t="s">
        <v>69</v>
      </c>
      <c r="BC53" s="391">
        <v>4</v>
      </c>
      <c r="BD53" s="391" t="s">
        <v>69</v>
      </c>
      <c r="BE53" s="391">
        <v>4</v>
      </c>
      <c r="BF53" s="391" t="s">
        <v>69</v>
      </c>
      <c r="BG53" s="391" t="s">
        <v>69</v>
      </c>
      <c r="BH53" s="391" t="s">
        <v>69</v>
      </c>
      <c r="BI53" s="391" t="s">
        <v>69</v>
      </c>
      <c r="BJ53" s="391" t="s">
        <v>69</v>
      </c>
      <c r="BK53" s="391" t="s">
        <v>69</v>
      </c>
      <c r="BL53" s="391" t="s">
        <v>69</v>
      </c>
      <c r="BM53" s="391" t="s">
        <v>69</v>
      </c>
      <c r="BN53" s="391" t="s">
        <v>69</v>
      </c>
      <c r="BO53" s="391" t="s">
        <v>69</v>
      </c>
      <c r="BP53" s="391" t="s">
        <v>69</v>
      </c>
      <c r="BQ53" s="390">
        <v>4</v>
      </c>
      <c r="BR53" s="391" t="s">
        <v>69</v>
      </c>
      <c r="BS53" s="391" t="s">
        <v>69</v>
      </c>
      <c r="BT53" s="391" t="s">
        <v>69</v>
      </c>
      <c r="BU53" s="391" t="s">
        <v>69</v>
      </c>
      <c r="BV53" s="391" t="s">
        <v>69</v>
      </c>
      <c r="BW53" s="391" t="s">
        <v>69</v>
      </c>
      <c r="BX53" s="391" t="s">
        <v>69</v>
      </c>
      <c r="BY53" s="391" t="s">
        <v>69</v>
      </c>
      <c r="BZ53" s="391" t="s">
        <v>69</v>
      </c>
      <c r="CA53" s="391" t="s">
        <v>69</v>
      </c>
      <c r="CB53" s="391" t="s">
        <v>69</v>
      </c>
      <c r="CC53" s="391" t="s">
        <v>69</v>
      </c>
      <c r="CD53" s="391">
        <v>4</v>
      </c>
      <c r="CE53" s="391" t="s">
        <v>69</v>
      </c>
      <c r="CF53" s="391" t="s">
        <v>69</v>
      </c>
      <c r="CG53" s="391" t="s">
        <v>69</v>
      </c>
      <c r="CH53" s="391">
        <v>4</v>
      </c>
      <c r="CI53" s="391" t="s">
        <v>69</v>
      </c>
      <c r="CJ53" s="392" t="s">
        <v>69</v>
      </c>
      <c r="CK53" s="392" t="s">
        <v>69</v>
      </c>
      <c r="CL53" s="392">
        <v>4</v>
      </c>
      <c r="CM53" s="392">
        <v>4</v>
      </c>
      <c r="CN53" s="392" t="s">
        <v>69</v>
      </c>
      <c r="CO53" s="392" t="s">
        <v>69</v>
      </c>
      <c r="CP53" s="392" t="s">
        <v>69</v>
      </c>
      <c r="CQ53" s="392" t="s">
        <v>69</v>
      </c>
      <c r="CR53" s="392" t="s">
        <v>69</v>
      </c>
      <c r="CS53" s="391" t="s">
        <v>69</v>
      </c>
      <c r="CT53" s="391" t="s">
        <v>69</v>
      </c>
      <c r="CU53" s="390" t="s">
        <v>212</v>
      </c>
      <c r="CV53" s="390" t="s">
        <v>212</v>
      </c>
      <c r="CW53" s="391" t="s">
        <v>69</v>
      </c>
      <c r="CX53" s="391" t="s">
        <v>69</v>
      </c>
      <c r="CY53" s="391" t="s">
        <v>69</v>
      </c>
      <c r="CZ53" s="391" t="s">
        <v>69</v>
      </c>
      <c r="DA53" s="391" t="s">
        <v>69</v>
      </c>
      <c r="DB53" s="391" t="s">
        <v>69</v>
      </c>
      <c r="DC53" s="391" t="s">
        <v>69</v>
      </c>
      <c r="DD53" s="391" t="s">
        <v>69</v>
      </c>
      <c r="DE53" s="391" t="s">
        <v>69</v>
      </c>
      <c r="DF53" s="391" t="s">
        <v>69</v>
      </c>
      <c r="DG53" s="391" t="s">
        <v>69</v>
      </c>
      <c r="DH53" s="391" t="s">
        <v>69</v>
      </c>
      <c r="DI53" s="391" t="s">
        <v>69</v>
      </c>
      <c r="DJ53" s="391" t="s">
        <v>69</v>
      </c>
      <c r="DK53" s="391">
        <v>4</v>
      </c>
      <c r="DL53" s="391">
        <v>4</v>
      </c>
      <c r="DM53" s="391" t="s">
        <v>69</v>
      </c>
      <c r="DN53" s="391" t="s">
        <v>69</v>
      </c>
      <c r="DO53" s="391" t="s">
        <v>69</v>
      </c>
      <c r="DP53" s="391" t="s">
        <v>69</v>
      </c>
      <c r="DQ53" s="391">
        <v>3</v>
      </c>
      <c r="DR53" s="391" t="s">
        <v>69</v>
      </c>
      <c r="DS53" s="391" t="s">
        <v>69</v>
      </c>
      <c r="DT53" s="391" t="s">
        <v>69</v>
      </c>
      <c r="DU53" s="398">
        <f t="shared" si="0"/>
        <v>0.33333333333333331</v>
      </c>
      <c r="DV53" s="399">
        <f t="shared" si="1"/>
        <v>1</v>
      </c>
    </row>
    <row r="54" spans="1:229" s="230" customFormat="1" ht="120" customHeight="1">
      <c r="A54" s="406" t="s">
        <v>743</v>
      </c>
      <c r="B54" s="407" t="s">
        <v>744</v>
      </c>
      <c r="C54" s="409">
        <v>45296</v>
      </c>
      <c r="D54" s="408" t="s">
        <v>1155</v>
      </c>
      <c r="E54" s="391" t="s">
        <v>69</v>
      </c>
      <c r="F54" s="391" t="s">
        <v>69</v>
      </c>
      <c r="G54" s="391" t="s">
        <v>69</v>
      </c>
      <c r="H54" s="391" t="s">
        <v>69</v>
      </c>
      <c r="I54" s="391" t="s">
        <v>69</v>
      </c>
      <c r="J54" s="391" t="s">
        <v>69</v>
      </c>
      <c r="K54" s="391" t="s">
        <v>69</v>
      </c>
      <c r="L54" s="391" t="s">
        <v>69</v>
      </c>
      <c r="M54" s="391" t="s">
        <v>69</v>
      </c>
      <c r="N54" s="391" t="s">
        <v>69</v>
      </c>
      <c r="O54" s="391" t="s">
        <v>69</v>
      </c>
      <c r="P54" s="391" t="s">
        <v>69</v>
      </c>
      <c r="Q54" s="391" t="s">
        <v>69</v>
      </c>
      <c r="R54" s="391">
        <v>3</v>
      </c>
      <c r="S54" s="391">
        <v>3</v>
      </c>
      <c r="T54" s="391">
        <v>3</v>
      </c>
      <c r="U54" s="391" t="s">
        <v>69</v>
      </c>
      <c r="V54" s="391" t="s">
        <v>69</v>
      </c>
      <c r="W54" s="391" t="s">
        <v>69</v>
      </c>
      <c r="X54" s="391" t="s">
        <v>69</v>
      </c>
      <c r="Y54" s="391" t="s">
        <v>69</v>
      </c>
      <c r="Z54" s="391">
        <v>3</v>
      </c>
      <c r="AA54" s="391" t="s">
        <v>69</v>
      </c>
      <c r="AB54" s="391" t="s">
        <v>69</v>
      </c>
      <c r="AC54" s="391" t="s">
        <v>69</v>
      </c>
      <c r="AD54" s="391" t="s">
        <v>69</v>
      </c>
      <c r="AE54" s="391">
        <v>4</v>
      </c>
      <c r="AF54" s="391" t="s">
        <v>69</v>
      </c>
      <c r="AG54" s="391">
        <v>4</v>
      </c>
      <c r="AH54" s="391" t="s">
        <v>69</v>
      </c>
      <c r="AI54" s="391" t="s">
        <v>69</v>
      </c>
      <c r="AJ54" s="391" t="s">
        <v>69</v>
      </c>
      <c r="AK54" s="391" t="s">
        <v>69</v>
      </c>
      <c r="AL54" s="391" t="s">
        <v>69</v>
      </c>
      <c r="AM54" s="391" t="s">
        <v>69</v>
      </c>
      <c r="AN54" s="391" t="s">
        <v>69</v>
      </c>
      <c r="AO54" s="391" t="s">
        <v>69</v>
      </c>
      <c r="AP54" s="391" t="s">
        <v>69</v>
      </c>
      <c r="AQ54" s="391" t="s">
        <v>69</v>
      </c>
      <c r="AR54" s="391" t="s">
        <v>69</v>
      </c>
      <c r="AS54" s="391" t="s">
        <v>69</v>
      </c>
      <c r="AT54" s="391" t="s">
        <v>69</v>
      </c>
      <c r="AU54" s="391" t="s">
        <v>69</v>
      </c>
      <c r="AV54" s="391" t="s">
        <v>69</v>
      </c>
      <c r="AW54" s="391" t="s">
        <v>69</v>
      </c>
      <c r="AX54" s="391" t="s">
        <v>69</v>
      </c>
      <c r="AY54" s="391" t="s">
        <v>69</v>
      </c>
      <c r="AZ54" s="391" t="s">
        <v>69</v>
      </c>
      <c r="BA54" s="391" t="s">
        <v>69</v>
      </c>
      <c r="BB54" s="391" t="s">
        <v>69</v>
      </c>
      <c r="BC54" s="391" t="s">
        <v>69</v>
      </c>
      <c r="BD54" s="391" t="s">
        <v>69</v>
      </c>
      <c r="BE54" s="391" t="s">
        <v>69</v>
      </c>
      <c r="BF54" s="391" t="s">
        <v>69</v>
      </c>
      <c r="BG54" s="391" t="s">
        <v>69</v>
      </c>
      <c r="BH54" s="391" t="s">
        <v>69</v>
      </c>
      <c r="BI54" s="391" t="s">
        <v>69</v>
      </c>
      <c r="BJ54" s="391" t="s">
        <v>69</v>
      </c>
      <c r="BK54" s="391" t="s">
        <v>69</v>
      </c>
      <c r="BL54" s="391" t="s">
        <v>69</v>
      </c>
      <c r="BM54" s="391" t="s">
        <v>69</v>
      </c>
      <c r="BN54" s="391" t="s">
        <v>69</v>
      </c>
      <c r="BO54" s="391" t="s">
        <v>69</v>
      </c>
      <c r="BP54" s="391" t="s">
        <v>69</v>
      </c>
      <c r="BQ54" s="391" t="s">
        <v>69</v>
      </c>
      <c r="BR54" s="391" t="s">
        <v>69</v>
      </c>
      <c r="BS54" s="391">
        <v>4</v>
      </c>
      <c r="BT54" s="391" t="s">
        <v>69</v>
      </c>
      <c r="BU54" s="391" t="s">
        <v>69</v>
      </c>
      <c r="BV54" s="391" t="s">
        <v>69</v>
      </c>
      <c r="BW54" s="391" t="s">
        <v>69</v>
      </c>
      <c r="BX54" s="391" t="s">
        <v>69</v>
      </c>
      <c r="BY54" s="391" t="s">
        <v>69</v>
      </c>
      <c r="BZ54" s="391" t="s">
        <v>69</v>
      </c>
      <c r="CA54" s="391" t="s">
        <v>69</v>
      </c>
      <c r="CB54" s="391" t="s">
        <v>69</v>
      </c>
      <c r="CC54" s="391" t="s">
        <v>69</v>
      </c>
      <c r="CD54" s="391">
        <v>3</v>
      </c>
      <c r="CE54" s="391" t="s">
        <v>69</v>
      </c>
      <c r="CF54" s="391" t="s">
        <v>69</v>
      </c>
      <c r="CG54" s="391" t="s">
        <v>69</v>
      </c>
      <c r="CH54" s="391" t="s">
        <v>69</v>
      </c>
      <c r="CI54" s="391" t="s">
        <v>69</v>
      </c>
      <c r="CJ54" s="391" t="s">
        <v>69</v>
      </c>
      <c r="CK54" s="391" t="s">
        <v>69</v>
      </c>
      <c r="CL54" s="391" t="s">
        <v>69</v>
      </c>
      <c r="CM54" s="391" t="s">
        <v>69</v>
      </c>
      <c r="CN54" s="391" t="s">
        <v>69</v>
      </c>
      <c r="CO54" s="391" t="s">
        <v>69</v>
      </c>
      <c r="CP54" s="391" t="s">
        <v>69</v>
      </c>
      <c r="CQ54" s="391" t="s">
        <v>69</v>
      </c>
      <c r="CR54" s="391" t="s">
        <v>69</v>
      </c>
      <c r="CS54" s="391" t="s">
        <v>69</v>
      </c>
      <c r="CT54" s="391" t="s">
        <v>69</v>
      </c>
      <c r="CU54" s="390" t="s">
        <v>212</v>
      </c>
      <c r="CV54" s="390" t="s">
        <v>212</v>
      </c>
      <c r="CW54" s="391">
        <v>3</v>
      </c>
      <c r="CX54" s="391" t="s">
        <v>69</v>
      </c>
      <c r="CY54" s="391" t="s">
        <v>69</v>
      </c>
      <c r="CZ54" s="391">
        <v>4</v>
      </c>
      <c r="DA54" s="391" t="s">
        <v>69</v>
      </c>
      <c r="DB54" s="391">
        <v>4</v>
      </c>
      <c r="DC54" s="391" t="s">
        <v>69</v>
      </c>
      <c r="DD54" s="391" t="s">
        <v>69</v>
      </c>
      <c r="DE54" s="391">
        <v>4</v>
      </c>
      <c r="DF54" s="391" t="s">
        <v>69</v>
      </c>
      <c r="DG54" s="391" t="s">
        <v>69</v>
      </c>
      <c r="DH54" s="391" t="s">
        <v>69</v>
      </c>
      <c r="DI54" s="391" t="s">
        <v>69</v>
      </c>
      <c r="DJ54" s="391" t="s">
        <v>69</v>
      </c>
      <c r="DK54" s="391" t="s">
        <v>69</v>
      </c>
      <c r="DL54" s="391" t="s">
        <v>69</v>
      </c>
      <c r="DM54" s="391" t="s">
        <v>69</v>
      </c>
      <c r="DN54" s="391" t="s">
        <v>69</v>
      </c>
      <c r="DO54" s="391" t="s">
        <v>69</v>
      </c>
      <c r="DP54" s="391" t="s">
        <v>69</v>
      </c>
      <c r="DQ54" s="391" t="s">
        <v>69</v>
      </c>
      <c r="DR54" s="391" t="s">
        <v>69</v>
      </c>
      <c r="DS54" s="391" t="s">
        <v>69</v>
      </c>
      <c r="DT54" s="391">
        <v>3</v>
      </c>
      <c r="DU54" s="398">
        <f t="shared" si="0"/>
        <v>0.20634920634920634</v>
      </c>
      <c r="DV54" s="399">
        <f t="shared" si="1"/>
        <v>1</v>
      </c>
    </row>
    <row r="55" spans="1:229" s="231" customFormat="1" ht="120" customHeight="1">
      <c r="A55" s="406" t="s">
        <v>507</v>
      </c>
      <c r="B55" s="407" t="s">
        <v>508</v>
      </c>
      <c r="C55" s="409" t="s">
        <v>616</v>
      </c>
      <c r="D55" s="408" t="s">
        <v>1155</v>
      </c>
      <c r="E55" s="391">
        <v>4</v>
      </c>
      <c r="F55" s="391" t="s">
        <v>69</v>
      </c>
      <c r="G55" s="391">
        <v>4</v>
      </c>
      <c r="H55" s="391">
        <v>4</v>
      </c>
      <c r="I55" s="391" t="s">
        <v>69</v>
      </c>
      <c r="J55" s="391" t="s">
        <v>212</v>
      </c>
      <c r="K55" s="391" t="s">
        <v>212</v>
      </c>
      <c r="L55" s="391" t="s">
        <v>212</v>
      </c>
      <c r="M55" s="391" t="s">
        <v>212</v>
      </c>
      <c r="N55" s="391" t="s">
        <v>212</v>
      </c>
      <c r="O55" s="391" t="s">
        <v>212</v>
      </c>
      <c r="P55" s="391" t="s">
        <v>69</v>
      </c>
      <c r="Q55" s="391" t="s">
        <v>69</v>
      </c>
      <c r="R55" s="391" t="s">
        <v>69</v>
      </c>
      <c r="S55" s="391">
        <v>4</v>
      </c>
      <c r="T55" s="391" t="s">
        <v>69</v>
      </c>
      <c r="U55" s="391" t="s">
        <v>212</v>
      </c>
      <c r="V55" s="391" t="s">
        <v>212</v>
      </c>
      <c r="W55" s="391" t="s">
        <v>212</v>
      </c>
      <c r="X55" s="391" t="s">
        <v>212</v>
      </c>
      <c r="Y55" s="391" t="s">
        <v>212</v>
      </c>
      <c r="Z55" s="391" t="s">
        <v>69</v>
      </c>
      <c r="AA55" s="391">
        <v>4</v>
      </c>
      <c r="AB55" s="391" t="s">
        <v>69</v>
      </c>
      <c r="AC55" s="391" t="s">
        <v>69</v>
      </c>
      <c r="AD55" s="391" t="s">
        <v>69</v>
      </c>
      <c r="AE55" s="391" t="s">
        <v>69</v>
      </c>
      <c r="AF55" s="391" t="s">
        <v>69</v>
      </c>
      <c r="AG55" s="391" t="s">
        <v>69</v>
      </c>
      <c r="AH55" s="391" t="s">
        <v>69</v>
      </c>
      <c r="AI55" s="391" t="s">
        <v>212</v>
      </c>
      <c r="AJ55" s="391" t="s">
        <v>212</v>
      </c>
      <c r="AK55" s="391" t="s">
        <v>69</v>
      </c>
      <c r="AL55" s="391" t="s">
        <v>69</v>
      </c>
      <c r="AM55" s="391" t="s">
        <v>69</v>
      </c>
      <c r="AN55" s="391" t="s">
        <v>69</v>
      </c>
      <c r="AO55" s="391" t="s">
        <v>69</v>
      </c>
      <c r="AP55" s="391" t="s">
        <v>69</v>
      </c>
      <c r="AQ55" s="391" t="s">
        <v>69</v>
      </c>
      <c r="AR55" s="391">
        <v>4</v>
      </c>
      <c r="AS55" s="391" t="s">
        <v>69</v>
      </c>
      <c r="AT55" s="391" t="s">
        <v>69</v>
      </c>
      <c r="AU55" s="391">
        <v>4</v>
      </c>
      <c r="AV55" s="391" t="s">
        <v>69</v>
      </c>
      <c r="AW55" s="391" t="s">
        <v>69</v>
      </c>
      <c r="AX55" s="391">
        <v>4</v>
      </c>
      <c r="AY55" s="391" t="s">
        <v>69</v>
      </c>
      <c r="AZ55" s="391" t="s">
        <v>69</v>
      </c>
      <c r="BA55" s="391" t="s">
        <v>69</v>
      </c>
      <c r="BB55" s="391" t="s">
        <v>69</v>
      </c>
      <c r="BC55" s="391" t="s">
        <v>69</v>
      </c>
      <c r="BD55" s="391">
        <v>4</v>
      </c>
      <c r="BE55" s="391" t="s">
        <v>69</v>
      </c>
      <c r="BF55" s="391" t="s">
        <v>69</v>
      </c>
      <c r="BG55" s="391" t="s">
        <v>69</v>
      </c>
      <c r="BH55" s="391" t="s">
        <v>69</v>
      </c>
      <c r="BI55" s="391" t="s">
        <v>69</v>
      </c>
      <c r="BJ55" s="391" t="s">
        <v>69</v>
      </c>
      <c r="BK55" s="391" t="s">
        <v>69</v>
      </c>
      <c r="BL55" s="391" t="s">
        <v>69</v>
      </c>
      <c r="BM55" s="391" t="s">
        <v>69</v>
      </c>
      <c r="BN55" s="391" t="s">
        <v>69</v>
      </c>
      <c r="BO55" s="391" t="s">
        <v>69</v>
      </c>
      <c r="BP55" s="391" t="s">
        <v>69</v>
      </c>
      <c r="BQ55" s="390">
        <v>4</v>
      </c>
      <c r="BR55" s="391" t="s">
        <v>69</v>
      </c>
      <c r="BS55" s="391" t="s">
        <v>69</v>
      </c>
      <c r="BT55" s="391" t="s">
        <v>69</v>
      </c>
      <c r="BU55" s="391" t="s">
        <v>69</v>
      </c>
      <c r="BV55" s="391" t="s">
        <v>69</v>
      </c>
      <c r="BW55" s="391" t="s">
        <v>69</v>
      </c>
      <c r="BX55" s="391" t="s">
        <v>69</v>
      </c>
      <c r="BY55" s="391" t="s">
        <v>69</v>
      </c>
      <c r="BZ55" s="391" t="s">
        <v>69</v>
      </c>
      <c r="CA55" s="391" t="s">
        <v>69</v>
      </c>
      <c r="CB55" s="391" t="s">
        <v>69</v>
      </c>
      <c r="CC55" s="391" t="s">
        <v>69</v>
      </c>
      <c r="CD55" s="391" t="s">
        <v>69</v>
      </c>
      <c r="CE55" s="391" t="s">
        <v>69</v>
      </c>
      <c r="CF55" s="391" t="s">
        <v>69</v>
      </c>
      <c r="CG55" s="391" t="s">
        <v>69</v>
      </c>
      <c r="CH55" s="391">
        <v>4</v>
      </c>
      <c r="CI55" s="391" t="s">
        <v>69</v>
      </c>
      <c r="CJ55" s="392" t="s">
        <v>69</v>
      </c>
      <c r="CK55" s="392" t="s">
        <v>69</v>
      </c>
      <c r="CL55" s="392" t="s">
        <v>69</v>
      </c>
      <c r="CM55" s="392" t="s">
        <v>69</v>
      </c>
      <c r="CN55" s="392" t="s">
        <v>69</v>
      </c>
      <c r="CO55" s="392" t="s">
        <v>69</v>
      </c>
      <c r="CP55" s="392" t="s">
        <v>69</v>
      </c>
      <c r="CQ55" s="392" t="s">
        <v>69</v>
      </c>
      <c r="CR55" s="392" t="s">
        <v>69</v>
      </c>
      <c r="CS55" s="391" t="s">
        <v>69</v>
      </c>
      <c r="CT55" s="391" t="s">
        <v>69</v>
      </c>
      <c r="CU55" s="390" t="s">
        <v>212</v>
      </c>
      <c r="CV55" s="390" t="s">
        <v>212</v>
      </c>
      <c r="CW55" s="391" t="s">
        <v>69</v>
      </c>
      <c r="CX55" s="391" t="s">
        <v>69</v>
      </c>
      <c r="CY55" s="391" t="s">
        <v>69</v>
      </c>
      <c r="CZ55" s="391" t="s">
        <v>69</v>
      </c>
      <c r="DA55" s="391" t="s">
        <v>69</v>
      </c>
      <c r="DB55" s="391" t="s">
        <v>69</v>
      </c>
      <c r="DC55" s="391" t="s">
        <v>69</v>
      </c>
      <c r="DD55" s="391" t="s">
        <v>69</v>
      </c>
      <c r="DE55" s="391" t="s">
        <v>69</v>
      </c>
      <c r="DF55" s="391" t="s">
        <v>69</v>
      </c>
      <c r="DG55" s="391" t="s">
        <v>69</v>
      </c>
      <c r="DH55" s="391" t="s">
        <v>69</v>
      </c>
      <c r="DI55" s="391" t="s">
        <v>69</v>
      </c>
      <c r="DJ55" s="391" t="s">
        <v>69</v>
      </c>
      <c r="DK55" s="391">
        <v>4</v>
      </c>
      <c r="DL55" s="391">
        <v>4</v>
      </c>
      <c r="DM55" s="391" t="s">
        <v>69</v>
      </c>
      <c r="DN55" s="391" t="s">
        <v>69</v>
      </c>
      <c r="DO55" s="391" t="s">
        <v>69</v>
      </c>
      <c r="DP55" s="391" t="s">
        <v>69</v>
      </c>
      <c r="DQ55" s="391" t="s">
        <v>69</v>
      </c>
      <c r="DR55" s="391" t="s">
        <v>69</v>
      </c>
      <c r="DS55" s="391" t="s">
        <v>69</v>
      </c>
      <c r="DT55" s="391" t="s">
        <v>69</v>
      </c>
      <c r="DU55" s="398">
        <f t="shared" si="0"/>
        <v>0.20634920634920634</v>
      </c>
      <c r="DV55" s="399">
        <f t="shared" si="1"/>
        <v>1</v>
      </c>
      <c r="DW55" s="230"/>
      <c r="DX55" s="230"/>
      <c r="DY55" s="230"/>
      <c r="DZ55" s="230"/>
      <c r="EA55" s="230"/>
      <c r="EB55" s="230"/>
      <c r="EC55" s="230"/>
      <c r="ED55" s="230"/>
      <c r="EE55" s="230"/>
      <c r="EF55" s="230"/>
      <c r="EG55" s="230"/>
      <c r="EH55" s="230"/>
      <c r="EI55" s="230"/>
      <c r="EJ55" s="230"/>
      <c r="EK55" s="230"/>
      <c r="EL55" s="230"/>
      <c r="EM55" s="230"/>
      <c r="EN55" s="230"/>
      <c r="EO55" s="230"/>
      <c r="EP55" s="230"/>
      <c r="EQ55" s="230"/>
      <c r="ER55" s="230"/>
      <c r="ES55" s="230"/>
      <c r="ET55" s="230"/>
      <c r="EU55" s="230"/>
      <c r="EV55" s="230"/>
      <c r="EW55" s="230"/>
      <c r="EX55" s="230"/>
      <c r="EY55" s="230"/>
      <c r="EZ55" s="230"/>
      <c r="FA55" s="230"/>
      <c r="FB55" s="230"/>
      <c r="FC55" s="230"/>
      <c r="FD55" s="230"/>
      <c r="FE55" s="230"/>
      <c r="FF55" s="230"/>
      <c r="FG55" s="230"/>
      <c r="FH55" s="230"/>
      <c r="FI55" s="230"/>
      <c r="FJ55" s="230"/>
      <c r="FK55" s="230"/>
      <c r="FL55" s="230"/>
      <c r="FM55" s="230"/>
      <c r="FN55" s="230"/>
      <c r="FO55" s="230"/>
      <c r="FP55" s="230"/>
      <c r="FQ55" s="230"/>
      <c r="FR55" s="230"/>
      <c r="FS55" s="230"/>
      <c r="FT55" s="230"/>
      <c r="FU55" s="230"/>
      <c r="FV55" s="230"/>
      <c r="FW55" s="230"/>
      <c r="FX55" s="230"/>
      <c r="FY55" s="230"/>
      <c r="FZ55" s="230"/>
      <c r="GA55" s="230"/>
      <c r="GB55" s="230"/>
      <c r="GC55" s="230"/>
      <c r="GD55" s="230"/>
      <c r="GE55" s="230"/>
      <c r="GF55" s="230"/>
      <c r="GG55" s="230"/>
      <c r="GH55" s="230"/>
      <c r="GI55" s="230"/>
      <c r="GJ55" s="230"/>
      <c r="GK55" s="230"/>
      <c r="GL55" s="230"/>
      <c r="GM55" s="230"/>
      <c r="GN55" s="230"/>
      <c r="GO55" s="230"/>
      <c r="GP55" s="230"/>
      <c r="GQ55" s="230"/>
      <c r="GR55" s="230"/>
      <c r="GS55" s="230"/>
      <c r="GT55" s="230"/>
      <c r="GU55" s="230"/>
      <c r="GV55" s="230"/>
      <c r="GW55" s="230"/>
      <c r="GX55" s="230"/>
      <c r="GY55" s="230"/>
      <c r="GZ55" s="230"/>
      <c r="HA55" s="230"/>
      <c r="HB55" s="230"/>
      <c r="HC55" s="230"/>
      <c r="HD55" s="230"/>
      <c r="HE55" s="230"/>
      <c r="HF55" s="230"/>
      <c r="HG55" s="230"/>
      <c r="HH55" s="230"/>
      <c r="HI55" s="230"/>
      <c r="HJ55" s="230"/>
      <c r="HK55" s="230"/>
      <c r="HL55" s="230"/>
      <c r="HM55" s="230"/>
      <c r="HN55" s="230"/>
      <c r="HO55" s="230"/>
      <c r="HP55" s="230"/>
      <c r="HQ55" s="230"/>
      <c r="HR55" s="230"/>
      <c r="HS55" s="230"/>
      <c r="HT55" s="230"/>
      <c r="HU55" s="230"/>
    </row>
    <row r="56" spans="1:229" s="230" customFormat="1" ht="120" customHeight="1">
      <c r="A56" s="406" t="s">
        <v>736</v>
      </c>
      <c r="B56" s="407" t="s">
        <v>737</v>
      </c>
      <c r="C56" s="409">
        <v>45552</v>
      </c>
      <c r="D56" s="408" t="s">
        <v>1155</v>
      </c>
      <c r="E56" s="391">
        <v>4</v>
      </c>
      <c r="F56" s="391">
        <v>4</v>
      </c>
      <c r="G56" s="391">
        <v>4</v>
      </c>
      <c r="H56" s="391">
        <v>4</v>
      </c>
      <c r="I56" s="391" t="s">
        <v>69</v>
      </c>
      <c r="J56" s="391" t="s">
        <v>69</v>
      </c>
      <c r="K56" s="391" t="s">
        <v>69</v>
      </c>
      <c r="L56" s="391" t="s">
        <v>69</v>
      </c>
      <c r="M56" s="391" t="s">
        <v>69</v>
      </c>
      <c r="N56" s="391">
        <v>4</v>
      </c>
      <c r="O56" s="391">
        <v>4</v>
      </c>
      <c r="P56" s="391" t="s">
        <v>69</v>
      </c>
      <c r="Q56" s="391" t="s">
        <v>69</v>
      </c>
      <c r="R56" s="391" t="s">
        <v>69</v>
      </c>
      <c r="S56" s="391" t="s">
        <v>69</v>
      </c>
      <c r="T56" s="391" t="s">
        <v>69</v>
      </c>
      <c r="U56" s="391" t="s">
        <v>69</v>
      </c>
      <c r="V56" s="391" t="s">
        <v>69</v>
      </c>
      <c r="W56" s="391" t="s">
        <v>69</v>
      </c>
      <c r="X56" s="391" t="s">
        <v>69</v>
      </c>
      <c r="Y56" s="391" t="s">
        <v>69</v>
      </c>
      <c r="Z56" s="391" t="s">
        <v>69</v>
      </c>
      <c r="AA56" s="391" t="s">
        <v>69</v>
      </c>
      <c r="AB56" s="391" t="s">
        <v>69</v>
      </c>
      <c r="AC56" s="391" t="s">
        <v>69</v>
      </c>
      <c r="AD56" s="391" t="s">
        <v>69</v>
      </c>
      <c r="AE56" s="391">
        <v>4</v>
      </c>
      <c r="AF56" s="391" t="s">
        <v>69</v>
      </c>
      <c r="AG56" s="391">
        <v>4</v>
      </c>
      <c r="AH56" s="391" t="s">
        <v>69</v>
      </c>
      <c r="AI56" s="391" t="s">
        <v>69</v>
      </c>
      <c r="AJ56" s="391" t="s">
        <v>69</v>
      </c>
      <c r="AK56" s="391" t="s">
        <v>69</v>
      </c>
      <c r="AL56" s="391" t="s">
        <v>69</v>
      </c>
      <c r="AM56" s="391" t="s">
        <v>69</v>
      </c>
      <c r="AN56" s="391" t="s">
        <v>69</v>
      </c>
      <c r="AO56" s="391" t="s">
        <v>69</v>
      </c>
      <c r="AP56" s="391" t="s">
        <v>69</v>
      </c>
      <c r="AQ56" s="391" t="s">
        <v>69</v>
      </c>
      <c r="AR56" s="391" t="s">
        <v>69</v>
      </c>
      <c r="AS56" s="391" t="s">
        <v>69</v>
      </c>
      <c r="AT56" s="391" t="s">
        <v>69</v>
      </c>
      <c r="AU56" s="391" t="s">
        <v>69</v>
      </c>
      <c r="AV56" s="391" t="s">
        <v>69</v>
      </c>
      <c r="AW56" s="391" t="s">
        <v>69</v>
      </c>
      <c r="AX56" s="391" t="s">
        <v>69</v>
      </c>
      <c r="AY56" s="391" t="s">
        <v>69</v>
      </c>
      <c r="AZ56" s="391" t="s">
        <v>69</v>
      </c>
      <c r="BA56" s="391" t="s">
        <v>69</v>
      </c>
      <c r="BB56" s="391" t="s">
        <v>69</v>
      </c>
      <c r="BC56" s="391" t="s">
        <v>69</v>
      </c>
      <c r="BD56" s="391" t="s">
        <v>69</v>
      </c>
      <c r="BE56" s="391" t="s">
        <v>69</v>
      </c>
      <c r="BF56" s="391" t="s">
        <v>69</v>
      </c>
      <c r="BG56" s="391" t="s">
        <v>69</v>
      </c>
      <c r="BH56" s="391" t="s">
        <v>69</v>
      </c>
      <c r="BI56" s="391" t="s">
        <v>69</v>
      </c>
      <c r="BJ56" s="391" t="s">
        <v>69</v>
      </c>
      <c r="BK56" s="391" t="s">
        <v>69</v>
      </c>
      <c r="BL56" s="391" t="s">
        <v>69</v>
      </c>
      <c r="BM56" s="391" t="s">
        <v>69</v>
      </c>
      <c r="BN56" s="391" t="s">
        <v>69</v>
      </c>
      <c r="BO56" s="391" t="s">
        <v>69</v>
      </c>
      <c r="BP56" s="391" t="s">
        <v>69</v>
      </c>
      <c r="BQ56" s="391" t="s">
        <v>69</v>
      </c>
      <c r="BR56" s="391" t="s">
        <v>69</v>
      </c>
      <c r="BS56" s="391" t="s">
        <v>69</v>
      </c>
      <c r="BT56" s="391" t="s">
        <v>69</v>
      </c>
      <c r="BU56" s="391" t="s">
        <v>69</v>
      </c>
      <c r="BV56" s="391" t="s">
        <v>69</v>
      </c>
      <c r="BW56" s="391" t="s">
        <v>69</v>
      </c>
      <c r="BX56" s="391" t="s">
        <v>69</v>
      </c>
      <c r="BY56" s="391" t="s">
        <v>69</v>
      </c>
      <c r="BZ56" s="391" t="s">
        <v>69</v>
      </c>
      <c r="CA56" s="391" t="s">
        <v>69</v>
      </c>
      <c r="CB56" s="391" t="s">
        <v>69</v>
      </c>
      <c r="CC56" s="391" t="s">
        <v>69</v>
      </c>
      <c r="CD56" s="391" t="s">
        <v>69</v>
      </c>
      <c r="CE56" s="391" t="s">
        <v>69</v>
      </c>
      <c r="CF56" s="391">
        <v>4</v>
      </c>
      <c r="CG56" s="391">
        <v>4</v>
      </c>
      <c r="CH56" s="391">
        <v>4</v>
      </c>
      <c r="CI56" s="391">
        <v>4</v>
      </c>
      <c r="CJ56" s="391" t="s">
        <v>69</v>
      </c>
      <c r="CK56" s="391" t="s">
        <v>69</v>
      </c>
      <c r="CL56" s="391">
        <v>4</v>
      </c>
      <c r="CM56" s="391">
        <v>4</v>
      </c>
      <c r="CN56" s="391" t="s">
        <v>69</v>
      </c>
      <c r="CO56" s="391" t="s">
        <v>69</v>
      </c>
      <c r="CP56" s="391" t="s">
        <v>69</v>
      </c>
      <c r="CQ56" s="391" t="s">
        <v>69</v>
      </c>
      <c r="CR56" s="391" t="s">
        <v>69</v>
      </c>
      <c r="CS56" s="391" t="s">
        <v>69</v>
      </c>
      <c r="CT56" s="391" t="s">
        <v>69</v>
      </c>
      <c r="CU56" s="390" t="s">
        <v>212</v>
      </c>
      <c r="CV56" s="390" t="s">
        <v>212</v>
      </c>
      <c r="CW56" s="391" t="s">
        <v>69</v>
      </c>
      <c r="CX56" s="391" t="s">
        <v>69</v>
      </c>
      <c r="CY56" s="391" t="s">
        <v>69</v>
      </c>
      <c r="CZ56" s="391">
        <v>4</v>
      </c>
      <c r="DA56" s="391" t="s">
        <v>69</v>
      </c>
      <c r="DB56" s="391">
        <v>3</v>
      </c>
      <c r="DC56" s="391" t="s">
        <v>69</v>
      </c>
      <c r="DD56" s="391">
        <v>4</v>
      </c>
      <c r="DE56" s="391" t="s">
        <v>69</v>
      </c>
      <c r="DF56" s="391" t="s">
        <v>69</v>
      </c>
      <c r="DG56" s="391" t="s">
        <v>69</v>
      </c>
      <c r="DH56" s="391" t="s">
        <v>69</v>
      </c>
      <c r="DI56" s="391" t="s">
        <v>69</v>
      </c>
      <c r="DJ56" s="391" t="s">
        <v>69</v>
      </c>
      <c r="DK56" s="391" t="s">
        <v>69</v>
      </c>
      <c r="DL56" s="391" t="s">
        <v>69</v>
      </c>
      <c r="DM56" s="391" t="s">
        <v>69</v>
      </c>
      <c r="DN56" s="391" t="s">
        <v>69</v>
      </c>
      <c r="DO56" s="391" t="s">
        <v>69</v>
      </c>
      <c r="DP56" s="391" t="s">
        <v>69</v>
      </c>
      <c r="DQ56" s="391">
        <v>2</v>
      </c>
      <c r="DR56" s="391" t="s">
        <v>69</v>
      </c>
      <c r="DS56" s="391" t="s">
        <v>69</v>
      </c>
      <c r="DT56" s="391" t="s">
        <v>69</v>
      </c>
      <c r="DU56" s="398">
        <f t="shared" si="0"/>
        <v>0.2857142857142857</v>
      </c>
      <c r="DV56" s="399">
        <f t="shared" si="1"/>
        <v>0.94444444444444442</v>
      </c>
    </row>
    <row r="57" spans="1:229" s="230" customFormat="1" ht="120" customHeight="1">
      <c r="A57" s="406" t="s">
        <v>738</v>
      </c>
      <c r="B57" s="407" t="s">
        <v>739</v>
      </c>
      <c r="C57" s="409">
        <v>45931</v>
      </c>
      <c r="D57" s="408" t="s">
        <v>1155</v>
      </c>
      <c r="E57" s="396">
        <v>4</v>
      </c>
      <c r="F57" s="391" t="s">
        <v>69</v>
      </c>
      <c r="G57" s="391" t="s">
        <v>69</v>
      </c>
      <c r="H57" s="391" t="s">
        <v>69</v>
      </c>
      <c r="I57" s="391" t="s">
        <v>69</v>
      </c>
      <c r="J57" s="391" t="s">
        <v>69</v>
      </c>
      <c r="K57" s="391" t="s">
        <v>69</v>
      </c>
      <c r="L57" s="391" t="s">
        <v>69</v>
      </c>
      <c r="M57" s="391" t="s">
        <v>69</v>
      </c>
      <c r="N57" s="391" t="s">
        <v>69</v>
      </c>
      <c r="O57" s="391" t="s">
        <v>69</v>
      </c>
      <c r="P57" s="391" t="s">
        <v>69</v>
      </c>
      <c r="Q57" s="391" t="s">
        <v>69</v>
      </c>
      <c r="R57" s="391" t="s">
        <v>69</v>
      </c>
      <c r="S57" s="391" t="s">
        <v>69</v>
      </c>
      <c r="T57" s="391" t="s">
        <v>69</v>
      </c>
      <c r="U57" s="391" t="s">
        <v>69</v>
      </c>
      <c r="V57" s="391" t="s">
        <v>69</v>
      </c>
      <c r="W57" s="391" t="s">
        <v>69</v>
      </c>
      <c r="X57" s="391" t="s">
        <v>69</v>
      </c>
      <c r="Y57" s="391" t="s">
        <v>69</v>
      </c>
      <c r="Z57" s="391" t="s">
        <v>69</v>
      </c>
      <c r="AA57" s="391" t="s">
        <v>69</v>
      </c>
      <c r="AB57" s="391" t="s">
        <v>69</v>
      </c>
      <c r="AC57" s="391" t="s">
        <v>69</v>
      </c>
      <c r="AD57" s="391" t="s">
        <v>69</v>
      </c>
      <c r="AE57" s="396">
        <v>4</v>
      </c>
      <c r="AF57" s="391" t="s">
        <v>69</v>
      </c>
      <c r="AG57" s="396">
        <v>4</v>
      </c>
      <c r="AH57" s="391" t="s">
        <v>69</v>
      </c>
      <c r="AI57" s="391" t="s">
        <v>69</v>
      </c>
      <c r="AJ57" s="391" t="s">
        <v>69</v>
      </c>
      <c r="AK57" s="391" t="s">
        <v>69</v>
      </c>
      <c r="AL57" s="391" t="s">
        <v>69</v>
      </c>
      <c r="AM57" s="391" t="s">
        <v>69</v>
      </c>
      <c r="AN57" s="391" t="s">
        <v>69</v>
      </c>
      <c r="AO57" s="391" t="s">
        <v>69</v>
      </c>
      <c r="AP57" s="391" t="s">
        <v>69</v>
      </c>
      <c r="AQ57" s="391" t="s">
        <v>69</v>
      </c>
      <c r="AR57" s="391" t="s">
        <v>69</v>
      </c>
      <c r="AS57" s="391" t="s">
        <v>69</v>
      </c>
      <c r="AT57" s="391" t="s">
        <v>69</v>
      </c>
      <c r="AU57" s="391" t="s">
        <v>69</v>
      </c>
      <c r="AV57" s="391" t="s">
        <v>69</v>
      </c>
      <c r="AW57" s="391" t="s">
        <v>69</v>
      </c>
      <c r="AX57" s="391" t="s">
        <v>69</v>
      </c>
      <c r="AY57" s="391" t="s">
        <v>69</v>
      </c>
      <c r="AZ57" s="391" t="s">
        <v>69</v>
      </c>
      <c r="BA57" s="391" t="s">
        <v>69</v>
      </c>
      <c r="BB57" s="391" t="s">
        <v>69</v>
      </c>
      <c r="BC57" s="391" t="s">
        <v>69</v>
      </c>
      <c r="BD57" s="391" t="s">
        <v>69</v>
      </c>
      <c r="BE57" s="391" t="s">
        <v>69</v>
      </c>
      <c r="BF57" s="391" t="s">
        <v>69</v>
      </c>
      <c r="BG57" s="391" t="s">
        <v>69</v>
      </c>
      <c r="BH57" s="391" t="s">
        <v>69</v>
      </c>
      <c r="BI57" s="391" t="s">
        <v>69</v>
      </c>
      <c r="BJ57" s="391" t="s">
        <v>69</v>
      </c>
      <c r="BK57" s="391" t="s">
        <v>69</v>
      </c>
      <c r="BL57" s="391" t="s">
        <v>69</v>
      </c>
      <c r="BM57" s="391">
        <v>4</v>
      </c>
      <c r="BN57" s="391" t="s">
        <v>69</v>
      </c>
      <c r="BO57" s="391" t="s">
        <v>69</v>
      </c>
      <c r="BP57" s="391" t="s">
        <v>69</v>
      </c>
      <c r="BQ57" s="391" t="s">
        <v>69</v>
      </c>
      <c r="BR57" s="391" t="s">
        <v>69</v>
      </c>
      <c r="BS57" s="391" t="s">
        <v>69</v>
      </c>
      <c r="BT57" s="391" t="s">
        <v>69</v>
      </c>
      <c r="BU57" s="391" t="s">
        <v>69</v>
      </c>
      <c r="BV57" s="391">
        <v>3</v>
      </c>
      <c r="BW57" s="391" t="s">
        <v>69</v>
      </c>
      <c r="BX57" s="391" t="s">
        <v>69</v>
      </c>
      <c r="BY57" s="391" t="s">
        <v>69</v>
      </c>
      <c r="BZ57" s="391" t="s">
        <v>69</v>
      </c>
      <c r="CA57" s="391" t="s">
        <v>69</v>
      </c>
      <c r="CB57" s="391" t="s">
        <v>69</v>
      </c>
      <c r="CC57" s="391" t="s">
        <v>69</v>
      </c>
      <c r="CD57" s="391" t="s">
        <v>69</v>
      </c>
      <c r="CE57" s="391" t="s">
        <v>69</v>
      </c>
      <c r="CF57" s="391" t="s">
        <v>69</v>
      </c>
      <c r="CG57" s="391" t="s">
        <v>69</v>
      </c>
      <c r="CH57" s="391" t="s">
        <v>69</v>
      </c>
      <c r="CI57" s="391" t="s">
        <v>69</v>
      </c>
      <c r="CJ57" s="391" t="s">
        <v>69</v>
      </c>
      <c r="CK57" s="391" t="s">
        <v>69</v>
      </c>
      <c r="CL57" s="391">
        <v>3</v>
      </c>
      <c r="CM57" s="391" t="s">
        <v>69</v>
      </c>
      <c r="CN57" s="391" t="s">
        <v>69</v>
      </c>
      <c r="CO57" s="391" t="s">
        <v>69</v>
      </c>
      <c r="CP57" s="391" t="s">
        <v>69</v>
      </c>
      <c r="CQ57" s="391" t="s">
        <v>69</v>
      </c>
      <c r="CR57" s="391" t="s">
        <v>69</v>
      </c>
      <c r="CS57" s="391" t="s">
        <v>69</v>
      </c>
      <c r="CT57" s="391" t="s">
        <v>69</v>
      </c>
      <c r="CU57" s="390" t="s">
        <v>212</v>
      </c>
      <c r="CV57" s="390" t="s">
        <v>212</v>
      </c>
      <c r="CW57" s="391" t="s">
        <v>69</v>
      </c>
      <c r="CX57" s="391" t="s">
        <v>69</v>
      </c>
      <c r="CY57" s="391">
        <v>3</v>
      </c>
      <c r="CZ57" s="391">
        <v>4</v>
      </c>
      <c r="DA57" s="391" t="s">
        <v>69</v>
      </c>
      <c r="DB57" s="391">
        <v>4</v>
      </c>
      <c r="DC57" s="391" t="s">
        <v>69</v>
      </c>
      <c r="DD57" s="391">
        <v>4</v>
      </c>
      <c r="DE57" s="391" t="s">
        <v>69</v>
      </c>
      <c r="DF57" s="391">
        <v>3</v>
      </c>
      <c r="DG57" s="391" t="s">
        <v>69</v>
      </c>
      <c r="DH57" s="391" t="s">
        <v>69</v>
      </c>
      <c r="DI57" s="391" t="s">
        <v>69</v>
      </c>
      <c r="DJ57" s="391" t="s">
        <v>69</v>
      </c>
      <c r="DK57" s="391" t="s">
        <v>69</v>
      </c>
      <c r="DL57" s="391" t="s">
        <v>69</v>
      </c>
      <c r="DM57" s="391" t="s">
        <v>69</v>
      </c>
      <c r="DN57" s="391" t="s">
        <v>69</v>
      </c>
      <c r="DO57" s="391" t="s">
        <v>69</v>
      </c>
      <c r="DP57" s="391" t="s">
        <v>69</v>
      </c>
      <c r="DQ57" s="391" t="s">
        <v>69</v>
      </c>
      <c r="DR57" s="391" t="s">
        <v>69</v>
      </c>
      <c r="DS57" s="391" t="s">
        <v>69</v>
      </c>
      <c r="DT57" s="391" t="s">
        <v>69</v>
      </c>
      <c r="DU57" s="398">
        <f t="shared" si="0"/>
        <v>0.17460317460317459</v>
      </c>
      <c r="DV57" s="399">
        <f t="shared" si="1"/>
        <v>1</v>
      </c>
    </row>
    <row r="58" spans="1:229" s="230" customFormat="1" ht="120" customHeight="1">
      <c r="A58" s="406" t="s">
        <v>641</v>
      </c>
      <c r="B58" s="407" t="s">
        <v>644</v>
      </c>
      <c r="C58" s="409">
        <v>45363</v>
      </c>
      <c r="D58" s="408" t="s">
        <v>1155</v>
      </c>
      <c r="E58" s="391" t="s">
        <v>69</v>
      </c>
      <c r="F58" s="391" t="s">
        <v>69</v>
      </c>
      <c r="G58" s="391" t="s">
        <v>69</v>
      </c>
      <c r="H58" s="391" t="s">
        <v>69</v>
      </c>
      <c r="I58" s="391" t="s">
        <v>69</v>
      </c>
      <c r="J58" s="391" t="s">
        <v>69</v>
      </c>
      <c r="K58" s="391" t="s">
        <v>69</v>
      </c>
      <c r="L58" s="391">
        <v>3</v>
      </c>
      <c r="M58" s="391" t="s">
        <v>69</v>
      </c>
      <c r="N58" s="391" t="s">
        <v>69</v>
      </c>
      <c r="O58" s="391" t="s">
        <v>69</v>
      </c>
      <c r="P58" s="391" t="s">
        <v>69</v>
      </c>
      <c r="Q58" s="391" t="s">
        <v>69</v>
      </c>
      <c r="R58" s="391" t="s">
        <v>69</v>
      </c>
      <c r="S58" s="391" t="s">
        <v>69</v>
      </c>
      <c r="T58" s="391" t="s">
        <v>69</v>
      </c>
      <c r="U58" s="391">
        <v>4</v>
      </c>
      <c r="V58" s="391" t="s">
        <v>69</v>
      </c>
      <c r="W58" s="391" t="s">
        <v>69</v>
      </c>
      <c r="X58" s="391" t="s">
        <v>69</v>
      </c>
      <c r="Y58" s="391" t="s">
        <v>69</v>
      </c>
      <c r="Z58" s="391" t="s">
        <v>69</v>
      </c>
      <c r="AA58" s="391" t="s">
        <v>69</v>
      </c>
      <c r="AB58" s="391" t="s">
        <v>69</v>
      </c>
      <c r="AC58" s="391" t="s">
        <v>69</v>
      </c>
      <c r="AD58" s="391" t="s">
        <v>69</v>
      </c>
      <c r="AE58" s="391" t="s">
        <v>69</v>
      </c>
      <c r="AF58" s="391" t="s">
        <v>69</v>
      </c>
      <c r="AG58" s="391" t="s">
        <v>69</v>
      </c>
      <c r="AH58" s="391" t="s">
        <v>69</v>
      </c>
      <c r="AI58" s="391" t="s">
        <v>69</v>
      </c>
      <c r="AJ58" s="391" t="s">
        <v>69</v>
      </c>
      <c r="AK58" s="391" t="s">
        <v>69</v>
      </c>
      <c r="AL58" s="391" t="s">
        <v>69</v>
      </c>
      <c r="AM58" s="391" t="s">
        <v>69</v>
      </c>
      <c r="AN58" s="391" t="s">
        <v>69</v>
      </c>
      <c r="AO58" s="391" t="s">
        <v>69</v>
      </c>
      <c r="AP58" s="391" t="s">
        <v>69</v>
      </c>
      <c r="AQ58" s="391" t="s">
        <v>69</v>
      </c>
      <c r="AR58" s="391" t="s">
        <v>69</v>
      </c>
      <c r="AS58" s="391" t="s">
        <v>69</v>
      </c>
      <c r="AT58" s="391" t="s">
        <v>69</v>
      </c>
      <c r="AU58" s="391" t="s">
        <v>69</v>
      </c>
      <c r="AV58" s="391" t="s">
        <v>69</v>
      </c>
      <c r="AW58" s="391" t="s">
        <v>69</v>
      </c>
      <c r="AX58" s="391" t="s">
        <v>69</v>
      </c>
      <c r="AY58" s="391" t="s">
        <v>69</v>
      </c>
      <c r="AZ58" s="391" t="s">
        <v>69</v>
      </c>
      <c r="BA58" s="391" t="s">
        <v>69</v>
      </c>
      <c r="BB58" s="391" t="s">
        <v>69</v>
      </c>
      <c r="BC58" s="391" t="s">
        <v>69</v>
      </c>
      <c r="BD58" s="391" t="s">
        <v>69</v>
      </c>
      <c r="BE58" s="391" t="s">
        <v>69</v>
      </c>
      <c r="BF58" s="391" t="s">
        <v>69</v>
      </c>
      <c r="BG58" s="391" t="s">
        <v>69</v>
      </c>
      <c r="BH58" s="391" t="s">
        <v>69</v>
      </c>
      <c r="BI58" s="391" t="s">
        <v>69</v>
      </c>
      <c r="BJ58" s="391" t="s">
        <v>69</v>
      </c>
      <c r="BK58" s="391" t="s">
        <v>69</v>
      </c>
      <c r="BL58" s="391" t="s">
        <v>69</v>
      </c>
      <c r="BM58" s="391" t="s">
        <v>69</v>
      </c>
      <c r="BN58" s="391" t="s">
        <v>69</v>
      </c>
      <c r="BO58" s="391" t="s">
        <v>69</v>
      </c>
      <c r="BP58" s="391">
        <v>3</v>
      </c>
      <c r="BQ58" s="391" t="s">
        <v>69</v>
      </c>
      <c r="BR58" s="391" t="s">
        <v>69</v>
      </c>
      <c r="BS58" s="391" t="s">
        <v>69</v>
      </c>
      <c r="BT58" s="391" t="s">
        <v>69</v>
      </c>
      <c r="BU58" s="391" t="s">
        <v>69</v>
      </c>
      <c r="BV58" s="391" t="s">
        <v>69</v>
      </c>
      <c r="BW58" s="391" t="s">
        <v>69</v>
      </c>
      <c r="BX58" s="391" t="s">
        <v>69</v>
      </c>
      <c r="BY58" s="391" t="s">
        <v>69</v>
      </c>
      <c r="BZ58" s="391" t="s">
        <v>69</v>
      </c>
      <c r="CA58" s="391" t="s">
        <v>69</v>
      </c>
      <c r="CB58" s="391" t="s">
        <v>69</v>
      </c>
      <c r="CC58" s="391" t="s">
        <v>69</v>
      </c>
      <c r="CD58" s="391" t="s">
        <v>69</v>
      </c>
      <c r="CE58" s="391" t="s">
        <v>69</v>
      </c>
      <c r="CF58" s="391" t="s">
        <v>69</v>
      </c>
      <c r="CG58" s="391" t="s">
        <v>69</v>
      </c>
      <c r="CH58" s="391" t="s">
        <v>69</v>
      </c>
      <c r="CI58" s="391" t="s">
        <v>69</v>
      </c>
      <c r="CJ58" s="392">
        <v>3</v>
      </c>
      <c r="CK58" s="392">
        <v>3</v>
      </c>
      <c r="CL58" s="392">
        <v>3</v>
      </c>
      <c r="CM58" s="392">
        <v>3</v>
      </c>
      <c r="CN58" s="392" t="s">
        <v>69</v>
      </c>
      <c r="CO58" s="392" t="s">
        <v>69</v>
      </c>
      <c r="CP58" s="392" t="s">
        <v>69</v>
      </c>
      <c r="CQ58" s="392" t="s">
        <v>69</v>
      </c>
      <c r="CR58" s="392" t="s">
        <v>69</v>
      </c>
      <c r="CS58" s="391" t="s">
        <v>69</v>
      </c>
      <c r="CT58" s="391" t="s">
        <v>69</v>
      </c>
      <c r="CU58" s="390" t="s">
        <v>212</v>
      </c>
      <c r="CV58" s="390" t="s">
        <v>212</v>
      </c>
      <c r="CW58" s="391" t="s">
        <v>69</v>
      </c>
      <c r="CX58" s="391" t="s">
        <v>69</v>
      </c>
      <c r="CY58" s="391" t="s">
        <v>69</v>
      </c>
      <c r="CZ58" s="391" t="s">
        <v>69</v>
      </c>
      <c r="DA58" s="391" t="s">
        <v>69</v>
      </c>
      <c r="DB58" s="391" t="s">
        <v>69</v>
      </c>
      <c r="DC58" s="391" t="s">
        <v>69</v>
      </c>
      <c r="DD58" s="391" t="s">
        <v>69</v>
      </c>
      <c r="DE58" s="391" t="s">
        <v>69</v>
      </c>
      <c r="DF58" s="391" t="s">
        <v>69</v>
      </c>
      <c r="DG58" s="391" t="s">
        <v>69</v>
      </c>
      <c r="DH58" s="391" t="s">
        <v>69</v>
      </c>
      <c r="DI58" s="391" t="s">
        <v>69</v>
      </c>
      <c r="DJ58" s="391" t="s">
        <v>69</v>
      </c>
      <c r="DK58" s="391" t="s">
        <v>69</v>
      </c>
      <c r="DL58" s="391" t="s">
        <v>69</v>
      </c>
      <c r="DM58" s="391" t="s">
        <v>69</v>
      </c>
      <c r="DN58" s="391" t="s">
        <v>69</v>
      </c>
      <c r="DO58" s="391" t="s">
        <v>69</v>
      </c>
      <c r="DP58" s="391" t="s">
        <v>69</v>
      </c>
      <c r="DQ58" s="391" t="s">
        <v>69</v>
      </c>
      <c r="DR58" s="391" t="s">
        <v>69</v>
      </c>
      <c r="DS58" s="391" t="s">
        <v>69</v>
      </c>
      <c r="DT58" s="391" t="s">
        <v>69</v>
      </c>
      <c r="DU58" s="398">
        <f t="shared" si="0"/>
        <v>0.1111111111111111</v>
      </c>
      <c r="DV58" s="399">
        <f t="shared" si="1"/>
        <v>1</v>
      </c>
    </row>
    <row r="59" spans="1:229" s="230" customFormat="1" ht="120" customHeight="1">
      <c r="A59" s="406" t="s">
        <v>640</v>
      </c>
      <c r="B59" s="407" t="s">
        <v>642</v>
      </c>
      <c r="C59" s="409">
        <v>45363</v>
      </c>
      <c r="D59" s="408" t="s">
        <v>1155</v>
      </c>
      <c r="E59" s="391">
        <v>4</v>
      </c>
      <c r="F59" s="391">
        <v>4</v>
      </c>
      <c r="G59" s="391">
        <v>4</v>
      </c>
      <c r="H59" s="391">
        <v>4</v>
      </c>
      <c r="I59" s="391">
        <v>4</v>
      </c>
      <c r="J59" s="391" t="s">
        <v>69</v>
      </c>
      <c r="K59" s="391" t="s">
        <v>69</v>
      </c>
      <c r="L59" s="391" t="s">
        <v>69</v>
      </c>
      <c r="M59" s="391" t="s">
        <v>69</v>
      </c>
      <c r="N59" s="391">
        <v>3</v>
      </c>
      <c r="O59" s="391" t="s">
        <v>69</v>
      </c>
      <c r="P59" s="391" t="s">
        <v>69</v>
      </c>
      <c r="Q59" s="391" t="s">
        <v>69</v>
      </c>
      <c r="R59" s="391" t="s">
        <v>69</v>
      </c>
      <c r="S59" s="391" t="s">
        <v>69</v>
      </c>
      <c r="T59" s="391" t="s">
        <v>69</v>
      </c>
      <c r="U59" s="391" t="s">
        <v>69</v>
      </c>
      <c r="V59" s="391" t="s">
        <v>69</v>
      </c>
      <c r="W59" s="391" t="s">
        <v>69</v>
      </c>
      <c r="X59" s="391" t="s">
        <v>69</v>
      </c>
      <c r="Y59" s="391" t="s">
        <v>69</v>
      </c>
      <c r="Z59" s="391" t="s">
        <v>69</v>
      </c>
      <c r="AA59" s="391" t="s">
        <v>69</v>
      </c>
      <c r="AB59" s="391" t="s">
        <v>69</v>
      </c>
      <c r="AC59" s="391" t="s">
        <v>69</v>
      </c>
      <c r="AD59" s="391" t="s">
        <v>69</v>
      </c>
      <c r="AE59" s="391" t="s">
        <v>69</v>
      </c>
      <c r="AF59" s="391" t="s">
        <v>69</v>
      </c>
      <c r="AG59" s="391" t="s">
        <v>69</v>
      </c>
      <c r="AH59" s="391" t="s">
        <v>69</v>
      </c>
      <c r="AI59" s="391" t="s">
        <v>69</v>
      </c>
      <c r="AJ59" s="391" t="s">
        <v>69</v>
      </c>
      <c r="AK59" s="391" t="s">
        <v>69</v>
      </c>
      <c r="AL59" s="391" t="s">
        <v>69</v>
      </c>
      <c r="AM59" s="391" t="s">
        <v>69</v>
      </c>
      <c r="AN59" s="391" t="s">
        <v>69</v>
      </c>
      <c r="AO59" s="391" t="s">
        <v>69</v>
      </c>
      <c r="AP59" s="391" t="s">
        <v>69</v>
      </c>
      <c r="AQ59" s="391">
        <v>3</v>
      </c>
      <c r="AR59" s="391" t="s">
        <v>69</v>
      </c>
      <c r="AS59" s="391" t="s">
        <v>69</v>
      </c>
      <c r="AT59" s="391" t="s">
        <v>69</v>
      </c>
      <c r="AU59" s="391" t="s">
        <v>69</v>
      </c>
      <c r="AV59" s="391" t="s">
        <v>69</v>
      </c>
      <c r="AW59" s="391">
        <v>3</v>
      </c>
      <c r="AX59" s="391" t="s">
        <v>69</v>
      </c>
      <c r="AY59" s="391" t="s">
        <v>69</v>
      </c>
      <c r="AZ59" s="391" t="s">
        <v>69</v>
      </c>
      <c r="BA59" s="391" t="s">
        <v>69</v>
      </c>
      <c r="BB59" s="391" t="s">
        <v>69</v>
      </c>
      <c r="BC59" s="391" t="s">
        <v>69</v>
      </c>
      <c r="BD59" s="391" t="s">
        <v>69</v>
      </c>
      <c r="BE59" s="391">
        <v>3</v>
      </c>
      <c r="BF59" s="391" t="s">
        <v>69</v>
      </c>
      <c r="BG59" s="391" t="s">
        <v>69</v>
      </c>
      <c r="BH59" s="391" t="s">
        <v>69</v>
      </c>
      <c r="BI59" s="391" t="s">
        <v>69</v>
      </c>
      <c r="BJ59" s="391" t="s">
        <v>69</v>
      </c>
      <c r="BK59" s="391" t="s">
        <v>69</v>
      </c>
      <c r="BL59" s="391" t="s">
        <v>69</v>
      </c>
      <c r="BM59" s="391" t="s">
        <v>69</v>
      </c>
      <c r="BN59" s="391" t="s">
        <v>69</v>
      </c>
      <c r="BO59" s="391" t="s">
        <v>69</v>
      </c>
      <c r="BP59" s="391" t="s">
        <v>69</v>
      </c>
      <c r="BQ59" s="391">
        <v>3</v>
      </c>
      <c r="BR59" s="391" t="s">
        <v>69</v>
      </c>
      <c r="BS59" s="391" t="s">
        <v>69</v>
      </c>
      <c r="BT59" s="391" t="s">
        <v>69</v>
      </c>
      <c r="BU59" s="391" t="s">
        <v>69</v>
      </c>
      <c r="BV59" s="391" t="s">
        <v>69</v>
      </c>
      <c r="BW59" s="391" t="s">
        <v>69</v>
      </c>
      <c r="BX59" s="391" t="s">
        <v>69</v>
      </c>
      <c r="BY59" s="391" t="s">
        <v>69</v>
      </c>
      <c r="BZ59" s="391" t="s">
        <v>69</v>
      </c>
      <c r="CA59" s="391" t="s">
        <v>69</v>
      </c>
      <c r="CB59" s="391" t="s">
        <v>69</v>
      </c>
      <c r="CC59" s="391" t="s">
        <v>69</v>
      </c>
      <c r="CD59" s="391" t="s">
        <v>69</v>
      </c>
      <c r="CE59" s="391" t="s">
        <v>69</v>
      </c>
      <c r="CF59" s="391" t="s">
        <v>69</v>
      </c>
      <c r="CG59" s="391" t="s">
        <v>69</v>
      </c>
      <c r="CH59" s="391" t="s">
        <v>69</v>
      </c>
      <c r="CI59" s="391" t="s">
        <v>69</v>
      </c>
      <c r="CJ59" s="392" t="s">
        <v>69</v>
      </c>
      <c r="CK59" s="392" t="s">
        <v>69</v>
      </c>
      <c r="CL59" s="392" t="s">
        <v>69</v>
      </c>
      <c r="CM59" s="392" t="s">
        <v>69</v>
      </c>
      <c r="CN59" s="392" t="s">
        <v>69</v>
      </c>
      <c r="CO59" s="392" t="s">
        <v>69</v>
      </c>
      <c r="CP59" s="392" t="s">
        <v>69</v>
      </c>
      <c r="CQ59" s="392" t="s">
        <v>69</v>
      </c>
      <c r="CR59" s="392" t="s">
        <v>69</v>
      </c>
      <c r="CS59" s="391" t="s">
        <v>69</v>
      </c>
      <c r="CT59" s="391" t="s">
        <v>69</v>
      </c>
      <c r="CU59" s="390" t="s">
        <v>212</v>
      </c>
      <c r="CV59" s="390" t="s">
        <v>212</v>
      </c>
      <c r="CW59" s="391" t="s">
        <v>69</v>
      </c>
      <c r="CX59" s="391" t="s">
        <v>69</v>
      </c>
      <c r="CY59" s="391" t="s">
        <v>69</v>
      </c>
      <c r="CZ59" s="391" t="s">
        <v>69</v>
      </c>
      <c r="DA59" s="391" t="s">
        <v>69</v>
      </c>
      <c r="DB59" s="391" t="s">
        <v>69</v>
      </c>
      <c r="DC59" s="391" t="s">
        <v>69</v>
      </c>
      <c r="DD59" s="391" t="s">
        <v>69</v>
      </c>
      <c r="DE59" s="391" t="s">
        <v>69</v>
      </c>
      <c r="DF59" s="391" t="s">
        <v>69</v>
      </c>
      <c r="DG59" s="391" t="s">
        <v>69</v>
      </c>
      <c r="DH59" s="391" t="s">
        <v>69</v>
      </c>
      <c r="DI59" s="391" t="s">
        <v>69</v>
      </c>
      <c r="DJ59" s="391" t="s">
        <v>69</v>
      </c>
      <c r="DK59" s="391" t="s">
        <v>69</v>
      </c>
      <c r="DL59" s="391" t="s">
        <v>69</v>
      </c>
      <c r="DM59" s="391" t="s">
        <v>69</v>
      </c>
      <c r="DN59" s="391" t="s">
        <v>69</v>
      </c>
      <c r="DO59" s="391" t="s">
        <v>69</v>
      </c>
      <c r="DP59" s="391" t="s">
        <v>69</v>
      </c>
      <c r="DQ59" s="391" t="s">
        <v>69</v>
      </c>
      <c r="DR59" s="391" t="s">
        <v>69</v>
      </c>
      <c r="DS59" s="391" t="s">
        <v>69</v>
      </c>
      <c r="DT59" s="391" t="s">
        <v>69</v>
      </c>
      <c r="DU59" s="398">
        <f t="shared" si="0"/>
        <v>0.15873015873015872</v>
      </c>
      <c r="DV59" s="399">
        <f t="shared" si="1"/>
        <v>1</v>
      </c>
    </row>
    <row r="60" spans="1:229" s="230" customFormat="1" ht="120" customHeight="1">
      <c r="A60" s="406" t="s">
        <v>671</v>
      </c>
      <c r="B60" s="407" t="s">
        <v>672</v>
      </c>
      <c r="C60" s="409" t="s">
        <v>662</v>
      </c>
      <c r="D60" s="408" t="s">
        <v>1155</v>
      </c>
      <c r="E60" s="391">
        <v>4</v>
      </c>
      <c r="F60" s="391" t="s">
        <v>69</v>
      </c>
      <c r="G60" s="391" t="s">
        <v>69</v>
      </c>
      <c r="H60" s="391">
        <v>4</v>
      </c>
      <c r="I60" s="391" t="s">
        <v>69</v>
      </c>
      <c r="J60" s="391" t="s">
        <v>69</v>
      </c>
      <c r="K60" s="391" t="s">
        <v>69</v>
      </c>
      <c r="L60" s="391" t="s">
        <v>69</v>
      </c>
      <c r="M60" s="391" t="s">
        <v>69</v>
      </c>
      <c r="N60" s="391" t="s">
        <v>69</v>
      </c>
      <c r="O60" s="391">
        <v>4</v>
      </c>
      <c r="P60" s="391" t="s">
        <v>69</v>
      </c>
      <c r="Q60" s="391" t="s">
        <v>69</v>
      </c>
      <c r="R60" s="391" t="s">
        <v>69</v>
      </c>
      <c r="S60" s="391" t="s">
        <v>69</v>
      </c>
      <c r="T60" s="391" t="s">
        <v>69</v>
      </c>
      <c r="U60" s="391" t="s">
        <v>69</v>
      </c>
      <c r="V60" s="391" t="s">
        <v>69</v>
      </c>
      <c r="W60" s="391">
        <v>4</v>
      </c>
      <c r="X60" s="391">
        <v>4</v>
      </c>
      <c r="Y60" s="391" t="s">
        <v>69</v>
      </c>
      <c r="Z60" s="391" t="s">
        <v>69</v>
      </c>
      <c r="AA60" s="391" t="s">
        <v>69</v>
      </c>
      <c r="AB60" s="391" t="s">
        <v>69</v>
      </c>
      <c r="AC60" s="391" t="s">
        <v>69</v>
      </c>
      <c r="AD60" s="391" t="s">
        <v>69</v>
      </c>
      <c r="AE60" s="391" t="s">
        <v>69</v>
      </c>
      <c r="AF60" s="391" t="s">
        <v>69</v>
      </c>
      <c r="AG60" s="391" t="s">
        <v>69</v>
      </c>
      <c r="AH60" s="391" t="s">
        <v>69</v>
      </c>
      <c r="AI60" s="391" t="s">
        <v>69</v>
      </c>
      <c r="AJ60" s="391" t="s">
        <v>69</v>
      </c>
      <c r="AK60" s="391" t="s">
        <v>69</v>
      </c>
      <c r="AL60" s="391" t="s">
        <v>69</v>
      </c>
      <c r="AM60" s="391" t="s">
        <v>69</v>
      </c>
      <c r="AN60" s="391" t="s">
        <v>69</v>
      </c>
      <c r="AO60" s="391" t="s">
        <v>69</v>
      </c>
      <c r="AP60" s="391" t="s">
        <v>69</v>
      </c>
      <c r="AQ60" s="391" t="s">
        <v>69</v>
      </c>
      <c r="AR60" s="391">
        <v>4</v>
      </c>
      <c r="AS60" s="391" t="s">
        <v>69</v>
      </c>
      <c r="AT60" s="391" t="s">
        <v>69</v>
      </c>
      <c r="AU60" s="391" t="s">
        <v>69</v>
      </c>
      <c r="AV60" s="391" t="s">
        <v>69</v>
      </c>
      <c r="AW60" s="391" t="s">
        <v>69</v>
      </c>
      <c r="AX60" s="391">
        <v>4</v>
      </c>
      <c r="AY60" s="391" t="s">
        <v>69</v>
      </c>
      <c r="AZ60" s="391" t="s">
        <v>69</v>
      </c>
      <c r="BA60" s="391" t="s">
        <v>69</v>
      </c>
      <c r="BB60" s="391" t="s">
        <v>69</v>
      </c>
      <c r="BC60" s="391">
        <v>4</v>
      </c>
      <c r="BD60" s="391">
        <v>4</v>
      </c>
      <c r="BE60" s="391" t="s">
        <v>69</v>
      </c>
      <c r="BF60" s="391" t="s">
        <v>69</v>
      </c>
      <c r="BG60" s="391" t="s">
        <v>69</v>
      </c>
      <c r="BH60" s="391" t="s">
        <v>69</v>
      </c>
      <c r="BI60" s="391">
        <v>4</v>
      </c>
      <c r="BJ60" s="391" t="s">
        <v>69</v>
      </c>
      <c r="BK60" s="391" t="s">
        <v>69</v>
      </c>
      <c r="BL60" s="391" t="s">
        <v>69</v>
      </c>
      <c r="BM60" s="391" t="s">
        <v>69</v>
      </c>
      <c r="BN60" s="391" t="s">
        <v>69</v>
      </c>
      <c r="BO60" s="391" t="s">
        <v>69</v>
      </c>
      <c r="BP60" s="391" t="s">
        <v>69</v>
      </c>
      <c r="BQ60" s="391">
        <v>4</v>
      </c>
      <c r="BR60" s="391">
        <v>4</v>
      </c>
      <c r="BS60" s="391" t="s">
        <v>69</v>
      </c>
      <c r="BT60" s="391" t="s">
        <v>69</v>
      </c>
      <c r="BU60" s="391" t="s">
        <v>69</v>
      </c>
      <c r="BV60" s="391" t="s">
        <v>69</v>
      </c>
      <c r="BW60" s="391" t="s">
        <v>69</v>
      </c>
      <c r="BX60" s="391" t="s">
        <v>69</v>
      </c>
      <c r="BY60" s="391" t="s">
        <v>69</v>
      </c>
      <c r="BZ60" s="391" t="s">
        <v>69</v>
      </c>
      <c r="CA60" s="391" t="s">
        <v>69</v>
      </c>
      <c r="CB60" s="391" t="s">
        <v>69</v>
      </c>
      <c r="CC60" s="391" t="s">
        <v>69</v>
      </c>
      <c r="CD60" s="391" t="s">
        <v>69</v>
      </c>
      <c r="CE60" s="391" t="s">
        <v>69</v>
      </c>
      <c r="CF60" s="391" t="s">
        <v>69</v>
      </c>
      <c r="CG60" s="391" t="s">
        <v>69</v>
      </c>
      <c r="CH60" s="391" t="s">
        <v>69</v>
      </c>
      <c r="CI60" s="391" t="s">
        <v>69</v>
      </c>
      <c r="CJ60" s="395">
        <v>3</v>
      </c>
      <c r="CK60" s="395">
        <v>3</v>
      </c>
      <c r="CL60" s="395">
        <v>3</v>
      </c>
      <c r="CM60" s="395">
        <v>3</v>
      </c>
      <c r="CN60" s="395" t="s">
        <v>69</v>
      </c>
      <c r="CO60" s="395" t="s">
        <v>69</v>
      </c>
      <c r="CP60" s="395" t="s">
        <v>69</v>
      </c>
      <c r="CQ60" s="395" t="s">
        <v>69</v>
      </c>
      <c r="CR60" s="395" t="s">
        <v>69</v>
      </c>
      <c r="CS60" s="391" t="s">
        <v>69</v>
      </c>
      <c r="CT60" s="391" t="s">
        <v>69</v>
      </c>
      <c r="CU60" s="390" t="s">
        <v>212</v>
      </c>
      <c r="CV60" s="390" t="s">
        <v>212</v>
      </c>
      <c r="CW60" s="391" t="s">
        <v>69</v>
      </c>
      <c r="CX60" s="391" t="s">
        <v>69</v>
      </c>
      <c r="CY60" s="391" t="s">
        <v>69</v>
      </c>
      <c r="CZ60" s="391" t="s">
        <v>69</v>
      </c>
      <c r="DA60" s="391" t="s">
        <v>69</v>
      </c>
      <c r="DB60" s="391" t="s">
        <v>69</v>
      </c>
      <c r="DC60" s="391" t="s">
        <v>69</v>
      </c>
      <c r="DD60" s="391" t="s">
        <v>69</v>
      </c>
      <c r="DE60" s="391" t="s">
        <v>69</v>
      </c>
      <c r="DF60" s="391" t="s">
        <v>69</v>
      </c>
      <c r="DG60" s="391" t="s">
        <v>69</v>
      </c>
      <c r="DH60" s="391" t="s">
        <v>69</v>
      </c>
      <c r="DI60" s="391" t="s">
        <v>69</v>
      </c>
      <c r="DJ60" s="391" t="s">
        <v>69</v>
      </c>
      <c r="DK60" s="391">
        <v>4</v>
      </c>
      <c r="DL60" s="391">
        <v>4</v>
      </c>
      <c r="DM60" s="391" t="s">
        <v>69</v>
      </c>
      <c r="DN60" s="391" t="s">
        <v>69</v>
      </c>
      <c r="DO60" s="391" t="s">
        <v>69</v>
      </c>
      <c r="DP60" s="391" t="s">
        <v>69</v>
      </c>
      <c r="DQ60" s="391" t="s">
        <v>69</v>
      </c>
      <c r="DR60" s="391" t="s">
        <v>69</v>
      </c>
      <c r="DS60" s="391" t="s">
        <v>69</v>
      </c>
      <c r="DT60" s="391" t="s">
        <v>69</v>
      </c>
      <c r="DU60" s="398">
        <f t="shared" si="0"/>
        <v>0.2857142857142857</v>
      </c>
      <c r="DV60" s="399">
        <f t="shared" si="1"/>
        <v>1</v>
      </c>
    </row>
    <row r="61" spans="1:229" s="230" customFormat="1" ht="120" customHeight="1">
      <c r="A61" s="406" t="s">
        <v>669</v>
      </c>
      <c r="B61" s="407" t="s">
        <v>670</v>
      </c>
      <c r="C61" s="409" t="s">
        <v>662</v>
      </c>
      <c r="D61" s="408" t="s">
        <v>1155</v>
      </c>
      <c r="E61" s="391">
        <v>4</v>
      </c>
      <c r="F61" s="391">
        <v>4</v>
      </c>
      <c r="G61" s="391">
        <v>4</v>
      </c>
      <c r="H61" s="391">
        <v>4</v>
      </c>
      <c r="I61" s="391" t="s">
        <v>69</v>
      </c>
      <c r="J61" s="391" t="s">
        <v>69</v>
      </c>
      <c r="K61" s="391" t="s">
        <v>69</v>
      </c>
      <c r="L61" s="391" t="s">
        <v>69</v>
      </c>
      <c r="M61" s="391" t="s">
        <v>69</v>
      </c>
      <c r="N61" s="391">
        <v>4</v>
      </c>
      <c r="O61" s="391" t="s">
        <v>69</v>
      </c>
      <c r="P61" s="391" t="s">
        <v>69</v>
      </c>
      <c r="Q61" s="391" t="s">
        <v>69</v>
      </c>
      <c r="R61" s="391" t="s">
        <v>69</v>
      </c>
      <c r="S61" s="391" t="s">
        <v>69</v>
      </c>
      <c r="T61" s="391" t="s">
        <v>69</v>
      </c>
      <c r="U61" s="391" t="s">
        <v>69</v>
      </c>
      <c r="V61" s="391" t="s">
        <v>69</v>
      </c>
      <c r="W61" s="391" t="s">
        <v>69</v>
      </c>
      <c r="X61" s="391" t="s">
        <v>69</v>
      </c>
      <c r="Y61" s="391" t="s">
        <v>69</v>
      </c>
      <c r="Z61" s="391">
        <v>4</v>
      </c>
      <c r="AA61" s="391" t="s">
        <v>69</v>
      </c>
      <c r="AB61" s="391" t="s">
        <v>69</v>
      </c>
      <c r="AC61" s="391" t="s">
        <v>69</v>
      </c>
      <c r="AD61" s="391" t="s">
        <v>69</v>
      </c>
      <c r="AE61" s="391" t="s">
        <v>69</v>
      </c>
      <c r="AF61" s="391" t="s">
        <v>69</v>
      </c>
      <c r="AG61" s="391" t="s">
        <v>69</v>
      </c>
      <c r="AH61" s="391" t="s">
        <v>69</v>
      </c>
      <c r="AI61" s="391" t="s">
        <v>69</v>
      </c>
      <c r="AJ61" s="391" t="s">
        <v>69</v>
      </c>
      <c r="AK61" s="391" t="s">
        <v>69</v>
      </c>
      <c r="AL61" s="391" t="s">
        <v>69</v>
      </c>
      <c r="AM61" s="391" t="s">
        <v>69</v>
      </c>
      <c r="AN61" s="391" t="s">
        <v>69</v>
      </c>
      <c r="AO61" s="391" t="s">
        <v>69</v>
      </c>
      <c r="AP61" s="391" t="s">
        <v>69</v>
      </c>
      <c r="AQ61" s="391">
        <v>4</v>
      </c>
      <c r="AR61" s="391" t="s">
        <v>69</v>
      </c>
      <c r="AS61" s="391" t="s">
        <v>69</v>
      </c>
      <c r="AT61" s="391" t="s">
        <v>69</v>
      </c>
      <c r="AU61" s="391" t="s">
        <v>69</v>
      </c>
      <c r="AV61" s="391" t="s">
        <v>69</v>
      </c>
      <c r="AW61" s="391">
        <v>3</v>
      </c>
      <c r="AX61" s="391" t="s">
        <v>69</v>
      </c>
      <c r="AY61" s="391" t="s">
        <v>69</v>
      </c>
      <c r="AZ61" s="391" t="s">
        <v>69</v>
      </c>
      <c r="BA61" s="391" t="s">
        <v>69</v>
      </c>
      <c r="BB61" s="391" t="s">
        <v>69</v>
      </c>
      <c r="BC61" s="391" t="s">
        <v>69</v>
      </c>
      <c r="BD61" s="391" t="s">
        <v>69</v>
      </c>
      <c r="BE61" s="391" t="s">
        <v>69</v>
      </c>
      <c r="BF61" s="391" t="s">
        <v>69</v>
      </c>
      <c r="BG61" s="391" t="s">
        <v>69</v>
      </c>
      <c r="BH61" s="391" t="s">
        <v>69</v>
      </c>
      <c r="BI61" s="391" t="s">
        <v>69</v>
      </c>
      <c r="BJ61" s="391" t="s">
        <v>69</v>
      </c>
      <c r="BK61" s="391" t="s">
        <v>69</v>
      </c>
      <c r="BL61" s="391" t="s">
        <v>69</v>
      </c>
      <c r="BM61" s="391" t="s">
        <v>69</v>
      </c>
      <c r="BN61" s="391" t="s">
        <v>69</v>
      </c>
      <c r="BO61" s="391" t="s">
        <v>69</v>
      </c>
      <c r="BP61" s="391" t="s">
        <v>69</v>
      </c>
      <c r="BQ61" s="391">
        <v>4</v>
      </c>
      <c r="BR61" s="391">
        <v>4</v>
      </c>
      <c r="BS61" s="391" t="s">
        <v>69</v>
      </c>
      <c r="BT61" s="391" t="s">
        <v>69</v>
      </c>
      <c r="BU61" s="391" t="s">
        <v>69</v>
      </c>
      <c r="BV61" s="391" t="s">
        <v>69</v>
      </c>
      <c r="BW61" s="391" t="s">
        <v>69</v>
      </c>
      <c r="BX61" s="391" t="s">
        <v>69</v>
      </c>
      <c r="BY61" s="391" t="s">
        <v>69</v>
      </c>
      <c r="BZ61" s="391" t="s">
        <v>69</v>
      </c>
      <c r="CA61" s="391" t="s">
        <v>69</v>
      </c>
      <c r="CB61" s="391" t="s">
        <v>69</v>
      </c>
      <c r="CC61" s="391" t="s">
        <v>69</v>
      </c>
      <c r="CD61" s="391" t="s">
        <v>69</v>
      </c>
      <c r="CE61" s="391" t="s">
        <v>69</v>
      </c>
      <c r="CF61" s="391">
        <v>3</v>
      </c>
      <c r="CG61" s="391" t="s">
        <v>69</v>
      </c>
      <c r="CH61" s="391">
        <v>4</v>
      </c>
      <c r="CI61" s="391" t="s">
        <v>69</v>
      </c>
      <c r="CJ61" s="395" t="s">
        <v>69</v>
      </c>
      <c r="CK61" s="395" t="s">
        <v>69</v>
      </c>
      <c r="CL61" s="395" t="s">
        <v>69</v>
      </c>
      <c r="CM61" s="395">
        <v>3</v>
      </c>
      <c r="CN61" s="395" t="s">
        <v>69</v>
      </c>
      <c r="CO61" s="395" t="s">
        <v>69</v>
      </c>
      <c r="CP61" s="395" t="s">
        <v>69</v>
      </c>
      <c r="CQ61" s="395" t="s">
        <v>69</v>
      </c>
      <c r="CR61" s="395" t="s">
        <v>69</v>
      </c>
      <c r="CS61" s="391" t="s">
        <v>69</v>
      </c>
      <c r="CT61" s="391" t="s">
        <v>69</v>
      </c>
      <c r="CU61" s="390" t="s">
        <v>212</v>
      </c>
      <c r="CV61" s="390" t="s">
        <v>212</v>
      </c>
      <c r="CW61" s="391" t="s">
        <v>69</v>
      </c>
      <c r="CX61" s="391" t="s">
        <v>69</v>
      </c>
      <c r="CY61" s="391">
        <v>3</v>
      </c>
      <c r="CZ61" s="391">
        <v>3</v>
      </c>
      <c r="DA61" s="391" t="s">
        <v>69</v>
      </c>
      <c r="DB61" s="391">
        <v>3</v>
      </c>
      <c r="DC61" s="391" t="s">
        <v>69</v>
      </c>
      <c r="DD61" s="391" t="s">
        <v>69</v>
      </c>
      <c r="DE61" s="391" t="s">
        <v>69</v>
      </c>
      <c r="DF61" s="391" t="s">
        <v>69</v>
      </c>
      <c r="DG61" s="391" t="s">
        <v>69</v>
      </c>
      <c r="DH61" s="391" t="s">
        <v>69</v>
      </c>
      <c r="DI61" s="391" t="s">
        <v>69</v>
      </c>
      <c r="DJ61" s="391" t="s">
        <v>69</v>
      </c>
      <c r="DK61" s="391" t="s">
        <v>69</v>
      </c>
      <c r="DL61" s="391">
        <v>4</v>
      </c>
      <c r="DM61" s="391" t="s">
        <v>69</v>
      </c>
      <c r="DN61" s="391" t="s">
        <v>69</v>
      </c>
      <c r="DO61" s="391" t="s">
        <v>69</v>
      </c>
      <c r="DP61" s="391" t="s">
        <v>69</v>
      </c>
      <c r="DQ61" s="391" t="s">
        <v>69</v>
      </c>
      <c r="DR61" s="391" t="s">
        <v>69</v>
      </c>
      <c r="DS61" s="391" t="s">
        <v>69</v>
      </c>
      <c r="DT61" s="391" t="s">
        <v>69</v>
      </c>
      <c r="DU61" s="398">
        <f t="shared" si="0"/>
        <v>0.26984126984126983</v>
      </c>
      <c r="DV61" s="399">
        <f t="shared" si="1"/>
        <v>1</v>
      </c>
    </row>
    <row r="62" spans="1:229" s="230" customFormat="1" ht="120" customHeight="1">
      <c r="A62" s="406" t="s">
        <v>667</v>
      </c>
      <c r="B62" s="407" t="s">
        <v>668</v>
      </c>
      <c r="C62" s="409" t="s">
        <v>662</v>
      </c>
      <c r="D62" s="408" t="s">
        <v>1155</v>
      </c>
      <c r="E62" s="391">
        <v>3</v>
      </c>
      <c r="F62" s="391" t="s">
        <v>69</v>
      </c>
      <c r="G62" s="391" t="s">
        <v>69</v>
      </c>
      <c r="H62" s="391">
        <v>3</v>
      </c>
      <c r="I62" s="391" t="s">
        <v>69</v>
      </c>
      <c r="J62" s="391" t="s">
        <v>69</v>
      </c>
      <c r="K62" s="391" t="s">
        <v>69</v>
      </c>
      <c r="L62" s="391" t="s">
        <v>69</v>
      </c>
      <c r="M62" s="391" t="s">
        <v>69</v>
      </c>
      <c r="N62" s="391">
        <v>3</v>
      </c>
      <c r="O62" s="391" t="s">
        <v>69</v>
      </c>
      <c r="P62" s="391" t="s">
        <v>69</v>
      </c>
      <c r="Q62" s="391" t="s">
        <v>69</v>
      </c>
      <c r="R62" s="391" t="s">
        <v>69</v>
      </c>
      <c r="S62" s="391" t="s">
        <v>69</v>
      </c>
      <c r="T62" s="391" t="s">
        <v>69</v>
      </c>
      <c r="U62" s="391" t="s">
        <v>69</v>
      </c>
      <c r="V62" s="391" t="s">
        <v>69</v>
      </c>
      <c r="W62" s="391" t="s">
        <v>69</v>
      </c>
      <c r="X62" s="391" t="s">
        <v>69</v>
      </c>
      <c r="Y62" s="391" t="s">
        <v>69</v>
      </c>
      <c r="Z62" s="391" t="s">
        <v>69</v>
      </c>
      <c r="AA62" s="391" t="s">
        <v>69</v>
      </c>
      <c r="AB62" s="391" t="s">
        <v>69</v>
      </c>
      <c r="AC62" s="391" t="s">
        <v>69</v>
      </c>
      <c r="AD62" s="391" t="s">
        <v>69</v>
      </c>
      <c r="AE62" s="391" t="s">
        <v>69</v>
      </c>
      <c r="AF62" s="391" t="s">
        <v>69</v>
      </c>
      <c r="AG62" s="391" t="s">
        <v>69</v>
      </c>
      <c r="AH62" s="391" t="s">
        <v>69</v>
      </c>
      <c r="AI62" s="391" t="s">
        <v>69</v>
      </c>
      <c r="AJ62" s="391" t="s">
        <v>69</v>
      </c>
      <c r="AK62" s="391" t="s">
        <v>69</v>
      </c>
      <c r="AL62" s="391" t="s">
        <v>69</v>
      </c>
      <c r="AM62" s="391" t="s">
        <v>69</v>
      </c>
      <c r="AN62" s="391" t="s">
        <v>69</v>
      </c>
      <c r="AO62" s="391" t="s">
        <v>69</v>
      </c>
      <c r="AP62" s="391" t="s">
        <v>69</v>
      </c>
      <c r="AQ62" s="391" t="s">
        <v>69</v>
      </c>
      <c r="AR62" s="391" t="s">
        <v>69</v>
      </c>
      <c r="AS62" s="391" t="s">
        <v>69</v>
      </c>
      <c r="AT62" s="391" t="s">
        <v>69</v>
      </c>
      <c r="AU62" s="391" t="s">
        <v>69</v>
      </c>
      <c r="AV62" s="391" t="s">
        <v>69</v>
      </c>
      <c r="AW62" s="391" t="s">
        <v>69</v>
      </c>
      <c r="AX62" s="391" t="s">
        <v>69</v>
      </c>
      <c r="AY62" s="391" t="s">
        <v>69</v>
      </c>
      <c r="AZ62" s="391" t="s">
        <v>69</v>
      </c>
      <c r="BA62" s="391" t="s">
        <v>69</v>
      </c>
      <c r="BB62" s="391" t="s">
        <v>69</v>
      </c>
      <c r="BC62" s="391" t="s">
        <v>69</v>
      </c>
      <c r="BD62" s="391" t="s">
        <v>69</v>
      </c>
      <c r="BE62" s="391" t="s">
        <v>69</v>
      </c>
      <c r="BF62" s="391" t="s">
        <v>69</v>
      </c>
      <c r="BG62" s="391" t="s">
        <v>69</v>
      </c>
      <c r="BH62" s="391" t="s">
        <v>69</v>
      </c>
      <c r="BI62" s="391" t="s">
        <v>69</v>
      </c>
      <c r="BJ62" s="391" t="s">
        <v>69</v>
      </c>
      <c r="BK62" s="391" t="s">
        <v>69</v>
      </c>
      <c r="BL62" s="391" t="s">
        <v>69</v>
      </c>
      <c r="BM62" s="391" t="s">
        <v>69</v>
      </c>
      <c r="BN62" s="391" t="s">
        <v>69</v>
      </c>
      <c r="BO62" s="391" t="s">
        <v>69</v>
      </c>
      <c r="BP62" s="391" t="s">
        <v>69</v>
      </c>
      <c r="BQ62" s="391">
        <v>3</v>
      </c>
      <c r="BR62" s="391" t="s">
        <v>69</v>
      </c>
      <c r="BS62" s="391" t="s">
        <v>69</v>
      </c>
      <c r="BT62" s="391" t="s">
        <v>69</v>
      </c>
      <c r="BU62" s="391" t="s">
        <v>69</v>
      </c>
      <c r="BV62" s="391" t="s">
        <v>69</v>
      </c>
      <c r="BW62" s="391" t="s">
        <v>69</v>
      </c>
      <c r="BX62" s="391" t="s">
        <v>69</v>
      </c>
      <c r="BY62" s="391" t="s">
        <v>69</v>
      </c>
      <c r="BZ62" s="391" t="s">
        <v>69</v>
      </c>
      <c r="CA62" s="391" t="s">
        <v>69</v>
      </c>
      <c r="CB62" s="391" t="s">
        <v>69</v>
      </c>
      <c r="CC62" s="391" t="s">
        <v>69</v>
      </c>
      <c r="CD62" s="391" t="s">
        <v>69</v>
      </c>
      <c r="CE62" s="391" t="s">
        <v>69</v>
      </c>
      <c r="CF62" s="391" t="s">
        <v>69</v>
      </c>
      <c r="CG62" s="391" t="s">
        <v>69</v>
      </c>
      <c r="CH62" s="391" t="s">
        <v>69</v>
      </c>
      <c r="CI62" s="391" t="s">
        <v>69</v>
      </c>
      <c r="CJ62" s="392" t="s">
        <v>69</v>
      </c>
      <c r="CK62" s="392" t="s">
        <v>69</v>
      </c>
      <c r="CL62" s="392" t="s">
        <v>69</v>
      </c>
      <c r="CM62" s="392" t="s">
        <v>69</v>
      </c>
      <c r="CN62" s="392" t="s">
        <v>69</v>
      </c>
      <c r="CO62" s="392" t="s">
        <v>69</v>
      </c>
      <c r="CP62" s="392" t="s">
        <v>69</v>
      </c>
      <c r="CQ62" s="392" t="s">
        <v>69</v>
      </c>
      <c r="CR62" s="392" t="s">
        <v>69</v>
      </c>
      <c r="CS62" s="391" t="s">
        <v>69</v>
      </c>
      <c r="CT62" s="391" t="s">
        <v>69</v>
      </c>
      <c r="CU62" s="390" t="s">
        <v>212</v>
      </c>
      <c r="CV62" s="390" t="s">
        <v>212</v>
      </c>
      <c r="CW62" s="391" t="s">
        <v>69</v>
      </c>
      <c r="CX62" s="391" t="s">
        <v>69</v>
      </c>
      <c r="CY62" s="391" t="s">
        <v>69</v>
      </c>
      <c r="CZ62" s="391" t="s">
        <v>69</v>
      </c>
      <c r="DA62" s="391" t="s">
        <v>69</v>
      </c>
      <c r="DB62" s="391" t="s">
        <v>69</v>
      </c>
      <c r="DC62" s="391" t="s">
        <v>69</v>
      </c>
      <c r="DD62" s="391" t="s">
        <v>69</v>
      </c>
      <c r="DE62" s="391" t="s">
        <v>69</v>
      </c>
      <c r="DF62" s="391" t="s">
        <v>69</v>
      </c>
      <c r="DG62" s="391" t="s">
        <v>69</v>
      </c>
      <c r="DH62" s="391" t="s">
        <v>69</v>
      </c>
      <c r="DI62" s="391" t="s">
        <v>69</v>
      </c>
      <c r="DJ62" s="391" t="s">
        <v>69</v>
      </c>
      <c r="DK62" s="391" t="s">
        <v>69</v>
      </c>
      <c r="DL62" s="391" t="s">
        <v>69</v>
      </c>
      <c r="DM62" s="391" t="s">
        <v>69</v>
      </c>
      <c r="DN62" s="391" t="s">
        <v>69</v>
      </c>
      <c r="DO62" s="391" t="s">
        <v>69</v>
      </c>
      <c r="DP62" s="391" t="s">
        <v>69</v>
      </c>
      <c r="DQ62" s="391" t="s">
        <v>69</v>
      </c>
      <c r="DR62" s="391" t="s">
        <v>69</v>
      </c>
      <c r="DS62" s="391" t="s">
        <v>69</v>
      </c>
      <c r="DT62" s="391" t="s">
        <v>69</v>
      </c>
      <c r="DU62" s="398">
        <f t="shared" ref="DU62:DU104" si="4">COUNTIF(E62:DT62,"&gt;0")/63</f>
        <v>6.3492063492063489E-2</v>
      </c>
      <c r="DV62" s="399">
        <f t="shared" ref="DV62:DV103" si="5">+COUNTIF(E62:DT62,"&gt;2")/COUNTIF(E62:DT62,"&gt;1")</f>
        <v>1</v>
      </c>
    </row>
    <row r="63" spans="1:229" s="230" customFormat="1" ht="120" customHeight="1">
      <c r="A63" s="406" t="s">
        <v>694</v>
      </c>
      <c r="B63" s="407" t="s">
        <v>695</v>
      </c>
      <c r="C63" s="409">
        <v>45691</v>
      </c>
      <c r="D63" s="408" t="s">
        <v>1155</v>
      </c>
      <c r="E63" s="391" t="s">
        <v>69</v>
      </c>
      <c r="F63" s="391" t="s">
        <v>69</v>
      </c>
      <c r="G63" s="391" t="s">
        <v>69</v>
      </c>
      <c r="H63" s="391" t="s">
        <v>69</v>
      </c>
      <c r="I63" s="391" t="s">
        <v>69</v>
      </c>
      <c r="J63" s="391" t="s">
        <v>69</v>
      </c>
      <c r="K63" s="391" t="s">
        <v>69</v>
      </c>
      <c r="L63" s="391" t="s">
        <v>69</v>
      </c>
      <c r="M63" s="391" t="s">
        <v>69</v>
      </c>
      <c r="N63" s="391" t="s">
        <v>69</v>
      </c>
      <c r="O63" s="391" t="s">
        <v>69</v>
      </c>
      <c r="P63" s="391" t="s">
        <v>69</v>
      </c>
      <c r="Q63" s="391" t="s">
        <v>69</v>
      </c>
      <c r="R63" s="391" t="s">
        <v>69</v>
      </c>
      <c r="S63" s="391" t="s">
        <v>69</v>
      </c>
      <c r="T63" s="391" t="s">
        <v>69</v>
      </c>
      <c r="U63" s="391" t="s">
        <v>69</v>
      </c>
      <c r="V63" s="391" t="s">
        <v>69</v>
      </c>
      <c r="W63" s="391" t="s">
        <v>69</v>
      </c>
      <c r="X63" s="391" t="s">
        <v>69</v>
      </c>
      <c r="Y63" s="391" t="s">
        <v>69</v>
      </c>
      <c r="Z63" s="391" t="s">
        <v>69</v>
      </c>
      <c r="AA63" s="391" t="s">
        <v>69</v>
      </c>
      <c r="AB63" s="391" t="s">
        <v>69</v>
      </c>
      <c r="AC63" s="391" t="s">
        <v>69</v>
      </c>
      <c r="AD63" s="391" t="s">
        <v>69</v>
      </c>
      <c r="AE63" s="391" t="s">
        <v>69</v>
      </c>
      <c r="AF63" s="391" t="s">
        <v>69</v>
      </c>
      <c r="AG63" s="391" t="s">
        <v>69</v>
      </c>
      <c r="AH63" s="391" t="s">
        <v>69</v>
      </c>
      <c r="AI63" s="391" t="s">
        <v>69</v>
      </c>
      <c r="AJ63" s="391" t="s">
        <v>69</v>
      </c>
      <c r="AK63" s="391">
        <v>4</v>
      </c>
      <c r="AL63" s="391">
        <v>3</v>
      </c>
      <c r="AM63" s="391">
        <v>4</v>
      </c>
      <c r="AN63" s="391">
        <v>3</v>
      </c>
      <c r="AO63" s="391" t="s">
        <v>69</v>
      </c>
      <c r="AP63" s="391" t="s">
        <v>69</v>
      </c>
      <c r="AQ63" s="391" t="s">
        <v>69</v>
      </c>
      <c r="AR63" s="391" t="s">
        <v>69</v>
      </c>
      <c r="AS63" s="391" t="s">
        <v>69</v>
      </c>
      <c r="AT63" s="391" t="s">
        <v>69</v>
      </c>
      <c r="AU63" s="391" t="s">
        <v>69</v>
      </c>
      <c r="AV63" s="391" t="s">
        <v>69</v>
      </c>
      <c r="AW63" s="391" t="s">
        <v>69</v>
      </c>
      <c r="AX63" s="391" t="s">
        <v>69</v>
      </c>
      <c r="AY63" s="391" t="s">
        <v>69</v>
      </c>
      <c r="AZ63" s="391" t="s">
        <v>69</v>
      </c>
      <c r="BA63" s="391" t="s">
        <v>69</v>
      </c>
      <c r="BB63" s="391" t="s">
        <v>69</v>
      </c>
      <c r="BC63" s="391" t="s">
        <v>69</v>
      </c>
      <c r="BD63" s="391" t="s">
        <v>69</v>
      </c>
      <c r="BE63" s="391" t="s">
        <v>69</v>
      </c>
      <c r="BF63" s="391" t="s">
        <v>69</v>
      </c>
      <c r="BG63" s="391" t="s">
        <v>69</v>
      </c>
      <c r="BH63" s="391" t="s">
        <v>69</v>
      </c>
      <c r="BI63" s="391">
        <v>3</v>
      </c>
      <c r="BJ63" s="391" t="s">
        <v>69</v>
      </c>
      <c r="BK63" s="391" t="s">
        <v>69</v>
      </c>
      <c r="BL63" s="391" t="s">
        <v>69</v>
      </c>
      <c r="BM63" s="391" t="s">
        <v>69</v>
      </c>
      <c r="BN63" s="391" t="s">
        <v>69</v>
      </c>
      <c r="BO63" s="391" t="s">
        <v>69</v>
      </c>
      <c r="BP63" s="391" t="s">
        <v>69</v>
      </c>
      <c r="BQ63" s="391" t="s">
        <v>69</v>
      </c>
      <c r="BR63" s="391" t="s">
        <v>69</v>
      </c>
      <c r="BS63" s="391" t="s">
        <v>69</v>
      </c>
      <c r="BT63" s="391" t="s">
        <v>69</v>
      </c>
      <c r="BU63" s="391" t="s">
        <v>69</v>
      </c>
      <c r="BV63" s="391" t="s">
        <v>69</v>
      </c>
      <c r="BW63" s="391" t="s">
        <v>69</v>
      </c>
      <c r="BX63" s="391" t="s">
        <v>69</v>
      </c>
      <c r="BY63" s="391" t="s">
        <v>69</v>
      </c>
      <c r="BZ63" s="391" t="s">
        <v>69</v>
      </c>
      <c r="CA63" s="391" t="s">
        <v>69</v>
      </c>
      <c r="CB63" s="391" t="s">
        <v>69</v>
      </c>
      <c r="CC63" s="391" t="s">
        <v>69</v>
      </c>
      <c r="CD63" s="391" t="s">
        <v>69</v>
      </c>
      <c r="CE63" s="391" t="s">
        <v>69</v>
      </c>
      <c r="CF63" s="391" t="s">
        <v>69</v>
      </c>
      <c r="CG63" s="391" t="s">
        <v>69</v>
      </c>
      <c r="CH63" s="391" t="s">
        <v>69</v>
      </c>
      <c r="CI63" s="391" t="s">
        <v>69</v>
      </c>
      <c r="CJ63" s="391" t="s">
        <v>69</v>
      </c>
      <c r="CK63" s="391">
        <v>3</v>
      </c>
      <c r="CL63" s="391" t="s">
        <v>69</v>
      </c>
      <c r="CM63" s="391">
        <v>4</v>
      </c>
      <c r="CN63" s="391" t="s">
        <v>69</v>
      </c>
      <c r="CO63" s="391" t="s">
        <v>69</v>
      </c>
      <c r="CP63" s="391" t="s">
        <v>69</v>
      </c>
      <c r="CQ63" s="391" t="s">
        <v>69</v>
      </c>
      <c r="CR63" s="391" t="s">
        <v>69</v>
      </c>
      <c r="CS63" s="391">
        <v>3</v>
      </c>
      <c r="CT63" s="391">
        <v>3</v>
      </c>
      <c r="CU63" s="390" t="s">
        <v>212</v>
      </c>
      <c r="CV63" s="390" t="s">
        <v>212</v>
      </c>
      <c r="CW63" s="391" t="s">
        <v>69</v>
      </c>
      <c r="CX63" s="391" t="s">
        <v>69</v>
      </c>
      <c r="CY63" s="391" t="s">
        <v>69</v>
      </c>
      <c r="CZ63" s="391">
        <v>3</v>
      </c>
      <c r="DA63" s="391" t="s">
        <v>69</v>
      </c>
      <c r="DB63" s="391" t="s">
        <v>69</v>
      </c>
      <c r="DC63" s="391" t="s">
        <v>69</v>
      </c>
      <c r="DD63" s="391" t="s">
        <v>69</v>
      </c>
      <c r="DE63" s="391" t="s">
        <v>69</v>
      </c>
      <c r="DF63" s="391" t="s">
        <v>69</v>
      </c>
      <c r="DG63" s="391" t="s">
        <v>69</v>
      </c>
      <c r="DH63" s="391" t="s">
        <v>69</v>
      </c>
      <c r="DI63" s="391" t="s">
        <v>69</v>
      </c>
      <c r="DJ63" s="391" t="s">
        <v>69</v>
      </c>
      <c r="DK63" s="391" t="s">
        <v>69</v>
      </c>
      <c r="DL63" s="391" t="s">
        <v>69</v>
      </c>
      <c r="DM63" s="391" t="s">
        <v>69</v>
      </c>
      <c r="DN63" s="391" t="s">
        <v>69</v>
      </c>
      <c r="DO63" s="391" t="s">
        <v>69</v>
      </c>
      <c r="DP63" s="391" t="s">
        <v>69</v>
      </c>
      <c r="DQ63" s="391" t="s">
        <v>69</v>
      </c>
      <c r="DR63" s="391" t="s">
        <v>69</v>
      </c>
      <c r="DS63" s="391" t="s">
        <v>69</v>
      </c>
      <c r="DT63" s="391" t="s">
        <v>69</v>
      </c>
      <c r="DU63" s="398">
        <f t="shared" si="4"/>
        <v>0.15873015873015872</v>
      </c>
      <c r="DV63" s="399">
        <f t="shared" si="5"/>
        <v>1</v>
      </c>
    </row>
    <row r="64" spans="1:229" s="230" customFormat="1" ht="120" customHeight="1">
      <c r="A64" s="406" t="s">
        <v>697</v>
      </c>
      <c r="B64" s="407" t="s">
        <v>698</v>
      </c>
      <c r="C64" s="409">
        <v>45691</v>
      </c>
      <c r="D64" s="408" t="s">
        <v>1155</v>
      </c>
      <c r="E64" s="391" t="s">
        <v>69</v>
      </c>
      <c r="F64" s="391" t="s">
        <v>69</v>
      </c>
      <c r="G64" s="391" t="s">
        <v>69</v>
      </c>
      <c r="H64" s="391" t="s">
        <v>69</v>
      </c>
      <c r="I64" s="391" t="s">
        <v>69</v>
      </c>
      <c r="J64" s="391" t="s">
        <v>69</v>
      </c>
      <c r="K64" s="391" t="s">
        <v>69</v>
      </c>
      <c r="L64" s="391" t="s">
        <v>69</v>
      </c>
      <c r="M64" s="391" t="s">
        <v>69</v>
      </c>
      <c r="N64" s="391" t="s">
        <v>69</v>
      </c>
      <c r="O64" s="391" t="s">
        <v>69</v>
      </c>
      <c r="P64" s="391" t="s">
        <v>69</v>
      </c>
      <c r="Q64" s="391" t="s">
        <v>69</v>
      </c>
      <c r="R64" s="391" t="s">
        <v>69</v>
      </c>
      <c r="S64" s="391" t="s">
        <v>69</v>
      </c>
      <c r="T64" s="391" t="s">
        <v>69</v>
      </c>
      <c r="U64" s="391" t="s">
        <v>69</v>
      </c>
      <c r="V64" s="391" t="s">
        <v>69</v>
      </c>
      <c r="W64" s="391" t="s">
        <v>69</v>
      </c>
      <c r="X64" s="391" t="s">
        <v>69</v>
      </c>
      <c r="Y64" s="391" t="s">
        <v>69</v>
      </c>
      <c r="Z64" s="391" t="s">
        <v>69</v>
      </c>
      <c r="AA64" s="391" t="s">
        <v>69</v>
      </c>
      <c r="AB64" s="391" t="s">
        <v>69</v>
      </c>
      <c r="AC64" s="391" t="s">
        <v>69</v>
      </c>
      <c r="AD64" s="391" t="s">
        <v>69</v>
      </c>
      <c r="AE64" s="391" t="s">
        <v>69</v>
      </c>
      <c r="AF64" s="391" t="s">
        <v>69</v>
      </c>
      <c r="AG64" s="391" t="s">
        <v>69</v>
      </c>
      <c r="AH64" s="391" t="s">
        <v>69</v>
      </c>
      <c r="AI64" s="391" t="s">
        <v>69</v>
      </c>
      <c r="AJ64" s="391" t="s">
        <v>69</v>
      </c>
      <c r="AK64" s="391" t="s">
        <v>69</v>
      </c>
      <c r="AL64" s="391" t="s">
        <v>69</v>
      </c>
      <c r="AM64" s="391" t="s">
        <v>69</v>
      </c>
      <c r="AN64" s="391" t="s">
        <v>69</v>
      </c>
      <c r="AO64" s="391" t="s">
        <v>69</v>
      </c>
      <c r="AP64" s="391" t="s">
        <v>69</v>
      </c>
      <c r="AQ64" s="391" t="s">
        <v>69</v>
      </c>
      <c r="AR64" s="391" t="s">
        <v>69</v>
      </c>
      <c r="AS64" s="391">
        <v>4</v>
      </c>
      <c r="AT64" s="391" t="s">
        <v>69</v>
      </c>
      <c r="AU64" s="391" t="s">
        <v>69</v>
      </c>
      <c r="AV64" s="391" t="s">
        <v>69</v>
      </c>
      <c r="AW64" s="391" t="s">
        <v>69</v>
      </c>
      <c r="AX64" s="391" t="s">
        <v>69</v>
      </c>
      <c r="AY64" s="391">
        <v>4</v>
      </c>
      <c r="AZ64" s="391" t="s">
        <v>69</v>
      </c>
      <c r="BA64" s="391" t="s">
        <v>69</v>
      </c>
      <c r="BB64" s="391" t="s">
        <v>69</v>
      </c>
      <c r="BC64" s="391" t="s">
        <v>69</v>
      </c>
      <c r="BD64" s="391" t="s">
        <v>69</v>
      </c>
      <c r="BE64" s="391" t="s">
        <v>69</v>
      </c>
      <c r="BF64" s="391" t="s">
        <v>69</v>
      </c>
      <c r="BG64" s="391" t="s">
        <v>69</v>
      </c>
      <c r="BH64" s="391" t="s">
        <v>69</v>
      </c>
      <c r="BI64" s="391" t="s">
        <v>69</v>
      </c>
      <c r="BJ64" s="391" t="s">
        <v>69</v>
      </c>
      <c r="BK64" s="391" t="s">
        <v>69</v>
      </c>
      <c r="BL64" s="391" t="s">
        <v>69</v>
      </c>
      <c r="BM64" s="391" t="s">
        <v>69</v>
      </c>
      <c r="BN64" s="391" t="s">
        <v>69</v>
      </c>
      <c r="BO64" s="391" t="s">
        <v>69</v>
      </c>
      <c r="BP64" s="391" t="s">
        <v>69</v>
      </c>
      <c r="BQ64" s="391" t="s">
        <v>69</v>
      </c>
      <c r="BR64" s="391" t="s">
        <v>69</v>
      </c>
      <c r="BS64" s="391" t="s">
        <v>69</v>
      </c>
      <c r="BT64" s="391" t="s">
        <v>69</v>
      </c>
      <c r="BU64" s="391" t="s">
        <v>69</v>
      </c>
      <c r="BV64" s="391" t="s">
        <v>69</v>
      </c>
      <c r="BW64" s="391" t="s">
        <v>69</v>
      </c>
      <c r="BX64" s="391" t="s">
        <v>69</v>
      </c>
      <c r="BY64" s="391" t="s">
        <v>69</v>
      </c>
      <c r="BZ64" s="391" t="s">
        <v>69</v>
      </c>
      <c r="CA64" s="391" t="s">
        <v>69</v>
      </c>
      <c r="CB64" s="391" t="s">
        <v>69</v>
      </c>
      <c r="CC64" s="391" t="s">
        <v>69</v>
      </c>
      <c r="CD64" s="391" t="s">
        <v>69</v>
      </c>
      <c r="CE64" s="391" t="s">
        <v>69</v>
      </c>
      <c r="CF64" s="391" t="s">
        <v>69</v>
      </c>
      <c r="CG64" s="391" t="s">
        <v>69</v>
      </c>
      <c r="CH64" s="391" t="s">
        <v>69</v>
      </c>
      <c r="CI64" s="391" t="s">
        <v>69</v>
      </c>
      <c r="CJ64" s="391">
        <v>4</v>
      </c>
      <c r="CK64" s="395">
        <v>4</v>
      </c>
      <c r="CL64" s="391">
        <v>4</v>
      </c>
      <c r="CM64" s="391">
        <v>4</v>
      </c>
      <c r="CN64" s="391">
        <v>4</v>
      </c>
      <c r="CO64" s="391" t="s">
        <v>69</v>
      </c>
      <c r="CP64" s="391" t="s">
        <v>69</v>
      </c>
      <c r="CQ64" s="391" t="s">
        <v>69</v>
      </c>
      <c r="CR64" s="391" t="s">
        <v>69</v>
      </c>
      <c r="CS64" s="391" t="s">
        <v>69</v>
      </c>
      <c r="CT64" s="391" t="s">
        <v>69</v>
      </c>
      <c r="CU64" s="390" t="s">
        <v>212</v>
      </c>
      <c r="CV64" s="390" t="s">
        <v>212</v>
      </c>
      <c r="CW64" s="391" t="s">
        <v>69</v>
      </c>
      <c r="CX64" s="391" t="s">
        <v>69</v>
      </c>
      <c r="CY64" s="391" t="s">
        <v>69</v>
      </c>
      <c r="CZ64" s="391" t="s">
        <v>69</v>
      </c>
      <c r="DA64" s="391" t="s">
        <v>69</v>
      </c>
      <c r="DB64" s="391" t="s">
        <v>69</v>
      </c>
      <c r="DC64" s="391" t="s">
        <v>69</v>
      </c>
      <c r="DD64" s="391" t="s">
        <v>69</v>
      </c>
      <c r="DE64" s="391" t="s">
        <v>69</v>
      </c>
      <c r="DF64" s="391" t="s">
        <v>69</v>
      </c>
      <c r="DG64" s="391" t="s">
        <v>69</v>
      </c>
      <c r="DH64" s="391" t="s">
        <v>69</v>
      </c>
      <c r="DI64" s="391" t="s">
        <v>69</v>
      </c>
      <c r="DJ64" s="391" t="s">
        <v>69</v>
      </c>
      <c r="DK64" s="391" t="s">
        <v>69</v>
      </c>
      <c r="DL64" s="391" t="s">
        <v>69</v>
      </c>
      <c r="DM64" s="391" t="s">
        <v>69</v>
      </c>
      <c r="DN64" s="391" t="s">
        <v>69</v>
      </c>
      <c r="DO64" s="391" t="s">
        <v>69</v>
      </c>
      <c r="DP64" s="391" t="s">
        <v>69</v>
      </c>
      <c r="DQ64" s="391" t="s">
        <v>69</v>
      </c>
      <c r="DR64" s="391" t="s">
        <v>69</v>
      </c>
      <c r="DS64" s="391" t="s">
        <v>69</v>
      </c>
      <c r="DT64" s="391" t="s">
        <v>69</v>
      </c>
      <c r="DU64" s="398">
        <f t="shared" si="4"/>
        <v>0.1111111111111111</v>
      </c>
      <c r="DV64" s="399">
        <f t="shared" si="5"/>
        <v>1</v>
      </c>
    </row>
    <row r="65" spans="1:126" s="230" customFormat="1" ht="120" customHeight="1">
      <c r="A65" s="406" t="s">
        <v>699</v>
      </c>
      <c r="B65" s="407" t="s">
        <v>700</v>
      </c>
      <c r="C65" s="409">
        <v>45691</v>
      </c>
      <c r="D65" s="408" t="s">
        <v>1155</v>
      </c>
      <c r="E65" s="391" t="s">
        <v>69</v>
      </c>
      <c r="F65" s="391" t="s">
        <v>69</v>
      </c>
      <c r="G65" s="391" t="s">
        <v>69</v>
      </c>
      <c r="H65" s="391" t="s">
        <v>69</v>
      </c>
      <c r="I65" s="391" t="s">
        <v>69</v>
      </c>
      <c r="J65" s="391" t="s">
        <v>69</v>
      </c>
      <c r="K65" s="391" t="s">
        <v>69</v>
      </c>
      <c r="L65" s="391" t="s">
        <v>69</v>
      </c>
      <c r="M65" s="391" t="s">
        <v>69</v>
      </c>
      <c r="N65" s="391" t="s">
        <v>69</v>
      </c>
      <c r="O65" s="391" t="s">
        <v>69</v>
      </c>
      <c r="P65" s="391" t="s">
        <v>69</v>
      </c>
      <c r="Q65" s="391" t="s">
        <v>69</v>
      </c>
      <c r="R65" s="391" t="s">
        <v>69</v>
      </c>
      <c r="S65" s="391" t="s">
        <v>69</v>
      </c>
      <c r="T65" s="391" t="s">
        <v>69</v>
      </c>
      <c r="U65" s="391" t="s">
        <v>69</v>
      </c>
      <c r="V65" s="391" t="s">
        <v>69</v>
      </c>
      <c r="W65" s="391" t="s">
        <v>69</v>
      </c>
      <c r="X65" s="391" t="s">
        <v>69</v>
      </c>
      <c r="Y65" s="391" t="s">
        <v>69</v>
      </c>
      <c r="Z65" s="391" t="s">
        <v>69</v>
      </c>
      <c r="AA65" s="391" t="s">
        <v>69</v>
      </c>
      <c r="AB65" s="391" t="s">
        <v>69</v>
      </c>
      <c r="AC65" s="391" t="s">
        <v>69</v>
      </c>
      <c r="AD65" s="391" t="s">
        <v>69</v>
      </c>
      <c r="AE65" s="391" t="s">
        <v>69</v>
      </c>
      <c r="AF65" s="391" t="s">
        <v>69</v>
      </c>
      <c r="AG65" s="391" t="s">
        <v>69</v>
      </c>
      <c r="AH65" s="391" t="s">
        <v>69</v>
      </c>
      <c r="AI65" s="391" t="s">
        <v>69</v>
      </c>
      <c r="AJ65" s="391" t="s">
        <v>69</v>
      </c>
      <c r="AK65" s="391" t="s">
        <v>69</v>
      </c>
      <c r="AL65" s="391" t="s">
        <v>69</v>
      </c>
      <c r="AM65" s="391" t="s">
        <v>69</v>
      </c>
      <c r="AN65" s="391" t="s">
        <v>69</v>
      </c>
      <c r="AO65" s="391" t="s">
        <v>69</v>
      </c>
      <c r="AP65" s="391" t="s">
        <v>69</v>
      </c>
      <c r="AQ65" s="391" t="s">
        <v>69</v>
      </c>
      <c r="AR65" s="391" t="s">
        <v>69</v>
      </c>
      <c r="AS65" s="391" t="s">
        <v>69</v>
      </c>
      <c r="AT65" s="391" t="s">
        <v>69</v>
      </c>
      <c r="AU65" s="391" t="s">
        <v>69</v>
      </c>
      <c r="AV65" s="391" t="s">
        <v>69</v>
      </c>
      <c r="AW65" s="391" t="s">
        <v>69</v>
      </c>
      <c r="AX65" s="391" t="s">
        <v>69</v>
      </c>
      <c r="AY65" s="391" t="s">
        <v>69</v>
      </c>
      <c r="AZ65" s="391" t="s">
        <v>69</v>
      </c>
      <c r="BA65" s="391" t="s">
        <v>69</v>
      </c>
      <c r="BB65" s="391" t="s">
        <v>69</v>
      </c>
      <c r="BC65" s="391">
        <v>3</v>
      </c>
      <c r="BD65" s="391">
        <v>3</v>
      </c>
      <c r="BE65" s="391" t="s">
        <v>69</v>
      </c>
      <c r="BF65" s="391" t="s">
        <v>69</v>
      </c>
      <c r="BG65" s="391" t="s">
        <v>69</v>
      </c>
      <c r="BH65" s="391" t="s">
        <v>69</v>
      </c>
      <c r="BI65" s="391" t="s">
        <v>69</v>
      </c>
      <c r="BJ65" s="391" t="s">
        <v>69</v>
      </c>
      <c r="BK65" s="391" t="s">
        <v>69</v>
      </c>
      <c r="BL65" s="391" t="s">
        <v>69</v>
      </c>
      <c r="BM65" s="391" t="s">
        <v>69</v>
      </c>
      <c r="BN65" s="391" t="s">
        <v>69</v>
      </c>
      <c r="BO65" s="391" t="s">
        <v>69</v>
      </c>
      <c r="BP65" s="391" t="s">
        <v>69</v>
      </c>
      <c r="BQ65" s="391" t="s">
        <v>69</v>
      </c>
      <c r="BR65" s="391" t="s">
        <v>69</v>
      </c>
      <c r="BS65" s="391" t="s">
        <v>69</v>
      </c>
      <c r="BT65" s="391" t="s">
        <v>69</v>
      </c>
      <c r="BU65" s="391" t="s">
        <v>69</v>
      </c>
      <c r="BV65" s="391" t="s">
        <v>69</v>
      </c>
      <c r="BW65" s="391" t="s">
        <v>69</v>
      </c>
      <c r="BX65" s="391" t="s">
        <v>69</v>
      </c>
      <c r="BY65" s="391" t="s">
        <v>69</v>
      </c>
      <c r="BZ65" s="391" t="s">
        <v>69</v>
      </c>
      <c r="CA65" s="391" t="s">
        <v>69</v>
      </c>
      <c r="CB65" s="391" t="s">
        <v>69</v>
      </c>
      <c r="CC65" s="391" t="s">
        <v>69</v>
      </c>
      <c r="CD65" s="391" t="s">
        <v>69</v>
      </c>
      <c r="CE65" s="391" t="s">
        <v>69</v>
      </c>
      <c r="CF65" s="391" t="s">
        <v>69</v>
      </c>
      <c r="CG65" s="391" t="s">
        <v>69</v>
      </c>
      <c r="CH65" s="391" t="s">
        <v>69</v>
      </c>
      <c r="CI65" s="391" t="s">
        <v>69</v>
      </c>
      <c r="CJ65" s="391" t="s">
        <v>69</v>
      </c>
      <c r="CK65" s="391" t="s">
        <v>69</v>
      </c>
      <c r="CL65" s="391" t="s">
        <v>69</v>
      </c>
      <c r="CM65" s="391" t="s">
        <v>69</v>
      </c>
      <c r="CN65" s="391" t="s">
        <v>69</v>
      </c>
      <c r="CO65" s="391" t="s">
        <v>69</v>
      </c>
      <c r="CP65" s="391" t="s">
        <v>69</v>
      </c>
      <c r="CQ65" s="391" t="s">
        <v>69</v>
      </c>
      <c r="CR65" s="391" t="s">
        <v>69</v>
      </c>
      <c r="CS65" s="391" t="s">
        <v>69</v>
      </c>
      <c r="CT65" s="391" t="s">
        <v>69</v>
      </c>
      <c r="CU65" s="390" t="s">
        <v>212</v>
      </c>
      <c r="CV65" s="390" t="s">
        <v>212</v>
      </c>
      <c r="CW65" s="391" t="s">
        <v>69</v>
      </c>
      <c r="CX65" s="391" t="s">
        <v>69</v>
      </c>
      <c r="CY65" s="391" t="s">
        <v>69</v>
      </c>
      <c r="CZ65" s="391" t="s">
        <v>69</v>
      </c>
      <c r="DA65" s="391" t="s">
        <v>69</v>
      </c>
      <c r="DB65" s="391" t="s">
        <v>69</v>
      </c>
      <c r="DC65" s="391" t="s">
        <v>69</v>
      </c>
      <c r="DD65" s="391" t="s">
        <v>69</v>
      </c>
      <c r="DE65" s="391" t="s">
        <v>69</v>
      </c>
      <c r="DF65" s="391" t="s">
        <v>69</v>
      </c>
      <c r="DG65" s="391" t="s">
        <v>69</v>
      </c>
      <c r="DH65" s="391" t="s">
        <v>69</v>
      </c>
      <c r="DI65" s="391" t="s">
        <v>69</v>
      </c>
      <c r="DJ65" s="391" t="s">
        <v>69</v>
      </c>
      <c r="DK65" s="391" t="s">
        <v>69</v>
      </c>
      <c r="DL65" s="391" t="s">
        <v>69</v>
      </c>
      <c r="DM65" s="391" t="s">
        <v>69</v>
      </c>
      <c r="DN65" s="391" t="s">
        <v>69</v>
      </c>
      <c r="DO65" s="391" t="s">
        <v>69</v>
      </c>
      <c r="DP65" s="391" t="s">
        <v>69</v>
      </c>
      <c r="DQ65" s="391" t="s">
        <v>69</v>
      </c>
      <c r="DR65" s="391" t="s">
        <v>69</v>
      </c>
      <c r="DS65" s="391" t="s">
        <v>69</v>
      </c>
      <c r="DT65" s="391" t="s">
        <v>69</v>
      </c>
      <c r="DU65" s="398">
        <f t="shared" si="4"/>
        <v>3.1746031746031744E-2</v>
      </c>
      <c r="DV65" s="399">
        <f t="shared" si="5"/>
        <v>1</v>
      </c>
    </row>
    <row r="66" spans="1:126" s="230" customFormat="1" ht="120" customHeight="1">
      <c r="A66" s="406" t="s">
        <v>748</v>
      </c>
      <c r="B66" s="407" t="s">
        <v>750</v>
      </c>
      <c r="C66" s="409">
        <v>45750</v>
      </c>
      <c r="D66" s="408" t="s">
        <v>1155</v>
      </c>
      <c r="E66" s="391">
        <v>4</v>
      </c>
      <c r="F66" s="391">
        <v>4</v>
      </c>
      <c r="G66" s="391" t="s">
        <v>69</v>
      </c>
      <c r="H66" s="391">
        <v>4</v>
      </c>
      <c r="I66" s="391">
        <v>4</v>
      </c>
      <c r="J66" s="391" t="s">
        <v>69</v>
      </c>
      <c r="K66" s="391" t="s">
        <v>69</v>
      </c>
      <c r="L66" s="391" t="s">
        <v>69</v>
      </c>
      <c r="M66" s="391" t="s">
        <v>69</v>
      </c>
      <c r="N66" s="391">
        <v>4</v>
      </c>
      <c r="O66" s="391">
        <v>4</v>
      </c>
      <c r="P66" s="391" t="s">
        <v>69</v>
      </c>
      <c r="Q66" s="391" t="s">
        <v>69</v>
      </c>
      <c r="R66" s="391" t="s">
        <v>69</v>
      </c>
      <c r="S66" s="391" t="s">
        <v>69</v>
      </c>
      <c r="T66" s="391" t="s">
        <v>69</v>
      </c>
      <c r="U66" s="391" t="s">
        <v>69</v>
      </c>
      <c r="V66" s="391" t="s">
        <v>69</v>
      </c>
      <c r="W66" s="391" t="s">
        <v>69</v>
      </c>
      <c r="X66" s="391" t="s">
        <v>69</v>
      </c>
      <c r="Y66" s="391" t="s">
        <v>69</v>
      </c>
      <c r="Z66" s="391" t="s">
        <v>69</v>
      </c>
      <c r="AA66" s="391" t="s">
        <v>69</v>
      </c>
      <c r="AB66" s="391" t="s">
        <v>69</v>
      </c>
      <c r="AC66" s="391" t="s">
        <v>69</v>
      </c>
      <c r="AD66" s="391" t="s">
        <v>69</v>
      </c>
      <c r="AE66" s="391" t="s">
        <v>69</v>
      </c>
      <c r="AF66" s="391" t="s">
        <v>69</v>
      </c>
      <c r="AG66" s="391" t="s">
        <v>69</v>
      </c>
      <c r="AH66" s="391" t="s">
        <v>69</v>
      </c>
      <c r="AI66" s="391" t="s">
        <v>69</v>
      </c>
      <c r="AJ66" s="391" t="s">
        <v>69</v>
      </c>
      <c r="AK66" s="391" t="s">
        <v>69</v>
      </c>
      <c r="AL66" s="391" t="s">
        <v>69</v>
      </c>
      <c r="AM66" s="391" t="s">
        <v>69</v>
      </c>
      <c r="AN66" s="391" t="s">
        <v>69</v>
      </c>
      <c r="AO66" s="391" t="s">
        <v>69</v>
      </c>
      <c r="AP66" s="391" t="s">
        <v>69</v>
      </c>
      <c r="AQ66" s="391" t="s">
        <v>69</v>
      </c>
      <c r="AR66" s="391" t="s">
        <v>69</v>
      </c>
      <c r="AS66" s="391" t="s">
        <v>69</v>
      </c>
      <c r="AT66" s="391" t="s">
        <v>69</v>
      </c>
      <c r="AU66" s="391" t="s">
        <v>69</v>
      </c>
      <c r="AV66" s="391" t="s">
        <v>69</v>
      </c>
      <c r="AW66" s="391" t="s">
        <v>69</v>
      </c>
      <c r="AX66" s="391" t="s">
        <v>69</v>
      </c>
      <c r="AY66" s="391" t="s">
        <v>69</v>
      </c>
      <c r="AZ66" s="391" t="s">
        <v>69</v>
      </c>
      <c r="BA66" s="391" t="s">
        <v>69</v>
      </c>
      <c r="BB66" s="391" t="s">
        <v>69</v>
      </c>
      <c r="BC66" s="391" t="s">
        <v>69</v>
      </c>
      <c r="BD66" s="391" t="s">
        <v>69</v>
      </c>
      <c r="BE66" s="391" t="s">
        <v>69</v>
      </c>
      <c r="BF66" s="391" t="s">
        <v>69</v>
      </c>
      <c r="BG66" s="391" t="s">
        <v>69</v>
      </c>
      <c r="BH66" s="391" t="s">
        <v>69</v>
      </c>
      <c r="BI66" s="391" t="s">
        <v>69</v>
      </c>
      <c r="BJ66" s="391" t="s">
        <v>69</v>
      </c>
      <c r="BK66" s="391" t="s">
        <v>69</v>
      </c>
      <c r="BL66" s="391" t="s">
        <v>69</v>
      </c>
      <c r="BM66" s="391" t="s">
        <v>69</v>
      </c>
      <c r="BN66" s="391" t="s">
        <v>69</v>
      </c>
      <c r="BO66" s="391" t="s">
        <v>69</v>
      </c>
      <c r="BP66" s="391" t="s">
        <v>69</v>
      </c>
      <c r="BQ66" s="391" t="s">
        <v>69</v>
      </c>
      <c r="BR66" s="391" t="s">
        <v>69</v>
      </c>
      <c r="BS66" s="391" t="s">
        <v>69</v>
      </c>
      <c r="BT66" s="391" t="s">
        <v>69</v>
      </c>
      <c r="BU66" s="391" t="s">
        <v>69</v>
      </c>
      <c r="BV66" s="391" t="s">
        <v>69</v>
      </c>
      <c r="BW66" s="391" t="s">
        <v>69</v>
      </c>
      <c r="BX66" s="391" t="s">
        <v>69</v>
      </c>
      <c r="BY66" s="391" t="s">
        <v>69</v>
      </c>
      <c r="BZ66" s="391" t="s">
        <v>69</v>
      </c>
      <c r="CA66" s="391" t="s">
        <v>69</v>
      </c>
      <c r="CB66" s="391" t="s">
        <v>69</v>
      </c>
      <c r="CC66" s="391" t="s">
        <v>69</v>
      </c>
      <c r="CD66" s="391" t="s">
        <v>69</v>
      </c>
      <c r="CE66" s="391" t="s">
        <v>69</v>
      </c>
      <c r="CF66" s="391" t="s">
        <v>69</v>
      </c>
      <c r="CG66" s="391" t="s">
        <v>69</v>
      </c>
      <c r="CH66" s="391" t="s">
        <v>69</v>
      </c>
      <c r="CI66" s="391" t="s">
        <v>69</v>
      </c>
      <c r="CJ66" s="391" t="s">
        <v>69</v>
      </c>
      <c r="CK66" s="391" t="s">
        <v>69</v>
      </c>
      <c r="CL66" s="391" t="s">
        <v>69</v>
      </c>
      <c r="CM66" s="391" t="s">
        <v>69</v>
      </c>
      <c r="CN66" s="391" t="s">
        <v>69</v>
      </c>
      <c r="CO66" s="391" t="s">
        <v>69</v>
      </c>
      <c r="CP66" s="391" t="s">
        <v>69</v>
      </c>
      <c r="CQ66" s="391" t="s">
        <v>69</v>
      </c>
      <c r="CR66" s="391" t="s">
        <v>69</v>
      </c>
      <c r="CS66" s="391" t="s">
        <v>69</v>
      </c>
      <c r="CT66" s="391" t="s">
        <v>69</v>
      </c>
      <c r="CU66" s="390" t="s">
        <v>212</v>
      </c>
      <c r="CV66" s="390" t="s">
        <v>212</v>
      </c>
      <c r="CW66" s="391" t="s">
        <v>69</v>
      </c>
      <c r="CX66" s="391" t="s">
        <v>69</v>
      </c>
      <c r="CY66" s="391" t="s">
        <v>69</v>
      </c>
      <c r="CZ66" s="391" t="s">
        <v>69</v>
      </c>
      <c r="DA66" s="391" t="s">
        <v>69</v>
      </c>
      <c r="DB66" s="391" t="s">
        <v>69</v>
      </c>
      <c r="DC66" s="391" t="s">
        <v>69</v>
      </c>
      <c r="DD66" s="391" t="s">
        <v>69</v>
      </c>
      <c r="DE66" s="391" t="s">
        <v>69</v>
      </c>
      <c r="DF66" s="391" t="s">
        <v>69</v>
      </c>
      <c r="DG66" s="391" t="s">
        <v>69</v>
      </c>
      <c r="DH66" s="391" t="s">
        <v>69</v>
      </c>
      <c r="DI66" s="391" t="s">
        <v>69</v>
      </c>
      <c r="DJ66" s="391" t="s">
        <v>69</v>
      </c>
      <c r="DK66" s="391" t="s">
        <v>69</v>
      </c>
      <c r="DL66" s="391" t="s">
        <v>69</v>
      </c>
      <c r="DM66" s="391" t="s">
        <v>69</v>
      </c>
      <c r="DN66" s="391" t="s">
        <v>69</v>
      </c>
      <c r="DO66" s="391" t="s">
        <v>69</v>
      </c>
      <c r="DP66" s="391" t="s">
        <v>69</v>
      </c>
      <c r="DQ66" s="391" t="s">
        <v>69</v>
      </c>
      <c r="DR66" s="391" t="s">
        <v>69</v>
      </c>
      <c r="DS66" s="391" t="s">
        <v>69</v>
      </c>
      <c r="DT66" s="391" t="s">
        <v>69</v>
      </c>
      <c r="DU66" s="398">
        <f t="shared" si="4"/>
        <v>9.5238095238095233E-2</v>
      </c>
      <c r="DV66" s="399">
        <f t="shared" si="5"/>
        <v>1</v>
      </c>
    </row>
    <row r="67" spans="1:126" s="230" customFormat="1" ht="120" customHeight="1">
      <c r="A67" s="406" t="s">
        <v>765</v>
      </c>
      <c r="B67" s="407" t="s">
        <v>772</v>
      </c>
      <c r="C67" s="409">
        <v>45782</v>
      </c>
      <c r="D67" s="408" t="s">
        <v>1155</v>
      </c>
      <c r="E67" s="391" t="s">
        <v>69</v>
      </c>
      <c r="F67" s="391" t="s">
        <v>69</v>
      </c>
      <c r="G67" s="391" t="s">
        <v>69</v>
      </c>
      <c r="H67" s="391" t="s">
        <v>69</v>
      </c>
      <c r="I67" s="391" t="s">
        <v>69</v>
      </c>
      <c r="J67" s="391" t="s">
        <v>69</v>
      </c>
      <c r="K67" s="391" t="s">
        <v>69</v>
      </c>
      <c r="L67" s="391" t="s">
        <v>69</v>
      </c>
      <c r="M67" s="391" t="s">
        <v>69</v>
      </c>
      <c r="N67" s="391" t="s">
        <v>69</v>
      </c>
      <c r="O67" s="391" t="s">
        <v>69</v>
      </c>
      <c r="P67" s="391" t="s">
        <v>69</v>
      </c>
      <c r="Q67" s="391" t="s">
        <v>69</v>
      </c>
      <c r="R67" s="391" t="s">
        <v>69</v>
      </c>
      <c r="S67" s="391" t="s">
        <v>69</v>
      </c>
      <c r="T67" s="391" t="s">
        <v>69</v>
      </c>
      <c r="U67" s="391" t="s">
        <v>69</v>
      </c>
      <c r="V67" s="391" t="s">
        <v>69</v>
      </c>
      <c r="W67" s="391" t="s">
        <v>69</v>
      </c>
      <c r="X67" s="391" t="s">
        <v>69</v>
      </c>
      <c r="Y67" s="391" t="s">
        <v>69</v>
      </c>
      <c r="Z67" s="391" t="s">
        <v>69</v>
      </c>
      <c r="AA67" s="391" t="s">
        <v>69</v>
      </c>
      <c r="AB67" s="391" t="s">
        <v>69</v>
      </c>
      <c r="AC67" s="391" t="s">
        <v>69</v>
      </c>
      <c r="AD67" s="391" t="s">
        <v>69</v>
      </c>
      <c r="AE67" s="391" t="s">
        <v>69</v>
      </c>
      <c r="AF67" s="391" t="s">
        <v>69</v>
      </c>
      <c r="AG67" s="391" t="s">
        <v>69</v>
      </c>
      <c r="AH67" s="391" t="s">
        <v>69</v>
      </c>
      <c r="AI67" s="391" t="s">
        <v>69</v>
      </c>
      <c r="AJ67" s="391" t="s">
        <v>69</v>
      </c>
      <c r="AK67" s="391" t="s">
        <v>69</v>
      </c>
      <c r="AL67" s="391" t="s">
        <v>69</v>
      </c>
      <c r="AM67" s="391" t="s">
        <v>69</v>
      </c>
      <c r="AN67" s="391" t="s">
        <v>69</v>
      </c>
      <c r="AO67" s="391" t="s">
        <v>69</v>
      </c>
      <c r="AP67" s="391" t="s">
        <v>69</v>
      </c>
      <c r="AQ67" s="391" t="s">
        <v>69</v>
      </c>
      <c r="AR67" s="391" t="s">
        <v>69</v>
      </c>
      <c r="AS67" s="391" t="s">
        <v>69</v>
      </c>
      <c r="AT67" s="391">
        <v>3</v>
      </c>
      <c r="AU67" s="391" t="s">
        <v>69</v>
      </c>
      <c r="AV67" s="391" t="s">
        <v>69</v>
      </c>
      <c r="AW67" s="391" t="s">
        <v>69</v>
      </c>
      <c r="AX67" s="391" t="s">
        <v>69</v>
      </c>
      <c r="AY67" s="391" t="s">
        <v>69</v>
      </c>
      <c r="AZ67" s="391" t="s">
        <v>69</v>
      </c>
      <c r="BA67" s="391" t="s">
        <v>69</v>
      </c>
      <c r="BB67" s="391" t="s">
        <v>69</v>
      </c>
      <c r="BC67" s="391" t="s">
        <v>69</v>
      </c>
      <c r="BD67" s="391" t="s">
        <v>69</v>
      </c>
      <c r="BE67" s="391" t="s">
        <v>69</v>
      </c>
      <c r="BF67" s="391" t="s">
        <v>69</v>
      </c>
      <c r="BG67" s="391" t="s">
        <v>69</v>
      </c>
      <c r="BH67" s="391" t="s">
        <v>69</v>
      </c>
      <c r="BI67" s="391" t="s">
        <v>69</v>
      </c>
      <c r="BJ67" s="391" t="s">
        <v>69</v>
      </c>
      <c r="BK67" s="391" t="s">
        <v>69</v>
      </c>
      <c r="BL67" s="391" t="s">
        <v>69</v>
      </c>
      <c r="BM67" s="391" t="s">
        <v>69</v>
      </c>
      <c r="BN67" s="391" t="s">
        <v>69</v>
      </c>
      <c r="BO67" s="391" t="s">
        <v>69</v>
      </c>
      <c r="BP67" s="391" t="s">
        <v>69</v>
      </c>
      <c r="BQ67" s="391" t="s">
        <v>69</v>
      </c>
      <c r="BR67" s="391" t="s">
        <v>69</v>
      </c>
      <c r="BS67" s="391" t="s">
        <v>69</v>
      </c>
      <c r="BT67" s="391" t="s">
        <v>69</v>
      </c>
      <c r="BU67" s="391" t="s">
        <v>69</v>
      </c>
      <c r="BV67" s="391" t="s">
        <v>69</v>
      </c>
      <c r="BW67" s="391" t="s">
        <v>69</v>
      </c>
      <c r="BX67" s="391" t="s">
        <v>69</v>
      </c>
      <c r="BY67" s="391" t="s">
        <v>69</v>
      </c>
      <c r="BZ67" s="391" t="s">
        <v>69</v>
      </c>
      <c r="CA67" s="391" t="s">
        <v>69</v>
      </c>
      <c r="CB67" s="391" t="s">
        <v>69</v>
      </c>
      <c r="CC67" s="391" t="s">
        <v>69</v>
      </c>
      <c r="CD67" s="391" t="s">
        <v>69</v>
      </c>
      <c r="CE67" s="391" t="s">
        <v>69</v>
      </c>
      <c r="CF67" s="391" t="s">
        <v>69</v>
      </c>
      <c r="CG67" s="391" t="s">
        <v>69</v>
      </c>
      <c r="CH67" s="391" t="s">
        <v>69</v>
      </c>
      <c r="CI67" s="391" t="s">
        <v>69</v>
      </c>
      <c r="CJ67" s="391">
        <v>4</v>
      </c>
      <c r="CK67" s="391">
        <v>4</v>
      </c>
      <c r="CL67" s="391">
        <v>4</v>
      </c>
      <c r="CM67" s="391">
        <v>4</v>
      </c>
      <c r="CN67" s="391" t="s">
        <v>69</v>
      </c>
      <c r="CO67" s="391" t="s">
        <v>69</v>
      </c>
      <c r="CP67" s="391" t="s">
        <v>69</v>
      </c>
      <c r="CQ67" s="391" t="s">
        <v>69</v>
      </c>
      <c r="CR67" s="391" t="s">
        <v>69</v>
      </c>
      <c r="CS67" s="391" t="s">
        <v>69</v>
      </c>
      <c r="CT67" s="391" t="s">
        <v>69</v>
      </c>
      <c r="CU67" s="390" t="s">
        <v>212</v>
      </c>
      <c r="CV67" s="390" t="s">
        <v>212</v>
      </c>
      <c r="CW67" s="391" t="s">
        <v>69</v>
      </c>
      <c r="CX67" s="391" t="s">
        <v>69</v>
      </c>
      <c r="CY67" s="391" t="s">
        <v>69</v>
      </c>
      <c r="CZ67" s="391" t="s">
        <v>69</v>
      </c>
      <c r="DA67" s="391" t="s">
        <v>69</v>
      </c>
      <c r="DB67" s="391" t="s">
        <v>69</v>
      </c>
      <c r="DC67" s="391" t="s">
        <v>69</v>
      </c>
      <c r="DD67" s="391" t="s">
        <v>69</v>
      </c>
      <c r="DE67" s="391" t="s">
        <v>69</v>
      </c>
      <c r="DF67" s="391" t="s">
        <v>69</v>
      </c>
      <c r="DG67" s="391" t="s">
        <v>69</v>
      </c>
      <c r="DH67" s="391" t="s">
        <v>69</v>
      </c>
      <c r="DI67" s="391" t="s">
        <v>69</v>
      </c>
      <c r="DJ67" s="391" t="s">
        <v>69</v>
      </c>
      <c r="DK67" s="391" t="s">
        <v>69</v>
      </c>
      <c r="DL67" s="391" t="s">
        <v>69</v>
      </c>
      <c r="DM67" s="391" t="s">
        <v>69</v>
      </c>
      <c r="DN67" s="391" t="s">
        <v>69</v>
      </c>
      <c r="DO67" s="391" t="s">
        <v>69</v>
      </c>
      <c r="DP67" s="391" t="s">
        <v>69</v>
      </c>
      <c r="DQ67" s="391" t="s">
        <v>69</v>
      </c>
      <c r="DR67" s="391" t="s">
        <v>69</v>
      </c>
      <c r="DS67" s="391" t="s">
        <v>69</v>
      </c>
      <c r="DT67" s="391" t="s">
        <v>69</v>
      </c>
      <c r="DU67" s="398">
        <f t="shared" si="4"/>
        <v>7.9365079365079361E-2</v>
      </c>
      <c r="DV67" s="399">
        <f t="shared" si="5"/>
        <v>1</v>
      </c>
    </row>
    <row r="68" spans="1:126" s="230" customFormat="1" ht="120" customHeight="1">
      <c r="A68" s="406" t="s">
        <v>767</v>
      </c>
      <c r="B68" s="407" t="s">
        <v>774</v>
      </c>
      <c r="C68" s="409">
        <v>45782</v>
      </c>
      <c r="D68" s="408" t="s">
        <v>1155</v>
      </c>
      <c r="E68" s="391">
        <v>3</v>
      </c>
      <c r="F68" s="391" t="s">
        <v>69</v>
      </c>
      <c r="G68" s="391" t="s">
        <v>69</v>
      </c>
      <c r="H68" s="391" t="s">
        <v>69</v>
      </c>
      <c r="I68" s="391" t="s">
        <v>69</v>
      </c>
      <c r="J68" s="391" t="s">
        <v>69</v>
      </c>
      <c r="K68" s="391" t="s">
        <v>69</v>
      </c>
      <c r="L68" s="391" t="s">
        <v>69</v>
      </c>
      <c r="M68" s="391" t="s">
        <v>69</v>
      </c>
      <c r="N68" s="391" t="s">
        <v>69</v>
      </c>
      <c r="O68" s="391" t="s">
        <v>69</v>
      </c>
      <c r="P68" s="391" t="s">
        <v>69</v>
      </c>
      <c r="Q68" s="391" t="s">
        <v>69</v>
      </c>
      <c r="R68" s="391" t="s">
        <v>69</v>
      </c>
      <c r="S68" s="391" t="s">
        <v>69</v>
      </c>
      <c r="T68" s="391" t="s">
        <v>69</v>
      </c>
      <c r="U68" s="391" t="s">
        <v>69</v>
      </c>
      <c r="V68" s="391" t="s">
        <v>69</v>
      </c>
      <c r="W68" s="391" t="s">
        <v>69</v>
      </c>
      <c r="X68" s="391" t="s">
        <v>69</v>
      </c>
      <c r="Y68" s="391" t="s">
        <v>69</v>
      </c>
      <c r="Z68" s="391" t="s">
        <v>69</v>
      </c>
      <c r="AA68" s="391" t="s">
        <v>69</v>
      </c>
      <c r="AB68" s="391" t="s">
        <v>69</v>
      </c>
      <c r="AC68" s="391" t="s">
        <v>69</v>
      </c>
      <c r="AD68" s="391" t="s">
        <v>69</v>
      </c>
      <c r="AE68" s="391" t="s">
        <v>69</v>
      </c>
      <c r="AF68" s="391" t="s">
        <v>69</v>
      </c>
      <c r="AG68" s="391" t="s">
        <v>69</v>
      </c>
      <c r="AH68" s="391" t="s">
        <v>69</v>
      </c>
      <c r="AI68" s="391" t="s">
        <v>69</v>
      </c>
      <c r="AJ68" s="391" t="s">
        <v>69</v>
      </c>
      <c r="AK68" s="391" t="s">
        <v>69</v>
      </c>
      <c r="AL68" s="391" t="s">
        <v>69</v>
      </c>
      <c r="AM68" s="391" t="s">
        <v>69</v>
      </c>
      <c r="AN68" s="391" t="s">
        <v>69</v>
      </c>
      <c r="AO68" s="391" t="s">
        <v>69</v>
      </c>
      <c r="AP68" s="391" t="s">
        <v>69</v>
      </c>
      <c r="AQ68" s="391" t="s">
        <v>69</v>
      </c>
      <c r="AR68" s="391" t="s">
        <v>69</v>
      </c>
      <c r="AS68" s="391" t="s">
        <v>69</v>
      </c>
      <c r="AT68" s="391" t="s">
        <v>69</v>
      </c>
      <c r="AU68" s="391" t="s">
        <v>69</v>
      </c>
      <c r="AV68" s="391" t="s">
        <v>69</v>
      </c>
      <c r="AW68" s="391" t="s">
        <v>69</v>
      </c>
      <c r="AX68" s="391" t="s">
        <v>69</v>
      </c>
      <c r="AY68" s="391" t="s">
        <v>69</v>
      </c>
      <c r="AZ68" s="391" t="s">
        <v>69</v>
      </c>
      <c r="BA68" s="391" t="s">
        <v>69</v>
      </c>
      <c r="BB68" s="391" t="s">
        <v>69</v>
      </c>
      <c r="BC68" s="391" t="s">
        <v>69</v>
      </c>
      <c r="BD68" s="391" t="s">
        <v>69</v>
      </c>
      <c r="BE68" s="391" t="s">
        <v>69</v>
      </c>
      <c r="BF68" s="391" t="s">
        <v>69</v>
      </c>
      <c r="BG68" s="391" t="s">
        <v>69</v>
      </c>
      <c r="BH68" s="391" t="s">
        <v>69</v>
      </c>
      <c r="BI68" s="391" t="s">
        <v>69</v>
      </c>
      <c r="BJ68" s="391" t="s">
        <v>69</v>
      </c>
      <c r="BK68" s="391" t="s">
        <v>69</v>
      </c>
      <c r="BL68" s="391" t="s">
        <v>69</v>
      </c>
      <c r="BM68" s="391" t="s">
        <v>69</v>
      </c>
      <c r="BN68" s="391" t="s">
        <v>69</v>
      </c>
      <c r="BO68" s="391" t="s">
        <v>69</v>
      </c>
      <c r="BP68" s="391" t="s">
        <v>69</v>
      </c>
      <c r="BQ68" s="391" t="s">
        <v>69</v>
      </c>
      <c r="BR68" s="391" t="s">
        <v>69</v>
      </c>
      <c r="BS68" s="391" t="s">
        <v>69</v>
      </c>
      <c r="BT68" s="391" t="s">
        <v>69</v>
      </c>
      <c r="BU68" s="391" t="s">
        <v>69</v>
      </c>
      <c r="BV68" s="391" t="s">
        <v>69</v>
      </c>
      <c r="BW68" s="391" t="s">
        <v>69</v>
      </c>
      <c r="BX68" s="391" t="s">
        <v>69</v>
      </c>
      <c r="BY68" s="391" t="s">
        <v>69</v>
      </c>
      <c r="BZ68" s="391" t="s">
        <v>69</v>
      </c>
      <c r="CA68" s="391" t="s">
        <v>69</v>
      </c>
      <c r="CB68" s="391" t="s">
        <v>69</v>
      </c>
      <c r="CC68" s="391" t="s">
        <v>69</v>
      </c>
      <c r="CD68" s="391" t="s">
        <v>69</v>
      </c>
      <c r="CE68" s="391" t="s">
        <v>69</v>
      </c>
      <c r="CF68" s="391" t="s">
        <v>69</v>
      </c>
      <c r="CG68" s="391" t="s">
        <v>69</v>
      </c>
      <c r="CH68" s="391" t="s">
        <v>69</v>
      </c>
      <c r="CI68" s="391" t="s">
        <v>69</v>
      </c>
      <c r="CJ68" s="391">
        <v>4</v>
      </c>
      <c r="CK68" s="391" t="s">
        <v>69</v>
      </c>
      <c r="CL68" s="391">
        <v>3</v>
      </c>
      <c r="CM68" s="391">
        <v>3</v>
      </c>
      <c r="CN68" s="391">
        <v>4</v>
      </c>
      <c r="CO68" s="391" t="s">
        <v>69</v>
      </c>
      <c r="CP68" s="391" t="s">
        <v>69</v>
      </c>
      <c r="CQ68" s="391" t="s">
        <v>69</v>
      </c>
      <c r="CR68" s="391" t="s">
        <v>69</v>
      </c>
      <c r="CS68" s="391" t="s">
        <v>69</v>
      </c>
      <c r="CT68" s="391" t="s">
        <v>69</v>
      </c>
      <c r="CU68" s="390" t="s">
        <v>212</v>
      </c>
      <c r="CV68" s="390" t="s">
        <v>212</v>
      </c>
      <c r="CW68" s="391" t="s">
        <v>69</v>
      </c>
      <c r="CX68" s="391" t="s">
        <v>69</v>
      </c>
      <c r="CY68" s="391" t="s">
        <v>69</v>
      </c>
      <c r="CZ68" s="391" t="s">
        <v>69</v>
      </c>
      <c r="DA68" s="391" t="s">
        <v>69</v>
      </c>
      <c r="DB68" s="391" t="s">
        <v>69</v>
      </c>
      <c r="DC68" s="391" t="s">
        <v>69</v>
      </c>
      <c r="DD68" s="391" t="s">
        <v>69</v>
      </c>
      <c r="DE68" s="391" t="s">
        <v>69</v>
      </c>
      <c r="DF68" s="391" t="s">
        <v>69</v>
      </c>
      <c r="DG68" s="391" t="s">
        <v>69</v>
      </c>
      <c r="DH68" s="391" t="s">
        <v>69</v>
      </c>
      <c r="DI68" s="391" t="s">
        <v>69</v>
      </c>
      <c r="DJ68" s="391" t="s">
        <v>69</v>
      </c>
      <c r="DK68" s="391" t="s">
        <v>69</v>
      </c>
      <c r="DL68" s="391" t="s">
        <v>69</v>
      </c>
      <c r="DM68" s="391" t="s">
        <v>69</v>
      </c>
      <c r="DN68" s="391" t="s">
        <v>69</v>
      </c>
      <c r="DO68" s="391" t="s">
        <v>69</v>
      </c>
      <c r="DP68" s="391" t="s">
        <v>69</v>
      </c>
      <c r="DQ68" s="391" t="s">
        <v>69</v>
      </c>
      <c r="DR68" s="391" t="s">
        <v>69</v>
      </c>
      <c r="DS68" s="391" t="s">
        <v>69</v>
      </c>
      <c r="DT68" s="391" t="s">
        <v>69</v>
      </c>
      <c r="DU68" s="398">
        <f t="shared" si="4"/>
        <v>7.9365079365079361E-2</v>
      </c>
      <c r="DV68" s="399">
        <f t="shared" si="5"/>
        <v>1</v>
      </c>
    </row>
    <row r="69" spans="1:126" s="230" customFormat="1" ht="120" customHeight="1">
      <c r="A69" s="406" t="s">
        <v>764</v>
      </c>
      <c r="B69" s="407" t="s">
        <v>771</v>
      </c>
      <c r="C69" s="409">
        <v>45782</v>
      </c>
      <c r="D69" s="408" t="s">
        <v>1155</v>
      </c>
      <c r="E69" s="391" t="s">
        <v>69</v>
      </c>
      <c r="F69" s="391" t="s">
        <v>69</v>
      </c>
      <c r="G69" s="391" t="s">
        <v>69</v>
      </c>
      <c r="H69" s="391" t="s">
        <v>69</v>
      </c>
      <c r="I69" s="391" t="s">
        <v>69</v>
      </c>
      <c r="J69" s="391" t="s">
        <v>69</v>
      </c>
      <c r="K69" s="391" t="s">
        <v>69</v>
      </c>
      <c r="L69" s="391" t="s">
        <v>69</v>
      </c>
      <c r="M69" s="391" t="s">
        <v>69</v>
      </c>
      <c r="N69" s="391" t="s">
        <v>69</v>
      </c>
      <c r="O69" s="391" t="s">
        <v>69</v>
      </c>
      <c r="P69" s="391" t="s">
        <v>69</v>
      </c>
      <c r="Q69" s="391" t="s">
        <v>69</v>
      </c>
      <c r="R69" s="391" t="s">
        <v>69</v>
      </c>
      <c r="S69" s="391" t="s">
        <v>69</v>
      </c>
      <c r="T69" s="391" t="s">
        <v>69</v>
      </c>
      <c r="U69" s="391" t="s">
        <v>69</v>
      </c>
      <c r="V69" s="391" t="s">
        <v>69</v>
      </c>
      <c r="W69" s="391" t="s">
        <v>69</v>
      </c>
      <c r="X69" s="391" t="s">
        <v>69</v>
      </c>
      <c r="Y69" s="391" t="s">
        <v>69</v>
      </c>
      <c r="Z69" s="391" t="s">
        <v>69</v>
      </c>
      <c r="AA69" s="391" t="s">
        <v>69</v>
      </c>
      <c r="AB69" s="391" t="s">
        <v>69</v>
      </c>
      <c r="AC69" s="391" t="s">
        <v>69</v>
      </c>
      <c r="AD69" s="391" t="s">
        <v>69</v>
      </c>
      <c r="AE69" s="391" t="s">
        <v>69</v>
      </c>
      <c r="AF69" s="391" t="s">
        <v>69</v>
      </c>
      <c r="AG69" s="391" t="s">
        <v>69</v>
      </c>
      <c r="AH69" s="391" t="s">
        <v>69</v>
      </c>
      <c r="AI69" s="391" t="s">
        <v>69</v>
      </c>
      <c r="AJ69" s="391" t="s">
        <v>69</v>
      </c>
      <c r="AK69" s="391" t="s">
        <v>69</v>
      </c>
      <c r="AL69" s="391" t="s">
        <v>69</v>
      </c>
      <c r="AM69" s="391" t="s">
        <v>69</v>
      </c>
      <c r="AN69" s="391" t="s">
        <v>69</v>
      </c>
      <c r="AO69" s="391" t="s">
        <v>69</v>
      </c>
      <c r="AP69" s="391" t="s">
        <v>69</v>
      </c>
      <c r="AQ69" s="391" t="s">
        <v>69</v>
      </c>
      <c r="AR69" s="391" t="s">
        <v>69</v>
      </c>
      <c r="AS69" s="391" t="s">
        <v>69</v>
      </c>
      <c r="AT69" s="391" t="s">
        <v>69</v>
      </c>
      <c r="AU69" s="391" t="s">
        <v>69</v>
      </c>
      <c r="AV69" s="391" t="s">
        <v>69</v>
      </c>
      <c r="AW69" s="391" t="s">
        <v>69</v>
      </c>
      <c r="AX69" s="391" t="s">
        <v>69</v>
      </c>
      <c r="AY69" s="391" t="s">
        <v>69</v>
      </c>
      <c r="AZ69" s="391" t="s">
        <v>69</v>
      </c>
      <c r="BA69" s="391" t="s">
        <v>69</v>
      </c>
      <c r="BB69" s="391" t="s">
        <v>69</v>
      </c>
      <c r="BC69" s="391" t="s">
        <v>69</v>
      </c>
      <c r="BD69" s="391" t="s">
        <v>69</v>
      </c>
      <c r="BE69" s="391" t="s">
        <v>69</v>
      </c>
      <c r="BF69" s="391" t="s">
        <v>69</v>
      </c>
      <c r="BG69" s="391" t="s">
        <v>69</v>
      </c>
      <c r="BH69" s="391" t="s">
        <v>69</v>
      </c>
      <c r="BI69" s="391" t="s">
        <v>69</v>
      </c>
      <c r="BJ69" s="391">
        <v>3</v>
      </c>
      <c r="BK69" s="391" t="s">
        <v>69</v>
      </c>
      <c r="BL69" s="391" t="s">
        <v>69</v>
      </c>
      <c r="BM69" s="391" t="s">
        <v>69</v>
      </c>
      <c r="BN69" s="391" t="s">
        <v>69</v>
      </c>
      <c r="BO69" s="391" t="s">
        <v>69</v>
      </c>
      <c r="BP69" s="391" t="s">
        <v>69</v>
      </c>
      <c r="BQ69" s="391" t="s">
        <v>69</v>
      </c>
      <c r="BR69" s="391" t="s">
        <v>69</v>
      </c>
      <c r="BS69" s="391" t="s">
        <v>69</v>
      </c>
      <c r="BT69" s="391" t="s">
        <v>69</v>
      </c>
      <c r="BU69" s="391" t="s">
        <v>69</v>
      </c>
      <c r="BV69" s="391" t="s">
        <v>69</v>
      </c>
      <c r="BW69" s="391" t="s">
        <v>69</v>
      </c>
      <c r="BX69" s="391" t="s">
        <v>69</v>
      </c>
      <c r="BY69" s="391" t="s">
        <v>69</v>
      </c>
      <c r="BZ69" s="391" t="s">
        <v>69</v>
      </c>
      <c r="CA69" s="391" t="s">
        <v>69</v>
      </c>
      <c r="CB69" s="391" t="s">
        <v>69</v>
      </c>
      <c r="CC69" s="391" t="s">
        <v>69</v>
      </c>
      <c r="CD69" s="391" t="s">
        <v>69</v>
      </c>
      <c r="CE69" s="391" t="s">
        <v>69</v>
      </c>
      <c r="CF69" s="391" t="s">
        <v>69</v>
      </c>
      <c r="CG69" s="391" t="s">
        <v>69</v>
      </c>
      <c r="CH69" s="391" t="s">
        <v>69</v>
      </c>
      <c r="CI69" s="391" t="s">
        <v>69</v>
      </c>
      <c r="CJ69" s="391" t="s">
        <v>69</v>
      </c>
      <c r="CK69" s="391" t="s">
        <v>69</v>
      </c>
      <c r="CL69" s="391" t="s">
        <v>69</v>
      </c>
      <c r="CM69" s="391" t="s">
        <v>69</v>
      </c>
      <c r="CN69" s="391" t="s">
        <v>69</v>
      </c>
      <c r="CO69" s="391" t="s">
        <v>69</v>
      </c>
      <c r="CP69" s="391" t="s">
        <v>69</v>
      </c>
      <c r="CQ69" s="391" t="s">
        <v>69</v>
      </c>
      <c r="CR69" s="391" t="s">
        <v>69</v>
      </c>
      <c r="CS69" s="391" t="s">
        <v>69</v>
      </c>
      <c r="CT69" s="391" t="s">
        <v>69</v>
      </c>
      <c r="CU69" s="390" t="s">
        <v>212</v>
      </c>
      <c r="CV69" s="390" t="s">
        <v>212</v>
      </c>
      <c r="CW69" s="391" t="s">
        <v>69</v>
      </c>
      <c r="CX69" s="391" t="s">
        <v>69</v>
      </c>
      <c r="CY69" s="391" t="s">
        <v>69</v>
      </c>
      <c r="CZ69" s="391" t="s">
        <v>69</v>
      </c>
      <c r="DA69" s="391" t="s">
        <v>69</v>
      </c>
      <c r="DB69" s="391" t="s">
        <v>69</v>
      </c>
      <c r="DC69" s="391" t="s">
        <v>69</v>
      </c>
      <c r="DD69" s="391" t="s">
        <v>69</v>
      </c>
      <c r="DE69" s="391" t="s">
        <v>69</v>
      </c>
      <c r="DF69" s="391" t="s">
        <v>69</v>
      </c>
      <c r="DG69" s="391" t="s">
        <v>69</v>
      </c>
      <c r="DH69" s="391" t="s">
        <v>69</v>
      </c>
      <c r="DI69" s="391" t="s">
        <v>69</v>
      </c>
      <c r="DJ69" s="391" t="s">
        <v>69</v>
      </c>
      <c r="DK69" s="391" t="s">
        <v>69</v>
      </c>
      <c r="DL69" s="391" t="s">
        <v>69</v>
      </c>
      <c r="DM69" s="391" t="s">
        <v>69</v>
      </c>
      <c r="DN69" s="391" t="s">
        <v>69</v>
      </c>
      <c r="DO69" s="391" t="s">
        <v>69</v>
      </c>
      <c r="DP69" s="391" t="s">
        <v>69</v>
      </c>
      <c r="DQ69" s="391" t="s">
        <v>69</v>
      </c>
      <c r="DR69" s="391" t="s">
        <v>69</v>
      </c>
      <c r="DS69" s="391" t="s">
        <v>69</v>
      </c>
      <c r="DT69" s="391" t="s">
        <v>69</v>
      </c>
      <c r="DU69" s="398">
        <f t="shared" si="4"/>
        <v>1.5873015873015872E-2</v>
      </c>
      <c r="DV69" s="399">
        <f t="shared" si="5"/>
        <v>1</v>
      </c>
    </row>
    <row r="70" spans="1:126" s="230" customFormat="1" ht="120" customHeight="1">
      <c r="A70" s="406" t="s">
        <v>768</v>
      </c>
      <c r="B70" s="407" t="s">
        <v>775</v>
      </c>
      <c r="C70" s="409">
        <v>45782</v>
      </c>
      <c r="D70" s="408" t="s">
        <v>1155</v>
      </c>
      <c r="E70" s="391">
        <v>3</v>
      </c>
      <c r="F70" s="391" t="s">
        <v>69</v>
      </c>
      <c r="G70" s="391">
        <v>3</v>
      </c>
      <c r="H70" s="391">
        <v>3</v>
      </c>
      <c r="I70" s="391" t="s">
        <v>69</v>
      </c>
      <c r="J70" s="391" t="s">
        <v>69</v>
      </c>
      <c r="K70" s="391" t="s">
        <v>69</v>
      </c>
      <c r="L70" s="391" t="s">
        <v>69</v>
      </c>
      <c r="M70" s="391" t="s">
        <v>69</v>
      </c>
      <c r="N70" s="391" t="s">
        <v>69</v>
      </c>
      <c r="O70" s="391" t="s">
        <v>69</v>
      </c>
      <c r="P70" s="391" t="s">
        <v>69</v>
      </c>
      <c r="Q70" s="391" t="s">
        <v>69</v>
      </c>
      <c r="R70" s="391" t="s">
        <v>69</v>
      </c>
      <c r="S70" s="391" t="s">
        <v>69</v>
      </c>
      <c r="T70" s="391" t="s">
        <v>69</v>
      </c>
      <c r="U70" s="391" t="s">
        <v>69</v>
      </c>
      <c r="V70" s="391" t="s">
        <v>69</v>
      </c>
      <c r="W70" s="391" t="s">
        <v>69</v>
      </c>
      <c r="X70" s="391" t="s">
        <v>69</v>
      </c>
      <c r="Y70" s="391" t="s">
        <v>69</v>
      </c>
      <c r="Z70" s="391" t="s">
        <v>69</v>
      </c>
      <c r="AA70" s="391" t="s">
        <v>69</v>
      </c>
      <c r="AB70" s="391" t="s">
        <v>69</v>
      </c>
      <c r="AC70" s="391" t="s">
        <v>69</v>
      </c>
      <c r="AD70" s="391" t="s">
        <v>69</v>
      </c>
      <c r="AE70" s="391" t="s">
        <v>69</v>
      </c>
      <c r="AF70" s="391" t="s">
        <v>69</v>
      </c>
      <c r="AG70" s="391" t="s">
        <v>69</v>
      </c>
      <c r="AH70" s="391" t="s">
        <v>69</v>
      </c>
      <c r="AI70" s="391" t="s">
        <v>69</v>
      </c>
      <c r="AJ70" s="391" t="s">
        <v>69</v>
      </c>
      <c r="AK70" s="391" t="s">
        <v>69</v>
      </c>
      <c r="AL70" s="391" t="s">
        <v>69</v>
      </c>
      <c r="AM70" s="391" t="s">
        <v>69</v>
      </c>
      <c r="AN70" s="391" t="s">
        <v>69</v>
      </c>
      <c r="AO70" s="391" t="s">
        <v>69</v>
      </c>
      <c r="AP70" s="391" t="s">
        <v>69</v>
      </c>
      <c r="AQ70" s="391" t="s">
        <v>69</v>
      </c>
      <c r="AR70" s="391" t="s">
        <v>69</v>
      </c>
      <c r="AS70" s="391" t="s">
        <v>69</v>
      </c>
      <c r="AT70" s="391" t="s">
        <v>69</v>
      </c>
      <c r="AU70" s="391" t="s">
        <v>69</v>
      </c>
      <c r="AV70" s="391" t="s">
        <v>69</v>
      </c>
      <c r="AW70" s="391" t="s">
        <v>69</v>
      </c>
      <c r="AX70" s="391" t="s">
        <v>69</v>
      </c>
      <c r="AY70" s="391" t="s">
        <v>69</v>
      </c>
      <c r="AZ70" s="391" t="s">
        <v>69</v>
      </c>
      <c r="BA70" s="391" t="s">
        <v>69</v>
      </c>
      <c r="BB70" s="391" t="s">
        <v>69</v>
      </c>
      <c r="BC70" s="391" t="s">
        <v>69</v>
      </c>
      <c r="BD70" s="391" t="s">
        <v>69</v>
      </c>
      <c r="BE70" s="391" t="s">
        <v>69</v>
      </c>
      <c r="BF70" s="391" t="s">
        <v>69</v>
      </c>
      <c r="BG70" s="391" t="s">
        <v>69</v>
      </c>
      <c r="BH70" s="391" t="s">
        <v>69</v>
      </c>
      <c r="BI70" s="391" t="s">
        <v>69</v>
      </c>
      <c r="BJ70" s="391" t="s">
        <v>69</v>
      </c>
      <c r="BK70" s="391" t="s">
        <v>69</v>
      </c>
      <c r="BL70" s="391" t="s">
        <v>69</v>
      </c>
      <c r="BM70" s="391" t="s">
        <v>69</v>
      </c>
      <c r="BN70" s="391" t="s">
        <v>69</v>
      </c>
      <c r="BO70" s="391" t="s">
        <v>69</v>
      </c>
      <c r="BP70" s="391" t="s">
        <v>69</v>
      </c>
      <c r="BQ70" s="391" t="s">
        <v>69</v>
      </c>
      <c r="BR70" s="391" t="s">
        <v>69</v>
      </c>
      <c r="BS70" s="391" t="s">
        <v>69</v>
      </c>
      <c r="BT70" s="391" t="s">
        <v>69</v>
      </c>
      <c r="BU70" s="391" t="s">
        <v>69</v>
      </c>
      <c r="BV70" s="391" t="s">
        <v>69</v>
      </c>
      <c r="BW70" s="391" t="s">
        <v>69</v>
      </c>
      <c r="BX70" s="391" t="s">
        <v>69</v>
      </c>
      <c r="BY70" s="391" t="s">
        <v>69</v>
      </c>
      <c r="BZ70" s="391" t="s">
        <v>69</v>
      </c>
      <c r="CA70" s="391" t="s">
        <v>69</v>
      </c>
      <c r="CB70" s="391" t="s">
        <v>69</v>
      </c>
      <c r="CC70" s="391" t="s">
        <v>69</v>
      </c>
      <c r="CD70" s="391" t="s">
        <v>69</v>
      </c>
      <c r="CE70" s="391" t="s">
        <v>69</v>
      </c>
      <c r="CF70" s="391" t="s">
        <v>69</v>
      </c>
      <c r="CG70" s="391" t="s">
        <v>69</v>
      </c>
      <c r="CH70" s="391" t="s">
        <v>69</v>
      </c>
      <c r="CI70" s="391" t="s">
        <v>69</v>
      </c>
      <c r="CJ70" s="391" t="s">
        <v>69</v>
      </c>
      <c r="CK70" s="391" t="s">
        <v>69</v>
      </c>
      <c r="CL70" s="391" t="s">
        <v>69</v>
      </c>
      <c r="CM70" s="391" t="s">
        <v>69</v>
      </c>
      <c r="CN70" s="391" t="s">
        <v>69</v>
      </c>
      <c r="CO70" s="391" t="s">
        <v>69</v>
      </c>
      <c r="CP70" s="391" t="s">
        <v>69</v>
      </c>
      <c r="CQ70" s="391" t="s">
        <v>69</v>
      </c>
      <c r="CR70" s="391" t="s">
        <v>69</v>
      </c>
      <c r="CS70" s="391" t="s">
        <v>69</v>
      </c>
      <c r="CT70" s="391" t="s">
        <v>69</v>
      </c>
      <c r="CU70" s="390" t="s">
        <v>212</v>
      </c>
      <c r="CV70" s="390" t="s">
        <v>212</v>
      </c>
      <c r="CW70" s="391" t="s">
        <v>69</v>
      </c>
      <c r="CX70" s="391" t="s">
        <v>69</v>
      </c>
      <c r="CY70" s="391" t="s">
        <v>69</v>
      </c>
      <c r="CZ70" s="391" t="s">
        <v>69</v>
      </c>
      <c r="DA70" s="391" t="s">
        <v>69</v>
      </c>
      <c r="DB70" s="391" t="s">
        <v>69</v>
      </c>
      <c r="DC70" s="391" t="s">
        <v>69</v>
      </c>
      <c r="DD70" s="391" t="s">
        <v>69</v>
      </c>
      <c r="DE70" s="391" t="s">
        <v>69</v>
      </c>
      <c r="DF70" s="391" t="s">
        <v>69</v>
      </c>
      <c r="DG70" s="391" t="s">
        <v>69</v>
      </c>
      <c r="DH70" s="391" t="s">
        <v>69</v>
      </c>
      <c r="DI70" s="391" t="s">
        <v>69</v>
      </c>
      <c r="DJ70" s="391" t="s">
        <v>69</v>
      </c>
      <c r="DK70" s="391" t="s">
        <v>69</v>
      </c>
      <c r="DL70" s="391" t="s">
        <v>69</v>
      </c>
      <c r="DM70" s="391" t="s">
        <v>69</v>
      </c>
      <c r="DN70" s="391" t="s">
        <v>69</v>
      </c>
      <c r="DO70" s="391" t="s">
        <v>69</v>
      </c>
      <c r="DP70" s="391" t="s">
        <v>69</v>
      </c>
      <c r="DQ70" s="391" t="s">
        <v>69</v>
      </c>
      <c r="DR70" s="391" t="s">
        <v>69</v>
      </c>
      <c r="DS70" s="391">
        <v>3</v>
      </c>
      <c r="DT70" s="391" t="s">
        <v>69</v>
      </c>
      <c r="DU70" s="398">
        <f t="shared" si="4"/>
        <v>6.3492063492063489E-2</v>
      </c>
      <c r="DV70" s="399">
        <f t="shared" si="5"/>
        <v>1</v>
      </c>
    </row>
    <row r="71" spans="1:126" s="230" customFormat="1" ht="120" customHeight="1">
      <c r="A71" s="406" t="s">
        <v>769</v>
      </c>
      <c r="B71" s="407" t="s">
        <v>776</v>
      </c>
      <c r="C71" s="409">
        <v>45782</v>
      </c>
      <c r="D71" s="408" t="s">
        <v>1155</v>
      </c>
      <c r="E71" s="391" t="s">
        <v>69</v>
      </c>
      <c r="F71" s="391" t="s">
        <v>69</v>
      </c>
      <c r="G71" s="391" t="s">
        <v>69</v>
      </c>
      <c r="H71" s="391" t="s">
        <v>69</v>
      </c>
      <c r="I71" s="391" t="s">
        <v>69</v>
      </c>
      <c r="J71" s="391" t="s">
        <v>69</v>
      </c>
      <c r="K71" s="391" t="s">
        <v>69</v>
      </c>
      <c r="L71" s="391" t="s">
        <v>69</v>
      </c>
      <c r="M71" s="391" t="s">
        <v>69</v>
      </c>
      <c r="N71" s="391" t="s">
        <v>69</v>
      </c>
      <c r="O71" s="391" t="s">
        <v>69</v>
      </c>
      <c r="P71" s="391" t="s">
        <v>69</v>
      </c>
      <c r="Q71" s="391" t="s">
        <v>69</v>
      </c>
      <c r="R71" s="391" t="s">
        <v>69</v>
      </c>
      <c r="S71" s="391" t="s">
        <v>69</v>
      </c>
      <c r="T71" s="391" t="s">
        <v>69</v>
      </c>
      <c r="U71" s="391" t="s">
        <v>69</v>
      </c>
      <c r="V71" s="391" t="s">
        <v>69</v>
      </c>
      <c r="W71" s="391" t="s">
        <v>69</v>
      </c>
      <c r="X71" s="391" t="s">
        <v>69</v>
      </c>
      <c r="Y71" s="391" t="s">
        <v>69</v>
      </c>
      <c r="Z71" s="391" t="s">
        <v>69</v>
      </c>
      <c r="AA71" s="391" t="s">
        <v>69</v>
      </c>
      <c r="AB71" s="391" t="s">
        <v>69</v>
      </c>
      <c r="AC71" s="391" t="s">
        <v>69</v>
      </c>
      <c r="AD71" s="391" t="s">
        <v>69</v>
      </c>
      <c r="AE71" s="391" t="s">
        <v>69</v>
      </c>
      <c r="AF71" s="391" t="s">
        <v>69</v>
      </c>
      <c r="AG71" s="391" t="s">
        <v>69</v>
      </c>
      <c r="AH71" s="391" t="s">
        <v>69</v>
      </c>
      <c r="AI71" s="391" t="s">
        <v>69</v>
      </c>
      <c r="AJ71" s="391" t="s">
        <v>69</v>
      </c>
      <c r="AK71" s="391" t="s">
        <v>69</v>
      </c>
      <c r="AL71" s="391" t="s">
        <v>69</v>
      </c>
      <c r="AM71" s="391" t="s">
        <v>69</v>
      </c>
      <c r="AN71" s="391" t="s">
        <v>69</v>
      </c>
      <c r="AO71" s="391" t="s">
        <v>69</v>
      </c>
      <c r="AP71" s="391" t="s">
        <v>69</v>
      </c>
      <c r="AQ71" s="391" t="s">
        <v>69</v>
      </c>
      <c r="AR71" s="391" t="s">
        <v>69</v>
      </c>
      <c r="AS71" s="391" t="s">
        <v>69</v>
      </c>
      <c r="AT71" s="391" t="s">
        <v>69</v>
      </c>
      <c r="AU71" s="391" t="s">
        <v>69</v>
      </c>
      <c r="AV71" s="391" t="s">
        <v>69</v>
      </c>
      <c r="AW71" s="391" t="s">
        <v>69</v>
      </c>
      <c r="AX71" s="391" t="s">
        <v>69</v>
      </c>
      <c r="AY71" s="391" t="s">
        <v>69</v>
      </c>
      <c r="AZ71" s="391" t="s">
        <v>69</v>
      </c>
      <c r="BA71" s="391" t="s">
        <v>69</v>
      </c>
      <c r="BB71" s="391" t="s">
        <v>69</v>
      </c>
      <c r="BC71" s="391" t="s">
        <v>69</v>
      </c>
      <c r="BD71" s="391" t="s">
        <v>69</v>
      </c>
      <c r="BE71" s="391" t="s">
        <v>69</v>
      </c>
      <c r="BF71" s="391" t="s">
        <v>69</v>
      </c>
      <c r="BG71" s="391" t="s">
        <v>69</v>
      </c>
      <c r="BH71" s="391" t="s">
        <v>69</v>
      </c>
      <c r="BI71" s="391" t="s">
        <v>69</v>
      </c>
      <c r="BJ71" s="391" t="s">
        <v>69</v>
      </c>
      <c r="BK71" s="391" t="s">
        <v>69</v>
      </c>
      <c r="BL71" s="391" t="s">
        <v>69</v>
      </c>
      <c r="BM71" s="391" t="s">
        <v>69</v>
      </c>
      <c r="BN71" s="391" t="s">
        <v>69</v>
      </c>
      <c r="BO71" s="391" t="s">
        <v>69</v>
      </c>
      <c r="BP71" s="391" t="s">
        <v>69</v>
      </c>
      <c r="BQ71" s="391" t="s">
        <v>69</v>
      </c>
      <c r="BR71" s="391" t="s">
        <v>69</v>
      </c>
      <c r="BS71" s="391" t="s">
        <v>69</v>
      </c>
      <c r="BT71" s="391" t="s">
        <v>69</v>
      </c>
      <c r="BU71" s="391" t="s">
        <v>69</v>
      </c>
      <c r="BV71" s="391" t="s">
        <v>69</v>
      </c>
      <c r="BW71" s="391" t="s">
        <v>69</v>
      </c>
      <c r="BX71" s="391" t="s">
        <v>69</v>
      </c>
      <c r="BY71" s="391" t="s">
        <v>69</v>
      </c>
      <c r="BZ71" s="391" t="s">
        <v>69</v>
      </c>
      <c r="CA71" s="391" t="s">
        <v>69</v>
      </c>
      <c r="CB71" s="391" t="s">
        <v>69</v>
      </c>
      <c r="CC71" s="391" t="s">
        <v>69</v>
      </c>
      <c r="CD71" s="391" t="s">
        <v>69</v>
      </c>
      <c r="CE71" s="391" t="s">
        <v>69</v>
      </c>
      <c r="CF71" s="391" t="s">
        <v>69</v>
      </c>
      <c r="CG71" s="391" t="s">
        <v>69</v>
      </c>
      <c r="CH71" s="391" t="s">
        <v>69</v>
      </c>
      <c r="CI71" s="391" t="s">
        <v>69</v>
      </c>
      <c r="CJ71" s="391">
        <v>4</v>
      </c>
      <c r="CK71" s="391">
        <v>4</v>
      </c>
      <c r="CL71" s="391">
        <v>4</v>
      </c>
      <c r="CM71" s="391">
        <v>4</v>
      </c>
      <c r="CN71" s="391">
        <v>4</v>
      </c>
      <c r="CO71" s="391" t="s">
        <v>69</v>
      </c>
      <c r="CP71" s="391" t="s">
        <v>69</v>
      </c>
      <c r="CQ71" s="391" t="s">
        <v>69</v>
      </c>
      <c r="CR71" s="391" t="s">
        <v>69</v>
      </c>
      <c r="CS71" s="391" t="s">
        <v>69</v>
      </c>
      <c r="CT71" s="391" t="s">
        <v>69</v>
      </c>
      <c r="CU71" s="390" t="s">
        <v>212</v>
      </c>
      <c r="CV71" s="390" t="s">
        <v>212</v>
      </c>
      <c r="CW71" s="391" t="s">
        <v>69</v>
      </c>
      <c r="CX71" s="391" t="s">
        <v>69</v>
      </c>
      <c r="CY71" s="391" t="s">
        <v>69</v>
      </c>
      <c r="CZ71" s="391" t="s">
        <v>69</v>
      </c>
      <c r="DA71" s="391" t="s">
        <v>69</v>
      </c>
      <c r="DB71" s="391" t="s">
        <v>69</v>
      </c>
      <c r="DC71" s="391" t="s">
        <v>69</v>
      </c>
      <c r="DD71" s="391" t="s">
        <v>69</v>
      </c>
      <c r="DE71" s="391" t="s">
        <v>69</v>
      </c>
      <c r="DF71" s="391" t="s">
        <v>69</v>
      </c>
      <c r="DG71" s="391" t="s">
        <v>69</v>
      </c>
      <c r="DH71" s="391" t="s">
        <v>69</v>
      </c>
      <c r="DI71" s="391" t="s">
        <v>69</v>
      </c>
      <c r="DJ71" s="391" t="s">
        <v>69</v>
      </c>
      <c r="DK71" s="391">
        <v>3</v>
      </c>
      <c r="DL71" s="391" t="s">
        <v>69</v>
      </c>
      <c r="DM71" s="391" t="s">
        <v>69</v>
      </c>
      <c r="DN71" s="391" t="s">
        <v>69</v>
      </c>
      <c r="DO71" s="391" t="s">
        <v>69</v>
      </c>
      <c r="DP71" s="391" t="s">
        <v>69</v>
      </c>
      <c r="DQ71" s="391" t="s">
        <v>69</v>
      </c>
      <c r="DR71" s="391" t="s">
        <v>69</v>
      </c>
      <c r="DS71" s="391" t="s">
        <v>69</v>
      </c>
      <c r="DT71" s="391" t="s">
        <v>69</v>
      </c>
      <c r="DU71" s="398">
        <f t="shared" si="4"/>
        <v>9.5238095238095233E-2</v>
      </c>
      <c r="DV71" s="399">
        <f t="shared" si="5"/>
        <v>1</v>
      </c>
    </row>
    <row r="72" spans="1:126" s="230" customFormat="1" ht="120" customHeight="1">
      <c r="A72" s="406" t="s">
        <v>766</v>
      </c>
      <c r="B72" s="407" t="s">
        <v>773</v>
      </c>
      <c r="C72" s="409">
        <v>45782</v>
      </c>
      <c r="D72" s="408" t="s">
        <v>1155</v>
      </c>
      <c r="E72" s="391" t="s">
        <v>69</v>
      </c>
      <c r="F72" s="391" t="s">
        <v>69</v>
      </c>
      <c r="G72" s="391" t="s">
        <v>69</v>
      </c>
      <c r="H72" s="391" t="s">
        <v>69</v>
      </c>
      <c r="I72" s="391" t="s">
        <v>69</v>
      </c>
      <c r="J72" s="391" t="s">
        <v>69</v>
      </c>
      <c r="K72" s="391" t="s">
        <v>69</v>
      </c>
      <c r="L72" s="391">
        <v>4</v>
      </c>
      <c r="M72" s="391">
        <v>3</v>
      </c>
      <c r="N72" s="391" t="s">
        <v>69</v>
      </c>
      <c r="O72" s="391" t="s">
        <v>69</v>
      </c>
      <c r="P72" s="391" t="s">
        <v>69</v>
      </c>
      <c r="Q72" s="391" t="s">
        <v>69</v>
      </c>
      <c r="R72" s="391" t="s">
        <v>69</v>
      </c>
      <c r="S72" s="391" t="s">
        <v>69</v>
      </c>
      <c r="T72" s="391" t="s">
        <v>69</v>
      </c>
      <c r="U72" s="391" t="s">
        <v>69</v>
      </c>
      <c r="V72" s="391" t="s">
        <v>69</v>
      </c>
      <c r="W72" s="391" t="s">
        <v>69</v>
      </c>
      <c r="X72" s="391" t="s">
        <v>69</v>
      </c>
      <c r="Y72" s="391" t="s">
        <v>69</v>
      </c>
      <c r="Z72" s="391" t="s">
        <v>69</v>
      </c>
      <c r="AA72" s="391" t="s">
        <v>69</v>
      </c>
      <c r="AB72" s="391" t="s">
        <v>69</v>
      </c>
      <c r="AC72" s="391" t="s">
        <v>69</v>
      </c>
      <c r="AD72" s="391" t="s">
        <v>69</v>
      </c>
      <c r="AE72" s="391">
        <v>3</v>
      </c>
      <c r="AF72" s="391" t="s">
        <v>69</v>
      </c>
      <c r="AG72" s="391">
        <v>3</v>
      </c>
      <c r="AH72" s="391" t="s">
        <v>69</v>
      </c>
      <c r="AI72" s="391" t="s">
        <v>69</v>
      </c>
      <c r="AJ72" s="391" t="s">
        <v>69</v>
      </c>
      <c r="AK72" s="391" t="s">
        <v>69</v>
      </c>
      <c r="AL72" s="391" t="s">
        <v>69</v>
      </c>
      <c r="AM72" s="391" t="s">
        <v>69</v>
      </c>
      <c r="AN72" s="391" t="s">
        <v>69</v>
      </c>
      <c r="AO72" s="391" t="s">
        <v>69</v>
      </c>
      <c r="AP72" s="391" t="s">
        <v>69</v>
      </c>
      <c r="AQ72" s="391" t="s">
        <v>69</v>
      </c>
      <c r="AR72" s="391" t="s">
        <v>69</v>
      </c>
      <c r="AS72" s="391" t="s">
        <v>69</v>
      </c>
      <c r="AT72" s="391" t="s">
        <v>69</v>
      </c>
      <c r="AU72" s="391" t="s">
        <v>69</v>
      </c>
      <c r="AV72" s="391" t="s">
        <v>69</v>
      </c>
      <c r="AW72" s="391" t="s">
        <v>69</v>
      </c>
      <c r="AX72" s="391" t="s">
        <v>69</v>
      </c>
      <c r="AY72" s="391" t="s">
        <v>69</v>
      </c>
      <c r="AZ72" s="391" t="s">
        <v>69</v>
      </c>
      <c r="BA72" s="391" t="s">
        <v>69</v>
      </c>
      <c r="BB72" s="391" t="s">
        <v>69</v>
      </c>
      <c r="BC72" s="391" t="s">
        <v>69</v>
      </c>
      <c r="BD72" s="391" t="s">
        <v>69</v>
      </c>
      <c r="BE72" s="391" t="s">
        <v>69</v>
      </c>
      <c r="BF72" s="391" t="s">
        <v>69</v>
      </c>
      <c r="BG72" s="391" t="s">
        <v>69</v>
      </c>
      <c r="BH72" s="391" t="s">
        <v>69</v>
      </c>
      <c r="BI72" s="391" t="s">
        <v>69</v>
      </c>
      <c r="BJ72" s="391" t="s">
        <v>69</v>
      </c>
      <c r="BK72" s="391" t="s">
        <v>69</v>
      </c>
      <c r="BL72" s="391" t="s">
        <v>69</v>
      </c>
      <c r="BM72" s="391">
        <v>3</v>
      </c>
      <c r="BN72" s="391" t="s">
        <v>69</v>
      </c>
      <c r="BO72" s="391" t="s">
        <v>69</v>
      </c>
      <c r="BP72" s="391" t="s">
        <v>69</v>
      </c>
      <c r="BQ72" s="391" t="s">
        <v>69</v>
      </c>
      <c r="BR72" s="391" t="s">
        <v>69</v>
      </c>
      <c r="BS72" s="391">
        <v>3</v>
      </c>
      <c r="BT72" s="391" t="s">
        <v>69</v>
      </c>
      <c r="BU72" s="391" t="s">
        <v>69</v>
      </c>
      <c r="BV72" s="391" t="s">
        <v>69</v>
      </c>
      <c r="BW72" s="391" t="s">
        <v>69</v>
      </c>
      <c r="BX72" s="391" t="s">
        <v>69</v>
      </c>
      <c r="BY72" s="391" t="s">
        <v>69</v>
      </c>
      <c r="BZ72" s="391" t="s">
        <v>69</v>
      </c>
      <c r="CA72" s="391" t="s">
        <v>69</v>
      </c>
      <c r="CB72" s="391" t="s">
        <v>69</v>
      </c>
      <c r="CC72" s="391" t="s">
        <v>69</v>
      </c>
      <c r="CD72" s="391" t="s">
        <v>69</v>
      </c>
      <c r="CE72" s="391" t="s">
        <v>69</v>
      </c>
      <c r="CF72" s="391" t="s">
        <v>69</v>
      </c>
      <c r="CG72" s="391" t="s">
        <v>69</v>
      </c>
      <c r="CH72" s="391" t="s">
        <v>69</v>
      </c>
      <c r="CI72" s="391" t="s">
        <v>69</v>
      </c>
      <c r="CJ72" s="391" t="s">
        <v>69</v>
      </c>
      <c r="CK72" s="391" t="s">
        <v>69</v>
      </c>
      <c r="CL72" s="391" t="s">
        <v>69</v>
      </c>
      <c r="CM72" s="391" t="s">
        <v>69</v>
      </c>
      <c r="CN72" s="391" t="s">
        <v>69</v>
      </c>
      <c r="CO72" s="391" t="s">
        <v>69</v>
      </c>
      <c r="CP72" s="391" t="s">
        <v>69</v>
      </c>
      <c r="CQ72" s="391" t="s">
        <v>69</v>
      </c>
      <c r="CR72" s="391" t="s">
        <v>69</v>
      </c>
      <c r="CS72" s="391" t="s">
        <v>69</v>
      </c>
      <c r="CT72" s="391" t="s">
        <v>69</v>
      </c>
      <c r="CU72" s="390" t="s">
        <v>212</v>
      </c>
      <c r="CV72" s="390" t="s">
        <v>212</v>
      </c>
      <c r="CW72" s="391" t="s">
        <v>69</v>
      </c>
      <c r="CX72" s="391" t="s">
        <v>69</v>
      </c>
      <c r="CY72" s="391">
        <v>3</v>
      </c>
      <c r="CZ72" s="391" t="s">
        <v>69</v>
      </c>
      <c r="DA72" s="391" t="s">
        <v>69</v>
      </c>
      <c r="DB72" s="391" t="s">
        <v>69</v>
      </c>
      <c r="DC72" s="391" t="s">
        <v>69</v>
      </c>
      <c r="DD72" s="391">
        <v>3</v>
      </c>
      <c r="DE72" s="391" t="s">
        <v>69</v>
      </c>
      <c r="DF72" s="391" t="s">
        <v>69</v>
      </c>
      <c r="DG72" s="391" t="s">
        <v>69</v>
      </c>
      <c r="DH72" s="391" t="s">
        <v>69</v>
      </c>
      <c r="DI72" s="391" t="s">
        <v>69</v>
      </c>
      <c r="DJ72" s="391" t="s">
        <v>69</v>
      </c>
      <c r="DK72" s="391" t="s">
        <v>69</v>
      </c>
      <c r="DL72" s="391" t="s">
        <v>69</v>
      </c>
      <c r="DM72" s="391" t="s">
        <v>69</v>
      </c>
      <c r="DN72" s="391" t="s">
        <v>69</v>
      </c>
      <c r="DO72" s="391" t="s">
        <v>69</v>
      </c>
      <c r="DP72" s="391" t="s">
        <v>69</v>
      </c>
      <c r="DQ72" s="391" t="s">
        <v>69</v>
      </c>
      <c r="DR72" s="391" t="s">
        <v>69</v>
      </c>
      <c r="DS72" s="391" t="s">
        <v>69</v>
      </c>
      <c r="DT72" s="391" t="s">
        <v>69</v>
      </c>
      <c r="DU72" s="398">
        <f t="shared" si="4"/>
        <v>0.12698412698412698</v>
      </c>
      <c r="DV72" s="399">
        <f t="shared" si="5"/>
        <v>1</v>
      </c>
    </row>
    <row r="73" spans="1:126" s="230" customFormat="1" ht="120" customHeight="1">
      <c r="A73" s="406" t="s">
        <v>770</v>
      </c>
      <c r="B73" s="407" t="s">
        <v>777</v>
      </c>
      <c r="C73" s="409">
        <v>45782</v>
      </c>
      <c r="D73" s="408" t="s">
        <v>1155</v>
      </c>
      <c r="E73" s="391">
        <v>4</v>
      </c>
      <c r="F73" s="391" t="s">
        <v>69</v>
      </c>
      <c r="G73" s="391">
        <v>4</v>
      </c>
      <c r="H73" s="391" t="s">
        <v>69</v>
      </c>
      <c r="I73" s="391" t="s">
        <v>69</v>
      </c>
      <c r="J73" s="391" t="s">
        <v>69</v>
      </c>
      <c r="K73" s="391" t="s">
        <v>69</v>
      </c>
      <c r="L73" s="391" t="s">
        <v>69</v>
      </c>
      <c r="M73" s="391" t="s">
        <v>69</v>
      </c>
      <c r="N73" s="391">
        <v>4</v>
      </c>
      <c r="O73" s="391" t="s">
        <v>69</v>
      </c>
      <c r="P73" s="391" t="s">
        <v>69</v>
      </c>
      <c r="Q73" s="391" t="s">
        <v>69</v>
      </c>
      <c r="R73" s="391" t="s">
        <v>69</v>
      </c>
      <c r="S73" s="391" t="s">
        <v>69</v>
      </c>
      <c r="T73" s="391" t="s">
        <v>69</v>
      </c>
      <c r="U73" s="391" t="s">
        <v>69</v>
      </c>
      <c r="V73" s="391" t="s">
        <v>69</v>
      </c>
      <c r="W73" s="391" t="s">
        <v>69</v>
      </c>
      <c r="X73" s="391" t="s">
        <v>69</v>
      </c>
      <c r="Y73" s="391" t="s">
        <v>69</v>
      </c>
      <c r="Z73" s="391" t="s">
        <v>69</v>
      </c>
      <c r="AA73" s="391" t="s">
        <v>69</v>
      </c>
      <c r="AB73" s="391" t="s">
        <v>69</v>
      </c>
      <c r="AC73" s="391" t="s">
        <v>69</v>
      </c>
      <c r="AD73" s="391" t="s">
        <v>69</v>
      </c>
      <c r="AE73" s="391" t="s">
        <v>69</v>
      </c>
      <c r="AF73" s="391" t="s">
        <v>69</v>
      </c>
      <c r="AG73" s="391" t="s">
        <v>69</v>
      </c>
      <c r="AH73" s="391" t="s">
        <v>69</v>
      </c>
      <c r="AI73" s="391" t="s">
        <v>69</v>
      </c>
      <c r="AJ73" s="391" t="s">
        <v>69</v>
      </c>
      <c r="AK73" s="391" t="s">
        <v>69</v>
      </c>
      <c r="AL73" s="391" t="s">
        <v>69</v>
      </c>
      <c r="AM73" s="391" t="s">
        <v>69</v>
      </c>
      <c r="AN73" s="391" t="s">
        <v>69</v>
      </c>
      <c r="AO73" s="391" t="s">
        <v>69</v>
      </c>
      <c r="AP73" s="391" t="s">
        <v>69</v>
      </c>
      <c r="AQ73" s="391">
        <v>4</v>
      </c>
      <c r="AR73" s="391" t="s">
        <v>69</v>
      </c>
      <c r="AS73" s="391" t="s">
        <v>69</v>
      </c>
      <c r="AT73" s="391" t="s">
        <v>69</v>
      </c>
      <c r="AU73" s="391" t="s">
        <v>69</v>
      </c>
      <c r="AV73" s="391" t="s">
        <v>69</v>
      </c>
      <c r="AW73" s="391">
        <v>4</v>
      </c>
      <c r="AX73" s="391" t="s">
        <v>69</v>
      </c>
      <c r="AY73" s="391" t="s">
        <v>69</v>
      </c>
      <c r="AZ73" s="391" t="s">
        <v>69</v>
      </c>
      <c r="BA73" s="391" t="s">
        <v>69</v>
      </c>
      <c r="BB73" s="391" t="s">
        <v>69</v>
      </c>
      <c r="BC73" s="391">
        <v>4</v>
      </c>
      <c r="BD73" s="391" t="s">
        <v>69</v>
      </c>
      <c r="BE73" s="391" t="s">
        <v>69</v>
      </c>
      <c r="BF73" s="391" t="s">
        <v>69</v>
      </c>
      <c r="BG73" s="391" t="s">
        <v>69</v>
      </c>
      <c r="BH73" s="391" t="s">
        <v>69</v>
      </c>
      <c r="BI73" s="391" t="s">
        <v>69</v>
      </c>
      <c r="BJ73" s="391" t="s">
        <v>69</v>
      </c>
      <c r="BK73" s="391" t="s">
        <v>69</v>
      </c>
      <c r="BL73" s="391" t="s">
        <v>69</v>
      </c>
      <c r="BM73" s="391" t="s">
        <v>69</v>
      </c>
      <c r="BN73" s="391">
        <v>2</v>
      </c>
      <c r="BO73" s="391" t="s">
        <v>69</v>
      </c>
      <c r="BP73" s="391" t="s">
        <v>69</v>
      </c>
      <c r="BQ73" s="391" t="s">
        <v>69</v>
      </c>
      <c r="BR73" s="391" t="s">
        <v>69</v>
      </c>
      <c r="BS73" s="391" t="s">
        <v>69</v>
      </c>
      <c r="BT73" s="391" t="s">
        <v>69</v>
      </c>
      <c r="BU73" s="391" t="s">
        <v>69</v>
      </c>
      <c r="BV73" s="391" t="s">
        <v>69</v>
      </c>
      <c r="BW73" s="391" t="s">
        <v>69</v>
      </c>
      <c r="BX73" s="391" t="s">
        <v>69</v>
      </c>
      <c r="BY73" s="391" t="s">
        <v>69</v>
      </c>
      <c r="BZ73" s="391" t="s">
        <v>69</v>
      </c>
      <c r="CA73" s="391" t="s">
        <v>69</v>
      </c>
      <c r="CB73" s="391" t="s">
        <v>69</v>
      </c>
      <c r="CC73" s="391" t="s">
        <v>69</v>
      </c>
      <c r="CD73" s="391" t="s">
        <v>69</v>
      </c>
      <c r="CE73" s="391" t="s">
        <v>69</v>
      </c>
      <c r="CF73" s="391" t="s">
        <v>69</v>
      </c>
      <c r="CG73" s="391" t="s">
        <v>69</v>
      </c>
      <c r="CH73" s="391" t="s">
        <v>69</v>
      </c>
      <c r="CI73" s="391" t="s">
        <v>69</v>
      </c>
      <c r="CJ73" s="391">
        <v>3</v>
      </c>
      <c r="CK73" s="391">
        <v>4</v>
      </c>
      <c r="CL73" s="391">
        <v>4</v>
      </c>
      <c r="CM73" s="391">
        <v>4</v>
      </c>
      <c r="CN73" s="391">
        <v>4</v>
      </c>
      <c r="CO73" s="391" t="s">
        <v>69</v>
      </c>
      <c r="CP73" s="391" t="s">
        <v>69</v>
      </c>
      <c r="CQ73" s="391" t="s">
        <v>69</v>
      </c>
      <c r="CR73" s="391" t="s">
        <v>69</v>
      </c>
      <c r="CS73" s="391" t="s">
        <v>69</v>
      </c>
      <c r="CT73" s="391" t="s">
        <v>69</v>
      </c>
      <c r="CU73" s="390" t="s">
        <v>212</v>
      </c>
      <c r="CV73" s="390" t="s">
        <v>212</v>
      </c>
      <c r="CW73" s="391" t="s">
        <v>69</v>
      </c>
      <c r="CX73" s="391" t="s">
        <v>69</v>
      </c>
      <c r="CY73" s="391" t="s">
        <v>69</v>
      </c>
      <c r="CZ73" s="391" t="s">
        <v>69</v>
      </c>
      <c r="DA73" s="391" t="s">
        <v>69</v>
      </c>
      <c r="DB73" s="391" t="s">
        <v>69</v>
      </c>
      <c r="DC73" s="391" t="s">
        <v>69</v>
      </c>
      <c r="DD73" s="391" t="s">
        <v>69</v>
      </c>
      <c r="DE73" s="391" t="s">
        <v>69</v>
      </c>
      <c r="DF73" s="391" t="s">
        <v>69</v>
      </c>
      <c r="DG73" s="391" t="s">
        <v>69</v>
      </c>
      <c r="DH73" s="391" t="s">
        <v>69</v>
      </c>
      <c r="DI73" s="391" t="s">
        <v>69</v>
      </c>
      <c r="DJ73" s="391" t="s">
        <v>69</v>
      </c>
      <c r="DK73" s="391" t="s">
        <v>69</v>
      </c>
      <c r="DL73" s="391" t="s">
        <v>69</v>
      </c>
      <c r="DM73" s="391" t="s">
        <v>69</v>
      </c>
      <c r="DN73" s="391" t="s">
        <v>69</v>
      </c>
      <c r="DO73" s="391" t="s">
        <v>69</v>
      </c>
      <c r="DP73" s="391" t="s">
        <v>69</v>
      </c>
      <c r="DQ73" s="391" t="s">
        <v>69</v>
      </c>
      <c r="DR73" s="391" t="s">
        <v>69</v>
      </c>
      <c r="DS73" s="391" t="s">
        <v>69</v>
      </c>
      <c r="DT73" s="391" t="s">
        <v>69</v>
      </c>
      <c r="DU73" s="398">
        <f t="shared" si="4"/>
        <v>0.19047619047619047</v>
      </c>
      <c r="DV73" s="399">
        <f t="shared" si="5"/>
        <v>0.91666666666666663</v>
      </c>
    </row>
    <row r="74" spans="1:126" s="230" customFormat="1" ht="120" customHeight="1">
      <c r="A74" s="406" t="s">
        <v>790</v>
      </c>
      <c r="B74" s="407" t="s">
        <v>791</v>
      </c>
      <c r="C74" s="409">
        <v>45946</v>
      </c>
      <c r="D74" s="408" t="s">
        <v>1155</v>
      </c>
      <c r="E74" s="391" t="s">
        <v>69</v>
      </c>
      <c r="F74" s="391" t="s">
        <v>69</v>
      </c>
      <c r="G74" s="391" t="s">
        <v>69</v>
      </c>
      <c r="H74" s="391" t="s">
        <v>69</v>
      </c>
      <c r="I74" s="391" t="s">
        <v>69</v>
      </c>
      <c r="J74" s="391" t="s">
        <v>69</v>
      </c>
      <c r="K74" s="391" t="s">
        <v>69</v>
      </c>
      <c r="L74" s="391" t="s">
        <v>69</v>
      </c>
      <c r="M74" s="391" t="s">
        <v>69</v>
      </c>
      <c r="N74" s="391" t="s">
        <v>69</v>
      </c>
      <c r="O74" s="391" t="s">
        <v>69</v>
      </c>
      <c r="P74" s="391" t="s">
        <v>69</v>
      </c>
      <c r="Q74" s="391" t="s">
        <v>69</v>
      </c>
      <c r="R74" s="391" t="s">
        <v>69</v>
      </c>
      <c r="S74" s="391" t="s">
        <v>69</v>
      </c>
      <c r="T74" s="391" t="s">
        <v>69</v>
      </c>
      <c r="U74" s="391" t="s">
        <v>69</v>
      </c>
      <c r="V74" s="391" t="s">
        <v>69</v>
      </c>
      <c r="W74" s="391" t="s">
        <v>69</v>
      </c>
      <c r="X74" s="391" t="s">
        <v>69</v>
      </c>
      <c r="Y74" s="391" t="s">
        <v>69</v>
      </c>
      <c r="Z74" s="391" t="s">
        <v>69</v>
      </c>
      <c r="AA74" s="391" t="s">
        <v>69</v>
      </c>
      <c r="AB74" s="391" t="s">
        <v>69</v>
      </c>
      <c r="AC74" s="391" t="s">
        <v>69</v>
      </c>
      <c r="AD74" s="391" t="s">
        <v>69</v>
      </c>
      <c r="AE74" s="391">
        <v>3</v>
      </c>
      <c r="AF74" s="391" t="s">
        <v>69</v>
      </c>
      <c r="AG74" s="391" t="s">
        <v>69</v>
      </c>
      <c r="AH74" s="391" t="s">
        <v>69</v>
      </c>
      <c r="AI74" s="391" t="s">
        <v>69</v>
      </c>
      <c r="AJ74" s="391" t="s">
        <v>69</v>
      </c>
      <c r="AK74" s="391" t="s">
        <v>69</v>
      </c>
      <c r="AL74" s="391" t="s">
        <v>69</v>
      </c>
      <c r="AM74" s="391">
        <v>3</v>
      </c>
      <c r="AN74" s="391" t="s">
        <v>69</v>
      </c>
      <c r="AO74" s="391" t="s">
        <v>69</v>
      </c>
      <c r="AP74" s="391" t="s">
        <v>69</v>
      </c>
      <c r="AQ74" s="391" t="s">
        <v>69</v>
      </c>
      <c r="AR74" s="391" t="s">
        <v>69</v>
      </c>
      <c r="AS74" s="391" t="s">
        <v>69</v>
      </c>
      <c r="AT74" s="391" t="s">
        <v>69</v>
      </c>
      <c r="AU74" s="391" t="s">
        <v>69</v>
      </c>
      <c r="AV74" s="391" t="s">
        <v>69</v>
      </c>
      <c r="AW74" s="391" t="s">
        <v>69</v>
      </c>
      <c r="AX74" s="391" t="s">
        <v>69</v>
      </c>
      <c r="AY74" s="391" t="s">
        <v>69</v>
      </c>
      <c r="AZ74" s="391" t="s">
        <v>69</v>
      </c>
      <c r="BA74" s="391" t="s">
        <v>69</v>
      </c>
      <c r="BB74" s="391" t="s">
        <v>69</v>
      </c>
      <c r="BC74" s="391" t="s">
        <v>69</v>
      </c>
      <c r="BD74" s="391" t="s">
        <v>69</v>
      </c>
      <c r="BE74" s="391" t="s">
        <v>69</v>
      </c>
      <c r="BF74" s="391" t="s">
        <v>69</v>
      </c>
      <c r="BG74" s="391" t="s">
        <v>69</v>
      </c>
      <c r="BH74" s="391" t="s">
        <v>69</v>
      </c>
      <c r="BI74" s="391" t="s">
        <v>69</v>
      </c>
      <c r="BJ74" s="391" t="s">
        <v>69</v>
      </c>
      <c r="BK74" s="391" t="s">
        <v>69</v>
      </c>
      <c r="BL74" s="391" t="s">
        <v>69</v>
      </c>
      <c r="BM74" s="391" t="s">
        <v>69</v>
      </c>
      <c r="BN74" s="391" t="s">
        <v>69</v>
      </c>
      <c r="BO74" s="391" t="s">
        <v>69</v>
      </c>
      <c r="BP74" s="391" t="s">
        <v>69</v>
      </c>
      <c r="BQ74" s="391" t="s">
        <v>69</v>
      </c>
      <c r="BR74" s="391" t="s">
        <v>69</v>
      </c>
      <c r="BS74" s="391" t="s">
        <v>69</v>
      </c>
      <c r="BT74" s="391" t="s">
        <v>69</v>
      </c>
      <c r="BU74" s="391" t="s">
        <v>69</v>
      </c>
      <c r="BV74" s="391">
        <v>3</v>
      </c>
      <c r="BW74" s="391" t="s">
        <v>69</v>
      </c>
      <c r="BX74" s="391" t="s">
        <v>69</v>
      </c>
      <c r="BY74" s="391" t="s">
        <v>69</v>
      </c>
      <c r="BZ74" s="391" t="s">
        <v>69</v>
      </c>
      <c r="CA74" s="391" t="s">
        <v>69</v>
      </c>
      <c r="CB74" s="391" t="s">
        <v>69</v>
      </c>
      <c r="CC74" s="391" t="s">
        <v>69</v>
      </c>
      <c r="CD74" s="391" t="s">
        <v>69</v>
      </c>
      <c r="CE74" s="391" t="s">
        <v>69</v>
      </c>
      <c r="CF74" s="391" t="s">
        <v>69</v>
      </c>
      <c r="CG74" s="391" t="s">
        <v>69</v>
      </c>
      <c r="CH74" s="391" t="s">
        <v>69</v>
      </c>
      <c r="CI74" s="391" t="s">
        <v>69</v>
      </c>
      <c r="CJ74" s="391" t="s">
        <v>69</v>
      </c>
      <c r="CK74" s="391" t="s">
        <v>69</v>
      </c>
      <c r="CL74" s="391" t="s">
        <v>69</v>
      </c>
      <c r="CM74" s="391" t="s">
        <v>69</v>
      </c>
      <c r="CN74" s="391" t="s">
        <v>69</v>
      </c>
      <c r="CO74" s="391" t="s">
        <v>69</v>
      </c>
      <c r="CP74" s="391" t="s">
        <v>69</v>
      </c>
      <c r="CQ74" s="391" t="s">
        <v>69</v>
      </c>
      <c r="CR74" s="391" t="s">
        <v>69</v>
      </c>
      <c r="CS74" s="391">
        <v>3</v>
      </c>
      <c r="CT74" s="391" t="s">
        <v>69</v>
      </c>
      <c r="CU74" s="390">
        <v>2</v>
      </c>
      <c r="CV74" s="390" t="s">
        <v>212</v>
      </c>
      <c r="CW74" s="391" t="s">
        <v>69</v>
      </c>
      <c r="CX74" s="391" t="s">
        <v>69</v>
      </c>
      <c r="CY74" s="391" t="s">
        <v>69</v>
      </c>
      <c r="CZ74" s="391" t="s">
        <v>69</v>
      </c>
      <c r="DA74" s="391" t="s">
        <v>69</v>
      </c>
      <c r="DB74" s="391" t="s">
        <v>69</v>
      </c>
      <c r="DC74" s="391" t="s">
        <v>69</v>
      </c>
      <c r="DD74" s="391" t="s">
        <v>69</v>
      </c>
      <c r="DE74" s="391" t="s">
        <v>69</v>
      </c>
      <c r="DF74" s="391" t="s">
        <v>69</v>
      </c>
      <c r="DG74" s="391" t="s">
        <v>69</v>
      </c>
      <c r="DH74" s="391" t="s">
        <v>69</v>
      </c>
      <c r="DI74" s="391">
        <v>3</v>
      </c>
      <c r="DJ74" s="391" t="s">
        <v>69</v>
      </c>
      <c r="DK74" s="391" t="s">
        <v>69</v>
      </c>
      <c r="DL74" s="391" t="s">
        <v>69</v>
      </c>
      <c r="DM74" s="391" t="s">
        <v>69</v>
      </c>
      <c r="DN74" s="391">
        <v>3</v>
      </c>
      <c r="DO74" s="391" t="s">
        <v>69</v>
      </c>
      <c r="DP74" s="391">
        <v>3</v>
      </c>
      <c r="DQ74" s="391" t="s">
        <v>69</v>
      </c>
      <c r="DR74" s="391" t="s">
        <v>69</v>
      </c>
      <c r="DS74" s="391" t="s">
        <v>69</v>
      </c>
      <c r="DT74" s="391" t="s">
        <v>69</v>
      </c>
      <c r="DU74" s="398">
        <f t="shared" si="4"/>
        <v>0.12698412698412698</v>
      </c>
      <c r="DV74" s="399">
        <f t="shared" si="5"/>
        <v>0.875</v>
      </c>
    </row>
    <row r="75" spans="1:126" s="230" customFormat="1" ht="120" customHeight="1">
      <c r="A75" s="406" t="s">
        <v>788</v>
      </c>
      <c r="B75" s="407" t="s">
        <v>789</v>
      </c>
      <c r="C75" s="409">
        <v>45946</v>
      </c>
      <c r="D75" s="408" t="s">
        <v>1155</v>
      </c>
      <c r="E75" s="391">
        <v>3</v>
      </c>
      <c r="F75" s="391" t="s">
        <v>69</v>
      </c>
      <c r="G75" s="391">
        <v>3</v>
      </c>
      <c r="H75" s="391" t="s">
        <v>69</v>
      </c>
      <c r="I75" s="391" t="s">
        <v>69</v>
      </c>
      <c r="J75" s="391" t="s">
        <v>69</v>
      </c>
      <c r="K75" s="391" t="s">
        <v>69</v>
      </c>
      <c r="L75" s="391" t="s">
        <v>69</v>
      </c>
      <c r="M75" s="391" t="s">
        <v>69</v>
      </c>
      <c r="N75" s="391" t="s">
        <v>69</v>
      </c>
      <c r="O75" s="391" t="s">
        <v>69</v>
      </c>
      <c r="P75" s="391" t="s">
        <v>69</v>
      </c>
      <c r="Q75" s="391" t="s">
        <v>69</v>
      </c>
      <c r="R75" s="391" t="s">
        <v>69</v>
      </c>
      <c r="S75" s="391" t="s">
        <v>69</v>
      </c>
      <c r="T75" s="391" t="s">
        <v>69</v>
      </c>
      <c r="U75" s="391" t="s">
        <v>69</v>
      </c>
      <c r="V75" s="391" t="s">
        <v>69</v>
      </c>
      <c r="W75" s="391" t="s">
        <v>69</v>
      </c>
      <c r="X75" s="391" t="s">
        <v>69</v>
      </c>
      <c r="Y75" s="391" t="s">
        <v>69</v>
      </c>
      <c r="Z75" s="391" t="s">
        <v>69</v>
      </c>
      <c r="AA75" s="391" t="s">
        <v>69</v>
      </c>
      <c r="AB75" s="391" t="s">
        <v>69</v>
      </c>
      <c r="AC75" s="391" t="s">
        <v>69</v>
      </c>
      <c r="AD75" s="391" t="s">
        <v>69</v>
      </c>
      <c r="AE75" s="391" t="s">
        <v>69</v>
      </c>
      <c r="AF75" s="391" t="s">
        <v>69</v>
      </c>
      <c r="AG75" s="391" t="s">
        <v>69</v>
      </c>
      <c r="AH75" s="391" t="s">
        <v>69</v>
      </c>
      <c r="AI75" s="391" t="s">
        <v>69</v>
      </c>
      <c r="AJ75" s="391" t="s">
        <v>69</v>
      </c>
      <c r="AK75" s="391" t="s">
        <v>69</v>
      </c>
      <c r="AL75" s="391" t="s">
        <v>69</v>
      </c>
      <c r="AM75" s="391" t="s">
        <v>69</v>
      </c>
      <c r="AN75" s="391" t="s">
        <v>69</v>
      </c>
      <c r="AO75" s="391" t="s">
        <v>69</v>
      </c>
      <c r="AP75" s="391" t="s">
        <v>69</v>
      </c>
      <c r="AQ75" s="391" t="s">
        <v>69</v>
      </c>
      <c r="AR75" s="391" t="s">
        <v>69</v>
      </c>
      <c r="AS75" s="391" t="s">
        <v>69</v>
      </c>
      <c r="AT75" s="391" t="s">
        <v>69</v>
      </c>
      <c r="AU75" s="391" t="s">
        <v>69</v>
      </c>
      <c r="AV75" s="391" t="s">
        <v>69</v>
      </c>
      <c r="AW75" s="391" t="s">
        <v>69</v>
      </c>
      <c r="AX75" s="391" t="s">
        <v>69</v>
      </c>
      <c r="AY75" s="391" t="s">
        <v>69</v>
      </c>
      <c r="AZ75" s="391" t="s">
        <v>69</v>
      </c>
      <c r="BA75" s="391" t="s">
        <v>69</v>
      </c>
      <c r="BB75" s="391" t="s">
        <v>69</v>
      </c>
      <c r="BC75" s="391" t="s">
        <v>69</v>
      </c>
      <c r="BD75" s="391" t="s">
        <v>69</v>
      </c>
      <c r="BE75" s="391" t="s">
        <v>69</v>
      </c>
      <c r="BF75" s="391" t="s">
        <v>69</v>
      </c>
      <c r="BG75" s="391" t="s">
        <v>69</v>
      </c>
      <c r="BH75" s="391" t="s">
        <v>69</v>
      </c>
      <c r="BI75" s="391" t="s">
        <v>69</v>
      </c>
      <c r="BJ75" s="391" t="s">
        <v>69</v>
      </c>
      <c r="BK75" s="391" t="s">
        <v>69</v>
      </c>
      <c r="BL75" s="391" t="s">
        <v>69</v>
      </c>
      <c r="BM75" s="391" t="s">
        <v>69</v>
      </c>
      <c r="BN75" s="391" t="s">
        <v>69</v>
      </c>
      <c r="BO75" s="391" t="s">
        <v>69</v>
      </c>
      <c r="BP75" s="391" t="s">
        <v>69</v>
      </c>
      <c r="BQ75" s="391" t="s">
        <v>69</v>
      </c>
      <c r="BR75" s="391" t="s">
        <v>69</v>
      </c>
      <c r="BS75" s="391" t="s">
        <v>69</v>
      </c>
      <c r="BT75" s="391" t="s">
        <v>69</v>
      </c>
      <c r="BU75" s="391" t="s">
        <v>69</v>
      </c>
      <c r="BV75" s="391" t="s">
        <v>69</v>
      </c>
      <c r="BW75" s="391" t="s">
        <v>69</v>
      </c>
      <c r="BX75" s="391" t="s">
        <v>69</v>
      </c>
      <c r="BY75" s="391" t="s">
        <v>69</v>
      </c>
      <c r="BZ75" s="391" t="s">
        <v>69</v>
      </c>
      <c r="CA75" s="391" t="s">
        <v>69</v>
      </c>
      <c r="CB75" s="391" t="s">
        <v>69</v>
      </c>
      <c r="CC75" s="391" t="s">
        <v>69</v>
      </c>
      <c r="CD75" s="391" t="s">
        <v>69</v>
      </c>
      <c r="CE75" s="391" t="s">
        <v>69</v>
      </c>
      <c r="CF75" s="391" t="s">
        <v>69</v>
      </c>
      <c r="CG75" s="391" t="s">
        <v>69</v>
      </c>
      <c r="CH75" s="391" t="s">
        <v>69</v>
      </c>
      <c r="CI75" s="391" t="s">
        <v>69</v>
      </c>
      <c r="CJ75" s="391">
        <v>4</v>
      </c>
      <c r="CK75" s="391" t="s">
        <v>69</v>
      </c>
      <c r="CL75" s="391">
        <v>3</v>
      </c>
      <c r="CM75" s="391">
        <v>4</v>
      </c>
      <c r="CN75" s="391" t="s">
        <v>69</v>
      </c>
      <c r="CO75" s="391" t="s">
        <v>69</v>
      </c>
      <c r="CP75" s="391" t="s">
        <v>69</v>
      </c>
      <c r="CQ75" s="391" t="s">
        <v>69</v>
      </c>
      <c r="CR75" s="391" t="s">
        <v>69</v>
      </c>
      <c r="CS75" s="391" t="s">
        <v>69</v>
      </c>
      <c r="CT75" s="391" t="s">
        <v>69</v>
      </c>
      <c r="CU75" s="390" t="s">
        <v>212</v>
      </c>
      <c r="CV75" s="390" t="s">
        <v>212</v>
      </c>
      <c r="CW75" s="391" t="s">
        <v>69</v>
      </c>
      <c r="CX75" s="391" t="s">
        <v>69</v>
      </c>
      <c r="CY75" s="391" t="s">
        <v>69</v>
      </c>
      <c r="CZ75" s="391" t="s">
        <v>69</v>
      </c>
      <c r="DA75" s="391" t="s">
        <v>69</v>
      </c>
      <c r="DB75" s="391" t="s">
        <v>69</v>
      </c>
      <c r="DC75" s="391" t="s">
        <v>69</v>
      </c>
      <c r="DD75" s="391" t="s">
        <v>69</v>
      </c>
      <c r="DE75" s="391" t="s">
        <v>69</v>
      </c>
      <c r="DF75" s="391" t="s">
        <v>69</v>
      </c>
      <c r="DG75" s="391" t="s">
        <v>69</v>
      </c>
      <c r="DH75" s="391" t="s">
        <v>69</v>
      </c>
      <c r="DI75" s="391" t="s">
        <v>69</v>
      </c>
      <c r="DJ75" s="391" t="s">
        <v>69</v>
      </c>
      <c r="DK75" s="391" t="s">
        <v>69</v>
      </c>
      <c r="DL75" s="391" t="s">
        <v>69</v>
      </c>
      <c r="DM75" s="391" t="s">
        <v>69</v>
      </c>
      <c r="DN75" s="391" t="s">
        <v>69</v>
      </c>
      <c r="DO75" s="391" t="s">
        <v>69</v>
      </c>
      <c r="DP75" s="391" t="s">
        <v>69</v>
      </c>
      <c r="DQ75" s="391" t="s">
        <v>69</v>
      </c>
      <c r="DR75" s="391" t="s">
        <v>69</v>
      </c>
      <c r="DS75" s="391" t="s">
        <v>69</v>
      </c>
      <c r="DT75" s="391" t="s">
        <v>69</v>
      </c>
      <c r="DU75" s="398">
        <f t="shared" si="4"/>
        <v>7.9365079365079361E-2</v>
      </c>
      <c r="DV75" s="399">
        <f t="shared" si="5"/>
        <v>1</v>
      </c>
    </row>
    <row r="76" spans="1:126" s="230" customFormat="1" ht="120" customHeight="1">
      <c r="A76" s="406" t="s">
        <v>786</v>
      </c>
      <c r="B76" s="407" t="s">
        <v>787</v>
      </c>
      <c r="C76" s="409">
        <v>45946</v>
      </c>
      <c r="D76" s="408" t="s">
        <v>1155</v>
      </c>
      <c r="E76" s="391">
        <v>3</v>
      </c>
      <c r="F76" s="391" t="s">
        <v>69</v>
      </c>
      <c r="G76" s="391">
        <v>3</v>
      </c>
      <c r="H76" s="391" t="s">
        <v>69</v>
      </c>
      <c r="I76" s="391" t="s">
        <v>69</v>
      </c>
      <c r="J76" s="391" t="s">
        <v>69</v>
      </c>
      <c r="K76" s="391" t="s">
        <v>69</v>
      </c>
      <c r="L76" s="391" t="s">
        <v>69</v>
      </c>
      <c r="M76" s="391" t="s">
        <v>69</v>
      </c>
      <c r="N76" s="391" t="s">
        <v>69</v>
      </c>
      <c r="O76" s="391" t="s">
        <v>69</v>
      </c>
      <c r="P76" s="391" t="s">
        <v>69</v>
      </c>
      <c r="Q76" s="391" t="s">
        <v>69</v>
      </c>
      <c r="R76" s="391" t="s">
        <v>69</v>
      </c>
      <c r="S76" s="391" t="s">
        <v>69</v>
      </c>
      <c r="T76" s="391" t="s">
        <v>69</v>
      </c>
      <c r="U76" s="391" t="s">
        <v>69</v>
      </c>
      <c r="V76" s="391" t="s">
        <v>69</v>
      </c>
      <c r="W76" s="391" t="s">
        <v>69</v>
      </c>
      <c r="X76" s="391" t="s">
        <v>69</v>
      </c>
      <c r="Y76" s="391" t="s">
        <v>69</v>
      </c>
      <c r="Z76" s="391" t="s">
        <v>69</v>
      </c>
      <c r="AA76" s="391" t="s">
        <v>69</v>
      </c>
      <c r="AB76" s="391" t="s">
        <v>69</v>
      </c>
      <c r="AC76" s="391" t="s">
        <v>69</v>
      </c>
      <c r="AD76" s="391" t="s">
        <v>69</v>
      </c>
      <c r="AE76" s="391" t="s">
        <v>69</v>
      </c>
      <c r="AF76" s="391" t="s">
        <v>69</v>
      </c>
      <c r="AG76" s="391" t="s">
        <v>69</v>
      </c>
      <c r="AH76" s="391" t="s">
        <v>69</v>
      </c>
      <c r="AI76" s="391" t="s">
        <v>69</v>
      </c>
      <c r="AJ76" s="391" t="s">
        <v>69</v>
      </c>
      <c r="AK76" s="391" t="s">
        <v>69</v>
      </c>
      <c r="AL76" s="391" t="s">
        <v>69</v>
      </c>
      <c r="AM76" s="391" t="s">
        <v>69</v>
      </c>
      <c r="AN76" s="391" t="s">
        <v>69</v>
      </c>
      <c r="AO76" s="391" t="s">
        <v>69</v>
      </c>
      <c r="AP76" s="391" t="s">
        <v>69</v>
      </c>
      <c r="AQ76" s="391" t="s">
        <v>69</v>
      </c>
      <c r="AR76" s="391" t="s">
        <v>69</v>
      </c>
      <c r="AS76" s="391" t="s">
        <v>69</v>
      </c>
      <c r="AT76" s="391" t="s">
        <v>69</v>
      </c>
      <c r="AU76" s="391" t="s">
        <v>69</v>
      </c>
      <c r="AV76" s="391" t="s">
        <v>69</v>
      </c>
      <c r="AW76" s="391" t="s">
        <v>69</v>
      </c>
      <c r="AX76" s="391" t="s">
        <v>69</v>
      </c>
      <c r="AY76" s="391" t="s">
        <v>69</v>
      </c>
      <c r="AZ76" s="391">
        <v>2</v>
      </c>
      <c r="BA76" s="391" t="s">
        <v>69</v>
      </c>
      <c r="BB76" s="391" t="s">
        <v>69</v>
      </c>
      <c r="BC76" s="391">
        <v>3</v>
      </c>
      <c r="BD76" s="391">
        <v>3</v>
      </c>
      <c r="BE76" s="391" t="s">
        <v>69</v>
      </c>
      <c r="BF76" s="391" t="s">
        <v>69</v>
      </c>
      <c r="BG76" s="391" t="s">
        <v>69</v>
      </c>
      <c r="BH76" s="391" t="s">
        <v>69</v>
      </c>
      <c r="BI76" s="391" t="s">
        <v>69</v>
      </c>
      <c r="BJ76" s="391" t="s">
        <v>69</v>
      </c>
      <c r="BK76" s="391" t="s">
        <v>69</v>
      </c>
      <c r="BL76" s="391" t="s">
        <v>69</v>
      </c>
      <c r="BM76" s="391" t="s">
        <v>69</v>
      </c>
      <c r="BN76" s="391" t="s">
        <v>69</v>
      </c>
      <c r="BO76" s="391" t="s">
        <v>69</v>
      </c>
      <c r="BP76" s="391" t="s">
        <v>69</v>
      </c>
      <c r="BQ76" s="391" t="s">
        <v>69</v>
      </c>
      <c r="BR76" s="391" t="s">
        <v>69</v>
      </c>
      <c r="BS76" s="391" t="s">
        <v>69</v>
      </c>
      <c r="BT76" s="391" t="s">
        <v>69</v>
      </c>
      <c r="BU76" s="391" t="s">
        <v>69</v>
      </c>
      <c r="BV76" s="391" t="s">
        <v>69</v>
      </c>
      <c r="BW76" s="391" t="s">
        <v>69</v>
      </c>
      <c r="BX76" s="391" t="s">
        <v>69</v>
      </c>
      <c r="BY76" s="391" t="s">
        <v>69</v>
      </c>
      <c r="BZ76" s="391" t="s">
        <v>69</v>
      </c>
      <c r="CA76" s="391" t="s">
        <v>69</v>
      </c>
      <c r="CB76" s="391" t="s">
        <v>69</v>
      </c>
      <c r="CC76" s="391" t="s">
        <v>69</v>
      </c>
      <c r="CD76" s="391" t="s">
        <v>69</v>
      </c>
      <c r="CE76" s="391" t="s">
        <v>69</v>
      </c>
      <c r="CF76" s="391" t="s">
        <v>69</v>
      </c>
      <c r="CG76" s="391" t="s">
        <v>69</v>
      </c>
      <c r="CH76" s="391" t="s">
        <v>69</v>
      </c>
      <c r="CI76" s="391" t="s">
        <v>69</v>
      </c>
      <c r="CJ76" s="391" t="s">
        <v>69</v>
      </c>
      <c r="CK76" s="391" t="s">
        <v>69</v>
      </c>
      <c r="CL76" s="391" t="s">
        <v>69</v>
      </c>
      <c r="CM76" s="391" t="s">
        <v>69</v>
      </c>
      <c r="CN76" s="391" t="s">
        <v>69</v>
      </c>
      <c r="CO76" s="391" t="s">
        <v>69</v>
      </c>
      <c r="CP76" s="391" t="s">
        <v>69</v>
      </c>
      <c r="CQ76" s="391" t="s">
        <v>69</v>
      </c>
      <c r="CR76" s="391" t="s">
        <v>69</v>
      </c>
      <c r="CS76" s="391" t="s">
        <v>69</v>
      </c>
      <c r="CT76" s="391" t="s">
        <v>69</v>
      </c>
      <c r="CU76" s="390" t="s">
        <v>212</v>
      </c>
      <c r="CV76" s="390" t="s">
        <v>212</v>
      </c>
      <c r="CW76" s="391" t="s">
        <v>69</v>
      </c>
      <c r="CX76" s="391" t="s">
        <v>69</v>
      </c>
      <c r="CY76" s="391" t="s">
        <v>69</v>
      </c>
      <c r="CZ76" s="391" t="s">
        <v>69</v>
      </c>
      <c r="DA76" s="391" t="s">
        <v>69</v>
      </c>
      <c r="DB76" s="391" t="s">
        <v>69</v>
      </c>
      <c r="DC76" s="391" t="s">
        <v>69</v>
      </c>
      <c r="DD76" s="391" t="s">
        <v>69</v>
      </c>
      <c r="DE76" s="391" t="s">
        <v>69</v>
      </c>
      <c r="DF76" s="391" t="s">
        <v>69</v>
      </c>
      <c r="DG76" s="391" t="s">
        <v>69</v>
      </c>
      <c r="DH76" s="391" t="s">
        <v>69</v>
      </c>
      <c r="DI76" s="391" t="s">
        <v>69</v>
      </c>
      <c r="DJ76" s="391" t="s">
        <v>69</v>
      </c>
      <c r="DK76" s="391" t="s">
        <v>69</v>
      </c>
      <c r="DL76" s="391">
        <v>3</v>
      </c>
      <c r="DM76" s="391" t="s">
        <v>69</v>
      </c>
      <c r="DN76" s="391" t="s">
        <v>69</v>
      </c>
      <c r="DO76" s="391" t="s">
        <v>69</v>
      </c>
      <c r="DP76" s="391" t="s">
        <v>69</v>
      </c>
      <c r="DQ76" s="391" t="s">
        <v>69</v>
      </c>
      <c r="DR76" s="391" t="s">
        <v>69</v>
      </c>
      <c r="DS76" s="391" t="s">
        <v>69</v>
      </c>
      <c r="DT76" s="391" t="s">
        <v>69</v>
      </c>
      <c r="DU76" s="398">
        <f t="shared" si="4"/>
        <v>9.5238095238095233E-2</v>
      </c>
      <c r="DV76" s="399">
        <f t="shared" si="5"/>
        <v>0.83333333333333337</v>
      </c>
    </row>
    <row r="77" spans="1:126" s="230" customFormat="1" ht="120" customHeight="1">
      <c r="A77" s="406" t="s">
        <v>908</v>
      </c>
      <c r="B77" s="407" t="s">
        <v>909</v>
      </c>
      <c r="C77" s="409">
        <v>45978</v>
      </c>
      <c r="D77" s="408" t="s">
        <v>1155</v>
      </c>
      <c r="E77" s="391">
        <v>3</v>
      </c>
      <c r="F77" s="391" t="s">
        <v>69</v>
      </c>
      <c r="G77" s="391" t="s">
        <v>69</v>
      </c>
      <c r="H77" s="391" t="s">
        <v>69</v>
      </c>
      <c r="I77" s="391" t="s">
        <v>69</v>
      </c>
      <c r="J77" s="391" t="s">
        <v>69</v>
      </c>
      <c r="K77" s="391" t="s">
        <v>69</v>
      </c>
      <c r="L77" s="391" t="s">
        <v>69</v>
      </c>
      <c r="M77" s="391" t="s">
        <v>69</v>
      </c>
      <c r="N77" s="391" t="s">
        <v>69</v>
      </c>
      <c r="O77" s="391" t="s">
        <v>69</v>
      </c>
      <c r="P77" s="391" t="s">
        <v>69</v>
      </c>
      <c r="Q77" s="391" t="s">
        <v>69</v>
      </c>
      <c r="R77" s="391" t="s">
        <v>69</v>
      </c>
      <c r="S77" s="391" t="s">
        <v>69</v>
      </c>
      <c r="T77" s="391" t="s">
        <v>69</v>
      </c>
      <c r="U77" s="391" t="s">
        <v>69</v>
      </c>
      <c r="V77" s="391" t="s">
        <v>69</v>
      </c>
      <c r="W77" s="391" t="s">
        <v>69</v>
      </c>
      <c r="X77" s="391" t="s">
        <v>69</v>
      </c>
      <c r="Y77" s="391" t="s">
        <v>69</v>
      </c>
      <c r="Z77" s="391" t="s">
        <v>69</v>
      </c>
      <c r="AA77" s="391" t="s">
        <v>69</v>
      </c>
      <c r="AB77" s="391" t="s">
        <v>69</v>
      </c>
      <c r="AC77" s="391" t="s">
        <v>69</v>
      </c>
      <c r="AD77" s="391" t="s">
        <v>69</v>
      </c>
      <c r="AE77" s="391" t="s">
        <v>69</v>
      </c>
      <c r="AF77" s="391" t="s">
        <v>69</v>
      </c>
      <c r="AG77" s="391" t="s">
        <v>69</v>
      </c>
      <c r="AH77" s="391" t="s">
        <v>69</v>
      </c>
      <c r="AI77" s="391" t="s">
        <v>69</v>
      </c>
      <c r="AJ77" s="391" t="s">
        <v>69</v>
      </c>
      <c r="AK77" s="391" t="s">
        <v>69</v>
      </c>
      <c r="AL77" s="391" t="s">
        <v>69</v>
      </c>
      <c r="AM77" s="391" t="s">
        <v>69</v>
      </c>
      <c r="AN77" s="391" t="s">
        <v>69</v>
      </c>
      <c r="AO77" s="391" t="s">
        <v>69</v>
      </c>
      <c r="AP77" s="391" t="s">
        <v>69</v>
      </c>
      <c r="AQ77" s="391" t="s">
        <v>69</v>
      </c>
      <c r="AR77" s="391" t="s">
        <v>69</v>
      </c>
      <c r="AS77" s="391" t="s">
        <v>69</v>
      </c>
      <c r="AT77" s="391" t="s">
        <v>69</v>
      </c>
      <c r="AU77" s="391" t="s">
        <v>69</v>
      </c>
      <c r="AV77" s="391" t="s">
        <v>69</v>
      </c>
      <c r="AW77" s="391" t="s">
        <v>69</v>
      </c>
      <c r="AX77" s="391" t="s">
        <v>69</v>
      </c>
      <c r="AY77" s="391" t="s">
        <v>69</v>
      </c>
      <c r="AZ77" s="391" t="s">
        <v>69</v>
      </c>
      <c r="BA77" s="391" t="s">
        <v>69</v>
      </c>
      <c r="BB77" s="391" t="s">
        <v>69</v>
      </c>
      <c r="BC77" s="391" t="s">
        <v>69</v>
      </c>
      <c r="BD77" s="391" t="s">
        <v>69</v>
      </c>
      <c r="BE77" s="391" t="s">
        <v>69</v>
      </c>
      <c r="BF77" s="391" t="s">
        <v>69</v>
      </c>
      <c r="BG77" s="391" t="s">
        <v>69</v>
      </c>
      <c r="BH77" s="391" t="s">
        <v>69</v>
      </c>
      <c r="BI77" s="391" t="s">
        <v>69</v>
      </c>
      <c r="BJ77" s="391" t="s">
        <v>69</v>
      </c>
      <c r="BK77" s="391" t="s">
        <v>69</v>
      </c>
      <c r="BL77" s="391" t="s">
        <v>69</v>
      </c>
      <c r="BM77" s="391" t="s">
        <v>69</v>
      </c>
      <c r="BN77" s="391" t="s">
        <v>69</v>
      </c>
      <c r="BO77" s="391" t="s">
        <v>69</v>
      </c>
      <c r="BP77" s="391" t="s">
        <v>69</v>
      </c>
      <c r="BQ77" s="391" t="s">
        <v>69</v>
      </c>
      <c r="BR77" s="391" t="s">
        <v>69</v>
      </c>
      <c r="BS77" s="391" t="s">
        <v>69</v>
      </c>
      <c r="BT77" s="391" t="s">
        <v>69</v>
      </c>
      <c r="BU77" s="391" t="s">
        <v>69</v>
      </c>
      <c r="BV77" s="391" t="s">
        <v>69</v>
      </c>
      <c r="BW77" s="391" t="s">
        <v>69</v>
      </c>
      <c r="BX77" s="391" t="s">
        <v>69</v>
      </c>
      <c r="BY77" s="391" t="s">
        <v>69</v>
      </c>
      <c r="BZ77" s="391" t="s">
        <v>69</v>
      </c>
      <c r="CA77" s="391" t="s">
        <v>69</v>
      </c>
      <c r="CB77" s="391" t="s">
        <v>69</v>
      </c>
      <c r="CC77" s="391" t="s">
        <v>69</v>
      </c>
      <c r="CD77" s="391" t="s">
        <v>69</v>
      </c>
      <c r="CE77" s="391" t="s">
        <v>69</v>
      </c>
      <c r="CF77" s="391" t="s">
        <v>69</v>
      </c>
      <c r="CG77" s="391" t="s">
        <v>69</v>
      </c>
      <c r="CH77" s="391" t="s">
        <v>69</v>
      </c>
      <c r="CI77" s="391" t="s">
        <v>69</v>
      </c>
      <c r="CJ77" s="391" t="s">
        <v>69</v>
      </c>
      <c r="CK77" s="391">
        <v>2</v>
      </c>
      <c r="CL77" s="391">
        <v>4</v>
      </c>
      <c r="CM77" s="391">
        <v>4</v>
      </c>
      <c r="CN77" s="391">
        <v>3</v>
      </c>
      <c r="CO77" s="391" t="s">
        <v>69</v>
      </c>
      <c r="CP77" s="391" t="s">
        <v>69</v>
      </c>
      <c r="CQ77" s="391" t="s">
        <v>69</v>
      </c>
      <c r="CR77" s="391" t="s">
        <v>69</v>
      </c>
      <c r="CS77" s="391" t="s">
        <v>69</v>
      </c>
      <c r="CT77" s="391" t="s">
        <v>69</v>
      </c>
      <c r="CU77" s="390" t="s">
        <v>212</v>
      </c>
      <c r="CV77" s="390" t="s">
        <v>212</v>
      </c>
      <c r="CW77" s="391" t="s">
        <v>69</v>
      </c>
      <c r="CX77" s="391" t="s">
        <v>69</v>
      </c>
      <c r="CY77" s="391" t="s">
        <v>69</v>
      </c>
      <c r="CZ77" s="391" t="s">
        <v>69</v>
      </c>
      <c r="DA77" s="391" t="s">
        <v>69</v>
      </c>
      <c r="DB77" s="391" t="s">
        <v>69</v>
      </c>
      <c r="DC77" s="391" t="s">
        <v>69</v>
      </c>
      <c r="DD77" s="391" t="s">
        <v>69</v>
      </c>
      <c r="DE77" s="391" t="s">
        <v>69</v>
      </c>
      <c r="DF77" s="391" t="s">
        <v>69</v>
      </c>
      <c r="DG77" s="391" t="s">
        <v>69</v>
      </c>
      <c r="DH77" s="391" t="s">
        <v>69</v>
      </c>
      <c r="DI77" s="391" t="s">
        <v>69</v>
      </c>
      <c r="DJ77" s="391" t="s">
        <v>69</v>
      </c>
      <c r="DK77" s="391" t="s">
        <v>69</v>
      </c>
      <c r="DL77" s="391" t="s">
        <v>69</v>
      </c>
      <c r="DM77" s="391" t="s">
        <v>69</v>
      </c>
      <c r="DN77" s="391" t="s">
        <v>69</v>
      </c>
      <c r="DO77" s="391" t="s">
        <v>69</v>
      </c>
      <c r="DP77" s="391" t="s">
        <v>69</v>
      </c>
      <c r="DQ77" s="391" t="s">
        <v>69</v>
      </c>
      <c r="DR77" s="391" t="s">
        <v>69</v>
      </c>
      <c r="DS77" s="391" t="s">
        <v>69</v>
      </c>
      <c r="DT77" s="391" t="s">
        <v>69</v>
      </c>
      <c r="DU77" s="398">
        <f t="shared" si="4"/>
        <v>7.9365079365079361E-2</v>
      </c>
      <c r="DV77" s="399">
        <f t="shared" si="5"/>
        <v>0.8</v>
      </c>
    </row>
    <row r="78" spans="1:126" s="230" customFormat="1" ht="120" customHeight="1">
      <c r="A78" s="406" t="s">
        <v>910</v>
      </c>
      <c r="B78" s="407" t="s">
        <v>911</v>
      </c>
      <c r="C78" s="409">
        <v>45978</v>
      </c>
      <c r="D78" s="408" t="s">
        <v>1155</v>
      </c>
      <c r="E78" s="391">
        <v>3</v>
      </c>
      <c r="F78" s="391" t="s">
        <v>69</v>
      </c>
      <c r="G78" s="391">
        <v>3</v>
      </c>
      <c r="H78" s="391" t="s">
        <v>69</v>
      </c>
      <c r="I78" s="391" t="s">
        <v>69</v>
      </c>
      <c r="J78" s="391" t="s">
        <v>69</v>
      </c>
      <c r="K78" s="391" t="s">
        <v>69</v>
      </c>
      <c r="L78" s="391" t="s">
        <v>69</v>
      </c>
      <c r="M78" s="391" t="s">
        <v>69</v>
      </c>
      <c r="N78" s="391">
        <v>3</v>
      </c>
      <c r="O78" s="391" t="s">
        <v>69</v>
      </c>
      <c r="P78" s="391" t="s">
        <v>69</v>
      </c>
      <c r="Q78" s="391" t="s">
        <v>69</v>
      </c>
      <c r="R78" s="391" t="s">
        <v>69</v>
      </c>
      <c r="S78" s="391" t="s">
        <v>69</v>
      </c>
      <c r="T78" s="391" t="s">
        <v>69</v>
      </c>
      <c r="U78" s="391" t="s">
        <v>69</v>
      </c>
      <c r="V78" s="391" t="s">
        <v>69</v>
      </c>
      <c r="W78" s="391" t="s">
        <v>69</v>
      </c>
      <c r="X78" s="391" t="s">
        <v>69</v>
      </c>
      <c r="Y78" s="391" t="s">
        <v>69</v>
      </c>
      <c r="Z78" s="391" t="s">
        <v>69</v>
      </c>
      <c r="AA78" s="391" t="s">
        <v>69</v>
      </c>
      <c r="AB78" s="391" t="s">
        <v>69</v>
      </c>
      <c r="AC78" s="391" t="s">
        <v>69</v>
      </c>
      <c r="AD78" s="391" t="s">
        <v>69</v>
      </c>
      <c r="AE78" s="391" t="s">
        <v>69</v>
      </c>
      <c r="AF78" s="391" t="s">
        <v>69</v>
      </c>
      <c r="AG78" s="391" t="s">
        <v>69</v>
      </c>
      <c r="AH78" s="391" t="s">
        <v>69</v>
      </c>
      <c r="AI78" s="391" t="s">
        <v>69</v>
      </c>
      <c r="AJ78" s="391" t="s">
        <v>69</v>
      </c>
      <c r="AK78" s="391" t="s">
        <v>69</v>
      </c>
      <c r="AL78" s="391" t="s">
        <v>69</v>
      </c>
      <c r="AM78" s="391" t="s">
        <v>69</v>
      </c>
      <c r="AN78" s="391" t="s">
        <v>69</v>
      </c>
      <c r="AO78" s="391" t="s">
        <v>69</v>
      </c>
      <c r="AP78" s="391" t="s">
        <v>69</v>
      </c>
      <c r="AQ78" s="391">
        <v>3</v>
      </c>
      <c r="AR78" s="391" t="s">
        <v>69</v>
      </c>
      <c r="AS78" s="391" t="s">
        <v>69</v>
      </c>
      <c r="AT78" s="391" t="s">
        <v>69</v>
      </c>
      <c r="AU78" s="391" t="s">
        <v>69</v>
      </c>
      <c r="AV78" s="391" t="s">
        <v>69</v>
      </c>
      <c r="AW78" s="391">
        <v>3</v>
      </c>
      <c r="AX78" s="391" t="s">
        <v>69</v>
      </c>
      <c r="AY78" s="391" t="s">
        <v>69</v>
      </c>
      <c r="AZ78" s="391" t="s">
        <v>69</v>
      </c>
      <c r="BA78" s="391" t="s">
        <v>69</v>
      </c>
      <c r="BB78" s="391" t="s">
        <v>69</v>
      </c>
      <c r="BC78" s="391">
        <v>3</v>
      </c>
      <c r="BD78" s="391" t="s">
        <v>69</v>
      </c>
      <c r="BE78" s="391" t="s">
        <v>69</v>
      </c>
      <c r="BF78" s="391" t="s">
        <v>69</v>
      </c>
      <c r="BG78" s="391" t="s">
        <v>69</v>
      </c>
      <c r="BH78" s="391" t="s">
        <v>69</v>
      </c>
      <c r="BI78" s="391" t="s">
        <v>69</v>
      </c>
      <c r="BJ78" s="391" t="s">
        <v>69</v>
      </c>
      <c r="BK78" s="391" t="s">
        <v>69</v>
      </c>
      <c r="BL78" s="391" t="s">
        <v>69</v>
      </c>
      <c r="BM78" s="391" t="s">
        <v>69</v>
      </c>
      <c r="BN78" s="391" t="s">
        <v>69</v>
      </c>
      <c r="BO78" s="391" t="s">
        <v>69</v>
      </c>
      <c r="BP78" s="391" t="s">
        <v>69</v>
      </c>
      <c r="BQ78" s="391">
        <v>3</v>
      </c>
      <c r="BR78" s="391" t="s">
        <v>69</v>
      </c>
      <c r="BS78" s="391" t="s">
        <v>69</v>
      </c>
      <c r="BT78" s="391" t="s">
        <v>69</v>
      </c>
      <c r="BU78" s="391" t="s">
        <v>69</v>
      </c>
      <c r="BV78" s="391" t="s">
        <v>69</v>
      </c>
      <c r="BW78" s="391" t="s">
        <v>69</v>
      </c>
      <c r="BX78" s="391" t="s">
        <v>69</v>
      </c>
      <c r="BY78" s="391" t="s">
        <v>69</v>
      </c>
      <c r="BZ78" s="391" t="s">
        <v>69</v>
      </c>
      <c r="CA78" s="391" t="s">
        <v>69</v>
      </c>
      <c r="CB78" s="391" t="s">
        <v>69</v>
      </c>
      <c r="CC78" s="391" t="s">
        <v>69</v>
      </c>
      <c r="CD78" s="391" t="s">
        <v>69</v>
      </c>
      <c r="CE78" s="391" t="s">
        <v>69</v>
      </c>
      <c r="CF78" s="391" t="s">
        <v>69</v>
      </c>
      <c r="CG78" s="391" t="s">
        <v>69</v>
      </c>
      <c r="CH78" s="391">
        <v>3</v>
      </c>
      <c r="CI78" s="391" t="s">
        <v>69</v>
      </c>
      <c r="CJ78" s="391" t="s">
        <v>69</v>
      </c>
      <c r="CK78" s="391" t="s">
        <v>69</v>
      </c>
      <c r="CL78" s="391" t="s">
        <v>69</v>
      </c>
      <c r="CM78" s="391" t="s">
        <v>69</v>
      </c>
      <c r="CN78" s="391" t="s">
        <v>69</v>
      </c>
      <c r="CO78" s="391" t="s">
        <v>69</v>
      </c>
      <c r="CP78" s="391" t="s">
        <v>69</v>
      </c>
      <c r="CQ78" s="391" t="s">
        <v>69</v>
      </c>
      <c r="CR78" s="391" t="s">
        <v>69</v>
      </c>
      <c r="CS78" s="391" t="s">
        <v>69</v>
      </c>
      <c r="CT78" s="391" t="s">
        <v>69</v>
      </c>
      <c r="CU78" s="390" t="s">
        <v>212</v>
      </c>
      <c r="CV78" s="390" t="s">
        <v>212</v>
      </c>
      <c r="CW78" s="391" t="s">
        <v>69</v>
      </c>
      <c r="CX78" s="391" t="s">
        <v>69</v>
      </c>
      <c r="CY78" s="391" t="s">
        <v>69</v>
      </c>
      <c r="CZ78" s="391" t="s">
        <v>69</v>
      </c>
      <c r="DA78" s="391" t="s">
        <v>69</v>
      </c>
      <c r="DB78" s="391" t="s">
        <v>69</v>
      </c>
      <c r="DC78" s="391" t="s">
        <v>69</v>
      </c>
      <c r="DD78" s="391" t="s">
        <v>69</v>
      </c>
      <c r="DE78" s="391" t="s">
        <v>69</v>
      </c>
      <c r="DF78" s="391" t="s">
        <v>69</v>
      </c>
      <c r="DG78" s="391" t="s">
        <v>69</v>
      </c>
      <c r="DH78" s="391" t="s">
        <v>69</v>
      </c>
      <c r="DI78" s="391" t="s">
        <v>69</v>
      </c>
      <c r="DJ78" s="391" t="s">
        <v>69</v>
      </c>
      <c r="DK78" s="391" t="s">
        <v>69</v>
      </c>
      <c r="DL78" s="391" t="s">
        <v>69</v>
      </c>
      <c r="DM78" s="391" t="s">
        <v>69</v>
      </c>
      <c r="DN78" s="391" t="s">
        <v>69</v>
      </c>
      <c r="DO78" s="391" t="s">
        <v>69</v>
      </c>
      <c r="DP78" s="391" t="s">
        <v>69</v>
      </c>
      <c r="DQ78" s="391" t="s">
        <v>69</v>
      </c>
      <c r="DR78" s="391" t="s">
        <v>69</v>
      </c>
      <c r="DS78" s="391" t="s">
        <v>69</v>
      </c>
      <c r="DT78" s="391" t="s">
        <v>69</v>
      </c>
      <c r="DU78" s="398">
        <f t="shared" si="4"/>
        <v>0.12698412698412698</v>
      </c>
      <c r="DV78" s="399">
        <f t="shared" si="5"/>
        <v>1</v>
      </c>
    </row>
    <row r="79" spans="1:126" s="230" customFormat="1" ht="120" customHeight="1">
      <c r="A79" s="406" t="s">
        <v>924</v>
      </c>
      <c r="B79" s="407" t="s">
        <v>936</v>
      </c>
      <c r="C79" s="409">
        <v>45992</v>
      </c>
      <c r="D79" s="408" t="s">
        <v>1155</v>
      </c>
      <c r="E79" s="391" t="s">
        <v>69</v>
      </c>
      <c r="F79" s="391" t="s">
        <v>69</v>
      </c>
      <c r="G79" s="391" t="s">
        <v>69</v>
      </c>
      <c r="H79" s="391" t="s">
        <v>69</v>
      </c>
      <c r="I79" s="391" t="s">
        <v>69</v>
      </c>
      <c r="J79" s="391" t="s">
        <v>69</v>
      </c>
      <c r="K79" s="391" t="s">
        <v>69</v>
      </c>
      <c r="L79" s="391" t="s">
        <v>69</v>
      </c>
      <c r="M79" s="391" t="s">
        <v>69</v>
      </c>
      <c r="N79" s="391" t="s">
        <v>69</v>
      </c>
      <c r="O79" s="391" t="s">
        <v>69</v>
      </c>
      <c r="P79" s="391" t="s">
        <v>69</v>
      </c>
      <c r="Q79" s="391" t="s">
        <v>69</v>
      </c>
      <c r="R79" s="391" t="s">
        <v>69</v>
      </c>
      <c r="S79" s="391" t="s">
        <v>69</v>
      </c>
      <c r="T79" s="391" t="s">
        <v>69</v>
      </c>
      <c r="U79" s="391" t="s">
        <v>69</v>
      </c>
      <c r="V79" s="391" t="s">
        <v>69</v>
      </c>
      <c r="W79" s="391" t="s">
        <v>69</v>
      </c>
      <c r="X79" s="391" t="s">
        <v>69</v>
      </c>
      <c r="Y79" s="391" t="s">
        <v>69</v>
      </c>
      <c r="Z79" s="391" t="s">
        <v>69</v>
      </c>
      <c r="AA79" s="391" t="s">
        <v>69</v>
      </c>
      <c r="AB79" s="391" t="s">
        <v>69</v>
      </c>
      <c r="AC79" s="391" t="s">
        <v>69</v>
      </c>
      <c r="AD79" s="391" t="s">
        <v>69</v>
      </c>
      <c r="AE79" s="391" t="s">
        <v>69</v>
      </c>
      <c r="AF79" s="391" t="s">
        <v>69</v>
      </c>
      <c r="AG79" s="391" t="s">
        <v>69</v>
      </c>
      <c r="AH79" s="391" t="s">
        <v>69</v>
      </c>
      <c r="AI79" s="391" t="s">
        <v>69</v>
      </c>
      <c r="AJ79" s="391" t="s">
        <v>69</v>
      </c>
      <c r="AK79" s="391" t="s">
        <v>69</v>
      </c>
      <c r="AL79" s="391" t="s">
        <v>69</v>
      </c>
      <c r="AM79" s="391" t="s">
        <v>69</v>
      </c>
      <c r="AN79" s="391" t="s">
        <v>69</v>
      </c>
      <c r="AO79" s="391" t="s">
        <v>69</v>
      </c>
      <c r="AP79" s="391" t="s">
        <v>69</v>
      </c>
      <c r="AQ79" s="391" t="s">
        <v>69</v>
      </c>
      <c r="AR79" s="391" t="s">
        <v>69</v>
      </c>
      <c r="AS79" s="391" t="s">
        <v>69</v>
      </c>
      <c r="AT79" s="391" t="s">
        <v>69</v>
      </c>
      <c r="AU79" s="391" t="s">
        <v>69</v>
      </c>
      <c r="AV79" s="391" t="s">
        <v>69</v>
      </c>
      <c r="AW79" s="391" t="s">
        <v>69</v>
      </c>
      <c r="AX79" s="391" t="s">
        <v>69</v>
      </c>
      <c r="AY79" s="391" t="s">
        <v>69</v>
      </c>
      <c r="AZ79" s="391" t="s">
        <v>69</v>
      </c>
      <c r="BA79" s="391" t="s">
        <v>69</v>
      </c>
      <c r="BB79" s="391" t="s">
        <v>69</v>
      </c>
      <c r="BC79" s="391" t="s">
        <v>69</v>
      </c>
      <c r="BD79" s="391" t="s">
        <v>69</v>
      </c>
      <c r="BE79" s="391" t="s">
        <v>69</v>
      </c>
      <c r="BF79" s="391" t="s">
        <v>69</v>
      </c>
      <c r="BG79" s="391" t="s">
        <v>69</v>
      </c>
      <c r="BH79" s="391" t="s">
        <v>69</v>
      </c>
      <c r="BI79" s="391" t="s">
        <v>69</v>
      </c>
      <c r="BJ79" s="391" t="s">
        <v>69</v>
      </c>
      <c r="BK79" s="391" t="s">
        <v>69</v>
      </c>
      <c r="BL79" s="391" t="s">
        <v>69</v>
      </c>
      <c r="BM79" s="391" t="s">
        <v>69</v>
      </c>
      <c r="BN79" s="391" t="s">
        <v>69</v>
      </c>
      <c r="BO79" s="391" t="s">
        <v>69</v>
      </c>
      <c r="BP79" s="391" t="s">
        <v>69</v>
      </c>
      <c r="BQ79" s="391" t="s">
        <v>69</v>
      </c>
      <c r="BR79" s="391" t="s">
        <v>69</v>
      </c>
      <c r="BS79" s="391" t="s">
        <v>69</v>
      </c>
      <c r="BT79" s="391" t="s">
        <v>69</v>
      </c>
      <c r="BU79" s="391" t="s">
        <v>69</v>
      </c>
      <c r="BV79" s="391" t="s">
        <v>69</v>
      </c>
      <c r="BW79" s="391" t="s">
        <v>69</v>
      </c>
      <c r="BX79" s="391" t="s">
        <v>69</v>
      </c>
      <c r="BY79" s="391" t="s">
        <v>69</v>
      </c>
      <c r="BZ79" s="391" t="s">
        <v>69</v>
      </c>
      <c r="CA79" s="391" t="s">
        <v>69</v>
      </c>
      <c r="CB79" s="391" t="s">
        <v>69</v>
      </c>
      <c r="CC79" s="391" t="s">
        <v>69</v>
      </c>
      <c r="CD79" s="391" t="s">
        <v>69</v>
      </c>
      <c r="CE79" s="391" t="s">
        <v>69</v>
      </c>
      <c r="CF79" s="391" t="s">
        <v>69</v>
      </c>
      <c r="CG79" s="391" t="s">
        <v>69</v>
      </c>
      <c r="CH79" s="391" t="s">
        <v>69</v>
      </c>
      <c r="CI79" s="391" t="s">
        <v>69</v>
      </c>
      <c r="CJ79" s="391">
        <v>4</v>
      </c>
      <c r="CK79" s="391">
        <v>4</v>
      </c>
      <c r="CL79" s="391">
        <v>3</v>
      </c>
      <c r="CM79" s="391">
        <v>2</v>
      </c>
      <c r="CN79" s="391" t="s">
        <v>69</v>
      </c>
      <c r="CO79" s="391" t="s">
        <v>69</v>
      </c>
      <c r="CP79" s="391" t="s">
        <v>69</v>
      </c>
      <c r="CQ79" s="391" t="s">
        <v>69</v>
      </c>
      <c r="CR79" s="391" t="s">
        <v>69</v>
      </c>
      <c r="CS79" s="391" t="s">
        <v>69</v>
      </c>
      <c r="CT79" s="391" t="s">
        <v>69</v>
      </c>
      <c r="CU79" s="390" t="s">
        <v>212</v>
      </c>
      <c r="CV79" s="390" t="s">
        <v>212</v>
      </c>
      <c r="CW79" s="391" t="s">
        <v>69</v>
      </c>
      <c r="CX79" s="391" t="s">
        <v>69</v>
      </c>
      <c r="CY79" s="391" t="s">
        <v>69</v>
      </c>
      <c r="CZ79" s="391" t="s">
        <v>69</v>
      </c>
      <c r="DA79" s="391" t="s">
        <v>69</v>
      </c>
      <c r="DB79" s="391" t="s">
        <v>69</v>
      </c>
      <c r="DC79" s="391" t="s">
        <v>69</v>
      </c>
      <c r="DD79" s="391" t="s">
        <v>69</v>
      </c>
      <c r="DE79" s="391" t="s">
        <v>69</v>
      </c>
      <c r="DF79" s="391" t="s">
        <v>69</v>
      </c>
      <c r="DG79" s="391" t="s">
        <v>69</v>
      </c>
      <c r="DH79" s="391" t="s">
        <v>69</v>
      </c>
      <c r="DI79" s="391" t="s">
        <v>69</v>
      </c>
      <c r="DJ79" s="391" t="s">
        <v>69</v>
      </c>
      <c r="DK79" s="391" t="s">
        <v>69</v>
      </c>
      <c r="DL79" s="391" t="s">
        <v>69</v>
      </c>
      <c r="DM79" s="391" t="s">
        <v>69</v>
      </c>
      <c r="DN79" s="391" t="s">
        <v>69</v>
      </c>
      <c r="DO79" s="391" t="s">
        <v>69</v>
      </c>
      <c r="DP79" s="391" t="s">
        <v>69</v>
      </c>
      <c r="DQ79" s="391" t="s">
        <v>69</v>
      </c>
      <c r="DR79" s="391" t="s">
        <v>69</v>
      </c>
      <c r="DS79" s="391" t="s">
        <v>69</v>
      </c>
      <c r="DT79" s="391" t="s">
        <v>69</v>
      </c>
      <c r="DU79" s="398">
        <f t="shared" si="4"/>
        <v>6.3492063492063489E-2</v>
      </c>
      <c r="DV79" s="399">
        <f t="shared" si="5"/>
        <v>0.75</v>
      </c>
    </row>
    <row r="80" spans="1:126" s="230" customFormat="1" ht="120" customHeight="1">
      <c r="A80" s="406" t="s">
        <v>927</v>
      </c>
      <c r="B80" s="407" t="s">
        <v>939</v>
      </c>
      <c r="C80" s="409">
        <v>45992</v>
      </c>
      <c r="D80" s="408" t="s">
        <v>1155</v>
      </c>
      <c r="E80" s="391">
        <v>3</v>
      </c>
      <c r="F80" s="391" t="s">
        <v>69</v>
      </c>
      <c r="G80" s="391">
        <v>3</v>
      </c>
      <c r="H80" s="391" t="s">
        <v>69</v>
      </c>
      <c r="I80" s="391" t="s">
        <v>69</v>
      </c>
      <c r="J80" s="391" t="s">
        <v>69</v>
      </c>
      <c r="K80" s="391" t="s">
        <v>69</v>
      </c>
      <c r="L80" s="391" t="s">
        <v>69</v>
      </c>
      <c r="M80" s="391" t="s">
        <v>69</v>
      </c>
      <c r="N80" s="391" t="s">
        <v>69</v>
      </c>
      <c r="O80" s="391" t="s">
        <v>69</v>
      </c>
      <c r="P80" s="391" t="s">
        <v>69</v>
      </c>
      <c r="Q80" s="391" t="s">
        <v>69</v>
      </c>
      <c r="R80" s="391" t="s">
        <v>69</v>
      </c>
      <c r="S80" s="391" t="s">
        <v>69</v>
      </c>
      <c r="T80" s="391" t="s">
        <v>69</v>
      </c>
      <c r="U80" s="391" t="s">
        <v>69</v>
      </c>
      <c r="V80" s="391" t="s">
        <v>69</v>
      </c>
      <c r="W80" s="391" t="s">
        <v>69</v>
      </c>
      <c r="X80" s="391" t="s">
        <v>69</v>
      </c>
      <c r="Y80" s="391" t="s">
        <v>69</v>
      </c>
      <c r="Z80" s="391" t="s">
        <v>69</v>
      </c>
      <c r="AA80" s="391" t="s">
        <v>69</v>
      </c>
      <c r="AB80" s="391" t="s">
        <v>69</v>
      </c>
      <c r="AC80" s="391" t="s">
        <v>69</v>
      </c>
      <c r="AD80" s="391" t="s">
        <v>69</v>
      </c>
      <c r="AE80" s="391" t="s">
        <v>69</v>
      </c>
      <c r="AF80" s="391" t="s">
        <v>69</v>
      </c>
      <c r="AG80" s="391" t="s">
        <v>69</v>
      </c>
      <c r="AH80" s="391" t="s">
        <v>69</v>
      </c>
      <c r="AI80" s="391" t="s">
        <v>69</v>
      </c>
      <c r="AJ80" s="391" t="s">
        <v>69</v>
      </c>
      <c r="AK80" s="391" t="s">
        <v>69</v>
      </c>
      <c r="AL80" s="391" t="s">
        <v>69</v>
      </c>
      <c r="AM80" s="391" t="s">
        <v>69</v>
      </c>
      <c r="AN80" s="391" t="s">
        <v>69</v>
      </c>
      <c r="AO80" s="391" t="s">
        <v>69</v>
      </c>
      <c r="AP80" s="391" t="s">
        <v>69</v>
      </c>
      <c r="AQ80" s="391" t="s">
        <v>69</v>
      </c>
      <c r="AR80" s="391" t="s">
        <v>69</v>
      </c>
      <c r="AS80" s="391" t="s">
        <v>69</v>
      </c>
      <c r="AT80" s="391" t="s">
        <v>69</v>
      </c>
      <c r="AU80" s="391" t="s">
        <v>69</v>
      </c>
      <c r="AV80" s="391" t="s">
        <v>69</v>
      </c>
      <c r="AW80" s="391" t="s">
        <v>69</v>
      </c>
      <c r="AX80" s="391" t="s">
        <v>69</v>
      </c>
      <c r="AY80" s="391" t="s">
        <v>69</v>
      </c>
      <c r="AZ80" s="391" t="s">
        <v>69</v>
      </c>
      <c r="BA80" s="391" t="s">
        <v>69</v>
      </c>
      <c r="BB80" s="391" t="s">
        <v>69</v>
      </c>
      <c r="BC80" s="391" t="s">
        <v>69</v>
      </c>
      <c r="BD80" s="391" t="s">
        <v>69</v>
      </c>
      <c r="BE80" s="391" t="s">
        <v>69</v>
      </c>
      <c r="BF80" s="391" t="s">
        <v>69</v>
      </c>
      <c r="BG80" s="391" t="s">
        <v>69</v>
      </c>
      <c r="BH80" s="391" t="s">
        <v>69</v>
      </c>
      <c r="BI80" s="391" t="s">
        <v>69</v>
      </c>
      <c r="BJ80" s="391" t="s">
        <v>69</v>
      </c>
      <c r="BK80" s="391" t="s">
        <v>69</v>
      </c>
      <c r="BL80" s="391" t="s">
        <v>69</v>
      </c>
      <c r="BM80" s="391" t="s">
        <v>69</v>
      </c>
      <c r="BN80" s="391" t="s">
        <v>69</v>
      </c>
      <c r="BO80" s="391" t="s">
        <v>69</v>
      </c>
      <c r="BP80" s="391" t="s">
        <v>69</v>
      </c>
      <c r="BQ80" s="391" t="s">
        <v>69</v>
      </c>
      <c r="BR80" s="391" t="s">
        <v>69</v>
      </c>
      <c r="BS80" s="391" t="s">
        <v>69</v>
      </c>
      <c r="BT80" s="391" t="s">
        <v>69</v>
      </c>
      <c r="BU80" s="391" t="s">
        <v>69</v>
      </c>
      <c r="BV80" s="391" t="s">
        <v>69</v>
      </c>
      <c r="BW80" s="391" t="s">
        <v>69</v>
      </c>
      <c r="BX80" s="391" t="s">
        <v>69</v>
      </c>
      <c r="BY80" s="391" t="s">
        <v>69</v>
      </c>
      <c r="BZ80" s="391" t="s">
        <v>69</v>
      </c>
      <c r="CA80" s="391" t="s">
        <v>69</v>
      </c>
      <c r="CB80" s="391" t="s">
        <v>69</v>
      </c>
      <c r="CC80" s="391" t="s">
        <v>69</v>
      </c>
      <c r="CD80" s="391" t="s">
        <v>69</v>
      </c>
      <c r="CE80" s="391" t="s">
        <v>69</v>
      </c>
      <c r="CF80" s="391" t="s">
        <v>69</v>
      </c>
      <c r="CG80" s="391" t="s">
        <v>69</v>
      </c>
      <c r="CH80" s="391" t="s">
        <v>69</v>
      </c>
      <c r="CI80" s="391" t="s">
        <v>69</v>
      </c>
      <c r="CJ80" s="391" t="s">
        <v>69</v>
      </c>
      <c r="CK80" s="391" t="s">
        <v>69</v>
      </c>
      <c r="CL80" s="391" t="s">
        <v>69</v>
      </c>
      <c r="CM80" s="391" t="s">
        <v>69</v>
      </c>
      <c r="CN80" s="391" t="s">
        <v>69</v>
      </c>
      <c r="CO80" s="391" t="s">
        <v>69</v>
      </c>
      <c r="CP80" s="391" t="s">
        <v>69</v>
      </c>
      <c r="CQ80" s="391" t="s">
        <v>69</v>
      </c>
      <c r="CR80" s="391" t="s">
        <v>69</v>
      </c>
      <c r="CS80" s="391" t="s">
        <v>69</v>
      </c>
      <c r="CT80" s="391" t="s">
        <v>69</v>
      </c>
      <c r="CU80" s="390" t="s">
        <v>212</v>
      </c>
      <c r="CV80" s="390" t="s">
        <v>212</v>
      </c>
      <c r="CW80" s="391" t="s">
        <v>69</v>
      </c>
      <c r="CX80" s="391" t="s">
        <v>69</v>
      </c>
      <c r="CY80" s="391" t="s">
        <v>69</v>
      </c>
      <c r="CZ80" s="391" t="s">
        <v>69</v>
      </c>
      <c r="DA80" s="391" t="s">
        <v>69</v>
      </c>
      <c r="DB80" s="391" t="s">
        <v>69</v>
      </c>
      <c r="DC80" s="391" t="s">
        <v>69</v>
      </c>
      <c r="DD80" s="391" t="s">
        <v>69</v>
      </c>
      <c r="DE80" s="391" t="s">
        <v>69</v>
      </c>
      <c r="DF80" s="391" t="s">
        <v>69</v>
      </c>
      <c r="DG80" s="391" t="s">
        <v>69</v>
      </c>
      <c r="DH80" s="391" t="s">
        <v>69</v>
      </c>
      <c r="DI80" s="391" t="s">
        <v>69</v>
      </c>
      <c r="DJ80" s="391" t="s">
        <v>69</v>
      </c>
      <c r="DK80" s="391" t="s">
        <v>69</v>
      </c>
      <c r="DL80" s="391" t="s">
        <v>69</v>
      </c>
      <c r="DM80" s="391" t="s">
        <v>69</v>
      </c>
      <c r="DN80" s="391" t="s">
        <v>69</v>
      </c>
      <c r="DO80" s="391" t="s">
        <v>69</v>
      </c>
      <c r="DP80" s="391" t="s">
        <v>69</v>
      </c>
      <c r="DQ80" s="391" t="s">
        <v>69</v>
      </c>
      <c r="DR80" s="391" t="s">
        <v>69</v>
      </c>
      <c r="DS80" s="391" t="s">
        <v>69</v>
      </c>
      <c r="DT80" s="391" t="s">
        <v>69</v>
      </c>
      <c r="DU80" s="398">
        <f t="shared" si="4"/>
        <v>3.1746031746031744E-2</v>
      </c>
      <c r="DV80" s="399">
        <f t="shared" si="5"/>
        <v>1</v>
      </c>
    </row>
    <row r="81" spans="1:126" s="230" customFormat="1" ht="120" customHeight="1">
      <c r="A81" s="406" t="s">
        <v>926</v>
      </c>
      <c r="B81" s="407" t="s">
        <v>938</v>
      </c>
      <c r="C81" s="409">
        <v>45992</v>
      </c>
      <c r="D81" s="408" t="s">
        <v>1155</v>
      </c>
      <c r="E81" s="391" t="s">
        <v>69</v>
      </c>
      <c r="F81" s="391" t="s">
        <v>69</v>
      </c>
      <c r="G81" s="391" t="s">
        <v>69</v>
      </c>
      <c r="H81" s="391" t="s">
        <v>69</v>
      </c>
      <c r="I81" s="391" t="s">
        <v>69</v>
      </c>
      <c r="J81" s="391" t="s">
        <v>69</v>
      </c>
      <c r="K81" s="391" t="s">
        <v>69</v>
      </c>
      <c r="L81" s="391" t="s">
        <v>69</v>
      </c>
      <c r="M81" s="391" t="s">
        <v>69</v>
      </c>
      <c r="N81" s="391" t="s">
        <v>69</v>
      </c>
      <c r="O81" s="391" t="s">
        <v>69</v>
      </c>
      <c r="P81" s="391" t="s">
        <v>69</v>
      </c>
      <c r="Q81" s="391" t="s">
        <v>69</v>
      </c>
      <c r="R81" s="391" t="s">
        <v>69</v>
      </c>
      <c r="S81" s="391" t="s">
        <v>69</v>
      </c>
      <c r="T81" s="391" t="s">
        <v>69</v>
      </c>
      <c r="U81" s="391" t="s">
        <v>69</v>
      </c>
      <c r="V81" s="391" t="s">
        <v>69</v>
      </c>
      <c r="W81" s="391" t="s">
        <v>69</v>
      </c>
      <c r="X81" s="391" t="s">
        <v>69</v>
      </c>
      <c r="Y81" s="391" t="s">
        <v>69</v>
      </c>
      <c r="Z81" s="391" t="s">
        <v>69</v>
      </c>
      <c r="AA81" s="391" t="s">
        <v>69</v>
      </c>
      <c r="AB81" s="391" t="s">
        <v>69</v>
      </c>
      <c r="AC81" s="391" t="s">
        <v>69</v>
      </c>
      <c r="AD81" s="391" t="s">
        <v>69</v>
      </c>
      <c r="AE81" s="391" t="s">
        <v>69</v>
      </c>
      <c r="AF81" s="391" t="s">
        <v>69</v>
      </c>
      <c r="AG81" s="391" t="s">
        <v>69</v>
      </c>
      <c r="AH81" s="391" t="s">
        <v>69</v>
      </c>
      <c r="AI81" s="391" t="s">
        <v>69</v>
      </c>
      <c r="AJ81" s="391" t="s">
        <v>69</v>
      </c>
      <c r="AK81" s="391" t="s">
        <v>69</v>
      </c>
      <c r="AL81" s="391" t="s">
        <v>69</v>
      </c>
      <c r="AM81" s="391" t="s">
        <v>69</v>
      </c>
      <c r="AN81" s="391" t="s">
        <v>69</v>
      </c>
      <c r="AO81" s="391" t="s">
        <v>69</v>
      </c>
      <c r="AP81" s="391" t="s">
        <v>69</v>
      </c>
      <c r="AQ81" s="391" t="s">
        <v>69</v>
      </c>
      <c r="AR81" s="391" t="s">
        <v>69</v>
      </c>
      <c r="AS81" s="391" t="s">
        <v>69</v>
      </c>
      <c r="AT81" s="391" t="s">
        <v>69</v>
      </c>
      <c r="AU81" s="391" t="s">
        <v>69</v>
      </c>
      <c r="AV81" s="391" t="s">
        <v>69</v>
      </c>
      <c r="AW81" s="391" t="s">
        <v>69</v>
      </c>
      <c r="AX81" s="391" t="s">
        <v>69</v>
      </c>
      <c r="AY81" s="391" t="s">
        <v>69</v>
      </c>
      <c r="AZ81" s="391" t="s">
        <v>69</v>
      </c>
      <c r="BA81" s="391" t="s">
        <v>69</v>
      </c>
      <c r="BB81" s="391" t="s">
        <v>69</v>
      </c>
      <c r="BC81" s="391" t="s">
        <v>69</v>
      </c>
      <c r="BD81" s="391" t="s">
        <v>69</v>
      </c>
      <c r="BE81" s="391" t="s">
        <v>69</v>
      </c>
      <c r="BF81" s="391" t="s">
        <v>69</v>
      </c>
      <c r="BG81" s="391" t="s">
        <v>69</v>
      </c>
      <c r="BH81" s="391" t="s">
        <v>69</v>
      </c>
      <c r="BI81" s="391" t="s">
        <v>69</v>
      </c>
      <c r="BJ81" s="391" t="s">
        <v>69</v>
      </c>
      <c r="BK81" s="391" t="s">
        <v>69</v>
      </c>
      <c r="BL81" s="391" t="s">
        <v>69</v>
      </c>
      <c r="BM81" s="391" t="s">
        <v>69</v>
      </c>
      <c r="BN81" s="391" t="s">
        <v>69</v>
      </c>
      <c r="BO81" s="391" t="s">
        <v>69</v>
      </c>
      <c r="BP81" s="391" t="s">
        <v>69</v>
      </c>
      <c r="BQ81" s="391" t="s">
        <v>69</v>
      </c>
      <c r="BR81" s="391" t="s">
        <v>69</v>
      </c>
      <c r="BS81" s="391" t="s">
        <v>69</v>
      </c>
      <c r="BT81" s="391" t="s">
        <v>69</v>
      </c>
      <c r="BU81" s="391" t="s">
        <v>69</v>
      </c>
      <c r="BV81" s="391" t="s">
        <v>69</v>
      </c>
      <c r="BW81" s="391" t="s">
        <v>69</v>
      </c>
      <c r="BX81" s="391" t="s">
        <v>69</v>
      </c>
      <c r="BY81" s="391" t="s">
        <v>69</v>
      </c>
      <c r="BZ81" s="391" t="s">
        <v>69</v>
      </c>
      <c r="CA81" s="391" t="s">
        <v>69</v>
      </c>
      <c r="CB81" s="391" t="s">
        <v>69</v>
      </c>
      <c r="CC81" s="391" t="s">
        <v>69</v>
      </c>
      <c r="CD81" s="391" t="s">
        <v>69</v>
      </c>
      <c r="CE81" s="391" t="s">
        <v>69</v>
      </c>
      <c r="CF81" s="391" t="s">
        <v>69</v>
      </c>
      <c r="CG81" s="391" t="s">
        <v>69</v>
      </c>
      <c r="CH81" s="391" t="s">
        <v>69</v>
      </c>
      <c r="CI81" s="391" t="s">
        <v>69</v>
      </c>
      <c r="CJ81" s="391">
        <v>4</v>
      </c>
      <c r="CK81" s="391">
        <v>3</v>
      </c>
      <c r="CL81" s="391">
        <v>3</v>
      </c>
      <c r="CM81" s="391">
        <v>3</v>
      </c>
      <c r="CN81" s="391">
        <v>2</v>
      </c>
      <c r="CO81" s="391" t="s">
        <v>69</v>
      </c>
      <c r="CP81" s="391" t="s">
        <v>69</v>
      </c>
      <c r="CQ81" s="391" t="s">
        <v>69</v>
      </c>
      <c r="CR81" s="391" t="s">
        <v>69</v>
      </c>
      <c r="CS81" s="391" t="s">
        <v>69</v>
      </c>
      <c r="CT81" s="391" t="s">
        <v>69</v>
      </c>
      <c r="CU81" s="390" t="s">
        <v>212</v>
      </c>
      <c r="CV81" s="390" t="s">
        <v>212</v>
      </c>
      <c r="CW81" s="391" t="s">
        <v>69</v>
      </c>
      <c r="CX81" s="391" t="s">
        <v>69</v>
      </c>
      <c r="CY81" s="391" t="s">
        <v>69</v>
      </c>
      <c r="CZ81" s="391" t="s">
        <v>69</v>
      </c>
      <c r="DA81" s="391" t="s">
        <v>69</v>
      </c>
      <c r="DB81" s="391" t="s">
        <v>69</v>
      </c>
      <c r="DC81" s="391" t="s">
        <v>69</v>
      </c>
      <c r="DD81" s="391" t="s">
        <v>69</v>
      </c>
      <c r="DE81" s="391" t="s">
        <v>69</v>
      </c>
      <c r="DF81" s="391" t="s">
        <v>69</v>
      </c>
      <c r="DG81" s="391" t="s">
        <v>69</v>
      </c>
      <c r="DH81" s="391" t="s">
        <v>69</v>
      </c>
      <c r="DI81" s="391" t="s">
        <v>69</v>
      </c>
      <c r="DJ81" s="391" t="s">
        <v>69</v>
      </c>
      <c r="DK81" s="391" t="s">
        <v>69</v>
      </c>
      <c r="DL81" s="391" t="s">
        <v>69</v>
      </c>
      <c r="DM81" s="391" t="s">
        <v>69</v>
      </c>
      <c r="DN81" s="391" t="s">
        <v>69</v>
      </c>
      <c r="DO81" s="391" t="s">
        <v>69</v>
      </c>
      <c r="DP81" s="391" t="s">
        <v>69</v>
      </c>
      <c r="DQ81" s="391" t="s">
        <v>69</v>
      </c>
      <c r="DR81" s="391" t="s">
        <v>69</v>
      </c>
      <c r="DS81" s="391" t="s">
        <v>69</v>
      </c>
      <c r="DT81" s="391" t="s">
        <v>69</v>
      </c>
      <c r="DU81" s="398">
        <f t="shared" si="4"/>
        <v>7.9365079365079361E-2</v>
      </c>
      <c r="DV81" s="399">
        <f t="shared" si="5"/>
        <v>0.8</v>
      </c>
    </row>
    <row r="82" spans="1:126" s="230" customFormat="1" ht="120" customHeight="1">
      <c r="A82" s="406" t="s">
        <v>928</v>
      </c>
      <c r="B82" s="407" t="s">
        <v>940</v>
      </c>
      <c r="C82" s="409">
        <v>45992</v>
      </c>
      <c r="D82" s="408" t="s">
        <v>1155</v>
      </c>
      <c r="E82" s="391" t="s">
        <v>69</v>
      </c>
      <c r="F82" s="391" t="s">
        <v>69</v>
      </c>
      <c r="G82" s="391" t="s">
        <v>69</v>
      </c>
      <c r="H82" s="391" t="s">
        <v>69</v>
      </c>
      <c r="I82" s="391" t="s">
        <v>69</v>
      </c>
      <c r="J82" s="391" t="s">
        <v>69</v>
      </c>
      <c r="K82" s="391" t="s">
        <v>69</v>
      </c>
      <c r="L82" s="391" t="s">
        <v>69</v>
      </c>
      <c r="M82" s="391" t="s">
        <v>69</v>
      </c>
      <c r="N82" s="391" t="s">
        <v>69</v>
      </c>
      <c r="O82" s="391" t="s">
        <v>69</v>
      </c>
      <c r="P82" s="391" t="s">
        <v>69</v>
      </c>
      <c r="Q82" s="391" t="s">
        <v>69</v>
      </c>
      <c r="R82" s="391" t="s">
        <v>69</v>
      </c>
      <c r="S82" s="391" t="s">
        <v>69</v>
      </c>
      <c r="T82" s="391" t="s">
        <v>69</v>
      </c>
      <c r="U82" s="391" t="s">
        <v>69</v>
      </c>
      <c r="V82" s="391" t="s">
        <v>69</v>
      </c>
      <c r="W82" s="391" t="s">
        <v>69</v>
      </c>
      <c r="X82" s="391" t="s">
        <v>69</v>
      </c>
      <c r="Y82" s="391" t="s">
        <v>69</v>
      </c>
      <c r="Z82" s="391" t="s">
        <v>69</v>
      </c>
      <c r="AA82" s="391" t="s">
        <v>69</v>
      </c>
      <c r="AB82" s="391" t="s">
        <v>69</v>
      </c>
      <c r="AC82" s="391" t="s">
        <v>69</v>
      </c>
      <c r="AD82" s="391" t="s">
        <v>69</v>
      </c>
      <c r="AE82" s="391">
        <v>4</v>
      </c>
      <c r="AF82" s="391">
        <v>3</v>
      </c>
      <c r="AG82" s="391">
        <v>3</v>
      </c>
      <c r="AH82" s="391" t="s">
        <v>69</v>
      </c>
      <c r="AI82" s="391" t="s">
        <v>69</v>
      </c>
      <c r="AJ82" s="391" t="s">
        <v>69</v>
      </c>
      <c r="AK82" s="391" t="s">
        <v>69</v>
      </c>
      <c r="AL82" s="391" t="s">
        <v>69</v>
      </c>
      <c r="AM82" s="391" t="s">
        <v>69</v>
      </c>
      <c r="AN82" s="391" t="s">
        <v>69</v>
      </c>
      <c r="AO82" s="391" t="s">
        <v>69</v>
      </c>
      <c r="AP82" s="391" t="s">
        <v>69</v>
      </c>
      <c r="AQ82" s="391" t="s">
        <v>69</v>
      </c>
      <c r="AR82" s="391" t="s">
        <v>69</v>
      </c>
      <c r="AS82" s="391" t="s">
        <v>69</v>
      </c>
      <c r="AT82" s="391" t="s">
        <v>69</v>
      </c>
      <c r="AU82" s="391" t="s">
        <v>69</v>
      </c>
      <c r="AV82" s="391" t="s">
        <v>69</v>
      </c>
      <c r="AW82" s="391" t="s">
        <v>69</v>
      </c>
      <c r="AX82" s="391" t="s">
        <v>69</v>
      </c>
      <c r="AY82" s="391" t="s">
        <v>69</v>
      </c>
      <c r="AZ82" s="391" t="s">
        <v>69</v>
      </c>
      <c r="BA82" s="391" t="s">
        <v>69</v>
      </c>
      <c r="BB82" s="391" t="s">
        <v>69</v>
      </c>
      <c r="BC82" s="391" t="s">
        <v>69</v>
      </c>
      <c r="BD82" s="391" t="s">
        <v>69</v>
      </c>
      <c r="BE82" s="391" t="s">
        <v>69</v>
      </c>
      <c r="BF82" s="391" t="s">
        <v>69</v>
      </c>
      <c r="BG82" s="391">
        <v>3</v>
      </c>
      <c r="BH82" s="391" t="s">
        <v>69</v>
      </c>
      <c r="BI82" s="391" t="s">
        <v>69</v>
      </c>
      <c r="BJ82" s="391" t="s">
        <v>69</v>
      </c>
      <c r="BK82" s="391" t="s">
        <v>69</v>
      </c>
      <c r="BL82" s="391" t="s">
        <v>69</v>
      </c>
      <c r="BM82" s="391" t="s">
        <v>69</v>
      </c>
      <c r="BN82" s="391" t="s">
        <v>69</v>
      </c>
      <c r="BO82" s="391" t="s">
        <v>69</v>
      </c>
      <c r="BP82" s="391" t="s">
        <v>69</v>
      </c>
      <c r="BQ82" s="391" t="s">
        <v>69</v>
      </c>
      <c r="BR82" s="391" t="s">
        <v>69</v>
      </c>
      <c r="BS82" s="391" t="s">
        <v>69</v>
      </c>
      <c r="BT82" s="391" t="s">
        <v>69</v>
      </c>
      <c r="BU82" s="391" t="s">
        <v>69</v>
      </c>
      <c r="BV82" s="391" t="s">
        <v>69</v>
      </c>
      <c r="BW82" s="391" t="s">
        <v>69</v>
      </c>
      <c r="BX82" s="391" t="s">
        <v>69</v>
      </c>
      <c r="BY82" s="391" t="s">
        <v>69</v>
      </c>
      <c r="BZ82" s="391" t="s">
        <v>69</v>
      </c>
      <c r="CA82" s="391" t="s">
        <v>69</v>
      </c>
      <c r="CB82" s="391" t="s">
        <v>69</v>
      </c>
      <c r="CC82" s="391" t="s">
        <v>69</v>
      </c>
      <c r="CD82" s="391" t="s">
        <v>69</v>
      </c>
      <c r="CE82" s="391" t="s">
        <v>69</v>
      </c>
      <c r="CF82" s="391" t="s">
        <v>69</v>
      </c>
      <c r="CG82" s="391" t="s">
        <v>69</v>
      </c>
      <c r="CH82" s="391" t="s">
        <v>69</v>
      </c>
      <c r="CI82" s="391" t="s">
        <v>69</v>
      </c>
      <c r="CJ82" s="391" t="s">
        <v>69</v>
      </c>
      <c r="CK82" s="391" t="s">
        <v>69</v>
      </c>
      <c r="CL82" s="391" t="s">
        <v>69</v>
      </c>
      <c r="CM82" s="391" t="s">
        <v>69</v>
      </c>
      <c r="CN82" s="391" t="s">
        <v>69</v>
      </c>
      <c r="CO82" s="391" t="s">
        <v>69</v>
      </c>
      <c r="CP82" s="391" t="s">
        <v>69</v>
      </c>
      <c r="CQ82" s="391" t="s">
        <v>69</v>
      </c>
      <c r="CR82" s="391" t="s">
        <v>69</v>
      </c>
      <c r="CS82" s="391" t="s">
        <v>69</v>
      </c>
      <c r="CT82" s="391" t="s">
        <v>69</v>
      </c>
      <c r="CU82" s="390" t="s">
        <v>212</v>
      </c>
      <c r="CV82" s="390" t="s">
        <v>212</v>
      </c>
      <c r="CW82" s="391" t="s">
        <v>69</v>
      </c>
      <c r="CX82" s="391" t="s">
        <v>69</v>
      </c>
      <c r="CY82" s="391" t="s">
        <v>69</v>
      </c>
      <c r="CZ82" s="391" t="s">
        <v>69</v>
      </c>
      <c r="DA82" s="391" t="s">
        <v>69</v>
      </c>
      <c r="DB82" s="391" t="s">
        <v>69</v>
      </c>
      <c r="DC82" s="391" t="s">
        <v>69</v>
      </c>
      <c r="DD82" s="391" t="s">
        <v>69</v>
      </c>
      <c r="DE82" s="391" t="s">
        <v>69</v>
      </c>
      <c r="DF82" s="391" t="s">
        <v>69</v>
      </c>
      <c r="DG82" s="391" t="s">
        <v>69</v>
      </c>
      <c r="DH82" s="391" t="s">
        <v>69</v>
      </c>
      <c r="DI82" s="391" t="s">
        <v>69</v>
      </c>
      <c r="DJ82" s="391" t="s">
        <v>69</v>
      </c>
      <c r="DK82" s="391" t="s">
        <v>69</v>
      </c>
      <c r="DL82" s="391" t="s">
        <v>69</v>
      </c>
      <c r="DM82" s="391" t="s">
        <v>69</v>
      </c>
      <c r="DN82" s="391" t="s">
        <v>69</v>
      </c>
      <c r="DO82" s="391" t="s">
        <v>69</v>
      </c>
      <c r="DP82" s="391" t="s">
        <v>69</v>
      </c>
      <c r="DQ82" s="391" t="s">
        <v>69</v>
      </c>
      <c r="DR82" s="391" t="s">
        <v>69</v>
      </c>
      <c r="DS82" s="391" t="s">
        <v>69</v>
      </c>
      <c r="DT82" s="391" t="s">
        <v>69</v>
      </c>
      <c r="DU82" s="398">
        <f t="shared" si="4"/>
        <v>6.3492063492063489E-2</v>
      </c>
      <c r="DV82" s="399">
        <f t="shared" si="5"/>
        <v>1</v>
      </c>
    </row>
    <row r="83" spans="1:126" s="230" customFormat="1" ht="120" customHeight="1">
      <c r="A83" s="406" t="s">
        <v>923</v>
      </c>
      <c r="B83" s="407" t="s">
        <v>935</v>
      </c>
      <c r="C83" s="409">
        <v>45992</v>
      </c>
      <c r="D83" s="408" t="s">
        <v>1155</v>
      </c>
      <c r="E83" s="391">
        <v>3</v>
      </c>
      <c r="F83" s="391" t="s">
        <v>69</v>
      </c>
      <c r="G83" s="391">
        <v>3</v>
      </c>
      <c r="H83" s="391" t="s">
        <v>69</v>
      </c>
      <c r="I83" s="391" t="s">
        <v>69</v>
      </c>
      <c r="J83" s="391" t="s">
        <v>69</v>
      </c>
      <c r="K83" s="391" t="s">
        <v>69</v>
      </c>
      <c r="L83" s="391">
        <v>3</v>
      </c>
      <c r="M83" s="391" t="s">
        <v>69</v>
      </c>
      <c r="N83" s="391" t="s">
        <v>69</v>
      </c>
      <c r="O83" s="391" t="s">
        <v>69</v>
      </c>
      <c r="P83" s="391" t="s">
        <v>69</v>
      </c>
      <c r="Q83" s="391" t="s">
        <v>69</v>
      </c>
      <c r="R83" s="391">
        <v>3</v>
      </c>
      <c r="S83" s="391">
        <v>3</v>
      </c>
      <c r="T83" s="391">
        <v>3</v>
      </c>
      <c r="U83" s="391" t="s">
        <v>69</v>
      </c>
      <c r="V83" s="391" t="s">
        <v>69</v>
      </c>
      <c r="W83" s="391" t="s">
        <v>69</v>
      </c>
      <c r="X83" s="391" t="s">
        <v>69</v>
      </c>
      <c r="Y83" s="391" t="s">
        <v>69</v>
      </c>
      <c r="Z83" s="391" t="s">
        <v>69</v>
      </c>
      <c r="AA83" s="391" t="s">
        <v>69</v>
      </c>
      <c r="AB83" s="391" t="s">
        <v>69</v>
      </c>
      <c r="AC83" s="391" t="s">
        <v>69</v>
      </c>
      <c r="AD83" s="391" t="s">
        <v>69</v>
      </c>
      <c r="AE83" s="391" t="s">
        <v>69</v>
      </c>
      <c r="AF83" s="391" t="s">
        <v>69</v>
      </c>
      <c r="AG83" s="391" t="s">
        <v>69</v>
      </c>
      <c r="AH83" s="391" t="s">
        <v>69</v>
      </c>
      <c r="AI83" s="391" t="s">
        <v>69</v>
      </c>
      <c r="AJ83" s="391" t="s">
        <v>69</v>
      </c>
      <c r="AK83" s="391" t="s">
        <v>69</v>
      </c>
      <c r="AL83" s="391" t="s">
        <v>69</v>
      </c>
      <c r="AM83" s="391" t="s">
        <v>69</v>
      </c>
      <c r="AN83" s="391" t="s">
        <v>69</v>
      </c>
      <c r="AO83" s="391" t="s">
        <v>69</v>
      </c>
      <c r="AP83" s="391" t="s">
        <v>69</v>
      </c>
      <c r="AQ83" s="391" t="s">
        <v>69</v>
      </c>
      <c r="AR83" s="391" t="s">
        <v>69</v>
      </c>
      <c r="AS83" s="391" t="s">
        <v>69</v>
      </c>
      <c r="AT83" s="391" t="s">
        <v>69</v>
      </c>
      <c r="AU83" s="391" t="s">
        <v>69</v>
      </c>
      <c r="AV83" s="391" t="s">
        <v>69</v>
      </c>
      <c r="AW83" s="391" t="s">
        <v>69</v>
      </c>
      <c r="AX83" s="391" t="s">
        <v>69</v>
      </c>
      <c r="AY83" s="391" t="s">
        <v>69</v>
      </c>
      <c r="AZ83" s="391" t="s">
        <v>69</v>
      </c>
      <c r="BA83" s="391" t="s">
        <v>69</v>
      </c>
      <c r="BB83" s="391" t="s">
        <v>69</v>
      </c>
      <c r="BC83" s="391" t="s">
        <v>69</v>
      </c>
      <c r="BD83" s="391" t="s">
        <v>69</v>
      </c>
      <c r="BE83" s="391" t="s">
        <v>69</v>
      </c>
      <c r="BF83" s="391" t="s">
        <v>69</v>
      </c>
      <c r="BG83" s="391" t="s">
        <v>69</v>
      </c>
      <c r="BH83" s="391" t="s">
        <v>69</v>
      </c>
      <c r="BI83" s="391" t="s">
        <v>69</v>
      </c>
      <c r="BJ83" s="391" t="s">
        <v>69</v>
      </c>
      <c r="BK83" s="391" t="s">
        <v>69</v>
      </c>
      <c r="BL83" s="391" t="s">
        <v>69</v>
      </c>
      <c r="BM83" s="391" t="s">
        <v>69</v>
      </c>
      <c r="BN83" s="391" t="s">
        <v>69</v>
      </c>
      <c r="BO83" s="391" t="s">
        <v>69</v>
      </c>
      <c r="BP83" s="391" t="s">
        <v>69</v>
      </c>
      <c r="BQ83" s="391" t="s">
        <v>69</v>
      </c>
      <c r="BR83" s="391" t="s">
        <v>69</v>
      </c>
      <c r="BS83" s="391" t="s">
        <v>69</v>
      </c>
      <c r="BT83" s="391" t="s">
        <v>69</v>
      </c>
      <c r="BU83" s="391" t="s">
        <v>69</v>
      </c>
      <c r="BV83" s="391" t="s">
        <v>69</v>
      </c>
      <c r="BW83" s="391" t="s">
        <v>69</v>
      </c>
      <c r="BX83" s="391" t="s">
        <v>69</v>
      </c>
      <c r="BY83" s="391" t="s">
        <v>69</v>
      </c>
      <c r="BZ83" s="391" t="s">
        <v>69</v>
      </c>
      <c r="CA83" s="391" t="s">
        <v>69</v>
      </c>
      <c r="CB83" s="391" t="s">
        <v>69</v>
      </c>
      <c r="CC83" s="391" t="s">
        <v>69</v>
      </c>
      <c r="CD83" s="391">
        <v>2</v>
      </c>
      <c r="CE83" s="391" t="s">
        <v>69</v>
      </c>
      <c r="CF83" s="391" t="s">
        <v>69</v>
      </c>
      <c r="CG83" s="391" t="s">
        <v>69</v>
      </c>
      <c r="CH83" s="391" t="s">
        <v>69</v>
      </c>
      <c r="CI83" s="391" t="s">
        <v>69</v>
      </c>
      <c r="CJ83" s="391" t="s">
        <v>69</v>
      </c>
      <c r="CK83" s="391" t="s">
        <v>69</v>
      </c>
      <c r="CL83" s="391" t="s">
        <v>69</v>
      </c>
      <c r="CM83" s="391" t="s">
        <v>69</v>
      </c>
      <c r="CN83" s="391" t="s">
        <v>69</v>
      </c>
      <c r="CO83" s="391" t="s">
        <v>69</v>
      </c>
      <c r="CP83" s="391" t="s">
        <v>69</v>
      </c>
      <c r="CQ83" s="391" t="s">
        <v>69</v>
      </c>
      <c r="CR83" s="391" t="s">
        <v>69</v>
      </c>
      <c r="CS83" s="391" t="s">
        <v>69</v>
      </c>
      <c r="CT83" s="391" t="s">
        <v>69</v>
      </c>
      <c r="CU83" s="390" t="s">
        <v>212</v>
      </c>
      <c r="CV83" s="390" t="s">
        <v>212</v>
      </c>
      <c r="CW83" s="391" t="s">
        <v>69</v>
      </c>
      <c r="CX83" s="391" t="s">
        <v>69</v>
      </c>
      <c r="CY83" s="391" t="s">
        <v>69</v>
      </c>
      <c r="CZ83" s="391" t="s">
        <v>69</v>
      </c>
      <c r="DA83" s="391" t="s">
        <v>69</v>
      </c>
      <c r="DB83" s="391" t="s">
        <v>69</v>
      </c>
      <c r="DC83" s="391" t="s">
        <v>69</v>
      </c>
      <c r="DD83" s="391" t="s">
        <v>69</v>
      </c>
      <c r="DE83" s="391" t="s">
        <v>69</v>
      </c>
      <c r="DF83" s="391" t="s">
        <v>69</v>
      </c>
      <c r="DG83" s="391" t="s">
        <v>69</v>
      </c>
      <c r="DH83" s="391" t="s">
        <v>69</v>
      </c>
      <c r="DI83" s="391" t="s">
        <v>69</v>
      </c>
      <c r="DJ83" s="391" t="s">
        <v>69</v>
      </c>
      <c r="DK83" s="391" t="s">
        <v>69</v>
      </c>
      <c r="DL83" s="391" t="s">
        <v>69</v>
      </c>
      <c r="DM83" s="391" t="s">
        <v>69</v>
      </c>
      <c r="DN83" s="391" t="s">
        <v>69</v>
      </c>
      <c r="DO83" s="391" t="s">
        <v>69</v>
      </c>
      <c r="DP83" s="391" t="s">
        <v>69</v>
      </c>
      <c r="DQ83" s="391" t="s">
        <v>69</v>
      </c>
      <c r="DR83" s="391" t="s">
        <v>69</v>
      </c>
      <c r="DS83" s="391" t="s">
        <v>69</v>
      </c>
      <c r="DT83" s="391" t="s">
        <v>69</v>
      </c>
      <c r="DU83" s="398">
        <f t="shared" si="4"/>
        <v>0.1111111111111111</v>
      </c>
      <c r="DV83" s="399">
        <f t="shared" si="5"/>
        <v>0.8571428571428571</v>
      </c>
    </row>
    <row r="84" spans="1:126" s="230" customFormat="1" ht="120" customHeight="1">
      <c r="A84" s="406" t="s">
        <v>922</v>
      </c>
      <c r="B84" s="407" t="s">
        <v>934</v>
      </c>
      <c r="C84" s="409">
        <v>45992</v>
      </c>
      <c r="D84" s="408" t="s">
        <v>1155</v>
      </c>
      <c r="E84" s="391">
        <v>3</v>
      </c>
      <c r="F84" s="391" t="s">
        <v>69</v>
      </c>
      <c r="G84" s="391">
        <v>3</v>
      </c>
      <c r="H84" s="391" t="s">
        <v>69</v>
      </c>
      <c r="I84" s="391" t="s">
        <v>69</v>
      </c>
      <c r="J84" s="391" t="s">
        <v>69</v>
      </c>
      <c r="K84" s="391" t="s">
        <v>69</v>
      </c>
      <c r="L84" s="391" t="s">
        <v>69</v>
      </c>
      <c r="M84" s="391" t="s">
        <v>69</v>
      </c>
      <c r="N84" s="391">
        <v>3</v>
      </c>
      <c r="O84" s="391" t="s">
        <v>69</v>
      </c>
      <c r="P84" s="391" t="s">
        <v>69</v>
      </c>
      <c r="Q84" s="391" t="s">
        <v>69</v>
      </c>
      <c r="R84" s="391" t="s">
        <v>69</v>
      </c>
      <c r="S84" s="391" t="s">
        <v>69</v>
      </c>
      <c r="T84" s="391" t="s">
        <v>69</v>
      </c>
      <c r="U84" s="391" t="s">
        <v>69</v>
      </c>
      <c r="V84" s="391" t="s">
        <v>69</v>
      </c>
      <c r="W84" s="391" t="s">
        <v>69</v>
      </c>
      <c r="X84" s="391" t="s">
        <v>69</v>
      </c>
      <c r="Y84" s="391" t="s">
        <v>69</v>
      </c>
      <c r="Z84" s="391" t="s">
        <v>69</v>
      </c>
      <c r="AA84" s="391" t="s">
        <v>69</v>
      </c>
      <c r="AB84" s="391" t="s">
        <v>69</v>
      </c>
      <c r="AC84" s="391" t="s">
        <v>69</v>
      </c>
      <c r="AD84" s="391" t="s">
        <v>69</v>
      </c>
      <c r="AE84" s="391" t="s">
        <v>69</v>
      </c>
      <c r="AF84" s="391" t="s">
        <v>69</v>
      </c>
      <c r="AG84" s="391" t="s">
        <v>69</v>
      </c>
      <c r="AH84" s="391" t="s">
        <v>69</v>
      </c>
      <c r="AI84" s="391" t="s">
        <v>69</v>
      </c>
      <c r="AJ84" s="391" t="s">
        <v>69</v>
      </c>
      <c r="AK84" s="391" t="s">
        <v>69</v>
      </c>
      <c r="AL84" s="391" t="s">
        <v>69</v>
      </c>
      <c r="AM84" s="391" t="s">
        <v>69</v>
      </c>
      <c r="AN84" s="391" t="s">
        <v>69</v>
      </c>
      <c r="AO84" s="391" t="s">
        <v>69</v>
      </c>
      <c r="AP84" s="391" t="s">
        <v>69</v>
      </c>
      <c r="AQ84" s="391" t="s">
        <v>69</v>
      </c>
      <c r="AR84" s="391" t="s">
        <v>69</v>
      </c>
      <c r="AS84" s="391" t="s">
        <v>69</v>
      </c>
      <c r="AT84" s="391">
        <v>3</v>
      </c>
      <c r="AU84" s="391" t="s">
        <v>69</v>
      </c>
      <c r="AV84" s="391" t="s">
        <v>69</v>
      </c>
      <c r="AW84" s="391" t="s">
        <v>69</v>
      </c>
      <c r="AX84" s="391" t="s">
        <v>69</v>
      </c>
      <c r="AY84" s="391" t="s">
        <v>69</v>
      </c>
      <c r="AZ84" s="391" t="s">
        <v>69</v>
      </c>
      <c r="BA84" s="391" t="s">
        <v>69</v>
      </c>
      <c r="BB84" s="391" t="s">
        <v>69</v>
      </c>
      <c r="BC84" s="391" t="s">
        <v>69</v>
      </c>
      <c r="BD84" s="391" t="s">
        <v>69</v>
      </c>
      <c r="BE84" s="391" t="s">
        <v>69</v>
      </c>
      <c r="BF84" s="391" t="s">
        <v>69</v>
      </c>
      <c r="BG84" s="391" t="s">
        <v>69</v>
      </c>
      <c r="BH84" s="391" t="s">
        <v>69</v>
      </c>
      <c r="BI84" s="391" t="s">
        <v>69</v>
      </c>
      <c r="BJ84" s="391" t="s">
        <v>69</v>
      </c>
      <c r="BK84" s="391" t="s">
        <v>69</v>
      </c>
      <c r="BL84" s="391" t="s">
        <v>69</v>
      </c>
      <c r="BM84" s="391" t="s">
        <v>69</v>
      </c>
      <c r="BN84" s="391" t="s">
        <v>69</v>
      </c>
      <c r="BO84" s="391" t="s">
        <v>69</v>
      </c>
      <c r="BP84" s="391" t="s">
        <v>69</v>
      </c>
      <c r="BQ84" s="391" t="s">
        <v>69</v>
      </c>
      <c r="BR84" s="391" t="s">
        <v>69</v>
      </c>
      <c r="BS84" s="391" t="s">
        <v>69</v>
      </c>
      <c r="BT84" s="391" t="s">
        <v>69</v>
      </c>
      <c r="BU84" s="391" t="s">
        <v>69</v>
      </c>
      <c r="BV84" s="391" t="s">
        <v>69</v>
      </c>
      <c r="BW84" s="391" t="s">
        <v>69</v>
      </c>
      <c r="BX84" s="391" t="s">
        <v>69</v>
      </c>
      <c r="BY84" s="391" t="s">
        <v>69</v>
      </c>
      <c r="BZ84" s="391" t="s">
        <v>69</v>
      </c>
      <c r="CA84" s="391" t="s">
        <v>69</v>
      </c>
      <c r="CB84" s="391" t="s">
        <v>69</v>
      </c>
      <c r="CC84" s="391" t="s">
        <v>69</v>
      </c>
      <c r="CD84" s="391" t="s">
        <v>69</v>
      </c>
      <c r="CE84" s="391" t="s">
        <v>69</v>
      </c>
      <c r="CF84" s="391" t="s">
        <v>69</v>
      </c>
      <c r="CG84" s="391" t="s">
        <v>69</v>
      </c>
      <c r="CH84" s="391" t="s">
        <v>69</v>
      </c>
      <c r="CI84" s="391" t="s">
        <v>69</v>
      </c>
      <c r="CJ84" s="391" t="s">
        <v>69</v>
      </c>
      <c r="CK84" s="391" t="s">
        <v>69</v>
      </c>
      <c r="CL84" s="391" t="s">
        <v>69</v>
      </c>
      <c r="CM84" s="391" t="s">
        <v>69</v>
      </c>
      <c r="CN84" s="391" t="s">
        <v>69</v>
      </c>
      <c r="CO84" s="391" t="s">
        <v>69</v>
      </c>
      <c r="CP84" s="391" t="s">
        <v>69</v>
      </c>
      <c r="CQ84" s="391" t="s">
        <v>69</v>
      </c>
      <c r="CR84" s="391" t="s">
        <v>69</v>
      </c>
      <c r="CS84" s="391" t="s">
        <v>69</v>
      </c>
      <c r="CT84" s="391" t="s">
        <v>69</v>
      </c>
      <c r="CU84" s="390" t="s">
        <v>212</v>
      </c>
      <c r="CV84" s="390" t="s">
        <v>212</v>
      </c>
      <c r="CW84" s="391" t="s">
        <v>69</v>
      </c>
      <c r="CX84" s="391" t="s">
        <v>69</v>
      </c>
      <c r="CY84" s="391" t="s">
        <v>69</v>
      </c>
      <c r="CZ84" s="391" t="s">
        <v>69</v>
      </c>
      <c r="DA84" s="391" t="s">
        <v>69</v>
      </c>
      <c r="DB84" s="391" t="s">
        <v>69</v>
      </c>
      <c r="DC84" s="391" t="s">
        <v>69</v>
      </c>
      <c r="DD84" s="391" t="s">
        <v>69</v>
      </c>
      <c r="DE84" s="391" t="s">
        <v>69</v>
      </c>
      <c r="DF84" s="391" t="s">
        <v>69</v>
      </c>
      <c r="DG84" s="391" t="s">
        <v>69</v>
      </c>
      <c r="DH84" s="391" t="s">
        <v>69</v>
      </c>
      <c r="DI84" s="391" t="s">
        <v>69</v>
      </c>
      <c r="DJ84" s="391" t="s">
        <v>69</v>
      </c>
      <c r="DK84" s="391" t="s">
        <v>69</v>
      </c>
      <c r="DL84" s="391" t="s">
        <v>69</v>
      </c>
      <c r="DM84" s="391" t="s">
        <v>69</v>
      </c>
      <c r="DN84" s="391" t="s">
        <v>69</v>
      </c>
      <c r="DO84" s="391" t="s">
        <v>69</v>
      </c>
      <c r="DP84" s="391" t="s">
        <v>69</v>
      </c>
      <c r="DQ84" s="391" t="s">
        <v>69</v>
      </c>
      <c r="DR84" s="391" t="s">
        <v>69</v>
      </c>
      <c r="DS84" s="391" t="s">
        <v>69</v>
      </c>
      <c r="DT84" s="391" t="s">
        <v>69</v>
      </c>
      <c r="DU84" s="398">
        <f t="shared" si="4"/>
        <v>6.3492063492063489E-2</v>
      </c>
      <c r="DV84" s="399">
        <f t="shared" si="5"/>
        <v>1</v>
      </c>
    </row>
    <row r="85" spans="1:126" s="230" customFormat="1" ht="120" customHeight="1">
      <c r="A85" s="406" t="s">
        <v>921</v>
      </c>
      <c r="B85" s="407" t="s">
        <v>933</v>
      </c>
      <c r="C85" s="409">
        <v>45992</v>
      </c>
      <c r="D85" s="408" t="s">
        <v>1155</v>
      </c>
      <c r="E85" s="391" t="s">
        <v>69</v>
      </c>
      <c r="F85" s="391" t="s">
        <v>69</v>
      </c>
      <c r="G85" s="391" t="s">
        <v>69</v>
      </c>
      <c r="H85" s="391" t="s">
        <v>69</v>
      </c>
      <c r="I85" s="391" t="s">
        <v>69</v>
      </c>
      <c r="J85" s="391">
        <v>3</v>
      </c>
      <c r="K85" s="391" t="s">
        <v>69</v>
      </c>
      <c r="L85" s="391">
        <v>4</v>
      </c>
      <c r="M85" s="391" t="s">
        <v>69</v>
      </c>
      <c r="N85" s="391" t="s">
        <v>69</v>
      </c>
      <c r="O85" s="391" t="s">
        <v>69</v>
      </c>
      <c r="P85" s="391" t="s">
        <v>69</v>
      </c>
      <c r="Q85" s="391" t="s">
        <v>69</v>
      </c>
      <c r="R85" s="391" t="s">
        <v>69</v>
      </c>
      <c r="S85" s="391" t="s">
        <v>69</v>
      </c>
      <c r="T85" s="391" t="s">
        <v>69</v>
      </c>
      <c r="U85" s="391" t="s">
        <v>69</v>
      </c>
      <c r="V85" s="391" t="s">
        <v>69</v>
      </c>
      <c r="W85" s="391" t="s">
        <v>69</v>
      </c>
      <c r="X85" s="391" t="s">
        <v>69</v>
      </c>
      <c r="Y85" s="391" t="s">
        <v>69</v>
      </c>
      <c r="Z85" s="391">
        <v>3</v>
      </c>
      <c r="AA85" s="391">
        <v>3</v>
      </c>
      <c r="AB85" s="391" t="s">
        <v>69</v>
      </c>
      <c r="AC85" s="391" t="s">
        <v>69</v>
      </c>
      <c r="AD85" s="391" t="s">
        <v>69</v>
      </c>
      <c r="AE85" s="391" t="s">
        <v>69</v>
      </c>
      <c r="AF85" s="391" t="s">
        <v>69</v>
      </c>
      <c r="AG85" s="391" t="s">
        <v>69</v>
      </c>
      <c r="AH85" s="391" t="s">
        <v>69</v>
      </c>
      <c r="AI85" s="391" t="s">
        <v>69</v>
      </c>
      <c r="AJ85" s="391" t="s">
        <v>69</v>
      </c>
      <c r="AK85" s="391" t="s">
        <v>69</v>
      </c>
      <c r="AL85" s="391" t="s">
        <v>69</v>
      </c>
      <c r="AM85" s="391" t="s">
        <v>69</v>
      </c>
      <c r="AN85" s="391" t="s">
        <v>69</v>
      </c>
      <c r="AO85" s="391" t="s">
        <v>69</v>
      </c>
      <c r="AP85" s="391" t="s">
        <v>69</v>
      </c>
      <c r="AQ85" s="391" t="s">
        <v>69</v>
      </c>
      <c r="AR85" s="391" t="s">
        <v>69</v>
      </c>
      <c r="AS85" s="391" t="s">
        <v>69</v>
      </c>
      <c r="AT85" s="391" t="s">
        <v>69</v>
      </c>
      <c r="AU85" s="391" t="s">
        <v>69</v>
      </c>
      <c r="AV85" s="391" t="s">
        <v>69</v>
      </c>
      <c r="AW85" s="391" t="s">
        <v>69</v>
      </c>
      <c r="AX85" s="391" t="s">
        <v>69</v>
      </c>
      <c r="AY85" s="391" t="s">
        <v>69</v>
      </c>
      <c r="AZ85" s="391" t="s">
        <v>69</v>
      </c>
      <c r="BA85" s="391">
        <v>3</v>
      </c>
      <c r="BB85" s="391" t="s">
        <v>69</v>
      </c>
      <c r="BC85" s="391" t="s">
        <v>69</v>
      </c>
      <c r="BD85" s="391">
        <v>4</v>
      </c>
      <c r="BE85" s="391" t="s">
        <v>69</v>
      </c>
      <c r="BF85" s="391" t="s">
        <v>69</v>
      </c>
      <c r="BG85" s="391" t="s">
        <v>69</v>
      </c>
      <c r="BH85" s="391" t="s">
        <v>69</v>
      </c>
      <c r="BI85" s="391" t="s">
        <v>69</v>
      </c>
      <c r="BJ85" s="391" t="s">
        <v>69</v>
      </c>
      <c r="BK85" s="391" t="s">
        <v>69</v>
      </c>
      <c r="BL85" s="391" t="s">
        <v>69</v>
      </c>
      <c r="BM85" s="391" t="s">
        <v>69</v>
      </c>
      <c r="BN85" s="391" t="s">
        <v>69</v>
      </c>
      <c r="BO85" s="391" t="s">
        <v>69</v>
      </c>
      <c r="BP85" s="391" t="s">
        <v>69</v>
      </c>
      <c r="BQ85" s="391" t="s">
        <v>69</v>
      </c>
      <c r="BR85" s="391" t="s">
        <v>69</v>
      </c>
      <c r="BS85" s="391" t="s">
        <v>69</v>
      </c>
      <c r="BT85" s="391" t="s">
        <v>69</v>
      </c>
      <c r="BU85" s="391" t="s">
        <v>69</v>
      </c>
      <c r="BV85" s="391" t="s">
        <v>69</v>
      </c>
      <c r="BW85" s="391">
        <v>3</v>
      </c>
      <c r="BX85" s="391" t="s">
        <v>69</v>
      </c>
      <c r="BY85" s="391" t="s">
        <v>69</v>
      </c>
      <c r="BZ85" s="391" t="s">
        <v>69</v>
      </c>
      <c r="CA85" s="391" t="s">
        <v>69</v>
      </c>
      <c r="CB85" s="391" t="s">
        <v>69</v>
      </c>
      <c r="CC85" s="391" t="s">
        <v>69</v>
      </c>
      <c r="CD85" s="391">
        <v>3</v>
      </c>
      <c r="CE85" s="391" t="s">
        <v>69</v>
      </c>
      <c r="CF85" s="391" t="s">
        <v>69</v>
      </c>
      <c r="CG85" s="391" t="s">
        <v>69</v>
      </c>
      <c r="CH85" s="391" t="s">
        <v>69</v>
      </c>
      <c r="CI85" s="391" t="s">
        <v>69</v>
      </c>
      <c r="CJ85" s="391" t="s">
        <v>69</v>
      </c>
      <c r="CK85" s="391" t="s">
        <v>69</v>
      </c>
      <c r="CL85" s="391" t="s">
        <v>69</v>
      </c>
      <c r="CM85" s="391" t="s">
        <v>69</v>
      </c>
      <c r="CN85" s="391" t="s">
        <v>69</v>
      </c>
      <c r="CO85" s="391" t="s">
        <v>69</v>
      </c>
      <c r="CP85" s="391" t="s">
        <v>69</v>
      </c>
      <c r="CQ85" s="391" t="s">
        <v>69</v>
      </c>
      <c r="CR85" s="391" t="s">
        <v>69</v>
      </c>
      <c r="CS85" s="391" t="s">
        <v>69</v>
      </c>
      <c r="CT85" s="391" t="s">
        <v>69</v>
      </c>
      <c r="CU85" s="390" t="s">
        <v>212</v>
      </c>
      <c r="CV85" s="390" t="s">
        <v>212</v>
      </c>
      <c r="CW85" s="391">
        <v>3</v>
      </c>
      <c r="CX85" s="391" t="s">
        <v>69</v>
      </c>
      <c r="CY85" s="391" t="s">
        <v>69</v>
      </c>
      <c r="CZ85" s="391" t="s">
        <v>69</v>
      </c>
      <c r="DA85" s="391" t="s">
        <v>69</v>
      </c>
      <c r="DB85" s="391" t="s">
        <v>69</v>
      </c>
      <c r="DC85" s="391" t="s">
        <v>69</v>
      </c>
      <c r="DD85" s="391" t="s">
        <v>69</v>
      </c>
      <c r="DE85" s="391" t="s">
        <v>69</v>
      </c>
      <c r="DF85" s="391" t="s">
        <v>69</v>
      </c>
      <c r="DG85" s="391" t="s">
        <v>69</v>
      </c>
      <c r="DH85" s="391" t="s">
        <v>69</v>
      </c>
      <c r="DI85" s="391" t="s">
        <v>69</v>
      </c>
      <c r="DJ85" s="391" t="s">
        <v>69</v>
      </c>
      <c r="DK85" s="391" t="s">
        <v>69</v>
      </c>
      <c r="DL85" s="391" t="s">
        <v>69</v>
      </c>
      <c r="DM85" s="391" t="s">
        <v>69</v>
      </c>
      <c r="DN85" s="391" t="s">
        <v>69</v>
      </c>
      <c r="DO85" s="391" t="s">
        <v>69</v>
      </c>
      <c r="DP85" s="391" t="s">
        <v>69</v>
      </c>
      <c r="DQ85" s="391" t="s">
        <v>69</v>
      </c>
      <c r="DR85" s="391" t="s">
        <v>69</v>
      </c>
      <c r="DS85" s="391" t="s">
        <v>69</v>
      </c>
      <c r="DT85" s="391" t="s">
        <v>69</v>
      </c>
      <c r="DU85" s="398">
        <f t="shared" si="4"/>
        <v>0.14285714285714285</v>
      </c>
      <c r="DV85" s="399">
        <f t="shared" si="5"/>
        <v>1</v>
      </c>
    </row>
    <row r="86" spans="1:126" s="230" customFormat="1" ht="120" customHeight="1">
      <c r="A86" s="406" t="s">
        <v>929</v>
      </c>
      <c r="B86" s="407" t="s">
        <v>941</v>
      </c>
      <c r="C86" s="409">
        <v>45992</v>
      </c>
      <c r="D86" s="408" t="s">
        <v>1155</v>
      </c>
      <c r="E86" s="391" t="s">
        <v>69</v>
      </c>
      <c r="F86" s="391" t="s">
        <v>69</v>
      </c>
      <c r="G86" s="391" t="s">
        <v>69</v>
      </c>
      <c r="H86" s="391" t="s">
        <v>69</v>
      </c>
      <c r="I86" s="391" t="s">
        <v>69</v>
      </c>
      <c r="J86" s="391" t="s">
        <v>69</v>
      </c>
      <c r="K86" s="391" t="s">
        <v>69</v>
      </c>
      <c r="L86" s="391" t="s">
        <v>69</v>
      </c>
      <c r="M86" s="391" t="s">
        <v>69</v>
      </c>
      <c r="N86" s="391" t="s">
        <v>69</v>
      </c>
      <c r="O86" s="391" t="s">
        <v>69</v>
      </c>
      <c r="P86" s="391" t="s">
        <v>69</v>
      </c>
      <c r="Q86" s="391" t="s">
        <v>69</v>
      </c>
      <c r="R86" s="391" t="s">
        <v>69</v>
      </c>
      <c r="S86" s="391" t="s">
        <v>69</v>
      </c>
      <c r="T86" s="391" t="s">
        <v>69</v>
      </c>
      <c r="U86" s="391" t="s">
        <v>69</v>
      </c>
      <c r="V86" s="391" t="s">
        <v>69</v>
      </c>
      <c r="W86" s="391" t="s">
        <v>69</v>
      </c>
      <c r="X86" s="391" t="s">
        <v>69</v>
      </c>
      <c r="Y86" s="391" t="s">
        <v>69</v>
      </c>
      <c r="Z86" s="391" t="s">
        <v>69</v>
      </c>
      <c r="AA86" s="391" t="s">
        <v>69</v>
      </c>
      <c r="AB86" s="391" t="s">
        <v>69</v>
      </c>
      <c r="AC86" s="391" t="s">
        <v>69</v>
      </c>
      <c r="AD86" s="391" t="s">
        <v>69</v>
      </c>
      <c r="AE86" s="391" t="s">
        <v>69</v>
      </c>
      <c r="AF86" s="391" t="s">
        <v>69</v>
      </c>
      <c r="AG86" s="391" t="s">
        <v>69</v>
      </c>
      <c r="AH86" s="391" t="s">
        <v>69</v>
      </c>
      <c r="AI86" s="391" t="s">
        <v>69</v>
      </c>
      <c r="AJ86" s="391" t="s">
        <v>69</v>
      </c>
      <c r="AK86" s="391" t="s">
        <v>69</v>
      </c>
      <c r="AL86" s="391" t="s">
        <v>69</v>
      </c>
      <c r="AM86" s="391" t="s">
        <v>69</v>
      </c>
      <c r="AN86" s="391" t="s">
        <v>69</v>
      </c>
      <c r="AO86" s="391" t="s">
        <v>69</v>
      </c>
      <c r="AP86" s="391" t="s">
        <v>69</v>
      </c>
      <c r="AQ86" s="391" t="s">
        <v>69</v>
      </c>
      <c r="AR86" s="391" t="s">
        <v>69</v>
      </c>
      <c r="AS86" s="391" t="s">
        <v>69</v>
      </c>
      <c r="AT86" s="391" t="s">
        <v>69</v>
      </c>
      <c r="AU86" s="391" t="s">
        <v>69</v>
      </c>
      <c r="AV86" s="391" t="s">
        <v>69</v>
      </c>
      <c r="AW86" s="391" t="s">
        <v>69</v>
      </c>
      <c r="AX86" s="391" t="s">
        <v>69</v>
      </c>
      <c r="AY86" s="391" t="s">
        <v>69</v>
      </c>
      <c r="AZ86" s="391" t="s">
        <v>69</v>
      </c>
      <c r="BA86" s="391" t="s">
        <v>69</v>
      </c>
      <c r="BB86" s="391" t="s">
        <v>69</v>
      </c>
      <c r="BC86" s="391" t="s">
        <v>69</v>
      </c>
      <c r="BD86" s="391" t="s">
        <v>69</v>
      </c>
      <c r="BE86" s="391" t="s">
        <v>69</v>
      </c>
      <c r="BF86" s="391" t="s">
        <v>69</v>
      </c>
      <c r="BG86" s="391" t="s">
        <v>69</v>
      </c>
      <c r="BH86" s="391" t="s">
        <v>69</v>
      </c>
      <c r="BI86" s="391" t="s">
        <v>69</v>
      </c>
      <c r="BJ86" s="391">
        <v>3</v>
      </c>
      <c r="BK86" s="391" t="s">
        <v>69</v>
      </c>
      <c r="BL86" s="391" t="s">
        <v>69</v>
      </c>
      <c r="BM86" s="391" t="s">
        <v>69</v>
      </c>
      <c r="BN86" s="391" t="s">
        <v>69</v>
      </c>
      <c r="BO86" s="391" t="s">
        <v>69</v>
      </c>
      <c r="BP86" s="391" t="s">
        <v>69</v>
      </c>
      <c r="BQ86" s="391" t="s">
        <v>69</v>
      </c>
      <c r="BR86" s="391" t="s">
        <v>69</v>
      </c>
      <c r="BS86" s="391" t="s">
        <v>69</v>
      </c>
      <c r="BT86" s="391" t="s">
        <v>69</v>
      </c>
      <c r="BU86" s="391" t="s">
        <v>69</v>
      </c>
      <c r="BV86" s="391" t="s">
        <v>69</v>
      </c>
      <c r="BW86" s="391" t="s">
        <v>69</v>
      </c>
      <c r="BX86" s="391" t="s">
        <v>69</v>
      </c>
      <c r="BY86" s="391" t="s">
        <v>69</v>
      </c>
      <c r="BZ86" s="391" t="s">
        <v>69</v>
      </c>
      <c r="CA86" s="391" t="s">
        <v>69</v>
      </c>
      <c r="CB86" s="391" t="s">
        <v>69</v>
      </c>
      <c r="CC86" s="391" t="s">
        <v>69</v>
      </c>
      <c r="CD86" s="391" t="s">
        <v>69</v>
      </c>
      <c r="CE86" s="391" t="s">
        <v>69</v>
      </c>
      <c r="CF86" s="391" t="s">
        <v>69</v>
      </c>
      <c r="CG86" s="391" t="s">
        <v>69</v>
      </c>
      <c r="CH86" s="391" t="s">
        <v>69</v>
      </c>
      <c r="CI86" s="391" t="s">
        <v>69</v>
      </c>
      <c r="CJ86" s="391" t="s">
        <v>69</v>
      </c>
      <c r="CK86" s="391" t="s">
        <v>69</v>
      </c>
      <c r="CL86" s="391" t="s">
        <v>69</v>
      </c>
      <c r="CM86" s="391" t="s">
        <v>69</v>
      </c>
      <c r="CN86" s="391" t="s">
        <v>69</v>
      </c>
      <c r="CO86" s="391" t="s">
        <v>69</v>
      </c>
      <c r="CP86" s="391" t="s">
        <v>69</v>
      </c>
      <c r="CQ86" s="391" t="s">
        <v>69</v>
      </c>
      <c r="CR86" s="391" t="s">
        <v>69</v>
      </c>
      <c r="CS86" s="391" t="s">
        <v>69</v>
      </c>
      <c r="CT86" s="391" t="s">
        <v>69</v>
      </c>
      <c r="CU86" s="390" t="s">
        <v>212</v>
      </c>
      <c r="CV86" s="390" t="s">
        <v>212</v>
      </c>
      <c r="CW86" s="391" t="s">
        <v>69</v>
      </c>
      <c r="CX86" s="391" t="s">
        <v>69</v>
      </c>
      <c r="CY86" s="391" t="s">
        <v>69</v>
      </c>
      <c r="CZ86" s="391" t="s">
        <v>69</v>
      </c>
      <c r="DA86" s="391" t="s">
        <v>69</v>
      </c>
      <c r="DB86" s="391" t="s">
        <v>69</v>
      </c>
      <c r="DC86" s="391" t="s">
        <v>69</v>
      </c>
      <c r="DD86" s="391" t="s">
        <v>69</v>
      </c>
      <c r="DE86" s="391" t="s">
        <v>69</v>
      </c>
      <c r="DF86" s="391" t="s">
        <v>69</v>
      </c>
      <c r="DG86" s="391" t="s">
        <v>69</v>
      </c>
      <c r="DH86" s="391" t="s">
        <v>69</v>
      </c>
      <c r="DI86" s="391" t="s">
        <v>69</v>
      </c>
      <c r="DJ86" s="391" t="s">
        <v>69</v>
      </c>
      <c r="DK86" s="391" t="s">
        <v>69</v>
      </c>
      <c r="DL86" s="391" t="s">
        <v>69</v>
      </c>
      <c r="DM86" s="391" t="s">
        <v>69</v>
      </c>
      <c r="DN86" s="391" t="s">
        <v>69</v>
      </c>
      <c r="DO86" s="391" t="s">
        <v>69</v>
      </c>
      <c r="DP86" s="391" t="s">
        <v>69</v>
      </c>
      <c r="DQ86" s="391" t="s">
        <v>69</v>
      </c>
      <c r="DR86" s="391" t="s">
        <v>69</v>
      </c>
      <c r="DS86" s="391" t="s">
        <v>69</v>
      </c>
      <c r="DT86" s="391" t="s">
        <v>69</v>
      </c>
      <c r="DU86" s="398">
        <f t="shared" si="4"/>
        <v>1.5873015873015872E-2</v>
      </c>
      <c r="DV86" s="399">
        <f t="shared" si="5"/>
        <v>1</v>
      </c>
    </row>
    <row r="87" spans="1:126" s="230" customFormat="1" ht="120" customHeight="1">
      <c r="A87" s="406" t="s">
        <v>920</v>
      </c>
      <c r="B87" s="407" t="s">
        <v>932</v>
      </c>
      <c r="C87" s="409">
        <v>45992</v>
      </c>
      <c r="D87" s="408" t="s">
        <v>1155</v>
      </c>
      <c r="E87" s="391">
        <v>3</v>
      </c>
      <c r="F87" s="391" t="s">
        <v>69</v>
      </c>
      <c r="G87" s="391">
        <v>3</v>
      </c>
      <c r="H87" s="391">
        <v>3</v>
      </c>
      <c r="I87" s="391" t="s">
        <v>69</v>
      </c>
      <c r="J87" s="391" t="s">
        <v>69</v>
      </c>
      <c r="K87" s="391" t="s">
        <v>69</v>
      </c>
      <c r="L87" s="391" t="s">
        <v>69</v>
      </c>
      <c r="M87" s="391" t="s">
        <v>69</v>
      </c>
      <c r="N87" s="391" t="s">
        <v>69</v>
      </c>
      <c r="O87" s="391" t="s">
        <v>69</v>
      </c>
      <c r="P87" s="391" t="s">
        <v>69</v>
      </c>
      <c r="Q87" s="391" t="s">
        <v>69</v>
      </c>
      <c r="R87" s="391" t="s">
        <v>69</v>
      </c>
      <c r="S87" s="391" t="s">
        <v>69</v>
      </c>
      <c r="T87" s="391" t="s">
        <v>69</v>
      </c>
      <c r="U87" s="391" t="s">
        <v>69</v>
      </c>
      <c r="V87" s="391" t="s">
        <v>69</v>
      </c>
      <c r="W87" s="391" t="s">
        <v>69</v>
      </c>
      <c r="X87" s="391" t="s">
        <v>69</v>
      </c>
      <c r="Y87" s="391" t="s">
        <v>69</v>
      </c>
      <c r="Z87" s="391" t="s">
        <v>69</v>
      </c>
      <c r="AA87" s="391" t="s">
        <v>69</v>
      </c>
      <c r="AB87" s="391" t="s">
        <v>69</v>
      </c>
      <c r="AC87" s="391" t="s">
        <v>69</v>
      </c>
      <c r="AD87" s="391" t="s">
        <v>69</v>
      </c>
      <c r="AE87" s="391" t="s">
        <v>69</v>
      </c>
      <c r="AF87" s="391" t="s">
        <v>69</v>
      </c>
      <c r="AG87" s="391" t="s">
        <v>69</v>
      </c>
      <c r="AH87" s="391" t="s">
        <v>69</v>
      </c>
      <c r="AI87" s="391" t="s">
        <v>69</v>
      </c>
      <c r="AJ87" s="391" t="s">
        <v>69</v>
      </c>
      <c r="AK87" s="391" t="s">
        <v>69</v>
      </c>
      <c r="AL87" s="391" t="s">
        <v>69</v>
      </c>
      <c r="AM87" s="391" t="s">
        <v>69</v>
      </c>
      <c r="AN87" s="391" t="s">
        <v>69</v>
      </c>
      <c r="AO87" s="391" t="s">
        <v>69</v>
      </c>
      <c r="AP87" s="391" t="s">
        <v>69</v>
      </c>
      <c r="AQ87" s="391" t="s">
        <v>69</v>
      </c>
      <c r="AR87" s="391" t="s">
        <v>69</v>
      </c>
      <c r="AS87" s="391" t="s">
        <v>69</v>
      </c>
      <c r="AT87" s="391" t="s">
        <v>69</v>
      </c>
      <c r="AU87" s="391" t="s">
        <v>69</v>
      </c>
      <c r="AV87" s="391" t="s">
        <v>69</v>
      </c>
      <c r="AW87" s="391" t="s">
        <v>69</v>
      </c>
      <c r="AX87" s="391" t="s">
        <v>69</v>
      </c>
      <c r="AY87" s="391" t="s">
        <v>69</v>
      </c>
      <c r="AZ87" s="391" t="s">
        <v>69</v>
      </c>
      <c r="BA87" s="391" t="s">
        <v>69</v>
      </c>
      <c r="BB87" s="391" t="s">
        <v>69</v>
      </c>
      <c r="BC87" s="391" t="s">
        <v>69</v>
      </c>
      <c r="BD87" s="391" t="s">
        <v>69</v>
      </c>
      <c r="BE87" s="391" t="s">
        <v>69</v>
      </c>
      <c r="BF87" s="391" t="s">
        <v>69</v>
      </c>
      <c r="BG87" s="391" t="s">
        <v>69</v>
      </c>
      <c r="BH87" s="391" t="s">
        <v>69</v>
      </c>
      <c r="BI87" s="391" t="s">
        <v>69</v>
      </c>
      <c r="BJ87" s="391" t="s">
        <v>69</v>
      </c>
      <c r="BK87" s="391" t="s">
        <v>69</v>
      </c>
      <c r="BL87" s="391" t="s">
        <v>69</v>
      </c>
      <c r="BM87" s="391" t="s">
        <v>69</v>
      </c>
      <c r="BN87" s="391" t="s">
        <v>69</v>
      </c>
      <c r="BO87" s="391" t="s">
        <v>69</v>
      </c>
      <c r="BP87" s="391" t="s">
        <v>69</v>
      </c>
      <c r="BQ87" s="391" t="s">
        <v>69</v>
      </c>
      <c r="BR87" s="391" t="s">
        <v>69</v>
      </c>
      <c r="BS87" s="391" t="s">
        <v>69</v>
      </c>
      <c r="BT87" s="391" t="s">
        <v>69</v>
      </c>
      <c r="BU87" s="391" t="s">
        <v>69</v>
      </c>
      <c r="BV87" s="391" t="s">
        <v>69</v>
      </c>
      <c r="BW87" s="391" t="s">
        <v>69</v>
      </c>
      <c r="BX87" s="391" t="s">
        <v>69</v>
      </c>
      <c r="BY87" s="391" t="s">
        <v>69</v>
      </c>
      <c r="BZ87" s="391" t="s">
        <v>69</v>
      </c>
      <c r="CA87" s="391" t="s">
        <v>69</v>
      </c>
      <c r="CB87" s="391" t="s">
        <v>69</v>
      </c>
      <c r="CC87" s="391" t="s">
        <v>69</v>
      </c>
      <c r="CD87" s="391" t="s">
        <v>69</v>
      </c>
      <c r="CE87" s="391" t="s">
        <v>69</v>
      </c>
      <c r="CF87" s="391" t="s">
        <v>69</v>
      </c>
      <c r="CG87" s="391" t="s">
        <v>69</v>
      </c>
      <c r="CH87" s="391" t="s">
        <v>69</v>
      </c>
      <c r="CI87" s="391" t="s">
        <v>69</v>
      </c>
      <c r="CJ87" s="391" t="s">
        <v>69</v>
      </c>
      <c r="CK87" s="391" t="s">
        <v>69</v>
      </c>
      <c r="CL87" s="391" t="s">
        <v>69</v>
      </c>
      <c r="CM87" s="391" t="s">
        <v>69</v>
      </c>
      <c r="CN87" s="391" t="s">
        <v>69</v>
      </c>
      <c r="CO87" s="391" t="s">
        <v>69</v>
      </c>
      <c r="CP87" s="391" t="s">
        <v>69</v>
      </c>
      <c r="CQ87" s="391" t="s">
        <v>69</v>
      </c>
      <c r="CR87" s="391" t="s">
        <v>69</v>
      </c>
      <c r="CS87" s="391" t="s">
        <v>69</v>
      </c>
      <c r="CT87" s="391" t="s">
        <v>69</v>
      </c>
      <c r="CU87" s="390" t="s">
        <v>212</v>
      </c>
      <c r="CV87" s="390" t="s">
        <v>212</v>
      </c>
      <c r="CW87" s="391" t="s">
        <v>69</v>
      </c>
      <c r="CX87" s="391" t="s">
        <v>69</v>
      </c>
      <c r="CY87" s="391" t="s">
        <v>69</v>
      </c>
      <c r="CZ87" s="391" t="s">
        <v>69</v>
      </c>
      <c r="DA87" s="391" t="s">
        <v>69</v>
      </c>
      <c r="DB87" s="391" t="s">
        <v>69</v>
      </c>
      <c r="DC87" s="391" t="s">
        <v>69</v>
      </c>
      <c r="DD87" s="391" t="s">
        <v>69</v>
      </c>
      <c r="DE87" s="391" t="s">
        <v>69</v>
      </c>
      <c r="DF87" s="391" t="s">
        <v>69</v>
      </c>
      <c r="DG87" s="391" t="s">
        <v>69</v>
      </c>
      <c r="DH87" s="391" t="s">
        <v>69</v>
      </c>
      <c r="DI87" s="391" t="s">
        <v>69</v>
      </c>
      <c r="DJ87" s="391" t="s">
        <v>69</v>
      </c>
      <c r="DK87" s="391" t="s">
        <v>69</v>
      </c>
      <c r="DL87" s="391" t="s">
        <v>69</v>
      </c>
      <c r="DM87" s="391" t="s">
        <v>69</v>
      </c>
      <c r="DN87" s="391" t="s">
        <v>69</v>
      </c>
      <c r="DO87" s="391" t="s">
        <v>69</v>
      </c>
      <c r="DP87" s="391" t="s">
        <v>69</v>
      </c>
      <c r="DQ87" s="391" t="s">
        <v>69</v>
      </c>
      <c r="DR87" s="391" t="s">
        <v>69</v>
      </c>
      <c r="DS87" s="391" t="s">
        <v>69</v>
      </c>
      <c r="DT87" s="391" t="s">
        <v>69</v>
      </c>
      <c r="DU87" s="398">
        <f t="shared" si="4"/>
        <v>4.7619047619047616E-2</v>
      </c>
      <c r="DV87" s="399">
        <f t="shared" si="5"/>
        <v>1</v>
      </c>
    </row>
    <row r="88" spans="1:126" s="230" customFormat="1" ht="120" customHeight="1">
      <c r="A88" s="406" t="s">
        <v>919</v>
      </c>
      <c r="B88" s="407" t="s">
        <v>931</v>
      </c>
      <c r="C88" s="409">
        <v>45992</v>
      </c>
      <c r="D88" s="408" t="s">
        <v>1155</v>
      </c>
      <c r="E88" s="391" t="s">
        <v>69</v>
      </c>
      <c r="F88" s="391" t="s">
        <v>69</v>
      </c>
      <c r="G88" s="391" t="s">
        <v>69</v>
      </c>
      <c r="H88" s="391" t="s">
        <v>69</v>
      </c>
      <c r="I88" s="391" t="s">
        <v>69</v>
      </c>
      <c r="J88" s="391" t="s">
        <v>69</v>
      </c>
      <c r="K88" s="391" t="s">
        <v>69</v>
      </c>
      <c r="L88" s="391" t="s">
        <v>69</v>
      </c>
      <c r="M88" s="391" t="s">
        <v>69</v>
      </c>
      <c r="N88" s="391">
        <v>3</v>
      </c>
      <c r="O88" s="391" t="s">
        <v>69</v>
      </c>
      <c r="P88" s="391" t="s">
        <v>69</v>
      </c>
      <c r="Q88" s="391" t="s">
        <v>69</v>
      </c>
      <c r="R88" s="391" t="s">
        <v>69</v>
      </c>
      <c r="S88" s="391" t="s">
        <v>69</v>
      </c>
      <c r="T88" s="391" t="s">
        <v>69</v>
      </c>
      <c r="U88" s="391" t="s">
        <v>69</v>
      </c>
      <c r="V88" s="391" t="s">
        <v>69</v>
      </c>
      <c r="W88" s="391" t="s">
        <v>69</v>
      </c>
      <c r="X88" s="391" t="s">
        <v>69</v>
      </c>
      <c r="Y88" s="391" t="s">
        <v>69</v>
      </c>
      <c r="Z88" s="391" t="s">
        <v>69</v>
      </c>
      <c r="AA88" s="391" t="s">
        <v>69</v>
      </c>
      <c r="AB88" s="391" t="s">
        <v>69</v>
      </c>
      <c r="AC88" s="391" t="s">
        <v>69</v>
      </c>
      <c r="AD88" s="391" t="s">
        <v>69</v>
      </c>
      <c r="AE88" s="391" t="s">
        <v>69</v>
      </c>
      <c r="AF88" s="391" t="s">
        <v>69</v>
      </c>
      <c r="AG88" s="391">
        <v>3</v>
      </c>
      <c r="AH88" s="391" t="s">
        <v>69</v>
      </c>
      <c r="AI88" s="391" t="s">
        <v>69</v>
      </c>
      <c r="AJ88" s="391" t="s">
        <v>69</v>
      </c>
      <c r="AK88" s="391" t="s">
        <v>69</v>
      </c>
      <c r="AL88" s="391" t="s">
        <v>69</v>
      </c>
      <c r="AM88" s="391" t="s">
        <v>69</v>
      </c>
      <c r="AN88" s="391" t="s">
        <v>69</v>
      </c>
      <c r="AO88" s="391" t="s">
        <v>69</v>
      </c>
      <c r="AP88" s="391" t="s">
        <v>69</v>
      </c>
      <c r="AQ88" s="391">
        <v>3</v>
      </c>
      <c r="AR88" s="391" t="s">
        <v>69</v>
      </c>
      <c r="AS88" s="391" t="s">
        <v>69</v>
      </c>
      <c r="AT88" s="391">
        <v>3</v>
      </c>
      <c r="AU88" s="391" t="s">
        <v>69</v>
      </c>
      <c r="AV88" s="391" t="s">
        <v>69</v>
      </c>
      <c r="AW88" s="391">
        <v>3</v>
      </c>
      <c r="AX88" s="391" t="s">
        <v>69</v>
      </c>
      <c r="AY88" s="391" t="s">
        <v>69</v>
      </c>
      <c r="AZ88" s="391" t="s">
        <v>69</v>
      </c>
      <c r="BA88" s="391" t="s">
        <v>69</v>
      </c>
      <c r="BB88" s="391" t="s">
        <v>69</v>
      </c>
      <c r="BC88" s="391" t="s">
        <v>69</v>
      </c>
      <c r="BD88" s="391" t="s">
        <v>69</v>
      </c>
      <c r="BE88" s="391" t="s">
        <v>69</v>
      </c>
      <c r="BF88" s="391" t="s">
        <v>69</v>
      </c>
      <c r="BG88" s="391" t="s">
        <v>69</v>
      </c>
      <c r="BH88" s="391" t="s">
        <v>69</v>
      </c>
      <c r="BI88" s="391" t="s">
        <v>69</v>
      </c>
      <c r="BJ88" s="391" t="s">
        <v>69</v>
      </c>
      <c r="BK88" s="391" t="s">
        <v>69</v>
      </c>
      <c r="BL88" s="391" t="s">
        <v>69</v>
      </c>
      <c r="BM88" s="391">
        <v>3</v>
      </c>
      <c r="BN88" s="391" t="s">
        <v>69</v>
      </c>
      <c r="BO88" s="391">
        <v>3</v>
      </c>
      <c r="BP88" s="391" t="s">
        <v>69</v>
      </c>
      <c r="BQ88" s="391" t="s">
        <v>69</v>
      </c>
      <c r="BR88" s="391" t="s">
        <v>69</v>
      </c>
      <c r="BS88" s="391" t="s">
        <v>69</v>
      </c>
      <c r="BT88" s="391" t="s">
        <v>69</v>
      </c>
      <c r="BU88" s="391" t="s">
        <v>69</v>
      </c>
      <c r="BV88" s="391" t="s">
        <v>69</v>
      </c>
      <c r="BW88" s="391" t="s">
        <v>69</v>
      </c>
      <c r="BX88" s="391" t="s">
        <v>69</v>
      </c>
      <c r="BY88" s="391" t="s">
        <v>69</v>
      </c>
      <c r="BZ88" s="391" t="s">
        <v>69</v>
      </c>
      <c r="CA88" s="391" t="s">
        <v>69</v>
      </c>
      <c r="CB88" s="391" t="s">
        <v>69</v>
      </c>
      <c r="CC88" s="391" t="s">
        <v>69</v>
      </c>
      <c r="CD88" s="391" t="s">
        <v>69</v>
      </c>
      <c r="CE88" s="391" t="s">
        <v>69</v>
      </c>
      <c r="CF88" s="391" t="s">
        <v>69</v>
      </c>
      <c r="CG88" s="391" t="s">
        <v>69</v>
      </c>
      <c r="CH88" s="391" t="s">
        <v>69</v>
      </c>
      <c r="CI88" s="391" t="s">
        <v>69</v>
      </c>
      <c r="CJ88" s="391" t="s">
        <v>69</v>
      </c>
      <c r="CK88" s="391" t="s">
        <v>69</v>
      </c>
      <c r="CL88" s="391" t="s">
        <v>69</v>
      </c>
      <c r="CM88" s="391" t="s">
        <v>69</v>
      </c>
      <c r="CN88" s="391" t="s">
        <v>69</v>
      </c>
      <c r="CO88" s="391" t="s">
        <v>69</v>
      </c>
      <c r="CP88" s="391" t="s">
        <v>69</v>
      </c>
      <c r="CQ88" s="391" t="s">
        <v>69</v>
      </c>
      <c r="CR88" s="391" t="s">
        <v>69</v>
      </c>
      <c r="CS88" s="391" t="s">
        <v>69</v>
      </c>
      <c r="CT88" s="391" t="s">
        <v>69</v>
      </c>
      <c r="CU88" s="390" t="s">
        <v>212</v>
      </c>
      <c r="CV88" s="390" t="s">
        <v>212</v>
      </c>
      <c r="CW88" s="391" t="s">
        <v>69</v>
      </c>
      <c r="CX88" s="391" t="s">
        <v>69</v>
      </c>
      <c r="CY88" s="391" t="s">
        <v>69</v>
      </c>
      <c r="CZ88" s="391">
        <v>3</v>
      </c>
      <c r="DA88" s="391" t="s">
        <v>69</v>
      </c>
      <c r="DB88" s="391">
        <v>3</v>
      </c>
      <c r="DC88" s="391" t="s">
        <v>69</v>
      </c>
      <c r="DD88" s="391" t="s">
        <v>69</v>
      </c>
      <c r="DE88" s="391" t="s">
        <v>69</v>
      </c>
      <c r="DF88" s="391" t="s">
        <v>69</v>
      </c>
      <c r="DG88" s="391" t="s">
        <v>69</v>
      </c>
      <c r="DH88" s="391" t="s">
        <v>69</v>
      </c>
      <c r="DI88" s="391" t="s">
        <v>69</v>
      </c>
      <c r="DJ88" s="391" t="s">
        <v>69</v>
      </c>
      <c r="DK88" s="391" t="s">
        <v>69</v>
      </c>
      <c r="DL88" s="391" t="s">
        <v>69</v>
      </c>
      <c r="DM88" s="391" t="s">
        <v>69</v>
      </c>
      <c r="DN88" s="391" t="s">
        <v>69</v>
      </c>
      <c r="DO88" s="391" t="s">
        <v>69</v>
      </c>
      <c r="DP88" s="391" t="s">
        <v>69</v>
      </c>
      <c r="DQ88" s="391" t="s">
        <v>69</v>
      </c>
      <c r="DR88" s="391" t="s">
        <v>69</v>
      </c>
      <c r="DS88" s="391" t="s">
        <v>69</v>
      </c>
      <c r="DT88" s="391" t="s">
        <v>69</v>
      </c>
      <c r="DU88" s="398">
        <f t="shared" si="4"/>
        <v>0.14285714285714285</v>
      </c>
      <c r="DV88" s="399">
        <f t="shared" si="5"/>
        <v>1</v>
      </c>
    </row>
    <row r="89" spans="1:126" s="230" customFormat="1" ht="120" customHeight="1">
      <c r="A89" s="406" t="s">
        <v>930</v>
      </c>
      <c r="B89" s="407" t="s">
        <v>942</v>
      </c>
      <c r="C89" s="409">
        <v>45992</v>
      </c>
      <c r="D89" s="408" t="s">
        <v>1155</v>
      </c>
      <c r="E89" s="391">
        <v>3</v>
      </c>
      <c r="F89" s="391" t="s">
        <v>69</v>
      </c>
      <c r="G89" s="391">
        <v>3</v>
      </c>
      <c r="H89" s="391" t="s">
        <v>69</v>
      </c>
      <c r="I89" s="391" t="s">
        <v>69</v>
      </c>
      <c r="J89" s="391">
        <v>3</v>
      </c>
      <c r="K89" s="391" t="s">
        <v>69</v>
      </c>
      <c r="L89" s="391" t="s">
        <v>69</v>
      </c>
      <c r="M89" s="391" t="s">
        <v>69</v>
      </c>
      <c r="N89" s="391" t="s">
        <v>69</v>
      </c>
      <c r="O89" s="391" t="s">
        <v>69</v>
      </c>
      <c r="P89" s="391" t="s">
        <v>69</v>
      </c>
      <c r="Q89" s="391" t="s">
        <v>69</v>
      </c>
      <c r="R89" s="391" t="s">
        <v>69</v>
      </c>
      <c r="S89" s="391" t="s">
        <v>69</v>
      </c>
      <c r="T89" s="391" t="s">
        <v>69</v>
      </c>
      <c r="U89" s="391" t="s">
        <v>69</v>
      </c>
      <c r="V89" s="391" t="s">
        <v>69</v>
      </c>
      <c r="W89" s="391" t="s">
        <v>69</v>
      </c>
      <c r="X89" s="391" t="s">
        <v>69</v>
      </c>
      <c r="Y89" s="391" t="s">
        <v>69</v>
      </c>
      <c r="Z89" s="391" t="s">
        <v>69</v>
      </c>
      <c r="AA89" s="391" t="s">
        <v>69</v>
      </c>
      <c r="AB89" s="391" t="s">
        <v>69</v>
      </c>
      <c r="AC89" s="391" t="s">
        <v>69</v>
      </c>
      <c r="AD89" s="391" t="s">
        <v>69</v>
      </c>
      <c r="AE89" s="391" t="s">
        <v>69</v>
      </c>
      <c r="AF89" s="391" t="s">
        <v>69</v>
      </c>
      <c r="AG89" s="391" t="s">
        <v>69</v>
      </c>
      <c r="AH89" s="391" t="s">
        <v>69</v>
      </c>
      <c r="AI89" s="391" t="s">
        <v>69</v>
      </c>
      <c r="AJ89" s="391" t="s">
        <v>69</v>
      </c>
      <c r="AK89" s="391" t="s">
        <v>69</v>
      </c>
      <c r="AL89" s="391" t="s">
        <v>69</v>
      </c>
      <c r="AM89" s="391" t="s">
        <v>69</v>
      </c>
      <c r="AN89" s="391" t="s">
        <v>69</v>
      </c>
      <c r="AO89" s="391" t="s">
        <v>69</v>
      </c>
      <c r="AP89" s="391" t="s">
        <v>69</v>
      </c>
      <c r="AQ89" s="391" t="s">
        <v>69</v>
      </c>
      <c r="AR89" s="391" t="s">
        <v>69</v>
      </c>
      <c r="AS89" s="391" t="s">
        <v>69</v>
      </c>
      <c r="AT89" s="391" t="s">
        <v>69</v>
      </c>
      <c r="AU89" s="391" t="s">
        <v>69</v>
      </c>
      <c r="AV89" s="391" t="s">
        <v>69</v>
      </c>
      <c r="AW89" s="391" t="s">
        <v>69</v>
      </c>
      <c r="AX89" s="391" t="s">
        <v>69</v>
      </c>
      <c r="AY89" s="391" t="s">
        <v>69</v>
      </c>
      <c r="AZ89" s="391" t="s">
        <v>69</v>
      </c>
      <c r="BA89" s="391" t="s">
        <v>69</v>
      </c>
      <c r="BB89" s="391" t="s">
        <v>69</v>
      </c>
      <c r="BC89" s="391" t="s">
        <v>69</v>
      </c>
      <c r="BD89" s="391" t="s">
        <v>69</v>
      </c>
      <c r="BE89" s="391" t="s">
        <v>69</v>
      </c>
      <c r="BF89" s="391" t="s">
        <v>69</v>
      </c>
      <c r="BG89" s="391" t="s">
        <v>69</v>
      </c>
      <c r="BH89" s="391" t="s">
        <v>69</v>
      </c>
      <c r="BI89" s="391" t="s">
        <v>69</v>
      </c>
      <c r="BJ89" s="391" t="s">
        <v>69</v>
      </c>
      <c r="BK89" s="391" t="s">
        <v>69</v>
      </c>
      <c r="BL89" s="391" t="s">
        <v>69</v>
      </c>
      <c r="BM89" s="391" t="s">
        <v>69</v>
      </c>
      <c r="BN89" s="391" t="s">
        <v>69</v>
      </c>
      <c r="BO89" s="391" t="s">
        <v>69</v>
      </c>
      <c r="BP89" s="391" t="s">
        <v>69</v>
      </c>
      <c r="BQ89" s="391">
        <v>3</v>
      </c>
      <c r="BR89" s="391" t="s">
        <v>69</v>
      </c>
      <c r="BS89" s="391" t="s">
        <v>69</v>
      </c>
      <c r="BT89" s="391" t="s">
        <v>69</v>
      </c>
      <c r="BU89" s="391" t="s">
        <v>69</v>
      </c>
      <c r="BV89" s="391" t="s">
        <v>69</v>
      </c>
      <c r="BW89" s="391" t="s">
        <v>69</v>
      </c>
      <c r="BX89" s="391" t="s">
        <v>69</v>
      </c>
      <c r="BY89" s="391" t="s">
        <v>69</v>
      </c>
      <c r="BZ89" s="391" t="s">
        <v>69</v>
      </c>
      <c r="CA89" s="391" t="s">
        <v>69</v>
      </c>
      <c r="CB89" s="391" t="s">
        <v>69</v>
      </c>
      <c r="CC89" s="391" t="s">
        <v>69</v>
      </c>
      <c r="CD89" s="391" t="s">
        <v>69</v>
      </c>
      <c r="CE89" s="391" t="s">
        <v>69</v>
      </c>
      <c r="CF89" s="391" t="s">
        <v>69</v>
      </c>
      <c r="CG89" s="391" t="s">
        <v>69</v>
      </c>
      <c r="CH89" s="391" t="s">
        <v>69</v>
      </c>
      <c r="CI89" s="391" t="s">
        <v>69</v>
      </c>
      <c r="CJ89" s="391" t="s">
        <v>69</v>
      </c>
      <c r="CK89" s="391">
        <v>3</v>
      </c>
      <c r="CL89" s="391" t="s">
        <v>69</v>
      </c>
      <c r="CM89" s="391" t="s">
        <v>69</v>
      </c>
      <c r="CN89" s="391" t="s">
        <v>69</v>
      </c>
      <c r="CO89" s="391" t="s">
        <v>69</v>
      </c>
      <c r="CP89" s="391" t="s">
        <v>69</v>
      </c>
      <c r="CQ89" s="391" t="s">
        <v>69</v>
      </c>
      <c r="CR89" s="391" t="s">
        <v>69</v>
      </c>
      <c r="CS89" s="391" t="s">
        <v>69</v>
      </c>
      <c r="CT89" s="391" t="s">
        <v>69</v>
      </c>
      <c r="CU89" s="390" t="s">
        <v>212</v>
      </c>
      <c r="CV89" s="390" t="s">
        <v>212</v>
      </c>
      <c r="CW89" s="391" t="s">
        <v>69</v>
      </c>
      <c r="CX89" s="391" t="s">
        <v>69</v>
      </c>
      <c r="CY89" s="391" t="s">
        <v>69</v>
      </c>
      <c r="CZ89" s="391" t="s">
        <v>69</v>
      </c>
      <c r="DA89" s="391" t="s">
        <v>69</v>
      </c>
      <c r="DB89" s="391" t="s">
        <v>69</v>
      </c>
      <c r="DC89" s="391" t="s">
        <v>69</v>
      </c>
      <c r="DD89" s="391" t="s">
        <v>69</v>
      </c>
      <c r="DE89" s="391" t="s">
        <v>69</v>
      </c>
      <c r="DF89" s="391" t="s">
        <v>69</v>
      </c>
      <c r="DG89" s="391" t="s">
        <v>69</v>
      </c>
      <c r="DH89" s="391" t="s">
        <v>69</v>
      </c>
      <c r="DI89" s="391" t="s">
        <v>69</v>
      </c>
      <c r="DJ89" s="391" t="s">
        <v>69</v>
      </c>
      <c r="DK89" s="391">
        <v>3</v>
      </c>
      <c r="DL89" s="391">
        <v>3</v>
      </c>
      <c r="DM89" s="391" t="s">
        <v>69</v>
      </c>
      <c r="DN89" s="391" t="s">
        <v>69</v>
      </c>
      <c r="DO89" s="391" t="s">
        <v>69</v>
      </c>
      <c r="DP89" s="391" t="s">
        <v>69</v>
      </c>
      <c r="DQ89" s="391" t="s">
        <v>69</v>
      </c>
      <c r="DR89" s="391" t="s">
        <v>69</v>
      </c>
      <c r="DS89" s="391" t="s">
        <v>69</v>
      </c>
      <c r="DT89" s="391" t="s">
        <v>69</v>
      </c>
      <c r="DU89" s="398">
        <f t="shared" si="4"/>
        <v>0.1111111111111111</v>
      </c>
      <c r="DV89" s="399">
        <f t="shared" si="5"/>
        <v>1</v>
      </c>
    </row>
    <row r="90" spans="1:126" s="230" customFormat="1" ht="120" customHeight="1">
      <c r="A90" s="406" t="s">
        <v>925</v>
      </c>
      <c r="B90" s="407" t="s">
        <v>937</v>
      </c>
      <c r="C90" s="409">
        <v>45992</v>
      </c>
      <c r="D90" s="408" t="s">
        <v>1155</v>
      </c>
      <c r="E90" s="391">
        <v>3</v>
      </c>
      <c r="F90" s="391" t="s">
        <v>69</v>
      </c>
      <c r="G90" s="391">
        <v>3</v>
      </c>
      <c r="H90" s="391" t="s">
        <v>69</v>
      </c>
      <c r="I90" s="391" t="s">
        <v>69</v>
      </c>
      <c r="J90" s="391" t="s">
        <v>69</v>
      </c>
      <c r="K90" s="391" t="s">
        <v>69</v>
      </c>
      <c r="L90" s="391" t="s">
        <v>69</v>
      </c>
      <c r="M90" s="391" t="s">
        <v>69</v>
      </c>
      <c r="N90" s="391" t="s">
        <v>69</v>
      </c>
      <c r="O90" s="391" t="s">
        <v>69</v>
      </c>
      <c r="P90" s="391" t="s">
        <v>69</v>
      </c>
      <c r="Q90" s="391" t="s">
        <v>69</v>
      </c>
      <c r="R90" s="391" t="s">
        <v>69</v>
      </c>
      <c r="S90" s="391" t="s">
        <v>69</v>
      </c>
      <c r="T90" s="391" t="s">
        <v>69</v>
      </c>
      <c r="U90" s="391" t="s">
        <v>69</v>
      </c>
      <c r="V90" s="391" t="s">
        <v>69</v>
      </c>
      <c r="W90" s="391" t="s">
        <v>69</v>
      </c>
      <c r="X90" s="391" t="s">
        <v>69</v>
      </c>
      <c r="Y90" s="391" t="s">
        <v>69</v>
      </c>
      <c r="Z90" s="391" t="s">
        <v>69</v>
      </c>
      <c r="AA90" s="391" t="s">
        <v>69</v>
      </c>
      <c r="AB90" s="391" t="s">
        <v>69</v>
      </c>
      <c r="AC90" s="391" t="s">
        <v>69</v>
      </c>
      <c r="AD90" s="391" t="s">
        <v>69</v>
      </c>
      <c r="AE90" s="391" t="s">
        <v>69</v>
      </c>
      <c r="AF90" s="391" t="s">
        <v>69</v>
      </c>
      <c r="AG90" s="391" t="s">
        <v>69</v>
      </c>
      <c r="AH90" s="391" t="s">
        <v>69</v>
      </c>
      <c r="AI90" s="391" t="s">
        <v>69</v>
      </c>
      <c r="AJ90" s="391" t="s">
        <v>69</v>
      </c>
      <c r="AK90" s="391" t="s">
        <v>69</v>
      </c>
      <c r="AL90" s="391" t="s">
        <v>69</v>
      </c>
      <c r="AM90" s="391" t="s">
        <v>69</v>
      </c>
      <c r="AN90" s="391" t="s">
        <v>69</v>
      </c>
      <c r="AO90" s="391" t="s">
        <v>69</v>
      </c>
      <c r="AP90" s="391" t="s">
        <v>69</v>
      </c>
      <c r="AQ90" s="391" t="s">
        <v>69</v>
      </c>
      <c r="AR90" s="391" t="s">
        <v>69</v>
      </c>
      <c r="AS90" s="391" t="s">
        <v>69</v>
      </c>
      <c r="AT90" s="391" t="s">
        <v>69</v>
      </c>
      <c r="AU90" s="391" t="s">
        <v>69</v>
      </c>
      <c r="AV90" s="391" t="s">
        <v>69</v>
      </c>
      <c r="AW90" s="391" t="s">
        <v>69</v>
      </c>
      <c r="AX90" s="391" t="s">
        <v>69</v>
      </c>
      <c r="AY90" s="391" t="s">
        <v>69</v>
      </c>
      <c r="AZ90" s="391" t="s">
        <v>69</v>
      </c>
      <c r="BA90" s="391" t="s">
        <v>69</v>
      </c>
      <c r="BB90" s="391" t="s">
        <v>69</v>
      </c>
      <c r="BC90" s="391" t="s">
        <v>69</v>
      </c>
      <c r="BD90" s="391" t="s">
        <v>69</v>
      </c>
      <c r="BE90" s="391" t="s">
        <v>69</v>
      </c>
      <c r="BF90" s="391" t="s">
        <v>69</v>
      </c>
      <c r="BG90" s="391" t="s">
        <v>69</v>
      </c>
      <c r="BH90" s="391" t="s">
        <v>69</v>
      </c>
      <c r="BI90" s="391" t="s">
        <v>69</v>
      </c>
      <c r="BJ90" s="391" t="s">
        <v>69</v>
      </c>
      <c r="BK90" s="391" t="s">
        <v>69</v>
      </c>
      <c r="BL90" s="391" t="s">
        <v>69</v>
      </c>
      <c r="BM90" s="391" t="s">
        <v>69</v>
      </c>
      <c r="BN90" s="391" t="s">
        <v>69</v>
      </c>
      <c r="BO90" s="391" t="s">
        <v>69</v>
      </c>
      <c r="BP90" s="391" t="s">
        <v>69</v>
      </c>
      <c r="BQ90" s="391" t="s">
        <v>69</v>
      </c>
      <c r="BR90" s="391" t="s">
        <v>69</v>
      </c>
      <c r="BS90" s="391" t="s">
        <v>69</v>
      </c>
      <c r="BT90" s="391" t="s">
        <v>69</v>
      </c>
      <c r="BU90" s="391" t="s">
        <v>69</v>
      </c>
      <c r="BV90" s="391" t="s">
        <v>69</v>
      </c>
      <c r="BW90" s="391" t="s">
        <v>69</v>
      </c>
      <c r="BX90" s="391" t="s">
        <v>69</v>
      </c>
      <c r="BY90" s="391" t="s">
        <v>69</v>
      </c>
      <c r="BZ90" s="391" t="s">
        <v>69</v>
      </c>
      <c r="CA90" s="391" t="s">
        <v>69</v>
      </c>
      <c r="CB90" s="391" t="s">
        <v>69</v>
      </c>
      <c r="CC90" s="391" t="s">
        <v>69</v>
      </c>
      <c r="CD90" s="391" t="s">
        <v>69</v>
      </c>
      <c r="CE90" s="391" t="s">
        <v>69</v>
      </c>
      <c r="CF90" s="391" t="s">
        <v>69</v>
      </c>
      <c r="CG90" s="391" t="s">
        <v>69</v>
      </c>
      <c r="CH90" s="391" t="s">
        <v>69</v>
      </c>
      <c r="CI90" s="391" t="s">
        <v>69</v>
      </c>
      <c r="CJ90" s="391">
        <v>3</v>
      </c>
      <c r="CK90" s="391">
        <v>3</v>
      </c>
      <c r="CL90" s="391" t="s">
        <v>69</v>
      </c>
      <c r="CM90" s="391" t="s">
        <v>69</v>
      </c>
      <c r="CN90" s="391" t="s">
        <v>69</v>
      </c>
      <c r="CO90" s="391" t="s">
        <v>69</v>
      </c>
      <c r="CP90" s="391" t="s">
        <v>69</v>
      </c>
      <c r="CQ90" s="391" t="s">
        <v>69</v>
      </c>
      <c r="CR90" s="391" t="s">
        <v>69</v>
      </c>
      <c r="CS90" s="391" t="s">
        <v>69</v>
      </c>
      <c r="CT90" s="391" t="s">
        <v>69</v>
      </c>
      <c r="CU90" s="390" t="s">
        <v>212</v>
      </c>
      <c r="CV90" s="390" t="s">
        <v>212</v>
      </c>
      <c r="CW90" s="391" t="s">
        <v>69</v>
      </c>
      <c r="CX90" s="391" t="s">
        <v>69</v>
      </c>
      <c r="CY90" s="391" t="s">
        <v>69</v>
      </c>
      <c r="CZ90" s="391" t="s">
        <v>69</v>
      </c>
      <c r="DA90" s="391" t="s">
        <v>69</v>
      </c>
      <c r="DB90" s="391" t="s">
        <v>69</v>
      </c>
      <c r="DC90" s="391" t="s">
        <v>69</v>
      </c>
      <c r="DD90" s="391" t="s">
        <v>69</v>
      </c>
      <c r="DE90" s="391" t="s">
        <v>69</v>
      </c>
      <c r="DF90" s="391" t="s">
        <v>69</v>
      </c>
      <c r="DG90" s="391" t="s">
        <v>69</v>
      </c>
      <c r="DH90" s="391" t="s">
        <v>69</v>
      </c>
      <c r="DI90" s="391" t="s">
        <v>69</v>
      </c>
      <c r="DJ90" s="391" t="s">
        <v>69</v>
      </c>
      <c r="DK90" s="391" t="s">
        <v>69</v>
      </c>
      <c r="DL90" s="391" t="s">
        <v>69</v>
      </c>
      <c r="DM90" s="391" t="s">
        <v>69</v>
      </c>
      <c r="DN90" s="391" t="s">
        <v>69</v>
      </c>
      <c r="DO90" s="391" t="s">
        <v>69</v>
      </c>
      <c r="DP90" s="391" t="s">
        <v>69</v>
      </c>
      <c r="DQ90" s="391" t="s">
        <v>69</v>
      </c>
      <c r="DR90" s="391" t="s">
        <v>69</v>
      </c>
      <c r="DS90" s="391" t="s">
        <v>69</v>
      </c>
      <c r="DT90" s="391" t="s">
        <v>69</v>
      </c>
      <c r="DU90" s="398">
        <f t="shared" si="4"/>
        <v>6.3492063492063489E-2</v>
      </c>
      <c r="DV90" s="399">
        <f t="shared" si="5"/>
        <v>1</v>
      </c>
    </row>
    <row r="91" spans="1:126" s="230" customFormat="1" ht="120" customHeight="1">
      <c r="A91" s="406" t="s">
        <v>1220</v>
      </c>
      <c r="B91" s="407" t="s">
        <v>1219</v>
      </c>
      <c r="C91" s="409">
        <v>46006</v>
      </c>
      <c r="D91" s="408" t="s">
        <v>635</v>
      </c>
      <c r="E91" s="391" t="s">
        <v>69</v>
      </c>
      <c r="F91" s="391" t="s">
        <v>69</v>
      </c>
      <c r="G91" s="391" t="s">
        <v>69</v>
      </c>
      <c r="H91" s="391" t="s">
        <v>69</v>
      </c>
      <c r="I91" s="391" t="s">
        <v>69</v>
      </c>
      <c r="J91" s="391" t="s">
        <v>69</v>
      </c>
      <c r="K91" s="391" t="s">
        <v>69</v>
      </c>
      <c r="L91" s="391" t="s">
        <v>69</v>
      </c>
      <c r="M91" s="391" t="s">
        <v>69</v>
      </c>
      <c r="N91" s="391" t="s">
        <v>69</v>
      </c>
      <c r="O91" s="391" t="s">
        <v>69</v>
      </c>
      <c r="P91" s="391" t="s">
        <v>69</v>
      </c>
      <c r="Q91" s="391" t="s">
        <v>69</v>
      </c>
      <c r="R91" s="391" t="s">
        <v>69</v>
      </c>
      <c r="S91" s="391" t="s">
        <v>69</v>
      </c>
      <c r="T91" s="391" t="s">
        <v>69</v>
      </c>
      <c r="U91" s="391" t="s">
        <v>69</v>
      </c>
      <c r="V91" s="391" t="s">
        <v>69</v>
      </c>
      <c r="W91" s="391" t="s">
        <v>69</v>
      </c>
      <c r="X91" s="391" t="s">
        <v>69</v>
      </c>
      <c r="Y91" s="391" t="s">
        <v>69</v>
      </c>
      <c r="Z91" s="391" t="s">
        <v>69</v>
      </c>
      <c r="AA91" s="391" t="s">
        <v>69</v>
      </c>
      <c r="AB91" s="391" t="s">
        <v>69</v>
      </c>
      <c r="AC91" s="391" t="s">
        <v>69</v>
      </c>
      <c r="AD91" s="391" t="s">
        <v>69</v>
      </c>
      <c r="AE91" s="391" t="s">
        <v>69</v>
      </c>
      <c r="AF91" s="391" t="s">
        <v>69</v>
      </c>
      <c r="AG91" s="391">
        <v>3</v>
      </c>
      <c r="AH91" s="391" t="s">
        <v>69</v>
      </c>
      <c r="AI91" s="391" t="s">
        <v>69</v>
      </c>
      <c r="AJ91" s="391" t="s">
        <v>69</v>
      </c>
      <c r="AK91" s="391" t="s">
        <v>69</v>
      </c>
      <c r="AL91" s="391" t="s">
        <v>69</v>
      </c>
      <c r="AM91" s="391" t="s">
        <v>69</v>
      </c>
      <c r="AN91" s="391" t="s">
        <v>69</v>
      </c>
      <c r="AO91" s="391" t="s">
        <v>69</v>
      </c>
      <c r="AP91" s="391" t="s">
        <v>69</v>
      </c>
      <c r="AQ91" s="391" t="s">
        <v>69</v>
      </c>
      <c r="AR91" s="391" t="s">
        <v>69</v>
      </c>
      <c r="AS91" s="391" t="s">
        <v>69</v>
      </c>
      <c r="AT91" s="391">
        <v>3</v>
      </c>
      <c r="AU91" s="391" t="s">
        <v>69</v>
      </c>
      <c r="AV91" s="391" t="s">
        <v>69</v>
      </c>
      <c r="AW91" s="391" t="s">
        <v>69</v>
      </c>
      <c r="AX91" s="391" t="s">
        <v>69</v>
      </c>
      <c r="AY91" s="391" t="s">
        <v>69</v>
      </c>
      <c r="AZ91" s="391" t="s">
        <v>69</v>
      </c>
      <c r="BA91" s="391" t="s">
        <v>69</v>
      </c>
      <c r="BB91" s="391" t="s">
        <v>69</v>
      </c>
      <c r="BC91" s="391" t="s">
        <v>69</v>
      </c>
      <c r="BD91" s="391" t="s">
        <v>69</v>
      </c>
      <c r="BE91" s="391" t="s">
        <v>69</v>
      </c>
      <c r="BF91" s="391" t="s">
        <v>69</v>
      </c>
      <c r="BG91" s="391" t="s">
        <v>69</v>
      </c>
      <c r="BH91" s="391" t="s">
        <v>69</v>
      </c>
      <c r="BI91" s="391" t="s">
        <v>69</v>
      </c>
      <c r="BJ91" s="391" t="s">
        <v>69</v>
      </c>
      <c r="BK91" s="391" t="s">
        <v>69</v>
      </c>
      <c r="BL91" s="391" t="s">
        <v>69</v>
      </c>
      <c r="BM91" s="391" t="s">
        <v>69</v>
      </c>
      <c r="BN91" s="391" t="s">
        <v>69</v>
      </c>
      <c r="BO91" s="391" t="s">
        <v>69</v>
      </c>
      <c r="BP91" s="391" t="s">
        <v>69</v>
      </c>
      <c r="BQ91" s="391" t="s">
        <v>69</v>
      </c>
      <c r="BR91" s="391" t="s">
        <v>69</v>
      </c>
      <c r="BS91" s="391" t="s">
        <v>69</v>
      </c>
      <c r="BT91" s="391" t="s">
        <v>69</v>
      </c>
      <c r="BU91" s="391" t="s">
        <v>69</v>
      </c>
      <c r="BV91" s="391" t="s">
        <v>69</v>
      </c>
      <c r="BW91" s="391" t="s">
        <v>69</v>
      </c>
      <c r="BX91" s="391" t="s">
        <v>69</v>
      </c>
      <c r="BY91" s="391" t="s">
        <v>69</v>
      </c>
      <c r="BZ91" s="391" t="s">
        <v>69</v>
      </c>
      <c r="CA91" s="391" t="s">
        <v>69</v>
      </c>
      <c r="CB91" s="391" t="s">
        <v>69</v>
      </c>
      <c r="CC91" s="391" t="s">
        <v>69</v>
      </c>
      <c r="CD91" s="391" t="s">
        <v>69</v>
      </c>
      <c r="CE91" s="391" t="s">
        <v>69</v>
      </c>
      <c r="CF91" s="391" t="s">
        <v>69</v>
      </c>
      <c r="CG91" s="391" t="s">
        <v>69</v>
      </c>
      <c r="CH91" s="391" t="s">
        <v>69</v>
      </c>
      <c r="CI91" s="391" t="s">
        <v>69</v>
      </c>
      <c r="CJ91" s="391" t="s">
        <v>69</v>
      </c>
      <c r="CK91" s="391" t="s">
        <v>69</v>
      </c>
      <c r="CL91" s="391" t="s">
        <v>69</v>
      </c>
      <c r="CM91" s="391" t="s">
        <v>69</v>
      </c>
      <c r="CN91" s="391" t="s">
        <v>69</v>
      </c>
      <c r="CO91" s="391" t="s">
        <v>69</v>
      </c>
      <c r="CP91" s="391" t="s">
        <v>69</v>
      </c>
      <c r="CQ91" s="391" t="s">
        <v>69</v>
      </c>
      <c r="CR91" s="391" t="s">
        <v>69</v>
      </c>
      <c r="CS91" s="391" t="s">
        <v>69</v>
      </c>
      <c r="CT91" s="391" t="s">
        <v>69</v>
      </c>
      <c r="CU91" s="391" t="s">
        <v>69</v>
      </c>
      <c r="CV91" s="391" t="s">
        <v>69</v>
      </c>
      <c r="CW91" s="391" t="s">
        <v>69</v>
      </c>
      <c r="CX91" s="391" t="s">
        <v>69</v>
      </c>
      <c r="CY91" s="391" t="s">
        <v>69</v>
      </c>
      <c r="CZ91" s="391">
        <v>3</v>
      </c>
      <c r="DA91" s="391" t="s">
        <v>69</v>
      </c>
      <c r="DB91" s="391">
        <v>3</v>
      </c>
      <c r="DC91" s="391" t="s">
        <v>69</v>
      </c>
      <c r="DD91" s="391" t="s">
        <v>69</v>
      </c>
      <c r="DE91" s="391" t="s">
        <v>69</v>
      </c>
      <c r="DF91" s="391" t="s">
        <v>69</v>
      </c>
      <c r="DG91" s="391" t="s">
        <v>69</v>
      </c>
      <c r="DH91" s="391" t="s">
        <v>69</v>
      </c>
      <c r="DI91" s="391" t="s">
        <v>69</v>
      </c>
      <c r="DJ91" s="391" t="s">
        <v>69</v>
      </c>
      <c r="DK91" s="391" t="s">
        <v>69</v>
      </c>
      <c r="DL91" s="391" t="s">
        <v>69</v>
      </c>
      <c r="DM91" s="391" t="s">
        <v>69</v>
      </c>
      <c r="DN91" s="391" t="s">
        <v>69</v>
      </c>
      <c r="DO91" s="391" t="s">
        <v>69</v>
      </c>
      <c r="DP91" s="391" t="s">
        <v>69</v>
      </c>
      <c r="DQ91" s="391" t="s">
        <v>69</v>
      </c>
      <c r="DR91" s="391" t="s">
        <v>69</v>
      </c>
      <c r="DS91" s="391" t="s">
        <v>69</v>
      </c>
      <c r="DT91" s="391" t="s">
        <v>69</v>
      </c>
      <c r="DU91" s="398">
        <f t="shared" si="4"/>
        <v>6.3492063492063489E-2</v>
      </c>
      <c r="DV91" s="399">
        <f t="shared" si="5"/>
        <v>1</v>
      </c>
    </row>
    <row r="92" spans="1:126" s="230" customFormat="1" ht="120" customHeight="1">
      <c r="A92" s="406" t="s">
        <v>979</v>
      </c>
      <c r="B92" s="407" t="s">
        <v>985</v>
      </c>
      <c r="C92" s="409">
        <v>46006</v>
      </c>
      <c r="D92" s="408" t="s">
        <v>1155</v>
      </c>
      <c r="E92" s="391">
        <v>3</v>
      </c>
      <c r="F92" s="391">
        <v>3</v>
      </c>
      <c r="G92" s="391">
        <v>3</v>
      </c>
      <c r="H92" s="391">
        <v>3</v>
      </c>
      <c r="I92" s="391" t="s">
        <v>69</v>
      </c>
      <c r="J92" s="391" t="s">
        <v>69</v>
      </c>
      <c r="K92" s="391" t="s">
        <v>69</v>
      </c>
      <c r="L92" s="391" t="s">
        <v>69</v>
      </c>
      <c r="M92" s="391" t="s">
        <v>69</v>
      </c>
      <c r="N92" s="391">
        <v>3</v>
      </c>
      <c r="O92" s="391">
        <v>3</v>
      </c>
      <c r="P92" s="391" t="s">
        <v>69</v>
      </c>
      <c r="Q92" s="391" t="s">
        <v>69</v>
      </c>
      <c r="R92" s="391" t="s">
        <v>69</v>
      </c>
      <c r="S92" s="391" t="s">
        <v>69</v>
      </c>
      <c r="T92" s="391" t="s">
        <v>69</v>
      </c>
      <c r="U92" s="391" t="s">
        <v>69</v>
      </c>
      <c r="V92" s="391" t="s">
        <v>69</v>
      </c>
      <c r="W92" s="391" t="s">
        <v>69</v>
      </c>
      <c r="X92" s="391" t="s">
        <v>69</v>
      </c>
      <c r="Y92" s="391" t="s">
        <v>69</v>
      </c>
      <c r="Z92" s="391" t="s">
        <v>69</v>
      </c>
      <c r="AA92" s="391" t="s">
        <v>69</v>
      </c>
      <c r="AB92" s="391" t="s">
        <v>69</v>
      </c>
      <c r="AC92" s="391" t="s">
        <v>69</v>
      </c>
      <c r="AD92" s="391" t="s">
        <v>69</v>
      </c>
      <c r="AE92" s="391" t="s">
        <v>69</v>
      </c>
      <c r="AF92" s="391" t="s">
        <v>69</v>
      </c>
      <c r="AG92" s="391" t="s">
        <v>69</v>
      </c>
      <c r="AH92" s="391" t="s">
        <v>69</v>
      </c>
      <c r="AI92" s="391" t="s">
        <v>69</v>
      </c>
      <c r="AJ92" s="391" t="s">
        <v>69</v>
      </c>
      <c r="AK92" s="391" t="s">
        <v>69</v>
      </c>
      <c r="AL92" s="391" t="s">
        <v>69</v>
      </c>
      <c r="AM92" s="391" t="s">
        <v>69</v>
      </c>
      <c r="AN92" s="391" t="s">
        <v>69</v>
      </c>
      <c r="AO92" s="391" t="s">
        <v>69</v>
      </c>
      <c r="AP92" s="391" t="s">
        <v>69</v>
      </c>
      <c r="AQ92" s="391" t="s">
        <v>69</v>
      </c>
      <c r="AR92" s="391" t="s">
        <v>69</v>
      </c>
      <c r="AS92" s="391" t="s">
        <v>69</v>
      </c>
      <c r="AT92" s="391" t="s">
        <v>69</v>
      </c>
      <c r="AU92" s="391" t="s">
        <v>69</v>
      </c>
      <c r="AV92" s="391" t="s">
        <v>69</v>
      </c>
      <c r="AW92" s="391" t="s">
        <v>69</v>
      </c>
      <c r="AX92" s="391" t="s">
        <v>69</v>
      </c>
      <c r="AY92" s="391" t="s">
        <v>69</v>
      </c>
      <c r="AZ92" s="391" t="s">
        <v>69</v>
      </c>
      <c r="BA92" s="391" t="s">
        <v>69</v>
      </c>
      <c r="BB92" s="391" t="s">
        <v>69</v>
      </c>
      <c r="BC92" s="391">
        <v>3</v>
      </c>
      <c r="BD92" s="391">
        <v>3</v>
      </c>
      <c r="BE92" s="391">
        <v>3</v>
      </c>
      <c r="BF92" s="391" t="s">
        <v>69</v>
      </c>
      <c r="BG92" s="391" t="s">
        <v>69</v>
      </c>
      <c r="BH92" s="391" t="s">
        <v>69</v>
      </c>
      <c r="BI92" s="391" t="s">
        <v>69</v>
      </c>
      <c r="BJ92" s="391" t="s">
        <v>69</v>
      </c>
      <c r="BK92" s="391" t="s">
        <v>69</v>
      </c>
      <c r="BL92" s="391" t="s">
        <v>69</v>
      </c>
      <c r="BM92" s="391" t="s">
        <v>69</v>
      </c>
      <c r="BN92" s="391" t="s">
        <v>69</v>
      </c>
      <c r="BO92" s="391" t="s">
        <v>69</v>
      </c>
      <c r="BP92" s="391" t="s">
        <v>69</v>
      </c>
      <c r="BQ92" s="391">
        <v>3</v>
      </c>
      <c r="BR92" s="391">
        <v>3</v>
      </c>
      <c r="BS92" s="391" t="s">
        <v>69</v>
      </c>
      <c r="BT92" s="391" t="s">
        <v>69</v>
      </c>
      <c r="BU92" s="391" t="s">
        <v>69</v>
      </c>
      <c r="BV92" s="391" t="s">
        <v>69</v>
      </c>
      <c r="BW92" s="391" t="s">
        <v>69</v>
      </c>
      <c r="BX92" s="391" t="s">
        <v>69</v>
      </c>
      <c r="BY92" s="391" t="s">
        <v>69</v>
      </c>
      <c r="BZ92" s="391" t="s">
        <v>69</v>
      </c>
      <c r="CA92" s="391" t="s">
        <v>69</v>
      </c>
      <c r="CB92" s="391" t="s">
        <v>69</v>
      </c>
      <c r="CC92" s="391" t="s">
        <v>69</v>
      </c>
      <c r="CD92" s="391" t="s">
        <v>69</v>
      </c>
      <c r="CE92" s="391" t="s">
        <v>69</v>
      </c>
      <c r="CF92" s="391" t="s">
        <v>69</v>
      </c>
      <c r="CG92" s="391" t="s">
        <v>69</v>
      </c>
      <c r="CH92" s="391" t="s">
        <v>69</v>
      </c>
      <c r="CI92" s="391" t="s">
        <v>69</v>
      </c>
      <c r="CJ92" s="391" t="s">
        <v>69</v>
      </c>
      <c r="CK92" s="391" t="s">
        <v>69</v>
      </c>
      <c r="CL92" s="391" t="s">
        <v>69</v>
      </c>
      <c r="CM92" s="391" t="s">
        <v>69</v>
      </c>
      <c r="CN92" s="391" t="s">
        <v>69</v>
      </c>
      <c r="CO92" s="391" t="s">
        <v>69</v>
      </c>
      <c r="CP92" s="391" t="s">
        <v>69</v>
      </c>
      <c r="CQ92" s="391" t="s">
        <v>69</v>
      </c>
      <c r="CR92" s="391" t="s">
        <v>69</v>
      </c>
      <c r="CS92" s="391" t="s">
        <v>69</v>
      </c>
      <c r="CT92" s="391" t="s">
        <v>69</v>
      </c>
      <c r="CU92" s="390" t="s">
        <v>212</v>
      </c>
      <c r="CV92" s="390" t="s">
        <v>212</v>
      </c>
      <c r="CW92" s="391" t="s">
        <v>69</v>
      </c>
      <c r="CX92" s="391" t="s">
        <v>69</v>
      </c>
      <c r="CY92" s="391" t="s">
        <v>69</v>
      </c>
      <c r="CZ92" s="391" t="s">
        <v>69</v>
      </c>
      <c r="DA92" s="391" t="s">
        <v>69</v>
      </c>
      <c r="DB92" s="391" t="s">
        <v>69</v>
      </c>
      <c r="DC92" s="391" t="s">
        <v>69</v>
      </c>
      <c r="DD92" s="391" t="s">
        <v>69</v>
      </c>
      <c r="DE92" s="391" t="s">
        <v>69</v>
      </c>
      <c r="DF92" s="391" t="s">
        <v>69</v>
      </c>
      <c r="DG92" s="391" t="s">
        <v>69</v>
      </c>
      <c r="DH92" s="391" t="s">
        <v>69</v>
      </c>
      <c r="DI92" s="391" t="s">
        <v>69</v>
      </c>
      <c r="DJ92" s="391" t="s">
        <v>69</v>
      </c>
      <c r="DK92" s="391" t="s">
        <v>69</v>
      </c>
      <c r="DL92" s="391" t="s">
        <v>69</v>
      </c>
      <c r="DM92" s="391" t="s">
        <v>69</v>
      </c>
      <c r="DN92" s="391" t="s">
        <v>69</v>
      </c>
      <c r="DO92" s="391" t="s">
        <v>69</v>
      </c>
      <c r="DP92" s="391" t="s">
        <v>69</v>
      </c>
      <c r="DQ92" s="391" t="s">
        <v>69</v>
      </c>
      <c r="DR92" s="391" t="s">
        <v>69</v>
      </c>
      <c r="DS92" s="391" t="s">
        <v>69</v>
      </c>
      <c r="DT92" s="391" t="s">
        <v>69</v>
      </c>
      <c r="DU92" s="398">
        <f t="shared" si="4"/>
        <v>0.17460317460317459</v>
      </c>
      <c r="DV92" s="399">
        <f t="shared" si="5"/>
        <v>1</v>
      </c>
    </row>
    <row r="93" spans="1:126" s="230" customFormat="1" ht="120" customHeight="1">
      <c r="A93" s="406" t="s">
        <v>1004</v>
      </c>
      <c r="B93" s="407" t="s">
        <v>1003</v>
      </c>
      <c r="C93" s="409">
        <v>46006</v>
      </c>
      <c r="D93" s="408" t="s">
        <v>1155</v>
      </c>
      <c r="E93" s="391" t="s">
        <v>69</v>
      </c>
      <c r="F93" s="391" t="s">
        <v>69</v>
      </c>
      <c r="G93" s="391" t="s">
        <v>69</v>
      </c>
      <c r="H93" s="391" t="s">
        <v>69</v>
      </c>
      <c r="I93" s="391" t="s">
        <v>69</v>
      </c>
      <c r="J93" s="391">
        <v>3</v>
      </c>
      <c r="K93" s="391" t="s">
        <v>69</v>
      </c>
      <c r="L93" s="391">
        <v>3</v>
      </c>
      <c r="M93" s="391" t="s">
        <v>69</v>
      </c>
      <c r="N93" s="391" t="s">
        <v>69</v>
      </c>
      <c r="O93" s="391" t="s">
        <v>69</v>
      </c>
      <c r="P93" s="391" t="s">
        <v>69</v>
      </c>
      <c r="Q93" s="391" t="s">
        <v>69</v>
      </c>
      <c r="R93" s="391" t="s">
        <v>69</v>
      </c>
      <c r="S93" s="391" t="s">
        <v>69</v>
      </c>
      <c r="T93" s="391" t="s">
        <v>69</v>
      </c>
      <c r="U93" s="391" t="s">
        <v>69</v>
      </c>
      <c r="V93" s="391" t="s">
        <v>69</v>
      </c>
      <c r="W93" s="391" t="s">
        <v>69</v>
      </c>
      <c r="X93" s="391" t="s">
        <v>69</v>
      </c>
      <c r="Y93" s="391" t="s">
        <v>69</v>
      </c>
      <c r="Z93" s="391">
        <v>3</v>
      </c>
      <c r="AA93" s="391" t="s">
        <v>69</v>
      </c>
      <c r="AB93" s="391" t="s">
        <v>69</v>
      </c>
      <c r="AC93" s="391" t="s">
        <v>69</v>
      </c>
      <c r="AD93" s="391" t="s">
        <v>69</v>
      </c>
      <c r="AE93" s="391" t="s">
        <v>69</v>
      </c>
      <c r="AF93" s="391" t="s">
        <v>69</v>
      </c>
      <c r="AG93" s="391" t="s">
        <v>69</v>
      </c>
      <c r="AH93" s="391" t="s">
        <v>69</v>
      </c>
      <c r="AI93" s="391" t="s">
        <v>69</v>
      </c>
      <c r="AJ93" s="391" t="s">
        <v>69</v>
      </c>
      <c r="AK93" s="391" t="s">
        <v>69</v>
      </c>
      <c r="AL93" s="391" t="s">
        <v>69</v>
      </c>
      <c r="AM93" s="391" t="s">
        <v>69</v>
      </c>
      <c r="AN93" s="391" t="s">
        <v>69</v>
      </c>
      <c r="AO93" s="391" t="s">
        <v>69</v>
      </c>
      <c r="AP93" s="391" t="s">
        <v>69</v>
      </c>
      <c r="AQ93" s="391" t="s">
        <v>69</v>
      </c>
      <c r="AR93" s="391" t="s">
        <v>69</v>
      </c>
      <c r="AS93" s="391" t="s">
        <v>69</v>
      </c>
      <c r="AT93" s="391" t="s">
        <v>69</v>
      </c>
      <c r="AU93" s="391" t="s">
        <v>69</v>
      </c>
      <c r="AV93" s="391" t="s">
        <v>69</v>
      </c>
      <c r="AW93" s="391" t="s">
        <v>69</v>
      </c>
      <c r="AX93" s="391" t="s">
        <v>69</v>
      </c>
      <c r="AY93" s="391" t="s">
        <v>69</v>
      </c>
      <c r="AZ93" s="391" t="s">
        <v>69</v>
      </c>
      <c r="BA93" s="391" t="s">
        <v>69</v>
      </c>
      <c r="BB93" s="391" t="s">
        <v>69</v>
      </c>
      <c r="BC93" s="391">
        <v>3</v>
      </c>
      <c r="BD93" s="391" t="s">
        <v>69</v>
      </c>
      <c r="BE93" s="391" t="s">
        <v>69</v>
      </c>
      <c r="BF93" s="391" t="s">
        <v>69</v>
      </c>
      <c r="BG93" s="391" t="s">
        <v>69</v>
      </c>
      <c r="BH93" s="391" t="s">
        <v>69</v>
      </c>
      <c r="BI93" s="391" t="s">
        <v>69</v>
      </c>
      <c r="BJ93" s="391" t="s">
        <v>69</v>
      </c>
      <c r="BK93" s="391" t="s">
        <v>69</v>
      </c>
      <c r="BL93" s="391" t="s">
        <v>69</v>
      </c>
      <c r="BM93" s="391" t="s">
        <v>69</v>
      </c>
      <c r="BN93" s="391" t="s">
        <v>69</v>
      </c>
      <c r="BO93" s="391" t="s">
        <v>69</v>
      </c>
      <c r="BP93" s="391" t="s">
        <v>69</v>
      </c>
      <c r="BQ93" s="391" t="s">
        <v>69</v>
      </c>
      <c r="BR93" s="391" t="s">
        <v>69</v>
      </c>
      <c r="BS93" s="391" t="s">
        <v>69</v>
      </c>
      <c r="BT93" s="391" t="s">
        <v>69</v>
      </c>
      <c r="BU93" s="391" t="s">
        <v>69</v>
      </c>
      <c r="BV93" s="391" t="s">
        <v>69</v>
      </c>
      <c r="BW93" s="391" t="s">
        <v>69</v>
      </c>
      <c r="BX93" s="391" t="s">
        <v>69</v>
      </c>
      <c r="BY93" s="391" t="s">
        <v>69</v>
      </c>
      <c r="BZ93" s="391" t="s">
        <v>69</v>
      </c>
      <c r="CA93" s="391" t="s">
        <v>69</v>
      </c>
      <c r="CB93" s="391" t="s">
        <v>69</v>
      </c>
      <c r="CC93" s="391" t="s">
        <v>69</v>
      </c>
      <c r="CD93" s="391">
        <v>3</v>
      </c>
      <c r="CE93" s="391" t="s">
        <v>69</v>
      </c>
      <c r="CF93" s="391" t="s">
        <v>69</v>
      </c>
      <c r="CG93" s="391" t="s">
        <v>69</v>
      </c>
      <c r="CH93" s="391" t="s">
        <v>69</v>
      </c>
      <c r="CI93" s="391" t="s">
        <v>69</v>
      </c>
      <c r="CJ93" s="391" t="s">
        <v>69</v>
      </c>
      <c r="CK93" s="391" t="s">
        <v>69</v>
      </c>
      <c r="CL93" s="391" t="s">
        <v>69</v>
      </c>
      <c r="CM93" s="391" t="s">
        <v>69</v>
      </c>
      <c r="CN93" s="391" t="s">
        <v>69</v>
      </c>
      <c r="CO93" s="391" t="s">
        <v>69</v>
      </c>
      <c r="CP93" s="391" t="s">
        <v>69</v>
      </c>
      <c r="CQ93" s="391" t="s">
        <v>69</v>
      </c>
      <c r="CR93" s="391" t="s">
        <v>69</v>
      </c>
      <c r="CS93" s="391" t="s">
        <v>69</v>
      </c>
      <c r="CT93" s="391" t="s">
        <v>69</v>
      </c>
      <c r="CU93" s="390" t="s">
        <v>212</v>
      </c>
      <c r="CV93" s="390" t="s">
        <v>212</v>
      </c>
      <c r="CW93" s="391">
        <v>3</v>
      </c>
      <c r="CX93" s="391" t="s">
        <v>69</v>
      </c>
      <c r="CY93" s="391" t="s">
        <v>69</v>
      </c>
      <c r="CZ93" s="391" t="s">
        <v>69</v>
      </c>
      <c r="DA93" s="391" t="s">
        <v>69</v>
      </c>
      <c r="DB93" s="391" t="s">
        <v>69</v>
      </c>
      <c r="DC93" s="391" t="s">
        <v>69</v>
      </c>
      <c r="DD93" s="391" t="s">
        <v>69</v>
      </c>
      <c r="DE93" s="391" t="s">
        <v>69</v>
      </c>
      <c r="DF93" s="391" t="s">
        <v>69</v>
      </c>
      <c r="DG93" s="391" t="s">
        <v>69</v>
      </c>
      <c r="DH93" s="391" t="s">
        <v>69</v>
      </c>
      <c r="DI93" s="391" t="s">
        <v>69</v>
      </c>
      <c r="DJ93" s="391" t="s">
        <v>69</v>
      </c>
      <c r="DK93" s="391" t="s">
        <v>69</v>
      </c>
      <c r="DL93" s="391" t="s">
        <v>69</v>
      </c>
      <c r="DM93" s="391" t="s">
        <v>69</v>
      </c>
      <c r="DN93" s="391" t="s">
        <v>69</v>
      </c>
      <c r="DO93" s="391" t="s">
        <v>69</v>
      </c>
      <c r="DP93" s="391" t="s">
        <v>69</v>
      </c>
      <c r="DQ93" s="391" t="s">
        <v>69</v>
      </c>
      <c r="DR93" s="391" t="s">
        <v>69</v>
      </c>
      <c r="DS93" s="391" t="s">
        <v>69</v>
      </c>
      <c r="DT93" s="391" t="s">
        <v>69</v>
      </c>
      <c r="DU93" s="398">
        <f t="shared" si="4"/>
        <v>9.5238095238095233E-2</v>
      </c>
      <c r="DV93" s="399">
        <f t="shared" si="5"/>
        <v>1</v>
      </c>
    </row>
    <row r="94" spans="1:126" s="230" customFormat="1" ht="120" customHeight="1">
      <c r="A94" s="406" t="s">
        <v>976</v>
      </c>
      <c r="B94" s="407" t="s">
        <v>982</v>
      </c>
      <c r="C94" s="409">
        <v>46006</v>
      </c>
      <c r="D94" s="408" t="s">
        <v>1155</v>
      </c>
      <c r="E94" s="391" t="s">
        <v>69</v>
      </c>
      <c r="F94" s="391" t="s">
        <v>69</v>
      </c>
      <c r="G94" s="391" t="s">
        <v>69</v>
      </c>
      <c r="H94" s="391" t="s">
        <v>69</v>
      </c>
      <c r="I94" s="391" t="s">
        <v>69</v>
      </c>
      <c r="J94" s="391" t="s">
        <v>69</v>
      </c>
      <c r="K94" s="391" t="s">
        <v>69</v>
      </c>
      <c r="L94" s="391" t="s">
        <v>69</v>
      </c>
      <c r="M94" s="391" t="s">
        <v>69</v>
      </c>
      <c r="N94" s="391" t="s">
        <v>69</v>
      </c>
      <c r="O94" s="391" t="s">
        <v>69</v>
      </c>
      <c r="P94" s="391" t="s">
        <v>69</v>
      </c>
      <c r="Q94" s="391" t="s">
        <v>69</v>
      </c>
      <c r="R94" s="391" t="s">
        <v>69</v>
      </c>
      <c r="S94" s="391" t="s">
        <v>69</v>
      </c>
      <c r="T94" s="391" t="s">
        <v>69</v>
      </c>
      <c r="U94" s="391" t="s">
        <v>69</v>
      </c>
      <c r="V94" s="391" t="s">
        <v>69</v>
      </c>
      <c r="W94" s="391" t="s">
        <v>69</v>
      </c>
      <c r="X94" s="391" t="s">
        <v>69</v>
      </c>
      <c r="Y94" s="391" t="s">
        <v>69</v>
      </c>
      <c r="Z94" s="391" t="s">
        <v>69</v>
      </c>
      <c r="AA94" s="391" t="s">
        <v>69</v>
      </c>
      <c r="AB94" s="391" t="s">
        <v>69</v>
      </c>
      <c r="AC94" s="391" t="s">
        <v>69</v>
      </c>
      <c r="AD94" s="391" t="s">
        <v>69</v>
      </c>
      <c r="AE94" s="391" t="s">
        <v>69</v>
      </c>
      <c r="AF94" s="391" t="s">
        <v>69</v>
      </c>
      <c r="AG94" s="391" t="s">
        <v>69</v>
      </c>
      <c r="AH94" s="391" t="s">
        <v>69</v>
      </c>
      <c r="AI94" s="391" t="s">
        <v>69</v>
      </c>
      <c r="AJ94" s="391" t="s">
        <v>69</v>
      </c>
      <c r="AK94" s="391" t="s">
        <v>69</v>
      </c>
      <c r="AL94" s="391" t="s">
        <v>69</v>
      </c>
      <c r="AM94" s="391" t="s">
        <v>69</v>
      </c>
      <c r="AN94" s="391" t="s">
        <v>69</v>
      </c>
      <c r="AO94" s="391" t="s">
        <v>69</v>
      </c>
      <c r="AP94" s="391" t="s">
        <v>69</v>
      </c>
      <c r="AQ94" s="391" t="s">
        <v>69</v>
      </c>
      <c r="AR94" s="391" t="s">
        <v>69</v>
      </c>
      <c r="AS94" s="391" t="s">
        <v>69</v>
      </c>
      <c r="AT94" s="391" t="s">
        <v>69</v>
      </c>
      <c r="AU94" s="391" t="s">
        <v>69</v>
      </c>
      <c r="AV94" s="391" t="s">
        <v>69</v>
      </c>
      <c r="AW94" s="391" t="s">
        <v>69</v>
      </c>
      <c r="AX94" s="391" t="s">
        <v>69</v>
      </c>
      <c r="AY94" s="391" t="s">
        <v>69</v>
      </c>
      <c r="AZ94" s="391" t="s">
        <v>69</v>
      </c>
      <c r="BA94" s="391" t="s">
        <v>69</v>
      </c>
      <c r="BB94" s="391" t="s">
        <v>69</v>
      </c>
      <c r="BC94" s="391" t="s">
        <v>69</v>
      </c>
      <c r="BD94" s="391" t="s">
        <v>69</v>
      </c>
      <c r="BE94" s="391" t="s">
        <v>69</v>
      </c>
      <c r="BF94" s="391" t="s">
        <v>69</v>
      </c>
      <c r="BG94" s="391" t="s">
        <v>69</v>
      </c>
      <c r="BH94" s="391" t="s">
        <v>69</v>
      </c>
      <c r="BI94" s="391" t="s">
        <v>69</v>
      </c>
      <c r="BJ94" s="391" t="s">
        <v>69</v>
      </c>
      <c r="BK94" s="391" t="s">
        <v>69</v>
      </c>
      <c r="BL94" s="391" t="s">
        <v>69</v>
      </c>
      <c r="BM94" s="391" t="s">
        <v>69</v>
      </c>
      <c r="BN94" s="391" t="s">
        <v>69</v>
      </c>
      <c r="BO94" s="391" t="s">
        <v>69</v>
      </c>
      <c r="BP94" s="391" t="s">
        <v>69</v>
      </c>
      <c r="BQ94" s="391" t="s">
        <v>69</v>
      </c>
      <c r="BR94" s="391" t="s">
        <v>69</v>
      </c>
      <c r="BS94" s="391" t="s">
        <v>69</v>
      </c>
      <c r="BT94" s="391" t="s">
        <v>69</v>
      </c>
      <c r="BU94" s="391" t="s">
        <v>69</v>
      </c>
      <c r="BV94" s="391" t="s">
        <v>69</v>
      </c>
      <c r="BW94" s="391" t="s">
        <v>69</v>
      </c>
      <c r="BX94" s="391" t="s">
        <v>69</v>
      </c>
      <c r="BY94" s="391" t="s">
        <v>69</v>
      </c>
      <c r="BZ94" s="391" t="s">
        <v>69</v>
      </c>
      <c r="CA94" s="391" t="s">
        <v>69</v>
      </c>
      <c r="CB94" s="391" t="s">
        <v>69</v>
      </c>
      <c r="CC94" s="391" t="s">
        <v>69</v>
      </c>
      <c r="CD94" s="391" t="s">
        <v>69</v>
      </c>
      <c r="CE94" s="391" t="s">
        <v>69</v>
      </c>
      <c r="CF94" s="391" t="s">
        <v>69</v>
      </c>
      <c r="CG94" s="391" t="s">
        <v>69</v>
      </c>
      <c r="CH94" s="391" t="s">
        <v>69</v>
      </c>
      <c r="CI94" s="391" t="s">
        <v>69</v>
      </c>
      <c r="CJ94" s="391" t="s">
        <v>69</v>
      </c>
      <c r="CK94" s="391">
        <v>3</v>
      </c>
      <c r="CL94" s="391">
        <v>4</v>
      </c>
      <c r="CM94" s="391">
        <v>4</v>
      </c>
      <c r="CN94" s="391" t="s">
        <v>69</v>
      </c>
      <c r="CO94" s="391" t="s">
        <v>69</v>
      </c>
      <c r="CP94" s="391" t="s">
        <v>69</v>
      </c>
      <c r="CQ94" s="391" t="s">
        <v>69</v>
      </c>
      <c r="CR94" s="391" t="s">
        <v>69</v>
      </c>
      <c r="CS94" s="391" t="s">
        <v>69</v>
      </c>
      <c r="CT94" s="391" t="s">
        <v>69</v>
      </c>
      <c r="CU94" s="390" t="s">
        <v>212</v>
      </c>
      <c r="CV94" s="390" t="s">
        <v>212</v>
      </c>
      <c r="CW94" s="391" t="s">
        <v>69</v>
      </c>
      <c r="CX94" s="391" t="s">
        <v>69</v>
      </c>
      <c r="CY94" s="391" t="s">
        <v>69</v>
      </c>
      <c r="CZ94" s="391" t="s">
        <v>69</v>
      </c>
      <c r="DA94" s="391" t="s">
        <v>69</v>
      </c>
      <c r="DB94" s="391" t="s">
        <v>69</v>
      </c>
      <c r="DC94" s="391" t="s">
        <v>69</v>
      </c>
      <c r="DD94" s="391" t="s">
        <v>69</v>
      </c>
      <c r="DE94" s="391" t="s">
        <v>69</v>
      </c>
      <c r="DF94" s="391" t="s">
        <v>69</v>
      </c>
      <c r="DG94" s="391" t="s">
        <v>69</v>
      </c>
      <c r="DH94" s="391" t="s">
        <v>69</v>
      </c>
      <c r="DI94" s="391" t="s">
        <v>69</v>
      </c>
      <c r="DJ94" s="391" t="s">
        <v>69</v>
      </c>
      <c r="DK94" s="391" t="s">
        <v>69</v>
      </c>
      <c r="DL94" s="391" t="s">
        <v>69</v>
      </c>
      <c r="DM94" s="391" t="s">
        <v>69</v>
      </c>
      <c r="DN94" s="391" t="s">
        <v>69</v>
      </c>
      <c r="DO94" s="391" t="s">
        <v>69</v>
      </c>
      <c r="DP94" s="391" t="s">
        <v>69</v>
      </c>
      <c r="DQ94" s="391" t="s">
        <v>69</v>
      </c>
      <c r="DR94" s="391" t="s">
        <v>69</v>
      </c>
      <c r="DS94" s="391" t="s">
        <v>69</v>
      </c>
      <c r="DT94" s="391" t="s">
        <v>69</v>
      </c>
      <c r="DU94" s="398">
        <f t="shared" si="4"/>
        <v>4.7619047619047616E-2</v>
      </c>
      <c r="DV94" s="399">
        <f t="shared" si="5"/>
        <v>1</v>
      </c>
    </row>
    <row r="95" spans="1:126" s="230" customFormat="1" ht="120" customHeight="1">
      <c r="A95" s="406" t="s">
        <v>978</v>
      </c>
      <c r="B95" s="407" t="s">
        <v>984</v>
      </c>
      <c r="C95" s="409">
        <v>46006</v>
      </c>
      <c r="D95" s="408" t="s">
        <v>1155</v>
      </c>
      <c r="E95" s="391" t="s">
        <v>69</v>
      </c>
      <c r="F95" s="391" t="s">
        <v>69</v>
      </c>
      <c r="G95" s="391" t="s">
        <v>69</v>
      </c>
      <c r="H95" s="391" t="s">
        <v>69</v>
      </c>
      <c r="I95" s="391" t="s">
        <v>69</v>
      </c>
      <c r="J95" s="391" t="s">
        <v>69</v>
      </c>
      <c r="K95" s="391" t="s">
        <v>69</v>
      </c>
      <c r="L95" s="391" t="s">
        <v>69</v>
      </c>
      <c r="M95" s="391" t="s">
        <v>69</v>
      </c>
      <c r="N95" s="391" t="s">
        <v>69</v>
      </c>
      <c r="O95" s="391" t="s">
        <v>69</v>
      </c>
      <c r="P95" s="391" t="s">
        <v>69</v>
      </c>
      <c r="Q95" s="391" t="s">
        <v>69</v>
      </c>
      <c r="R95" s="391" t="s">
        <v>69</v>
      </c>
      <c r="S95" s="391" t="s">
        <v>69</v>
      </c>
      <c r="T95" s="391" t="s">
        <v>69</v>
      </c>
      <c r="U95" s="391" t="s">
        <v>69</v>
      </c>
      <c r="V95" s="391" t="s">
        <v>69</v>
      </c>
      <c r="W95" s="391" t="s">
        <v>69</v>
      </c>
      <c r="X95" s="391" t="s">
        <v>69</v>
      </c>
      <c r="Y95" s="391" t="s">
        <v>69</v>
      </c>
      <c r="Z95" s="391">
        <v>3</v>
      </c>
      <c r="AA95" s="391" t="s">
        <v>69</v>
      </c>
      <c r="AB95" s="391" t="s">
        <v>69</v>
      </c>
      <c r="AC95" s="391" t="s">
        <v>69</v>
      </c>
      <c r="AD95" s="391" t="s">
        <v>69</v>
      </c>
      <c r="AE95" s="391" t="s">
        <v>69</v>
      </c>
      <c r="AF95" s="391" t="s">
        <v>69</v>
      </c>
      <c r="AG95" s="391" t="s">
        <v>69</v>
      </c>
      <c r="AH95" s="391" t="s">
        <v>69</v>
      </c>
      <c r="AI95" s="391" t="s">
        <v>69</v>
      </c>
      <c r="AJ95" s="391" t="s">
        <v>69</v>
      </c>
      <c r="AK95" s="391" t="s">
        <v>69</v>
      </c>
      <c r="AL95" s="391" t="s">
        <v>69</v>
      </c>
      <c r="AM95" s="391" t="s">
        <v>69</v>
      </c>
      <c r="AN95" s="391" t="s">
        <v>69</v>
      </c>
      <c r="AO95" s="391" t="s">
        <v>69</v>
      </c>
      <c r="AP95" s="391" t="s">
        <v>69</v>
      </c>
      <c r="AQ95" s="391" t="s">
        <v>69</v>
      </c>
      <c r="AR95" s="391" t="s">
        <v>69</v>
      </c>
      <c r="AS95" s="391" t="s">
        <v>69</v>
      </c>
      <c r="AT95" s="391" t="s">
        <v>69</v>
      </c>
      <c r="AU95" s="391" t="s">
        <v>69</v>
      </c>
      <c r="AV95" s="391" t="s">
        <v>69</v>
      </c>
      <c r="AW95" s="391" t="s">
        <v>69</v>
      </c>
      <c r="AX95" s="391" t="s">
        <v>69</v>
      </c>
      <c r="AY95" s="391" t="s">
        <v>69</v>
      </c>
      <c r="AZ95" s="391" t="s">
        <v>69</v>
      </c>
      <c r="BA95" s="391" t="s">
        <v>69</v>
      </c>
      <c r="BB95" s="391" t="s">
        <v>69</v>
      </c>
      <c r="BC95" s="391" t="s">
        <v>69</v>
      </c>
      <c r="BD95" s="391" t="s">
        <v>69</v>
      </c>
      <c r="BE95" s="391" t="s">
        <v>69</v>
      </c>
      <c r="BF95" s="391" t="s">
        <v>69</v>
      </c>
      <c r="BG95" s="391" t="s">
        <v>69</v>
      </c>
      <c r="BH95" s="391" t="s">
        <v>69</v>
      </c>
      <c r="BI95" s="391" t="s">
        <v>69</v>
      </c>
      <c r="BJ95" s="391" t="s">
        <v>69</v>
      </c>
      <c r="BK95" s="391" t="s">
        <v>69</v>
      </c>
      <c r="BL95" s="391" t="s">
        <v>69</v>
      </c>
      <c r="BM95" s="391" t="s">
        <v>69</v>
      </c>
      <c r="BN95" s="391" t="s">
        <v>69</v>
      </c>
      <c r="BO95" s="391" t="s">
        <v>69</v>
      </c>
      <c r="BP95" s="391" t="s">
        <v>69</v>
      </c>
      <c r="BQ95" s="391" t="s">
        <v>69</v>
      </c>
      <c r="BR95" s="391" t="s">
        <v>69</v>
      </c>
      <c r="BS95" s="391" t="s">
        <v>69</v>
      </c>
      <c r="BT95" s="391" t="s">
        <v>69</v>
      </c>
      <c r="BU95" s="391" t="s">
        <v>69</v>
      </c>
      <c r="BV95" s="391" t="s">
        <v>69</v>
      </c>
      <c r="BW95" s="391" t="s">
        <v>69</v>
      </c>
      <c r="BX95" s="391" t="s">
        <v>69</v>
      </c>
      <c r="BY95" s="391" t="s">
        <v>69</v>
      </c>
      <c r="BZ95" s="391" t="s">
        <v>69</v>
      </c>
      <c r="CA95" s="391" t="s">
        <v>69</v>
      </c>
      <c r="CB95" s="391" t="s">
        <v>69</v>
      </c>
      <c r="CC95" s="391" t="s">
        <v>69</v>
      </c>
      <c r="CD95" s="391" t="s">
        <v>69</v>
      </c>
      <c r="CE95" s="391" t="s">
        <v>69</v>
      </c>
      <c r="CF95" s="391" t="s">
        <v>69</v>
      </c>
      <c r="CG95" s="391" t="s">
        <v>69</v>
      </c>
      <c r="CH95" s="391" t="s">
        <v>69</v>
      </c>
      <c r="CI95" s="391" t="s">
        <v>69</v>
      </c>
      <c r="CJ95" s="391" t="s">
        <v>69</v>
      </c>
      <c r="CK95" s="391">
        <v>3</v>
      </c>
      <c r="CL95" s="391">
        <v>4</v>
      </c>
      <c r="CM95" s="391">
        <v>4</v>
      </c>
      <c r="CN95" s="391" t="s">
        <v>69</v>
      </c>
      <c r="CO95" s="391" t="s">
        <v>69</v>
      </c>
      <c r="CP95" s="391" t="s">
        <v>69</v>
      </c>
      <c r="CQ95" s="391" t="s">
        <v>69</v>
      </c>
      <c r="CR95" s="391" t="s">
        <v>69</v>
      </c>
      <c r="CS95" s="391" t="s">
        <v>69</v>
      </c>
      <c r="CT95" s="391" t="s">
        <v>69</v>
      </c>
      <c r="CU95" s="390" t="s">
        <v>212</v>
      </c>
      <c r="CV95" s="390" t="s">
        <v>212</v>
      </c>
      <c r="CW95" s="391" t="s">
        <v>69</v>
      </c>
      <c r="CX95" s="391" t="s">
        <v>69</v>
      </c>
      <c r="CY95" s="391" t="s">
        <v>69</v>
      </c>
      <c r="CZ95" s="391" t="s">
        <v>69</v>
      </c>
      <c r="DA95" s="391" t="s">
        <v>69</v>
      </c>
      <c r="DB95" s="391" t="s">
        <v>69</v>
      </c>
      <c r="DC95" s="391" t="s">
        <v>69</v>
      </c>
      <c r="DD95" s="391" t="s">
        <v>69</v>
      </c>
      <c r="DE95" s="391" t="s">
        <v>69</v>
      </c>
      <c r="DF95" s="391" t="s">
        <v>69</v>
      </c>
      <c r="DG95" s="391" t="s">
        <v>69</v>
      </c>
      <c r="DH95" s="391" t="s">
        <v>69</v>
      </c>
      <c r="DI95" s="391" t="s">
        <v>69</v>
      </c>
      <c r="DJ95" s="391" t="s">
        <v>69</v>
      </c>
      <c r="DK95" s="391" t="s">
        <v>69</v>
      </c>
      <c r="DL95" s="391" t="s">
        <v>69</v>
      </c>
      <c r="DM95" s="391" t="s">
        <v>69</v>
      </c>
      <c r="DN95" s="391" t="s">
        <v>69</v>
      </c>
      <c r="DO95" s="391" t="s">
        <v>69</v>
      </c>
      <c r="DP95" s="391" t="s">
        <v>69</v>
      </c>
      <c r="DQ95" s="391" t="s">
        <v>69</v>
      </c>
      <c r="DR95" s="391" t="s">
        <v>69</v>
      </c>
      <c r="DS95" s="391" t="s">
        <v>69</v>
      </c>
      <c r="DT95" s="391" t="s">
        <v>69</v>
      </c>
      <c r="DU95" s="398">
        <f t="shared" si="4"/>
        <v>6.3492063492063489E-2</v>
      </c>
      <c r="DV95" s="399">
        <f t="shared" si="5"/>
        <v>1</v>
      </c>
    </row>
    <row r="96" spans="1:126" s="230" customFormat="1" ht="120" customHeight="1">
      <c r="A96" s="406" t="s">
        <v>975</v>
      </c>
      <c r="B96" s="407" t="s">
        <v>981</v>
      </c>
      <c r="C96" s="409">
        <v>46006</v>
      </c>
      <c r="D96" s="408" t="s">
        <v>1155</v>
      </c>
      <c r="E96" s="391">
        <v>3</v>
      </c>
      <c r="F96" s="391" t="s">
        <v>69</v>
      </c>
      <c r="G96" s="391">
        <v>3</v>
      </c>
      <c r="H96" s="391" t="s">
        <v>69</v>
      </c>
      <c r="I96" s="391" t="s">
        <v>69</v>
      </c>
      <c r="J96" s="391" t="s">
        <v>69</v>
      </c>
      <c r="K96" s="391" t="s">
        <v>69</v>
      </c>
      <c r="L96" s="391">
        <v>3</v>
      </c>
      <c r="M96" s="391" t="s">
        <v>69</v>
      </c>
      <c r="N96" s="391">
        <v>3</v>
      </c>
      <c r="O96" s="391" t="s">
        <v>69</v>
      </c>
      <c r="P96" s="391" t="s">
        <v>69</v>
      </c>
      <c r="Q96" s="391" t="s">
        <v>69</v>
      </c>
      <c r="R96" s="391" t="s">
        <v>69</v>
      </c>
      <c r="S96" s="391" t="s">
        <v>69</v>
      </c>
      <c r="T96" s="391" t="s">
        <v>69</v>
      </c>
      <c r="U96" s="391" t="s">
        <v>69</v>
      </c>
      <c r="V96" s="391" t="s">
        <v>69</v>
      </c>
      <c r="W96" s="391" t="s">
        <v>69</v>
      </c>
      <c r="X96" s="391">
        <v>3</v>
      </c>
      <c r="Y96" s="391" t="s">
        <v>69</v>
      </c>
      <c r="Z96" s="391">
        <v>3</v>
      </c>
      <c r="AA96" s="391" t="s">
        <v>69</v>
      </c>
      <c r="AB96" s="391" t="s">
        <v>69</v>
      </c>
      <c r="AC96" s="391" t="s">
        <v>69</v>
      </c>
      <c r="AD96" s="391" t="s">
        <v>69</v>
      </c>
      <c r="AE96" s="391" t="s">
        <v>69</v>
      </c>
      <c r="AF96" s="391" t="s">
        <v>69</v>
      </c>
      <c r="AG96" s="391" t="s">
        <v>69</v>
      </c>
      <c r="AH96" s="391" t="s">
        <v>69</v>
      </c>
      <c r="AI96" s="391" t="s">
        <v>69</v>
      </c>
      <c r="AJ96" s="391" t="s">
        <v>69</v>
      </c>
      <c r="AK96" s="391" t="s">
        <v>69</v>
      </c>
      <c r="AL96" s="391" t="s">
        <v>69</v>
      </c>
      <c r="AM96" s="391" t="s">
        <v>69</v>
      </c>
      <c r="AN96" s="391" t="s">
        <v>69</v>
      </c>
      <c r="AO96" s="391" t="s">
        <v>69</v>
      </c>
      <c r="AP96" s="391" t="s">
        <v>69</v>
      </c>
      <c r="AQ96" s="391" t="s">
        <v>69</v>
      </c>
      <c r="AR96" s="391" t="s">
        <v>69</v>
      </c>
      <c r="AS96" s="391" t="s">
        <v>69</v>
      </c>
      <c r="AT96" s="391" t="s">
        <v>69</v>
      </c>
      <c r="AU96" s="391" t="s">
        <v>69</v>
      </c>
      <c r="AV96" s="391" t="s">
        <v>69</v>
      </c>
      <c r="AW96" s="391" t="s">
        <v>69</v>
      </c>
      <c r="AX96" s="391" t="s">
        <v>69</v>
      </c>
      <c r="AY96" s="391" t="s">
        <v>69</v>
      </c>
      <c r="AZ96" s="391" t="s">
        <v>69</v>
      </c>
      <c r="BA96" s="391" t="s">
        <v>69</v>
      </c>
      <c r="BB96" s="391" t="s">
        <v>69</v>
      </c>
      <c r="BC96" s="391" t="s">
        <v>69</v>
      </c>
      <c r="BD96" s="391" t="s">
        <v>69</v>
      </c>
      <c r="BE96" s="391" t="s">
        <v>69</v>
      </c>
      <c r="BF96" s="391" t="s">
        <v>69</v>
      </c>
      <c r="BG96" s="391" t="s">
        <v>69</v>
      </c>
      <c r="BH96" s="391" t="s">
        <v>69</v>
      </c>
      <c r="BI96" s="391" t="s">
        <v>69</v>
      </c>
      <c r="BJ96" s="391" t="s">
        <v>69</v>
      </c>
      <c r="BK96" s="391" t="s">
        <v>69</v>
      </c>
      <c r="BL96" s="391" t="s">
        <v>69</v>
      </c>
      <c r="BM96" s="391" t="s">
        <v>69</v>
      </c>
      <c r="BN96" s="391" t="s">
        <v>69</v>
      </c>
      <c r="BO96" s="391" t="s">
        <v>69</v>
      </c>
      <c r="BP96" s="391" t="s">
        <v>69</v>
      </c>
      <c r="BQ96" s="391" t="s">
        <v>69</v>
      </c>
      <c r="BR96" s="391" t="s">
        <v>69</v>
      </c>
      <c r="BS96" s="391" t="s">
        <v>69</v>
      </c>
      <c r="BT96" s="391" t="s">
        <v>69</v>
      </c>
      <c r="BU96" s="391" t="s">
        <v>69</v>
      </c>
      <c r="BV96" s="391" t="s">
        <v>69</v>
      </c>
      <c r="BW96" s="391" t="s">
        <v>69</v>
      </c>
      <c r="BX96" s="391" t="s">
        <v>69</v>
      </c>
      <c r="BY96" s="391" t="s">
        <v>69</v>
      </c>
      <c r="BZ96" s="391" t="s">
        <v>69</v>
      </c>
      <c r="CA96" s="391" t="s">
        <v>69</v>
      </c>
      <c r="CB96" s="391" t="s">
        <v>69</v>
      </c>
      <c r="CC96" s="391" t="s">
        <v>69</v>
      </c>
      <c r="CD96" s="391">
        <v>3</v>
      </c>
      <c r="CE96" s="391" t="s">
        <v>69</v>
      </c>
      <c r="CF96" s="391" t="s">
        <v>69</v>
      </c>
      <c r="CG96" s="391" t="s">
        <v>69</v>
      </c>
      <c r="CH96" s="391" t="s">
        <v>69</v>
      </c>
      <c r="CI96" s="391" t="s">
        <v>69</v>
      </c>
      <c r="CJ96" s="391" t="s">
        <v>69</v>
      </c>
      <c r="CK96" s="391" t="s">
        <v>69</v>
      </c>
      <c r="CL96" s="391" t="s">
        <v>69</v>
      </c>
      <c r="CM96" s="391" t="s">
        <v>69</v>
      </c>
      <c r="CN96" s="391" t="s">
        <v>69</v>
      </c>
      <c r="CO96" s="391" t="s">
        <v>69</v>
      </c>
      <c r="CP96" s="391">
        <v>3</v>
      </c>
      <c r="CQ96" s="391" t="s">
        <v>69</v>
      </c>
      <c r="CR96" s="391" t="s">
        <v>69</v>
      </c>
      <c r="CS96" s="391" t="s">
        <v>69</v>
      </c>
      <c r="CT96" s="391" t="s">
        <v>69</v>
      </c>
      <c r="CU96" s="390" t="s">
        <v>212</v>
      </c>
      <c r="CV96" s="390" t="s">
        <v>212</v>
      </c>
      <c r="CW96" s="391" t="s">
        <v>69</v>
      </c>
      <c r="CX96" s="391" t="s">
        <v>69</v>
      </c>
      <c r="CY96" s="391" t="s">
        <v>69</v>
      </c>
      <c r="CZ96" s="391" t="s">
        <v>69</v>
      </c>
      <c r="DA96" s="391" t="s">
        <v>69</v>
      </c>
      <c r="DB96" s="391" t="s">
        <v>69</v>
      </c>
      <c r="DC96" s="391" t="s">
        <v>69</v>
      </c>
      <c r="DD96" s="391" t="s">
        <v>69</v>
      </c>
      <c r="DE96" s="391" t="s">
        <v>69</v>
      </c>
      <c r="DF96" s="391" t="s">
        <v>69</v>
      </c>
      <c r="DG96" s="391" t="s">
        <v>69</v>
      </c>
      <c r="DH96" s="391" t="s">
        <v>69</v>
      </c>
      <c r="DI96" s="391" t="s">
        <v>69</v>
      </c>
      <c r="DJ96" s="391" t="s">
        <v>69</v>
      </c>
      <c r="DK96" s="391" t="s">
        <v>69</v>
      </c>
      <c r="DL96" s="391" t="s">
        <v>69</v>
      </c>
      <c r="DM96" s="391" t="s">
        <v>69</v>
      </c>
      <c r="DN96" s="391" t="s">
        <v>69</v>
      </c>
      <c r="DO96" s="391" t="s">
        <v>69</v>
      </c>
      <c r="DP96" s="391" t="s">
        <v>69</v>
      </c>
      <c r="DQ96" s="391" t="s">
        <v>69</v>
      </c>
      <c r="DR96" s="391" t="s">
        <v>69</v>
      </c>
      <c r="DS96" s="391" t="s">
        <v>69</v>
      </c>
      <c r="DT96" s="391" t="s">
        <v>69</v>
      </c>
      <c r="DU96" s="398">
        <f t="shared" si="4"/>
        <v>0.12698412698412698</v>
      </c>
      <c r="DV96" s="399">
        <f t="shared" si="5"/>
        <v>1</v>
      </c>
    </row>
    <row r="97" spans="1:126" s="230" customFormat="1" ht="120" customHeight="1">
      <c r="A97" s="406" t="s">
        <v>977</v>
      </c>
      <c r="B97" s="407" t="s">
        <v>983</v>
      </c>
      <c r="C97" s="409">
        <v>46006</v>
      </c>
      <c r="D97" s="408" t="s">
        <v>1155</v>
      </c>
      <c r="E97" s="391" t="s">
        <v>69</v>
      </c>
      <c r="F97" s="391" t="s">
        <v>69</v>
      </c>
      <c r="G97" s="391" t="s">
        <v>69</v>
      </c>
      <c r="H97" s="391" t="s">
        <v>69</v>
      </c>
      <c r="I97" s="391" t="s">
        <v>69</v>
      </c>
      <c r="J97" s="391" t="s">
        <v>69</v>
      </c>
      <c r="K97" s="391" t="s">
        <v>69</v>
      </c>
      <c r="L97" s="391" t="s">
        <v>69</v>
      </c>
      <c r="M97" s="391" t="s">
        <v>69</v>
      </c>
      <c r="N97" s="391" t="s">
        <v>69</v>
      </c>
      <c r="O97" s="391" t="s">
        <v>69</v>
      </c>
      <c r="P97" s="391" t="s">
        <v>69</v>
      </c>
      <c r="Q97" s="391" t="s">
        <v>69</v>
      </c>
      <c r="R97" s="391" t="s">
        <v>69</v>
      </c>
      <c r="S97" s="391" t="s">
        <v>69</v>
      </c>
      <c r="T97" s="391" t="s">
        <v>69</v>
      </c>
      <c r="U97" s="391" t="s">
        <v>69</v>
      </c>
      <c r="V97" s="391" t="s">
        <v>69</v>
      </c>
      <c r="W97" s="391" t="s">
        <v>69</v>
      </c>
      <c r="X97" s="391" t="s">
        <v>69</v>
      </c>
      <c r="Y97" s="391" t="s">
        <v>69</v>
      </c>
      <c r="Z97" s="391" t="s">
        <v>69</v>
      </c>
      <c r="AA97" s="391" t="s">
        <v>69</v>
      </c>
      <c r="AB97" s="391" t="s">
        <v>69</v>
      </c>
      <c r="AC97" s="391" t="s">
        <v>69</v>
      </c>
      <c r="AD97" s="391" t="s">
        <v>69</v>
      </c>
      <c r="AE97" s="391" t="s">
        <v>69</v>
      </c>
      <c r="AF97" s="391" t="s">
        <v>69</v>
      </c>
      <c r="AG97" s="391" t="s">
        <v>69</v>
      </c>
      <c r="AH97" s="391" t="s">
        <v>69</v>
      </c>
      <c r="AI97" s="391" t="s">
        <v>69</v>
      </c>
      <c r="AJ97" s="391" t="s">
        <v>69</v>
      </c>
      <c r="AK97" s="391" t="s">
        <v>69</v>
      </c>
      <c r="AL97" s="391" t="s">
        <v>69</v>
      </c>
      <c r="AM97" s="391">
        <v>3</v>
      </c>
      <c r="AN97" s="391" t="s">
        <v>69</v>
      </c>
      <c r="AO97" s="391" t="s">
        <v>69</v>
      </c>
      <c r="AP97" s="391" t="s">
        <v>69</v>
      </c>
      <c r="AQ97" s="391" t="s">
        <v>69</v>
      </c>
      <c r="AR97" s="391" t="s">
        <v>69</v>
      </c>
      <c r="AS97" s="391" t="s">
        <v>69</v>
      </c>
      <c r="AT97" s="391">
        <v>3</v>
      </c>
      <c r="AU97" s="391">
        <v>3</v>
      </c>
      <c r="AV97" s="391" t="s">
        <v>69</v>
      </c>
      <c r="AW97" s="391" t="s">
        <v>69</v>
      </c>
      <c r="AX97" s="391" t="s">
        <v>69</v>
      </c>
      <c r="AY97" s="391" t="s">
        <v>69</v>
      </c>
      <c r="AZ97" s="391" t="s">
        <v>69</v>
      </c>
      <c r="BA97" s="391" t="s">
        <v>69</v>
      </c>
      <c r="BB97" s="391" t="s">
        <v>69</v>
      </c>
      <c r="BC97" s="391" t="s">
        <v>69</v>
      </c>
      <c r="BD97" s="391" t="s">
        <v>69</v>
      </c>
      <c r="BE97" s="391" t="s">
        <v>69</v>
      </c>
      <c r="BF97" s="391" t="s">
        <v>69</v>
      </c>
      <c r="BG97" s="391" t="s">
        <v>69</v>
      </c>
      <c r="BH97" s="391" t="s">
        <v>69</v>
      </c>
      <c r="BI97" s="391" t="s">
        <v>69</v>
      </c>
      <c r="BJ97" s="391">
        <v>3</v>
      </c>
      <c r="BK97" s="391" t="s">
        <v>69</v>
      </c>
      <c r="BL97" s="391" t="s">
        <v>69</v>
      </c>
      <c r="BM97" s="391" t="s">
        <v>69</v>
      </c>
      <c r="BN97" s="391" t="s">
        <v>69</v>
      </c>
      <c r="BO97" s="391" t="s">
        <v>69</v>
      </c>
      <c r="BP97" s="391" t="s">
        <v>69</v>
      </c>
      <c r="BQ97" s="391" t="s">
        <v>69</v>
      </c>
      <c r="BR97" s="391" t="s">
        <v>69</v>
      </c>
      <c r="BS97" s="391" t="s">
        <v>69</v>
      </c>
      <c r="BT97" s="391" t="s">
        <v>69</v>
      </c>
      <c r="BU97" s="391" t="s">
        <v>69</v>
      </c>
      <c r="BV97" s="391" t="s">
        <v>69</v>
      </c>
      <c r="BW97" s="391" t="s">
        <v>69</v>
      </c>
      <c r="BX97" s="391" t="s">
        <v>69</v>
      </c>
      <c r="BY97" s="391" t="s">
        <v>69</v>
      </c>
      <c r="BZ97" s="391" t="s">
        <v>69</v>
      </c>
      <c r="CA97" s="391" t="s">
        <v>69</v>
      </c>
      <c r="CB97" s="391" t="s">
        <v>69</v>
      </c>
      <c r="CC97" s="391" t="s">
        <v>69</v>
      </c>
      <c r="CD97" s="391" t="s">
        <v>69</v>
      </c>
      <c r="CE97" s="391" t="s">
        <v>69</v>
      </c>
      <c r="CF97" s="391" t="s">
        <v>69</v>
      </c>
      <c r="CG97" s="391" t="s">
        <v>69</v>
      </c>
      <c r="CH97" s="391" t="s">
        <v>69</v>
      </c>
      <c r="CI97" s="391" t="s">
        <v>69</v>
      </c>
      <c r="CJ97" s="391" t="s">
        <v>69</v>
      </c>
      <c r="CK97" s="391" t="s">
        <v>69</v>
      </c>
      <c r="CL97" s="391" t="s">
        <v>69</v>
      </c>
      <c r="CM97" s="391" t="s">
        <v>69</v>
      </c>
      <c r="CN97" s="391" t="s">
        <v>69</v>
      </c>
      <c r="CO97" s="391" t="s">
        <v>69</v>
      </c>
      <c r="CP97" s="391" t="s">
        <v>69</v>
      </c>
      <c r="CQ97" s="391" t="s">
        <v>69</v>
      </c>
      <c r="CR97" s="391" t="s">
        <v>69</v>
      </c>
      <c r="CS97" s="391" t="s">
        <v>69</v>
      </c>
      <c r="CT97" s="391" t="s">
        <v>69</v>
      </c>
      <c r="CU97" s="390" t="s">
        <v>212</v>
      </c>
      <c r="CV97" s="390" t="s">
        <v>212</v>
      </c>
      <c r="CW97" s="391" t="s">
        <v>69</v>
      </c>
      <c r="CX97" s="391" t="s">
        <v>69</v>
      </c>
      <c r="CY97" s="391" t="s">
        <v>69</v>
      </c>
      <c r="CZ97" s="391">
        <v>3</v>
      </c>
      <c r="DA97" s="391" t="s">
        <v>69</v>
      </c>
      <c r="DB97" s="391">
        <v>3</v>
      </c>
      <c r="DC97" s="391" t="s">
        <v>69</v>
      </c>
      <c r="DD97" s="391" t="s">
        <v>69</v>
      </c>
      <c r="DE97" s="391" t="s">
        <v>69</v>
      </c>
      <c r="DF97" s="391" t="s">
        <v>69</v>
      </c>
      <c r="DG97" s="391" t="s">
        <v>69</v>
      </c>
      <c r="DH97" s="391" t="s">
        <v>69</v>
      </c>
      <c r="DI97" s="391" t="s">
        <v>69</v>
      </c>
      <c r="DJ97" s="391" t="s">
        <v>69</v>
      </c>
      <c r="DK97" s="391" t="s">
        <v>69</v>
      </c>
      <c r="DL97" s="391" t="s">
        <v>69</v>
      </c>
      <c r="DM97" s="391" t="s">
        <v>69</v>
      </c>
      <c r="DN97" s="391" t="s">
        <v>69</v>
      </c>
      <c r="DO97" s="391" t="s">
        <v>69</v>
      </c>
      <c r="DP97" s="391">
        <v>3</v>
      </c>
      <c r="DQ97" s="391" t="s">
        <v>69</v>
      </c>
      <c r="DR97" s="391" t="s">
        <v>69</v>
      </c>
      <c r="DS97" s="391" t="s">
        <v>69</v>
      </c>
      <c r="DT97" s="391" t="s">
        <v>69</v>
      </c>
      <c r="DU97" s="398">
        <f t="shared" si="4"/>
        <v>0.1111111111111111</v>
      </c>
      <c r="DV97" s="399">
        <f t="shared" si="5"/>
        <v>1</v>
      </c>
    </row>
    <row r="98" spans="1:126" s="230" customFormat="1" ht="120" customHeight="1">
      <c r="A98" s="406" t="s">
        <v>1011</v>
      </c>
      <c r="B98" s="407" t="s">
        <v>1008</v>
      </c>
      <c r="C98" s="409">
        <v>46037</v>
      </c>
      <c r="D98" s="408" t="s">
        <v>1155</v>
      </c>
      <c r="E98" s="391" t="s">
        <v>69</v>
      </c>
      <c r="F98" s="391" t="s">
        <v>69</v>
      </c>
      <c r="G98" s="391" t="s">
        <v>69</v>
      </c>
      <c r="H98" s="391" t="s">
        <v>69</v>
      </c>
      <c r="I98" s="391" t="s">
        <v>69</v>
      </c>
      <c r="J98" s="391" t="s">
        <v>69</v>
      </c>
      <c r="K98" s="391" t="s">
        <v>69</v>
      </c>
      <c r="L98" s="391" t="s">
        <v>69</v>
      </c>
      <c r="M98" s="391" t="s">
        <v>69</v>
      </c>
      <c r="N98" s="391" t="s">
        <v>69</v>
      </c>
      <c r="O98" s="391" t="s">
        <v>69</v>
      </c>
      <c r="P98" s="391" t="s">
        <v>69</v>
      </c>
      <c r="Q98" s="391" t="s">
        <v>69</v>
      </c>
      <c r="R98" s="391" t="s">
        <v>69</v>
      </c>
      <c r="S98" s="391" t="s">
        <v>69</v>
      </c>
      <c r="T98" s="391" t="s">
        <v>69</v>
      </c>
      <c r="U98" s="391" t="s">
        <v>69</v>
      </c>
      <c r="V98" s="391" t="s">
        <v>69</v>
      </c>
      <c r="W98" s="391" t="s">
        <v>69</v>
      </c>
      <c r="X98" s="391" t="s">
        <v>69</v>
      </c>
      <c r="Y98" s="391" t="s">
        <v>69</v>
      </c>
      <c r="Z98" s="391" t="s">
        <v>69</v>
      </c>
      <c r="AA98" s="391" t="s">
        <v>69</v>
      </c>
      <c r="AB98" s="391" t="s">
        <v>69</v>
      </c>
      <c r="AC98" s="391" t="s">
        <v>69</v>
      </c>
      <c r="AD98" s="391" t="s">
        <v>69</v>
      </c>
      <c r="AE98" s="391">
        <v>3</v>
      </c>
      <c r="AF98" s="391" t="s">
        <v>69</v>
      </c>
      <c r="AG98" s="391">
        <v>3</v>
      </c>
      <c r="AH98" s="391" t="s">
        <v>69</v>
      </c>
      <c r="AI98" s="391" t="s">
        <v>69</v>
      </c>
      <c r="AJ98" s="391" t="s">
        <v>69</v>
      </c>
      <c r="AK98" s="391" t="s">
        <v>69</v>
      </c>
      <c r="AL98" s="391" t="s">
        <v>69</v>
      </c>
      <c r="AM98" s="391" t="s">
        <v>69</v>
      </c>
      <c r="AN98" s="391" t="s">
        <v>69</v>
      </c>
      <c r="AO98" s="391" t="s">
        <v>69</v>
      </c>
      <c r="AP98" s="391" t="s">
        <v>69</v>
      </c>
      <c r="AQ98" s="391" t="s">
        <v>69</v>
      </c>
      <c r="AR98" s="391" t="s">
        <v>69</v>
      </c>
      <c r="AS98" s="391" t="s">
        <v>69</v>
      </c>
      <c r="AT98" s="391">
        <v>3</v>
      </c>
      <c r="AU98" s="391" t="s">
        <v>69</v>
      </c>
      <c r="AV98" s="391" t="s">
        <v>69</v>
      </c>
      <c r="AW98" s="391" t="s">
        <v>69</v>
      </c>
      <c r="AX98" s="391" t="s">
        <v>69</v>
      </c>
      <c r="AY98" s="391" t="s">
        <v>69</v>
      </c>
      <c r="AZ98" s="391" t="s">
        <v>69</v>
      </c>
      <c r="BA98" s="391" t="s">
        <v>69</v>
      </c>
      <c r="BB98" s="391" t="s">
        <v>69</v>
      </c>
      <c r="BC98" s="391" t="s">
        <v>69</v>
      </c>
      <c r="BD98" s="391" t="s">
        <v>69</v>
      </c>
      <c r="BE98" s="391" t="s">
        <v>69</v>
      </c>
      <c r="BF98" s="391" t="s">
        <v>69</v>
      </c>
      <c r="BG98" s="391" t="s">
        <v>69</v>
      </c>
      <c r="BH98" s="391" t="s">
        <v>69</v>
      </c>
      <c r="BI98" s="391" t="s">
        <v>69</v>
      </c>
      <c r="BJ98" s="391" t="s">
        <v>69</v>
      </c>
      <c r="BK98" s="391" t="s">
        <v>69</v>
      </c>
      <c r="BL98" s="391" t="s">
        <v>69</v>
      </c>
      <c r="BM98" s="391" t="s">
        <v>69</v>
      </c>
      <c r="BN98" s="391" t="s">
        <v>69</v>
      </c>
      <c r="BO98" s="391" t="s">
        <v>69</v>
      </c>
      <c r="BP98" s="391" t="s">
        <v>69</v>
      </c>
      <c r="BQ98" s="391" t="s">
        <v>69</v>
      </c>
      <c r="BR98" s="391" t="s">
        <v>69</v>
      </c>
      <c r="BS98" s="391" t="s">
        <v>69</v>
      </c>
      <c r="BT98" s="391" t="s">
        <v>69</v>
      </c>
      <c r="BU98" s="391" t="s">
        <v>69</v>
      </c>
      <c r="BV98" s="391" t="s">
        <v>69</v>
      </c>
      <c r="BW98" s="391" t="s">
        <v>69</v>
      </c>
      <c r="BX98" s="391" t="s">
        <v>69</v>
      </c>
      <c r="BY98" s="391" t="s">
        <v>69</v>
      </c>
      <c r="BZ98" s="391" t="s">
        <v>69</v>
      </c>
      <c r="CA98" s="391" t="s">
        <v>69</v>
      </c>
      <c r="CB98" s="391" t="s">
        <v>69</v>
      </c>
      <c r="CC98" s="391" t="s">
        <v>69</v>
      </c>
      <c r="CD98" s="391" t="s">
        <v>69</v>
      </c>
      <c r="CE98" s="391" t="s">
        <v>69</v>
      </c>
      <c r="CF98" s="391" t="s">
        <v>69</v>
      </c>
      <c r="CG98" s="391" t="s">
        <v>69</v>
      </c>
      <c r="CH98" s="391" t="s">
        <v>69</v>
      </c>
      <c r="CI98" s="391" t="s">
        <v>69</v>
      </c>
      <c r="CJ98" s="391" t="s">
        <v>69</v>
      </c>
      <c r="CK98" s="391" t="s">
        <v>69</v>
      </c>
      <c r="CL98" s="391" t="s">
        <v>69</v>
      </c>
      <c r="CM98" s="391" t="s">
        <v>69</v>
      </c>
      <c r="CN98" s="391" t="s">
        <v>69</v>
      </c>
      <c r="CO98" s="391" t="s">
        <v>69</v>
      </c>
      <c r="CP98" s="391" t="s">
        <v>69</v>
      </c>
      <c r="CQ98" s="391" t="s">
        <v>69</v>
      </c>
      <c r="CR98" s="391" t="s">
        <v>69</v>
      </c>
      <c r="CS98" s="391" t="s">
        <v>69</v>
      </c>
      <c r="CT98" s="391" t="s">
        <v>69</v>
      </c>
      <c r="CU98" s="390" t="s">
        <v>212</v>
      </c>
      <c r="CV98" s="390" t="s">
        <v>212</v>
      </c>
      <c r="CW98" s="391" t="s">
        <v>69</v>
      </c>
      <c r="CX98" s="391" t="s">
        <v>69</v>
      </c>
      <c r="CY98" s="391" t="s">
        <v>69</v>
      </c>
      <c r="CZ98" s="391">
        <v>3</v>
      </c>
      <c r="DA98" s="391" t="s">
        <v>69</v>
      </c>
      <c r="DB98" s="391" t="s">
        <v>69</v>
      </c>
      <c r="DC98" s="391" t="s">
        <v>69</v>
      </c>
      <c r="DD98" s="391" t="s">
        <v>69</v>
      </c>
      <c r="DE98" s="391">
        <v>3</v>
      </c>
      <c r="DF98" s="391" t="s">
        <v>69</v>
      </c>
      <c r="DG98" s="391" t="s">
        <v>69</v>
      </c>
      <c r="DH98" s="391" t="s">
        <v>69</v>
      </c>
      <c r="DI98" s="391" t="s">
        <v>69</v>
      </c>
      <c r="DJ98" s="391" t="s">
        <v>69</v>
      </c>
      <c r="DK98" s="391" t="s">
        <v>69</v>
      </c>
      <c r="DL98" s="391" t="s">
        <v>69</v>
      </c>
      <c r="DM98" s="391" t="s">
        <v>69</v>
      </c>
      <c r="DN98" s="391" t="s">
        <v>69</v>
      </c>
      <c r="DO98" s="391" t="s">
        <v>69</v>
      </c>
      <c r="DP98" s="391" t="s">
        <v>69</v>
      </c>
      <c r="DQ98" s="391" t="s">
        <v>69</v>
      </c>
      <c r="DR98" s="391" t="s">
        <v>69</v>
      </c>
      <c r="DS98" s="391" t="s">
        <v>69</v>
      </c>
      <c r="DT98" s="391" t="s">
        <v>69</v>
      </c>
      <c r="DU98" s="398">
        <f t="shared" si="4"/>
        <v>7.9365079365079361E-2</v>
      </c>
      <c r="DV98" s="399">
        <f t="shared" si="5"/>
        <v>1</v>
      </c>
    </row>
    <row r="99" spans="1:126" s="230" customFormat="1" ht="120" customHeight="1">
      <c r="A99" s="406" t="s">
        <v>1013</v>
      </c>
      <c r="B99" s="407" t="s">
        <v>1010</v>
      </c>
      <c r="C99" s="409">
        <v>46037</v>
      </c>
      <c r="D99" s="408" t="s">
        <v>1155</v>
      </c>
      <c r="E99" s="391">
        <v>3</v>
      </c>
      <c r="F99" s="391" t="s">
        <v>69</v>
      </c>
      <c r="G99" s="391">
        <v>3</v>
      </c>
      <c r="H99" s="391" t="s">
        <v>69</v>
      </c>
      <c r="I99" s="391" t="s">
        <v>69</v>
      </c>
      <c r="J99" s="391" t="s">
        <v>69</v>
      </c>
      <c r="K99" s="391" t="s">
        <v>69</v>
      </c>
      <c r="L99" s="391" t="s">
        <v>69</v>
      </c>
      <c r="M99" s="391" t="s">
        <v>69</v>
      </c>
      <c r="N99" s="391" t="s">
        <v>69</v>
      </c>
      <c r="O99" s="391" t="s">
        <v>69</v>
      </c>
      <c r="P99" s="391" t="s">
        <v>69</v>
      </c>
      <c r="Q99" s="391" t="s">
        <v>69</v>
      </c>
      <c r="R99" s="391" t="s">
        <v>69</v>
      </c>
      <c r="S99" s="391" t="s">
        <v>69</v>
      </c>
      <c r="T99" s="391" t="s">
        <v>69</v>
      </c>
      <c r="U99" s="391" t="s">
        <v>69</v>
      </c>
      <c r="V99" s="391" t="s">
        <v>69</v>
      </c>
      <c r="W99" s="391" t="s">
        <v>69</v>
      </c>
      <c r="X99" s="391" t="s">
        <v>69</v>
      </c>
      <c r="Y99" s="391" t="s">
        <v>69</v>
      </c>
      <c r="Z99" s="391" t="s">
        <v>69</v>
      </c>
      <c r="AA99" s="391" t="s">
        <v>69</v>
      </c>
      <c r="AB99" s="391" t="s">
        <v>69</v>
      </c>
      <c r="AC99" s="391" t="s">
        <v>69</v>
      </c>
      <c r="AD99" s="391" t="s">
        <v>69</v>
      </c>
      <c r="AE99" s="391" t="s">
        <v>69</v>
      </c>
      <c r="AF99" s="391" t="s">
        <v>69</v>
      </c>
      <c r="AG99" s="391" t="s">
        <v>69</v>
      </c>
      <c r="AH99" s="391" t="s">
        <v>69</v>
      </c>
      <c r="AI99" s="391" t="s">
        <v>69</v>
      </c>
      <c r="AJ99" s="391" t="s">
        <v>69</v>
      </c>
      <c r="AK99" s="391" t="s">
        <v>69</v>
      </c>
      <c r="AL99" s="391" t="s">
        <v>69</v>
      </c>
      <c r="AM99" s="391" t="s">
        <v>69</v>
      </c>
      <c r="AN99" s="391" t="s">
        <v>69</v>
      </c>
      <c r="AO99" s="391" t="s">
        <v>69</v>
      </c>
      <c r="AP99" s="391" t="s">
        <v>69</v>
      </c>
      <c r="AQ99" s="391" t="s">
        <v>69</v>
      </c>
      <c r="AR99" s="391" t="s">
        <v>69</v>
      </c>
      <c r="AS99" s="391" t="s">
        <v>69</v>
      </c>
      <c r="AT99" s="391">
        <v>3</v>
      </c>
      <c r="AU99" s="391" t="s">
        <v>69</v>
      </c>
      <c r="AV99" s="391" t="s">
        <v>69</v>
      </c>
      <c r="AW99" s="391" t="s">
        <v>69</v>
      </c>
      <c r="AX99" s="391" t="s">
        <v>69</v>
      </c>
      <c r="AY99" s="391" t="s">
        <v>69</v>
      </c>
      <c r="AZ99" s="391" t="s">
        <v>69</v>
      </c>
      <c r="BA99" s="391" t="s">
        <v>69</v>
      </c>
      <c r="BB99" s="391" t="s">
        <v>69</v>
      </c>
      <c r="BC99" s="391" t="s">
        <v>69</v>
      </c>
      <c r="BD99" s="391" t="s">
        <v>69</v>
      </c>
      <c r="BE99" s="391" t="s">
        <v>69</v>
      </c>
      <c r="BF99" s="391" t="s">
        <v>69</v>
      </c>
      <c r="BG99" s="391" t="s">
        <v>69</v>
      </c>
      <c r="BH99" s="391" t="s">
        <v>69</v>
      </c>
      <c r="BI99" s="391" t="s">
        <v>69</v>
      </c>
      <c r="BJ99" s="391" t="s">
        <v>69</v>
      </c>
      <c r="BK99" s="391" t="s">
        <v>69</v>
      </c>
      <c r="BL99" s="391" t="s">
        <v>69</v>
      </c>
      <c r="BM99" s="391" t="s">
        <v>69</v>
      </c>
      <c r="BN99" s="391" t="s">
        <v>69</v>
      </c>
      <c r="BO99" s="391" t="s">
        <v>69</v>
      </c>
      <c r="BP99" s="391" t="s">
        <v>69</v>
      </c>
      <c r="BQ99" s="391">
        <v>3</v>
      </c>
      <c r="BR99" s="391">
        <v>3</v>
      </c>
      <c r="BS99" s="391" t="s">
        <v>69</v>
      </c>
      <c r="BT99" s="391" t="s">
        <v>69</v>
      </c>
      <c r="BU99" s="391" t="s">
        <v>69</v>
      </c>
      <c r="BV99" s="391" t="s">
        <v>69</v>
      </c>
      <c r="BW99" s="391" t="s">
        <v>69</v>
      </c>
      <c r="BX99" s="391" t="s">
        <v>69</v>
      </c>
      <c r="BY99" s="391" t="s">
        <v>69</v>
      </c>
      <c r="BZ99" s="391" t="s">
        <v>69</v>
      </c>
      <c r="CA99" s="391" t="s">
        <v>69</v>
      </c>
      <c r="CB99" s="391" t="s">
        <v>69</v>
      </c>
      <c r="CC99" s="391" t="s">
        <v>69</v>
      </c>
      <c r="CD99" s="391" t="s">
        <v>69</v>
      </c>
      <c r="CE99" s="391" t="s">
        <v>69</v>
      </c>
      <c r="CF99" s="391" t="s">
        <v>69</v>
      </c>
      <c r="CG99" s="391" t="s">
        <v>69</v>
      </c>
      <c r="CH99" s="391">
        <v>4</v>
      </c>
      <c r="CI99" s="391">
        <v>4</v>
      </c>
      <c r="CJ99" s="391" t="s">
        <v>69</v>
      </c>
      <c r="CK99" s="391" t="s">
        <v>69</v>
      </c>
      <c r="CL99" s="391" t="s">
        <v>69</v>
      </c>
      <c r="CM99" s="391" t="s">
        <v>69</v>
      </c>
      <c r="CN99" s="391" t="s">
        <v>69</v>
      </c>
      <c r="CO99" s="391" t="s">
        <v>69</v>
      </c>
      <c r="CP99" s="391" t="s">
        <v>69</v>
      </c>
      <c r="CQ99" s="391" t="s">
        <v>69</v>
      </c>
      <c r="CR99" s="391" t="s">
        <v>69</v>
      </c>
      <c r="CS99" s="391" t="s">
        <v>69</v>
      </c>
      <c r="CT99" s="391" t="s">
        <v>69</v>
      </c>
      <c r="CU99" s="390" t="s">
        <v>212</v>
      </c>
      <c r="CV99" s="390" t="s">
        <v>212</v>
      </c>
      <c r="CW99" s="391" t="s">
        <v>69</v>
      </c>
      <c r="CX99" s="391" t="s">
        <v>69</v>
      </c>
      <c r="CY99" s="391" t="s">
        <v>69</v>
      </c>
      <c r="CZ99" s="391" t="s">
        <v>69</v>
      </c>
      <c r="DA99" s="391" t="s">
        <v>69</v>
      </c>
      <c r="DB99" s="391" t="s">
        <v>69</v>
      </c>
      <c r="DC99" s="391" t="s">
        <v>69</v>
      </c>
      <c r="DD99" s="391" t="s">
        <v>69</v>
      </c>
      <c r="DE99" s="391" t="s">
        <v>69</v>
      </c>
      <c r="DF99" s="391" t="s">
        <v>69</v>
      </c>
      <c r="DG99" s="391" t="s">
        <v>69</v>
      </c>
      <c r="DH99" s="391" t="s">
        <v>69</v>
      </c>
      <c r="DI99" s="391" t="s">
        <v>69</v>
      </c>
      <c r="DJ99" s="391" t="s">
        <v>69</v>
      </c>
      <c r="DK99" s="391" t="s">
        <v>69</v>
      </c>
      <c r="DL99" s="391" t="s">
        <v>69</v>
      </c>
      <c r="DM99" s="391" t="s">
        <v>69</v>
      </c>
      <c r="DN99" s="391" t="s">
        <v>69</v>
      </c>
      <c r="DO99" s="391" t="s">
        <v>69</v>
      </c>
      <c r="DP99" s="391" t="s">
        <v>69</v>
      </c>
      <c r="DQ99" s="391" t="s">
        <v>69</v>
      </c>
      <c r="DR99" s="391" t="s">
        <v>69</v>
      </c>
      <c r="DS99" s="391" t="s">
        <v>69</v>
      </c>
      <c r="DT99" s="391" t="s">
        <v>69</v>
      </c>
      <c r="DU99" s="398">
        <f t="shared" si="4"/>
        <v>0.1111111111111111</v>
      </c>
      <c r="DV99" s="399">
        <f t="shared" si="5"/>
        <v>1</v>
      </c>
    </row>
    <row r="100" spans="1:126" s="230" customFormat="1" ht="120" customHeight="1">
      <c r="A100" s="406" t="s">
        <v>1012</v>
      </c>
      <c r="B100" s="407" t="s">
        <v>1009</v>
      </c>
      <c r="C100" s="409">
        <v>46037</v>
      </c>
      <c r="D100" s="408" t="s">
        <v>1155</v>
      </c>
      <c r="E100" s="391">
        <v>3</v>
      </c>
      <c r="F100" s="391" t="s">
        <v>69</v>
      </c>
      <c r="G100" s="391">
        <v>3</v>
      </c>
      <c r="H100" s="391" t="s">
        <v>69</v>
      </c>
      <c r="I100" s="391" t="s">
        <v>69</v>
      </c>
      <c r="J100" s="391">
        <v>3</v>
      </c>
      <c r="K100" s="391" t="s">
        <v>69</v>
      </c>
      <c r="L100" s="391">
        <v>3</v>
      </c>
      <c r="M100" s="391" t="s">
        <v>69</v>
      </c>
      <c r="N100" s="391">
        <v>3</v>
      </c>
      <c r="O100" s="391" t="s">
        <v>69</v>
      </c>
      <c r="P100" s="391" t="s">
        <v>69</v>
      </c>
      <c r="Q100" s="391" t="s">
        <v>69</v>
      </c>
      <c r="R100" s="391" t="s">
        <v>69</v>
      </c>
      <c r="S100" s="391" t="s">
        <v>69</v>
      </c>
      <c r="T100" s="391" t="s">
        <v>69</v>
      </c>
      <c r="U100" s="391" t="s">
        <v>69</v>
      </c>
      <c r="V100" s="391" t="s">
        <v>69</v>
      </c>
      <c r="W100" s="391" t="s">
        <v>69</v>
      </c>
      <c r="X100" s="391" t="s">
        <v>69</v>
      </c>
      <c r="Y100" s="391" t="s">
        <v>69</v>
      </c>
      <c r="Z100" s="391" t="s">
        <v>69</v>
      </c>
      <c r="AA100" s="391" t="s">
        <v>69</v>
      </c>
      <c r="AB100" s="391" t="s">
        <v>69</v>
      </c>
      <c r="AC100" s="391" t="s">
        <v>69</v>
      </c>
      <c r="AD100" s="391" t="s">
        <v>69</v>
      </c>
      <c r="AE100" s="391" t="s">
        <v>69</v>
      </c>
      <c r="AF100" s="391" t="s">
        <v>69</v>
      </c>
      <c r="AG100" s="391" t="s">
        <v>69</v>
      </c>
      <c r="AH100" s="391" t="s">
        <v>69</v>
      </c>
      <c r="AI100" s="391" t="s">
        <v>69</v>
      </c>
      <c r="AJ100" s="391" t="s">
        <v>69</v>
      </c>
      <c r="AK100" s="391" t="s">
        <v>69</v>
      </c>
      <c r="AL100" s="391" t="s">
        <v>69</v>
      </c>
      <c r="AM100" s="391" t="s">
        <v>69</v>
      </c>
      <c r="AN100" s="391" t="s">
        <v>69</v>
      </c>
      <c r="AO100" s="391" t="s">
        <v>69</v>
      </c>
      <c r="AP100" s="391" t="s">
        <v>69</v>
      </c>
      <c r="AQ100" s="391" t="s">
        <v>69</v>
      </c>
      <c r="AR100" s="391" t="s">
        <v>69</v>
      </c>
      <c r="AS100" s="391" t="s">
        <v>69</v>
      </c>
      <c r="AT100" s="391" t="s">
        <v>69</v>
      </c>
      <c r="AU100" s="391" t="s">
        <v>69</v>
      </c>
      <c r="AV100" s="391" t="s">
        <v>69</v>
      </c>
      <c r="AW100" s="391" t="s">
        <v>69</v>
      </c>
      <c r="AX100" s="391" t="s">
        <v>69</v>
      </c>
      <c r="AY100" s="391" t="s">
        <v>69</v>
      </c>
      <c r="AZ100" s="391" t="s">
        <v>69</v>
      </c>
      <c r="BA100" s="391" t="s">
        <v>69</v>
      </c>
      <c r="BB100" s="391" t="s">
        <v>69</v>
      </c>
      <c r="BC100" s="391">
        <v>2</v>
      </c>
      <c r="BD100" s="391" t="s">
        <v>69</v>
      </c>
      <c r="BE100" s="391" t="s">
        <v>69</v>
      </c>
      <c r="BF100" s="391" t="s">
        <v>69</v>
      </c>
      <c r="BG100" s="391" t="s">
        <v>69</v>
      </c>
      <c r="BH100" s="391" t="s">
        <v>69</v>
      </c>
      <c r="BI100" s="391" t="s">
        <v>69</v>
      </c>
      <c r="BJ100" s="391" t="s">
        <v>69</v>
      </c>
      <c r="BK100" s="391" t="s">
        <v>69</v>
      </c>
      <c r="BL100" s="391" t="s">
        <v>69</v>
      </c>
      <c r="BM100" s="391" t="s">
        <v>69</v>
      </c>
      <c r="BN100" s="391" t="s">
        <v>69</v>
      </c>
      <c r="BO100" s="391" t="s">
        <v>69</v>
      </c>
      <c r="BP100" s="391" t="s">
        <v>69</v>
      </c>
      <c r="BQ100" s="391">
        <v>3</v>
      </c>
      <c r="BR100" s="391" t="s">
        <v>69</v>
      </c>
      <c r="BS100" s="391" t="s">
        <v>69</v>
      </c>
      <c r="BT100" s="391" t="s">
        <v>69</v>
      </c>
      <c r="BU100" s="391" t="s">
        <v>69</v>
      </c>
      <c r="BV100" s="391" t="s">
        <v>69</v>
      </c>
      <c r="BW100" s="391" t="s">
        <v>69</v>
      </c>
      <c r="BX100" s="391" t="s">
        <v>69</v>
      </c>
      <c r="BY100" s="391" t="s">
        <v>69</v>
      </c>
      <c r="BZ100" s="391" t="s">
        <v>69</v>
      </c>
      <c r="CA100" s="391" t="s">
        <v>69</v>
      </c>
      <c r="CB100" s="391" t="s">
        <v>69</v>
      </c>
      <c r="CC100" s="391" t="s">
        <v>69</v>
      </c>
      <c r="CD100" s="391">
        <v>2</v>
      </c>
      <c r="CE100" s="391" t="s">
        <v>69</v>
      </c>
      <c r="CF100" s="391" t="s">
        <v>69</v>
      </c>
      <c r="CG100" s="391" t="s">
        <v>69</v>
      </c>
      <c r="CH100" s="391">
        <v>3</v>
      </c>
      <c r="CI100" s="391" t="s">
        <v>69</v>
      </c>
      <c r="CJ100" s="391" t="s">
        <v>69</v>
      </c>
      <c r="CK100" s="391" t="s">
        <v>69</v>
      </c>
      <c r="CL100" s="391" t="s">
        <v>69</v>
      </c>
      <c r="CM100" s="391" t="s">
        <v>69</v>
      </c>
      <c r="CN100" s="391" t="s">
        <v>69</v>
      </c>
      <c r="CO100" s="391" t="s">
        <v>69</v>
      </c>
      <c r="CP100" s="391" t="s">
        <v>69</v>
      </c>
      <c r="CQ100" s="391" t="s">
        <v>69</v>
      </c>
      <c r="CR100" s="391" t="s">
        <v>69</v>
      </c>
      <c r="CS100" s="391" t="s">
        <v>69</v>
      </c>
      <c r="CT100" s="391" t="s">
        <v>69</v>
      </c>
      <c r="CU100" s="390" t="s">
        <v>212</v>
      </c>
      <c r="CV100" s="390" t="s">
        <v>212</v>
      </c>
      <c r="CW100" s="391" t="s">
        <v>69</v>
      </c>
      <c r="CX100" s="391" t="s">
        <v>69</v>
      </c>
      <c r="CY100" s="391" t="s">
        <v>69</v>
      </c>
      <c r="CZ100" s="391" t="s">
        <v>69</v>
      </c>
      <c r="DA100" s="391" t="s">
        <v>69</v>
      </c>
      <c r="DB100" s="391" t="s">
        <v>69</v>
      </c>
      <c r="DC100" s="391" t="s">
        <v>69</v>
      </c>
      <c r="DD100" s="391" t="s">
        <v>69</v>
      </c>
      <c r="DE100" s="391" t="s">
        <v>69</v>
      </c>
      <c r="DF100" s="391" t="s">
        <v>69</v>
      </c>
      <c r="DG100" s="391" t="s">
        <v>69</v>
      </c>
      <c r="DH100" s="391" t="s">
        <v>69</v>
      </c>
      <c r="DI100" s="391" t="s">
        <v>69</v>
      </c>
      <c r="DJ100" s="391" t="s">
        <v>69</v>
      </c>
      <c r="DK100" s="391" t="s">
        <v>69</v>
      </c>
      <c r="DL100" s="391" t="s">
        <v>69</v>
      </c>
      <c r="DM100" s="391" t="s">
        <v>69</v>
      </c>
      <c r="DN100" s="391" t="s">
        <v>69</v>
      </c>
      <c r="DO100" s="391" t="s">
        <v>69</v>
      </c>
      <c r="DP100" s="391" t="s">
        <v>69</v>
      </c>
      <c r="DQ100" s="391" t="s">
        <v>69</v>
      </c>
      <c r="DR100" s="391" t="s">
        <v>69</v>
      </c>
      <c r="DS100" s="391" t="s">
        <v>69</v>
      </c>
      <c r="DT100" s="391" t="s">
        <v>69</v>
      </c>
      <c r="DU100" s="398">
        <f t="shared" si="4"/>
        <v>0.14285714285714285</v>
      </c>
      <c r="DV100" s="399">
        <f t="shared" si="5"/>
        <v>0.77777777777777779</v>
      </c>
    </row>
    <row r="101" spans="1:126" s="230" customFormat="1" ht="120" customHeight="1">
      <c r="A101" s="406" t="s">
        <v>1085</v>
      </c>
      <c r="B101" s="407" t="s">
        <v>1086</v>
      </c>
      <c r="C101" s="409">
        <v>46054</v>
      </c>
      <c r="D101" s="408" t="s">
        <v>1155</v>
      </c>
      <c r="E101" s="391">
        <v>3</v>
      </c>
      <c r="F101" s="391">
        <v>3</v>
      </c>
      <c r="G101" s="391">
        <v>3</v>
      </c>
      <c r="H101" s="391" t="s">
        <v>69</v>
      </c>
      <c r="I101" s="391"/>
      <c r="J101" s="391" t="s">
        <v>69</v>
      </c>
      <c r="K101" s="391" t="s">
        <v>69</v>
      </c>
      <c r="L101" s="391" t="s">
        <v>69</v>
      </c>
      <c r="M101" s="391" t="s">
        <v>69</v>
      </c>
      <c r="N101" s="391">
        <v>3</v>
      </c>
      <c r="O101" s="391" t="s">
        <v>69</v>
      </c>
      <c r="P101" s="391" t="s">
        <v>69</v>
      </c>
      <c r="Q101" s="391" t="s">
        <v>69</v>
      </c>
      <c r="R101" s="391" t="s">
        <v>69</v>
      </c>
      <c r="S101" s="391" t="s">
        <v>69</v>
      </c>
      <c r="T101" s="391" t="s">
        <v>69</v>
      </c>
      <c r="U101" s="391" t="s">
        <v>69</v>
      </c>
      <c r="V101" s="391" t="s">
        <v>69</v>
      </c>
      <c r="W101" s="391" t="s">
        <v>69</v>
      </c>
      <c r="X101" s="391" t="s">
        <v>69</v>
      </c>
      <c r="Y101" s="391" t="s">
        <v>69</v>
      </c>
      <c r="Z101" s="391" t="s">
        <v>69</v>
      </c>
      <c r="AA101" s="391" t="s">
        <v>69</v>
      </c>
      <c r="AB101" s="391" t="s">
        <v>69</v>
      </c>
      <c r="AC101" s="391" t="s">
        <v>69</v>
      </c>
      <c r="AD101" s="391" t="s">
        <v>69</v>
      </c>
      <c r="AE101" s="391" t="s">
        <v>69</v>
      </c>
      <c r="AF101" s="391" t="s">
        <v>69</v>
      </c>
      <c r="AG101" s="391" t="s">
        <v>69</v>
      </c>
      <c r="AH101" s="391" t="s">
        <v>69</v>
      </c>
      <c r="AI101" s="391" t="s">
        <v>69</v>
      </c>
      <c r="AJ101" s="391" t="s">
        <v>69</v>
      </c>
      <c r="AK101" s="391" t="s">
        <v>69</v>
      </c>
      <c r="AL101" s="391" t="s">
        <v>69</v>
      </c>
      <c r="AM101" s="391" t="s">
        <v>69</v>
      </c>
      <c r="AN101" s="391" t="s">
        <v>69</v>
      </c>
      <c r="AO101" s="391" t="s">
        <v>69</v>
      </c>
      <c r="AP101" s="391" t="s">
        <v>69</v>
      </c>
      <c r="AQ101" s="391">
        <v>3</v>
      </c>
      <c r="AR101" s="391" t="s">
        <v>69</v>
      </c>
      <c r="AS101" s="391" t="s">
        <v>69</v>
      </c>
      <c r="AT101" s="391" t="s">
        <v>69</v>
      </c>
      <c r="AU101" s="391" t="s">
        <v>69</v>
      </c>
      <c r="AV101" s="391" t="s">
        <v>69</v>
      </c>
      <c r="AW101" s="391">
        <v>3</v>
      </c>
      <c r="AX101" s="391" t="s">
        <v>69</v>
      </c>
      <c r="AY101" s="391" t="s">
        <v>69</v>
      </c>
      <c r="AZ101" s="391" t="s">
        <v>69</v>
      </c>
      <c r="BA101" s="391" t="s">
        <v>69</v>
      </c>
      <c r="BB101" s="391" t="s">
        <v>69</v>
      </c>
      <c r="BC101" s="391">
        <v>3</v>
      </c>
      <c r="BD101" s="391" t="s">
        <v>69</v>
      </c>
      <c r="BE101" s="391" t="s">
        <v>69</v>
      </c>
      <c r="BF101" s="391" t="s">
        <v>69</v>
      </c>
      <c r="BG101" s="391" t="s">
        <v>69</v>
      </c>
      <c r="BH101" s="391" t="s">
        <v>69</v>
      </c>
      <c r="BI101" s="391" t="s">
        <v>69</v>
      </c>
      <c r="BJ101" s="391" t="s">
        <v>69</v>
      </c>
      <c r="BK101" s="391" t="s">
        <v>69</v>
      </c>
      <c r="BL101" s="391" t="s">
        <v>69</v>
      </c>
      <c r="BM101" s="391" t="s">
        <v>69</v>
      </c>
      <c r="BN101" s="391" t="s">
        <v>69</v>
      </c>
      <c r="BO101" s="391" t="s">
        <v>69</v>
      </c>
      <c r="BP101" s="391" t="s">
        <v>69</v>
      </c>
      <c r="BQ101" s="391">
        <v>3</v>
      </c>
      <c r="BR101" s="391">
        <v>3</v>
      </c>
      <c r="BS101" s="391" t="s">
        <v>69</v>
      </c>
      <c r="BT101" s="391" t="s">
        <v>69</v>
      </c>
      <c r="BU101" s="391" t="s">
        <v>69</v>
      </c>
      <c r="BV101" s="391" t="s">
        <v>69</v>
      </c>
      <c r="BW101" s="391" t="s">
        <v>69</v>
      </c>
      <c r="BX101" s="391" t="s">
        <v>69</v>
      </c>
      <c r="BY101" s="391" t="s">
        <v>69</v>
      </c>
      <c r="BZ101" s="391" t="s">
        <v>69</v>
      </c>
      <c r="CA101" s="391" t="s">
        <v>69</v>
      </c>
      <c r="CB101" s="391" t="s">
        <v>69</v>
      </c>
      <c r="CC101" s="391" t="s">
        <v>69</v>
      </c>
      <c r="CD101" s="391" t="s">
        <v>69</v>
      </c>
      <c r="CE101" s="391" t="s">
        <v>69</v>
      </c>
      <c r="CF101" s="391" t="s">
        <v>69</v>
      </c>
      <c r="CG101" s="391" t="s">
        <v>69</v>
      </c>
      <c r="CH101" s="391" t="s">
        <v>69</v>
      </c>
      <c r="CI101" s="391" t="s">
        <v>69</v>
      </c>
      <c r="CJ101" s="391" t="s">
        <v>69</v>
      </c>
      <c r="CK101" s="391" t="s">
        <v>69</v>
      </c>
      <c r="CL101" s="391" t="s">
        <v>69</v>
      </c>
      <c r="CM101" s="391" t="s">
        <v>69</v>
      </c>
      <c r="CN101" s="391" t="s">
        <v>69</v>
      </c>
      <c r="CO101" s="391" t="s">
        <v>69</v>
      </c>
      <c r="CP101" s="391" t="s">
        <v>69</v>
      </c>
      <c r="CQ101" s="391" t="s">
        <v>69</v>
      </c>
      <c r="CR101" s="391" t="s">
        <v>69</v>
      </c>
      <c r="CS101" s="391" t="s">
        <v>69</v>
      </c>
      <c r="CT101" s="391" t="s">
        <v>69</v>
      </c>
      <c r="CU101" s="390" t="s">
        <v>212</v>
      </c>
      <c r="CV101" s="390" t="s">
        <v>212</v>
      </c>
      <c r="CW101" s="391" t="s">
        <v>69</v>
      </c>
      <c r="CX101" s="391" t="s">
        <v>69</v>
      </c>
      <c r="CY101" s="391" t="s">
        <v>69</v>
      </c>
      <c r="CZ101" s="391" t="s">
        <v>69</v>
      </c>
      <c r="DA101" s="391" t="s">
        <v>69</v>
      </c>
      <c r="DB101" s="391" t="s">
        <v>69</v>
      </c>
      <c r="DC101" s="391" t="s">
        <v>69</v>
      </c>
      <c r="DD101" s="391" t="s">
        <v>69</v>
      </c>
      <c r="DE101" s="391" t="s">
        <v>69</v>
      </c>
      <c r="DF101" s="391" t="s">
        <v>69</v>
      </c>
      <c r="DG101" s="391" t="s">
        <v>69</v>
      </c>
      <c r="DH101" s="391" t="s">
        <v>69</v>
      </c>
      <c r="DI101" s="391" t="s">
        <v>69</v>
      </c>
      <c r="DJ101" s="391" t="s">
        <v>69</v>
      </c>
      <c r="DK101" s="391" t="s">
        <v>69</v>
      </c>
      <c r="DL101" s="391" t="s">
        <v>69</v>
      </c>
      <c r="DM101" s="391" t="s">
        <v>69</v>
      </c>
      <c r="DN101" s="391" t="s">
        <v>69</v>
      </c>
      <c r="DO101" s="391" t="s">
        <v>69</v>
      </c>
      <c r="DP101" s="391" t="s">
        <v>69</v>
      </c>
      <c r="DQ101" s="391" t="s">
        <v>69</v>
      </c>
      <c r="DR101" s="391" t="s">
        <v>69</v>
      </c>
      <c r="DS101" s="391" t="s">
        <v>69</v>
      </c>
      <c r="DT101" s="391" t="s">
        <v>69</v>
      </c>
      <c r="DU101" s="398">
        <f t="shared" si="4"/>
        <v>0.14285714285714285</v>
      </c>
      <c r="DV101" s="399">
        <f t="shared" si="5"/>
        <v>1</v>
      </c>
    </row>
    <row r="102" spans="1:126" s="230" customFormat="1" ht="120" customHeight="1">
      <c r="A102" s="406" t="s">
        <v>1083</v>
      </c>
      <c r="B102" s="407" t="s">
        <v>1084</v>
      </c>
      <c r="C102" s="409">
        <v>46069</v>
      </c>
      <c r="D102" s="408" t="s">
        <v>1155</v>
      </c>
      <c r="E102" s="391">
        <v>3</v>
      </c>
      <c r="F102" s="391" t="s">
        <v>69</v>
      </c>
      <c r="G102" s="391">
        <v>3</v>
      </c>
      <c r="H102" s="391" t="s">
        <v>69</v>
      </c>
      <c r="I102" s="391" t="s">
        <v>69</v>
      </c>
      <c r="J102" s="391" t="s">
        <v>69</v>
      </c>
      <c r="K102" s="391" t="s">
        <v>69</v>
      </c>
      <c r="L102" s="391" t="s">
        <v>69</v>
      </c>
      <c r="M102" s="391" t="s">
        <v>69</v>
      </c>
      <c r="N102" s="391">
        <v>3</v>
      </c>
      <c r="O102" s="391" t="s">
        <v>69</v>
      </c>
      <c r="P102" s="391" t="s">
        <v>69</v>
      </c>
      <c r="Q102" s="391" t="s">
        <v>69</v>
      </c>
      <c r="R102" s="391" t="s">
        <v>69</v>
      </c>
      <c r="S102" s="391" t="s">
        <v>69</v>
      </c>
      <c r="T102" s="391" t="s">
        <v>69</v>
      </c>
      <c r="U102" s="391" t="s">
        <v>69</v>
      </c>
      <c r="V102" s="391" t="s">
        <v>69</v>
      </c>
      <c r="W102" s="391" t="s">
        <v>69</v>
      </c>
      <c r="X102" s="391" t="s">
        <v>69</v>
      </c>
      <c r="Y102" s="391" t="s">
        <v>69</v>
      </c>
      <c r="Z102" s="391" t="s">
        <v>69</v>
      </c>
      <c r="AA102" s="391" t="s">
        <v>69</v>
      </c>
      <c r="AB102" s="391" t="s">
        <v>69</v>
      </c>
      <c r="AC102" s="391" t="s">
        <v>69</v>
      </c>
      <c r="AD102" s="391" t="s">
        <v>69</v>
      </c>
      <c r="AE102" s="391" t="s">
        <v>69</v>
      </c>
      <c r="AF102" s="391" t="s">
        <v>69</v>
      </c>
      <c r="AG102" s="391" t="s">
        <v>69</v>
      </c>
      <c r="AH102" s="391" t="s">
        <v>69</v>
      </c>
      <c r="AI102" s="391" t="s">
        <v>69</v>
      </c>
      <c r="AJ102" s="391" t="s">
        <v>69</v>
      </c>
      <c r="AK102" s="391" t="s">
        <v>69</v>
      </c>
      <c r="AL102" s="391" t="s">
        <v>69</v>
      </c>
      <c r="AM102" s="391" t="s">
        <v>69</v>
      </c>
      <c r="AN102" s="391" t="s">
        <v>69</v>
      </c>
      <c r="AO102" s="391" t="s">
        <v>69</v>
      </c>
      <c r="AP102" s="391" t="s">
        <v>69</v>
      </c>
      <c r="AQ102" s="391">
        <v>3</v>
      </c>
      <c r="AR102" s="391" t="s">
        <v>69</v>
      </c>
      <c r="AS102" s="391" t="s">
        <v>69</v>
      </c>
      <c r="AT102" s="391" t="s">
        <v>69</v>
      </c>
      <c r="AU102" s="391" t="s">
        <v>69</v>
      </c>
      <c r="AV102" s="391" t="s">
        <v>69</v>
      </c>
      <c r="AW102" s="391">
        <v>3</v>
      </c>
      <c r="AX102" s="391" t="s">
        <v>69</v>
      </c>
      <c r="AY102" s="391" t="s">
        <v>69</v>
      </c>
      <c r="AZ102" s="391" t="s">
        <v>69</v>
      </c>
      <c r="BA102" s="391" t="s">
        <v>69</v>
      </c>
      <c r="BB102" s="391" t="s">
        <v>69</v>
      </c>
      <c r="BC102" s="391">
        <v>3</v>
      </c>
      <c r="BD102" s="391" t="s">
        <v>69</v>
      </c>
      <c r="BE102" s="391" t="s">
        <v>69</v>
      </c>
      <c r="BF102" s="391" t="s">
        <v>69</v>
      </c>
      <c r="BG102" s="391" t="s">
        <v>69</v>
      </c>
      <c r="BH102" s="391" t="s">
        <v>69</v>
      </c>
      <c r="BI102" s="391" t="s">
        <v>69</v>
      </c>
      <c r="BJ102" s="391" t="s">
        <v>69</v>
      </c>
      <c r="BK102" s="391" t="s">
        <v>69</v>
      </c>
      <c r="BL102" s="391" t="s">
        <v>69</v>
      </c>
      <c r="BM102" s="391" t="s">
        <v>69</v>
      </c>
      <c r="BN102" s="391" t="s">
        <v>69</v>
      </c>
      <c r="BO102" s="391" t="s">
        <v>69</v>
      </c>
      <c r="BP102" s="391" t="s">
        <v>69</v>
      </c>
      <c r="BQ102" s="391">
        <v>3</v>
      </c>
      <c r="BR102" s="391">
        <v>3</v>
      </c>
      <c r="BS102" s="391" t="s">
        <v>69</v>
      </c>
      <c r="BT102" s="391" t="s">
        <v>69</v>
      </c>
      <c r="BU102" s="391" t="s">
        <v>69</v>
      </c>
      <c r="BV102" s="391" t="s">
        <v>69</v>
      </c>
      <c r="BW102" s="391" t="s">
        <v>69</v>
      </c>
      <c r="BX102" s="391" t="s">
        <v>69</v>
      </c>
      <c r="BY102" s="391" t="s">
        <v>69</v>
      </c>
      <c r="BZ102" s="391" t="s">
        <v>69</v>
      </c>
      <c r="CA102" s="391" t="s">
        <v>69</v>
      </c>
      <c r="CB102" s="391" t="s">
        <v>69</v>
      </c>
      <c r="CC102" s="391" t="s">
        <v>69</v>
      </c>
      <c r="CD102" s="391" t="s">
        <v>69</v>
      </c>
      <c r="CE102" s="391" t="s">
        <v>69</v>
      </c>
      <c r="CF102" s="391" t="s">
        <v>69</v>
      </c>
      <c r="CG102" s="391" t="s">
        <v>69</v>
      </c>
      <c r="CH102" s="391" t="s">
        <v>69</v>
      </c>
      <c r="CI102" s="391" t="s">
        <v>69</v>
      </c>
      <c r="CJ102" s="391" t="s">
        <v>69</v>
      </c>
      <c r="CK102" s="391" t="s">
        <v>69</v>
      </c>
      <c r="CL102" s="391" t="s">
        <v>69</v>
      </c>
      <c r="CM102" s="391" t="s">
        <v>69</v>
      </c>
      <c r="CN102" s="391" t="s">
        <v>69</v>
      </c>
      <c r="CO102" s="391" t="s">
        <v>69</v>
      </c>
      <c r="CP102" s="391" t="s">
        <v>69</v>
      </c>
      <c r="CQ102" s="391" t="s">
        <v>69</v>
      </c>
      <c r="CR102" s="391" t="s">
        <v>69</v>
      </c>
      <c r="CS102" s="391" t="s">
        <v>69</v>
      </c>
      <c r="CT102" s="391" t="s">
        <v>69</v>
      </c>
      <c r="CU102" s="390" t="s">
        <v>212</v>
      </c>
      <c r="CV102" s="390" t="s">
        <v>212</v>
      </c>
      <c r="CW102" s="391" t="s">
        <v>69</v>
      </c>
      <c r="CX102" s="391" t="s">
        <v>69</v>
      </c>
      <c r="CY102" s="391" t="s">
        <v>69</v>
      </c>
      <c r="CZ102" s="391" t="s">
        <v>69</v>
      </c>
      <c r="DA102" s="391" t="s">
        <v>69</v>
      </c>
      <c r="DB102" s="391" t="s">
        <v>69</v>
      </c>
      <c r="DC102" s="391" t="s">
        <v>69</v>
      </c>
      <c r="DD102" s="391" t="s">
        <v>69</v>
      </c>
      <c r="DE102" s="391" t="s">
        <v>69</v>
      </c>
      <c r="DF102" s="391" t="s">
        <v>69</v>
      </c>
      <c r="DG102" s="391" t="s">
        <v>69</v>
      </c>
      <c r="DH102" s="391" t="s">
        <v>69</v>
      </c>
      <c r="DI102" s="391" t="s">
        <v>69</v>
      </c>
      <c r="DJ102" s="391" t="s">
        <v>69</v>
      </c>
      <c r="DK102" s="391">
        <v>3</v>
      </c>
      <c r="DL102" s="391">
        <v>3</v>
      </c>
      <c r="DM102" s="391" t="s">
        <v>69</v>
      </c>
      <c r="DN102" s="391" t="s">
        <v>69</v>
      </c>
      <c r="DO102" s="391" t="s">
        <v>69</v>
      </c>
      <c r="DP102" s="391" t="s">
        <v>69</v>
      </c>
      <c r="DQ102" s="391" t="s">
        <v>69</v>
      </c>
      <c r="DR102" s="391" t="s">
        <v>69</v>
      </c>
      <c r="DS102" s="391" t="s">
        <v>69</v>
      </c>
      <c r="DT102" s="391" t="s">
        <v>69</v>
      </c>
      <c r="DU102" s="398">
        <f t="shared" si="4"/>
        <v>0.15873015873015872</v>
      </c>
      <c r="DV102" s="399">
        <f t="shared" si="5"/>
        <v>1</v>
      </c>
    </row>
    <row r="103" spans="1:126" s="230" customFormat="1" ht="120" customHeight="1">
      <c r="A103" s="406" t="s">
        <v>1081</v>
      </c>
      <c r="B103" s="407" t="s">
        <v>1082</v>
      </c>
      <c r="C103" s="409">
        <v>46069</v>
      </c>
      <c r="D103" s="408" t="s">
        <v>1155</v>
      </c>
      <c r="E103" s="391" t="s">
        <v>69</v>
      </c>
      <c r="F103" s="391" t="s">
        <v>69</v>
      </c>
      <c r="G103" s="391" t="s">
        <v>69</v>
      </c>
      <c r="H103" s="391" t="s">
        <v>69</v>
      </c>
      <c r="I103" s="391" t="s">
        <v>69</v>
      </c>
      <c r="J103" s="391" t="s">
        <v>69</v>
      </c>
      <c r="K103" s="391" t="s">
        <v>69</v>
      </c>
      <c r="L103" s="391" t="s">
        <v>69</v>
      </c>
      <c r="M103" s="391" t="s">
        <v>69</v>
      </c>
      <c r="N103" s="391" t="s">
        <v>69</v>
      </c>
      <c r="O103" s="391" t="s">
        <v>69</v>
      </c>
      <c r="P103" s="391" t="s">
        <v>69</v>
      </c>
      <c r="Q103" s="391" t="s">
        <v>69</v>
      </c>
      <c r="R103" s="391" t="s">
        <v>69</v>
      </c>
      <c r="S103" s="391" t="s">
        <v>69</v>
      </c>
      <c r="T103" s="391" t="s">
        <v>69</v>
      </c>
      <c r="U103" s="391" t="s">
        <v>69</v>
      </c>
      <c r="V103" s="391" t="s">
        <v>69</v>
      </c>
      <c r="W103" s="391" t="s">
        <v>69</v>
      </c>
      <c r="X103" s="391" t="s">
        <v>69</v>
      </c>
      <c r="Y103" s="391" t="s">
        <v>69</v>
      </c>
      <c r="Z103" s="391" t="s">
        <v>69</v>
      </c>
      <c r="AA103" s="391" t="s">
        <v>69</v>
      </c>
      <c r="AB103" s="391" t="s">
        <v>69</v>
      </c>
      <c r="AC103" s="391" t="s">
        <v>69</v>
      </c>
      <c r="AD103" s="391" t="s">
        <v>69</v>
      </c>
      <c r="AE103" s="391">
        <v>3</v>
      </c>
      <c r="AF103" s="391" t="s">
        <v>69</v>
      </c>
      <c r="AG103" s="391" t="s">
        <v>69</v>
      </c>
      <c r="AH103" s="391" t="s">
        <v>69</v>
      </c>
      <c r="AI103" s="391" t="s">
        <v>69</v>
      </c>
      <c r="AJ103" s="391" t="s">
        <v>69</v>
      </c>
      <c r="AK103" s="391" t="s">
        <v>69</v>
      </c>
      <c r="AL103" s="391" t="s">
        <v>69</v>
      </c>
      <c r="AM103" s="391" t="s">
        <v>69</v>
      </c>
      <c r="AN103" s="391" t="s">
        <v>69</v>
      </c>
      <c r="AO103" s="391" t="s">
        <v>69</v>
      </c>
      <c r="AP103" s="391" t="s">
        <v>69</v>
      </c>
      <c r="AQ103" s="391" t="s">
        <v>69</v>
      </c>
      <c r="AR103" s="391" t="s">
        <v>69</v>
      </c>
      <c r="AS103" s="391" t="s">
        <v>69</v>
      </c>
      <c r="AT103" s="391">
        <v>3</v>
      </c>
      <c r="AU103" s="391" t="s">
        <v>69</v>
      </c>
      <c r="AV103" s="391" t="s">
        <v>69</v>
      </c>
      <c r="AW103" s="391" t="s">
        <v>69</v>
      </c>
      <c r="AX103" s="391" t="s">
        <v>69</v>
      </c>
      <c r="AY103" s="391" t="s">
        <v>69</v>
      </c>
      <c r="AZ103" s="391" t="s">
        <v>69</v>
      </c>
      <c r="BA103" s="391" t="s">
        <v>69</v>
      </c>
      <c r="BB103" s="391" t="s">
        <v>69</v>
      </c>
      <c r="BC103" s="391" t="s">
        <v>69</v>
      </c>
      <c r="BD103" s="391" t="s">
        <v>69</v>
      </c>
      <c r="BE103" s="391" t="s">
        <v>69</v>
      </c>
      <c r="BF103" s="391" t="s">
        <v>69</v>
      </c>
      <c r="BG103" s="391" t="s">
        <v>69</v>
      </c>
      <c r="BH103" s="391" t="s">
        <v>69</v>
      </c>
      <c r="BI103" s="391" t="s">
        <v>69</v>
      </c>
      <c r="BJ103" s="391" t="s">
        <v>69</v>
      </c>
      <c r="BK103" s="391" t="s">
        <v>69</v>
      </c>
      <c r="BL103" s="391" t="s">
        <v>69</v>
      </c>
      <c r="BM103" s="391" t="s">
        <v>69</v>
      </c>
      <c r="BN103" s="391" t="s">
        <v>69</v>
      </c>
      <c r="BO103" s="391" t="s">
        <v>69</v>
      </c>
      <c r="BP103" s="391" t="s">
        <v>69</v>
      </c>
      <c r="BQ103" s="391" t="s">
        <v>69</v>
      </c>
      <c r="BR103" s="391" t="s">
        <v>69</v>
      </c>
      <c r="BS103" s="391" t="s">
        <v>69</v>
      </c>
      <c r="BT103" s="391" t="s">
        <v>69</v>
      </c>
      <c r="BU103" s="391" t="s">
        <v>69</v>
      </c>
      <c r="BV103" s="391" t="s">
        <v>69</v>
      </c>
      <c r="BW103" s="391" t="s">
        <v>69</v>
      </c>
      <c r="BX103" s="391" t="s">
        <v>69</v>
      </c>
      <c r="BY103" s="391" t="s">
        <v>69</v>
      </c>
      <c r="BZ103" s="391" t="s">
        <v>69</v>
      </c>
      <c r="CA103" s="391" t="s">
        <v>69</v>
      </c>
      <c r="CB103" s="391" t="s">
        <v>69</v>
      </c>
      <c r="CC103" s="391" t="s">
        <v>69</v>
      </c>
      <c r="CD103" s="391" t="s">
        <v>69</v>
      </c>
      <c r="CE103" s="391" t="s">
        <v>69</v>
      </c>
      <c r="CF103" s="391" t="s">
        <v>69</v>
      </c>
      <c r="CG103" s="391" t="s">
        <v>69</v>
      </c>
      <c r="CH103" s="391" t="s">
        <v>69</v>
      </c>
      <c r="CI103" s="391" t="s">
        <v>69</v>
      </c>
      <c r="CJ103" s="391" t="s">
        <v>69</v>
      </c>
      <c r="CK103" s="391" t="s">
        <v>69</v>
      </c>
      <c r="CL103" s="391" t="s">
        <v>69</v>
      </c>
      <c r="CM103" s="391" t="s">
        <v>69</v>
      </c>
      <c r="CN103" s="391" t="s">
        <v>69</v>
      </c>
      <c r="CO103" s="391" t="s">
        <v>69</v>
      </c>
      <c r="CP103" s="391" t="s">
        <v>69</v>
      </c>
      <c r="CQ103" s="391" t="s">
        <v>69</v>
      </c>
      <c r="CR103" s="391" t="s">
        <v>69</v>
      </c>
      <c r="CS103" s="391" t="s">
        <v>69</v>
      </c>
      <c r="CT103" s="391" t="s">
        <v>69</v>
      </c>
      <c r="CU103" s="390" t="s">
        <v>212</v>
      </c>
      <c r="CV103" s="390" t="s">
        <v>212</v>
      </c>
      <c r="CW103" s="391" t="s">
        <v>69</v>
      </c>
      <c r="CX103" s="391" t="s">
        <v>69</v>
      </c>
      <c r="CY103" s="391" t="s">
        <v>69</v>
      </c>
      <c r="CZ103" s="391" t="s">
        <v>69</v>
      </c>
      <c r="DA103" s="391" t="s">
        <v>69</v>
      </c>
      <c r="DB103" s="391" t="s">
        <v>69</v>
      </c>
      <c r="DC103" s="391" t="s">
        <v>69</v>
      </c>
      <c r="DD103" s="391" t="s">
        <v>69</v>
      </c>
      <c r="DE103" s="391" t="s">
        <v>69</v>
      </c>
      <c r="DF103" s="391" t="s">
        <v>69</v>
      </c>
      <c r="DG103" s="391" t="s">
        <v>69</v>
      </c>
      <c r="DH103" s="391" t="s">
        <v>69</v>
      </c>
      <c r="DI103" s="391" t="s">
        <v>69</v>
      </c>
      <c r="DJ103" s="391" t="s">
        <v>69</v>
      </c>
      <c r="DK103" s="391" t="s">
        <v>69</v>
      </c>
      <c r="DL103" s="391" t="s">
        <v>69</v>
      </c>
      <c r="DM103" s="391" t="s">
        <v>69</v>
      </c>
      <c r="DN103" s="391" t="s">
        <v>69</v>
      </c>
      <c r="DO103" s="391" t="s">
        <v>69</v>
      </c>
      <c r="DP103" s="391" t="s">
        <v>69</v>
      </c>
      <c r="DQ103" s="391" t="s">
        <v>69</v>
      </c>
      <c r="DR103" s="391" t="s">
        <v>69</v>
      </c>
      <c r="DS103" s="391" t="s">
        <v>69</v>
      </c>
      <c r="DT103" s="391" t="s">
        <v>69</v>
      </c>
      <c r="DU103" s="398">
        <f t="shared" si="4"/>
        <v>3.1746031746031744E-2</v>
      </c>
      <c r="DV103" s="399">
        <f t="shared" si="5"/>
        <v>1</v>
      </c>
    </row>
    <row r="104" spans="1:126" s="230" customFormat="1" ht="120" customHeight="1">
      <c r="A104" s="406" t="s">
        <v>1079</v>
      </c>
      <c r="B104" s="407" t="s">
        <v>1080</v>
      </c>
      <c r="C104" s="409">
        <v>46069</v>
      </c>
      <c r="D104" s="408" t="s">
        <v>1155</v>
      </c>
      <c r="E104" s="391" t="s">
        <v>69</v>
      </c>
      <c r="F104" s="391" t="s">
        <v>69</v>
      </c>
      <c r="G104" s="391" t="s">
        <v>69</v>
      </c>
      <c r="H104" s="391" t="s">
        <v>69</v>
      </c>
      <c r="I104" s="391" t="s">
        <v>69</v>
      </c>
      <c r="J104" s="391" t="s">
        <v>69</v>
      </c>
      <c r="K104" s="391" t="s">
        <v>69</v>
      </c>
      <c r="L104" s="391" t="s">
        <v>69</v>
      </c>
      <c r="M104" s="391" t="s">
        <v>69</v>
      </c>
      <c r="N104" s="391" t="s">
        <v>69</v>
      </c>
      <c r="O104" s="391" t="s">
        <v>69</v>
      </c>
      <c r="P104" s="391" t="s">
        <v>69</v>
      </c>
      <c r="Q104" s="391" t="s">
        <v>69</v>
      </c>
      <c r="R104" s="391" t="s">
        <v>69</v>
      </c>
      <c r="S104" s="391" t="s">
        <v>69</v>
      </c>
      <c r="T104" s="391" t="s">
        <v>69</v>
      </c>
      <c r="U104" s="391" t="s">
        <v>69</v>
      </c>
      <c r="V104" s="391" t="s">
        <v>69</v>
      </c>
      <c r="W104" s="391" t="s">
        <v>69</v>
      </c>
      <c r="X104" s="391" t="s">
        <v>69</v>
      </c>
      <c r="Y104" s="391" t="s">
        <v>69</v>
      </c>
      <c r="Z104" s="391" t="s">
        <v>69</v>
      </c>
      <c r="AA104" s="391" t="s">
        <v>69</v>
      </c>
      <c r="AB104" s="391" t="s">
        <v>69</v>
      </c>
      <c r="AC104" s="391" t="s">
        <v>69</v>
      </c>
      <c r="AD104" s="391" t="s">
        <v>69</v>
      </c>
      <c r="AE104" s="391" t="s">
        <v>69</v>
      </c>
      <c r="AF104" s="391" t="s">
        <v>69</v>
      </c>
      <c r="AG104" s="391" t="s">
        <v>69</v>
      </c>
      <c r="AH104" s="391" t="s">
        <v>69</v>
      </c>
      <c r="AI104" s="391" t="s">
        <v>69</v>
      </c>
      <c r="AJ104" s="391" t="s">
        <v>69</v>
      </c>
      <c r="AK104" s="391" t="s">
        <v>69</v>
      </c>
      <c r="AL104" s="391" t="s">
        <v>69</v>
      </c>
      <c r="AM104" s="391">
        <v>2</v>
      </c>
      <c r="AN104" s="391" t="s">
        <v>69</v>
      </c>
      <c r="AO104" s="391" t="s">
        <v>69</v>
      </c>
      <c r="AP104" s="391" t="s">
        <v>69</v>
      </c>
      <c r="AQ104" s="391" t="s">
        <v>69</v>
      </c>
      <c r="AR104" s="391" t="s">
        <v>69</v>
      </c>
      <c r="AS104" s="391" t="s">
        <v>69</v>
      </c>
      <c r="AT104" s="391" t="s">
        <v>69</v>
      </c>
      <c r="AU104" s="391" t="s">
        <v>69</v>
      </c>
      <c r="AV104" s="391" t="s">
        <v>69</v>
      </c>
      <c r="AW104" s="391" t="s">
        <v>69</v>
      </c>
      <c r="AX104" s="391" t="s">
        <v>69</v>
      </c>
      <c r="AY104" s="391" t="s">
        <v>69</v>
      </c>
      <c r="AZ104" s="391" t="s">
        <v>69</v>
      </c>
      <c r="BA104" s="391" t="s">
        <v>69</v>
      </c>
      <c r="BB104" s="391" t="s">
        <v>69</v>
      </c>
      <c r="BC104" s="391" t="s">
        <v>69</v>
      </c>
      <c r="BD104" s="391" t="s">
        <v>69</v>
      </c>
      <c r="BE104" s="391" t="s">
        <v>69</v>
      </c>
      <c r="BF104" s="391" t="s">
        <v>69</v>
      </c>
      <c r="BG104" s="391" t="s">
        <v>69</v>
      </c>
      <c r="BH104" s="391" t="s">
        <v>69</v>
      </c>
      <c r="BI104" s="391" t="s">
        <v>69</v>
      </c>
      <c r="BJ104" s="391" t="s">
        <v>69</v>
      </c>
      <c r="BK104" s="391" t="s">
        <v>69</v>
      </c>
      <c r="BL104" s="391" t="s">
        <v>69</v>
      </c>
      <c r="BM104" s="391" t="s">
        <v>69</v>
      </c>
      <c r="BN104" s="391" t="s">
        <v>69</v>
      </c>
      <c r="BO104" s="391" t="s">
        <v>69</v>
      </c>
      <c r="BP104" s="391" t="s">
        <v>69</v>
      </c>
      <c r="BQ104" s="391" t="s">
        <v>69</v>
      </c>
      <c r="BR104" s="391" t="s">
        <v>69</v>
      </c>
      <c r="BS104" s="391" t="s">
        <v>69</v>
      </c>
      <c r="BT104" s="391" t="s">
        <v>69</v>
      </c>
      <c r="BU104" s="391" t="s">
        <v>69</v>
      </c>
      <c r="BV104" s="391" t="s">
        <v>69</v>
      </c>
      <c r="BW104" s="391" t="s">
        <v>69</v>
      </c>
      <c r="BX104" s="391" t="s">
        <v>69</v>
      </c>
      <c r="BY104" s="391" t="s">
        <v>69</v>
      </c>
      <c r="BZ104" s="391" t="s">
        <v>69</v>
      </c>
      <c r="CA104" s="391" t="s">
        <v>69</v>
      </c>
      <c r="CB104" s="391" t="s">
        <v>69</v>
      </c>
      <c r="CC104" s="391" t="s">
        <v>69</v>
      </c>
      <c r="CD104" s="391" t="s">
        <v>69</v>
      </c>
      <c r="CE104" s="391" t="s">
        <v>69</v>
      </c>
      <c r="CF104" s="391" t="s">
        <v>69</v>
      </c>
      <c r="CG104" s="391" t="s">
        <v>69</v>
      </c>
      <c r="CH104" s="391" t="s">
        <v>69</v>
      </c>
      <c r="CI104" s="391" t="s">
        <v>69</v>
      </c>
      <c r="CJ104" s="391" t="s">
        <v>69</v>
      </c>
      <c r="CK104" s="391" t="s">
        <v>69</v>
      </c>
      <c r="CL104" s="391" t="s">
        <v>69</v>
      </c>
      <c r="CM104" s="391" t="s">
        <v>69</v>
      </c>
      <c r="CN104" s="391" t="s">
        <v>69</v>
      </c>
      <c r="CO104" s="391" t="s">
        <v>69</v>
      </c>
      <c r="CP104" s="391" t="s">
        <v>69</v>
      </c>
      <c r="CQ104" s="391" t="s">
        <v>69</v>
      </c>
      <c r="CR104" s="391" t="s">
        <v>69</v>
      </c>
      <c r="CS104" s="391" t="s">
        <v>69</v>
      </c>
      <c r="CT104" s="391" t="s">
        <v>69</v>
      </c>
      <c r="CU104" s="390" t="s">
        <v>212</v>
      </c>
      <c r="CV104" s="390" t="s">
        <v>212</v>
      </c>
      <c r="CW104" s="391" t="s">
        <v>69</v>
      </c>
      <c r="CX104" s="391" t="s">
        <v>69</v>
      </c>
      <c r="CY104" s="391" t="s">
        <v>69</v>
      </c>
      <c r="CZ104" s="391" t="s">
        <v>69</v>
      </c>
      <c r="DA104" s="391" t="s">
        <v>69</v>
      </c>
      <c r="DB104" s="391" t="s">
        <v>69</v>
      </c>
      <c r="DC104" s="391" t="s">
        <v>69</v>
      </c>
      <c r="DD104" s="391" t="s">
        <v>69</v>
      </c>
      <c r="DE104" s="391" t="s">
        <v>69</v>
      </c>
      <c r="DF104" s="391" t="s">
        <v>69</v>
      </c>
      <c r="DG104" s="391" t="s">
        <v>69</v>
      </c>
      <c r="DH104" s="391" t="s">
        <v>69</v>
      </c>
      <c r="DI104" s="391" t="s">
        <v>69</v>
      </c>
      <c r="DJ104" s="391" t="s">
        <v>69</v>
      </c>
      <c r="DK104" s="391" t="s">
        <v>69</v>
      </c>
      <c r="DL104" s="391" t="s">
        <v>69</v>
      </c>
      <c r="DM104" s="391" t="s">
        <v>69</v>
      </c>
      <c r="DN104" s="391" t="s">
        <v>69</v>
      </c>
      <c r="DO104" s="391" t="s">
        <v>69</v>
      </c>
      <c r="DP104" s="391" t="s">
        <v>69</v>
      </c>
      <c r="DQ104" s="391" t="s">
        <v>69</v>
      </c>
      <c r="DR104" s="391" t="s">
        <v>69</v>
      </c>
      <c r="DS104" s="391" t="s">
        <v>69</v>
      </c>
      <c r="DT104" s="391" t="s">
        <v>69</v>
      </c>
      <c r="DU104" s="398">
        <f t="shared" si="4"/>
        <v>1.5873015873015872E-2</v>
      </c>
      <c r="DV104" s="399">
        <v>0</v>
      </c>
    </row>
    <row r="105" spans="1:126" s="230" customFormat="1" ht="120" customHeight="1">
      <c r="A105" s="406" t="s">
        <v>1119</v>
      </c>
      <c r="B105" s="407" t="s">
        <v>1120</v>
      </c>
      <c r="C105" s="409">
        <v>46083</v>
      </c>
      <c r="D105" s="408" t="s">
        <v>1155</v>
      </c>
      <c r="E105" s="391" t="s">
        <v>69</v>
      </c>
      <c r="F105" s="391" t="s">
        <v>69</v>
      </c>
      <c r="G105" s="391" t="s">
        <v>69</v>
      </c>
      <c r="H105" s="391" t="s">
        <v>69</v>
      </c>
      <c r="I105" s="391" t="s">
        <v>69</v>
      </c>
      <c r="J105" s="391">
        <v>3</v>
      </c>
      <c r="K105" s="391" t="s">
        <v>69</v>
      </c>
      <c r="L105" s="391" t="s">
        <v>69</v>
      </c>
      <c r="M105" s="391" t="s">
        <v>69</v>
      </c>
      <c r="N105" s="391" t="s">
        <v>69</v>
      </c>
      <c r="O105" s="391" t="s">
        <v>69</v>
      </c>
      <c r="P105" s="391" t="s">
        <v>69</v>
      </c>
      <c r="Q105" s="391" t="s">
        <v>69</v>
      </c>
      <c r="R105" s="391" t="s">
        <v>69</v>
      </c>
      <c r="S105" s="391" t="s">
        <v>69</v>
      </c>
      <c r="T105" s="391" t="s">
        <v>69</v>
      </c>
      <c r="U105" s="391" t="s">
        <v>69</v>
      </c>
      <c r="V105" s="391" t="s">
        <v>69</v>
      </c>
      <c r="W105" s="391" t="s">
        <v>69</v>
      </c>
      <c r="X105" s="391" t="s">
        <v>69</v>
      </c>
      <c r="Y105" s="391" t="s">
        <v>69</v>
      </c>
      <c r="Z105" s="391">
        <v>3</v>
      </c>
      <c r="AA105" s="391" t="s">
        <v>69</v>
      </c>
      <c r="AB105" s="391" t="s">
        <v>69</v>
      </c>
      <c r="AC105" s="391" t="s">
        <v>69</v>
      </c>
      <c r="AD105" s="391" t="s">
        <v>69</v>
      </c>
      <c r="AE105" s="391" t="s">
        <v>69</v>
      </c>
      <c r="AF105" s="391" t="s">
        <v>69</v>
      </c>
      <c r="AG105" s="391" t="s">
        <v>69</v>
      </c>
      <c r="AH105" s="391" t="s">
        <v>69</v>
      </c>
      <c r="AI105" s="391" t="s">
        <v>69</v>
      </c>
      <c r="AJ105" s="391" t="s">
        <v>69</v>
      </c>
      <c r="AK105" s="391" t="s">
        <v>69</v>
      </c>
      <c r="AL105" s="391" t="s">
        <v>69</v>
      </c>
      <c r="AM105" s="391" t="s">
        <v>69</v>
      </c>
      <c r="AN105" s="391" t="s">
        <v>69</v>
      </c>
      <c r="AO105" s="391" t="s">
        <v>69</v>
      </c>
      <c r="AP105" s="391" t="s">
        <v>69</v>
      </c>
      <c r="AQ105" s="391" t="s">
        <v>69</v>
      </c>
      <c r="AR105" s="391" t="s">
        <v>69</v>
      </c>
      <c r="AS105" s="391" t="s">
        <v>69</v>
      </c>
      <c r="AT105" s="391" t="s">
        <v>69</v>
      </c>
      <c r="AU105" s="391" t="s">
        <v>69</v>
      </c>
      <c r="AV105" s="391" t="s">
        <v>69</v>
      </c>
      <c r="AW105" s="391" t="s">
        <v>69</v>
      </c>
      <c r="AX105" s="391" t="s">
        <v>69</v>
      </c>
      <c r="AY105" s="391" t="s">
        <v>69</v>
      </c>
      <c r="AZ105" s="391" t="s">
        <v>69</v>
      </c>
      <c r="BA105" s="391" t="s">
        <v>69</v>
      </c>
      <c r="BB105" s="391" t="s">
        <v>69</v>
      </c>
      <c r="BC105" s="391">
        <v>2</v>
      </c>
      <c r="BD105" s="391" t="s">
        <v>69</v>
      </c>
      <c r="BE105" s="391" t="s">
        <v>69</v>
      </c>
      <c r="BF105" s="391" t="s">
        <v>69</v>
      </c>
      <c r="BG105" s="391" t="s">
        <v>69</v>
      </c>
      <c r="BH105" s="391" t="s">
        <v>69</v>
      </c>
      <c r="BI105" s="391" t="s">
        <v>69</v>
      </c>
      <c r="BJ105" s="391" t="s">
        <v>69</v>
      </c>
      <c r="BK105" s="391" t="s">
        <v>69</v>
      </c>
      <c r="BL105" s="391" t="s">
        <v>69</v>
      </c>
      <c r="BM105" s="391" t="s">
        <v>69</v>
      </c>
      <c r="BN105" s="391" t="s">
        <v>69</v>
      </c>
      <c r="BO105" s="391" t="s">
        <v>69</v>
      </c>
      <c r="BP105" s="391" t="s">
        <v>69</v>
      </c>
      <c r="BQ105" s="391" t="s">
        <v>69</v>
      </c>
      <c r="BR105" s="391" t="s">
        <v>69</v>
      </c>
      <c r="BS105" s="391" t="s">
        <v>69</v>
      </c>
      <c r="BT105" s="391" t="s">
        <v>69</v>
      </c>
      <c r="BU105" s="391" t="s">
        <v>69</v>
      </c>
      <c r="BV105" s="391" t="s">
        <v>69</v>
      </c>
      <c r="BW105" s="391" t="s">
        <v>69</v>
      </c>
      <c r="BX105" s="391" t="s">
        <v>69</v>
      </c>
      <c r="BY105" s="391" t="s">
        <v>69</v>
      </c>
      <c r="BZ105" s="391" t="s">
        <v>69</v>
      </c>
      <c r="CA105" s="391" t="s">
        <v>69</v>
      </c>
      <c r="CB105" s="391" t="s">
        <v>69</v>
      </c>
      <c r="CC105" s="391" t="s">
        <v>69</v>
      </c>
      <c r="CD105" s="391">
        <v>2</v>
      </c>
      <c r="CE105" s="391" t="s">
        <v>69</v>
      </c>
      <c r="CF105" s="391" t="s">
        <v>69</v>
      </c>
      <c r="CG105" s="391" t="s">
        <v>69</v>
      </c>
      <c r="CH105" s="391" t="s">
        <v>69</v>
      </c>
      <c r="CI105" s="391" t="s">
        <v>69</v>
      </c>
      <c r="CJ105" s="391" t="s">
        <v>69</v>
      </c>
      <c r="CK105" s="391" t="s">
        <v>69</v>
      </c>
      <c r="CL105" s="391" t="s">
        <v>69</v>
      </c>
      <c r="CM105" s="391" t="s">
        <v>69</v>
      </c>
      <c r="CN105" s="391" t="s">
        <v>69</v>
      </c>
      <c r="CO105" s="391" t="s">
        <v>69</v>
      </c>
      <c r="CP105" s="391" t="s">
        <v>69</v>
      </c>
      <c r="CQ105" s="391" t="s">
        <v>69</v>
      </c>
      <c r="CR105" s="391" t="s">
        <v>69</v>
      </c>
      <c r="CS105" s="391" t="s">
        <v>69</v>
      </c>
      <c r="CT105" s="391" t="s">
        <v>69</v>
      </c>
      <c r="CU105" s="391" t="s">
        <v>69</v>
      </c>
      <c r="CV105" s="391" t="s">
        <v>69</v>
      </c>
      <c r="CW105" s="391" t="s">
        <v>69</v>
      </c>
      <c r="CX105" s="391" t="s">
        <v>69</v>
      </c>
      <c r="CY105" s="391" t="s">
        <v>69</v>
      </c>
      <c r="CZ105" s="391" t="s">
        <v>69</v>
      </c>
      <c r="DA105" s="391" t="s">
        <v>69</v>
      </c>
      <c r="DB105" s="391" t="s">
        <v>69</v>
      </c>
      <c r="DC105" s="391" t="s">
        <v>69</v>
      </c>
      <c r="DD105" s="391" t="s">
        <v>69</v>
      </c>
      <c r="DE105" s="391" t="s">
        <v>69</v>
      </c>
      <c r="DF105" s="391" t="s">
        <v>69</v>
      </c>
      <c r="DG105" s="391" t="s">
        <v>69</v>
      </c>
      <c r="DH105" s="391" t="s">
        <v>69</v>
      </c>
      <c r="DI105" s="391" t="s">
        <v>69</v>
      </c>
      <c r="DJ105" s="391" t="s">
        <v>69</v>
      </c>
      <c r="DK105" s="391" t="s">
        <v>69</v>
      </c>
      <c r="DL105" s="391" t="s">
        <v>69</v>
      </c>
      <c r="DM105" s="391" t="s">
        <v>69</v>
      </c>
      <c r="DN105" s="391" t="s">
        <v>69</v>
      </c>
      <c r="DO105" s="391" t="s">
        <v>69</v>
      </c>
      <c r="DP105" s="391" t="s">
        <v>69</v>
      </c>
      <c r="DQ105" s="391" t="s">
        <v>69</v>
      </c>
      <c r="DR105" s="391" t="s">
        <v>69</v>
      </c>
      <c r="DS105" s="391" t="s">
        <v>69</v>
      </c>
      <c r="DT105" s="391" t="s">
        <v>69</v>
      </c>
      <c r="DU105" s="398">
        <f t="shared" ref="DU105:DU124" si="6">COUNTIF(E105:DT105,"&gt;0")/63</f>
        <v>6.3492063492063489E-2</v>
      </c>
      <c r="DV105" s="399">
        <f>+COUNTIF(E105:DT105,"&gt;2")/COUNTIF(E105:DT105,"&gt;1")</f>
        <v>0.5</v>
      </c>
    </row>
    <row r="106" spans="1:126" s="230" customFormat="1" ht="120" customHeight="1">
      <c r="A106" s="406" t="s">
        <v>1117</v>
      </c>
      <c r="B106" s="407" t="s">
        <v>1118</v>
      </c>
      <c r="C106" s="409">
        <v>46083</v>
      </c>
      <c r="D106" s="408" t="s">
        <v>1155</v>
      </c>
      <c r="E106" s="391">
        <v>3</v>
      </c>
      <c r="F106" s="391" t="s">
        <v>69</v>
      </c>
      <c r="G106" s="391">
        <v>3</v>
      </c>
      <c r="H106" s="391" t="s">
        <v>69</v>
      </c>
      <c r="I106" s="391" t="s">
        <v>69</v>
      </c>
      <c r="J106" s="391" t="s">
        <v>69</v>
      </c>
      <c r="K106" s="391" t="s">
        <v>69</v>
      </c>
      <c r="L106" s="391" t="s">
        <v>69</v>
      </c>
      <c r="M106" s="391" t="s">
        <v>69</v>
      </c>
      <c r="N106" s="391">
        <v>3</v>
      </c>
      <c r="O106" s="391" t="s">
        <v>69</v>
      </c>
      <c r="P106" s="391" t="s">
        <v>69</v>
      </c>
      <c r="Q106" s="391" t="s">
        <v>69</v>
      </c>
      <c r="R106" s="391" t="s">
        <v>69</v>
      </c>
      <c r="S106" s="391" t="s">
        <v>69</v>
      </c>
      <c r="T106" s="391" t="s">
        <v>69</v>
      </c>
      <c r="U106" s="391" t="s">
        <v>69</v>
      </c>
      <c r="V106" s="391" t="s">
        <v>69</v>
      </c>
      <c r="W106" s="391" t="s">
        <v>69</v>
      </c>
      <c r="X106" s="391" t="s">
        <v>69</v>
      </c>
      <c r="Y106" s="391" t="s">
        <v>69</v>
      </c>
      <c r="Z106" s="391" t="s">
        <v>69</v>
      </c>
      <c r="AA106" s="391" t="s">
        <v>69</v>
      </c>
      <c r="AB106" s="391" t="s">
        <v>69</v>
      </c>
      <c r="AC106" s="391" t="s">
        <v>69</v>
      </c>
      <c r="AD106" s="391" t="s">
        <v>69</v>
      </c>
      <c r="AE106" s="391" t="s">
        <v>69</v>
      </c>
      <c r="AF106" s="391" t="s">
        <v>69</v>
      </c>
      <c r="AG106" s="391" t="s">
        <v>69</v>
      </c>
      <c r="AH106" s="391" t="s">
        <v>69</v>
      </c>
      <c r="AI106" s="391" t="s">
        <v>69</v>
      </c>
      <c r="AJ106" s="391" t="s">
        <v>69</v>
      </c>
      <c r="AK106" s="391" t="s">
        <v>69</v>
      </c>
      <c r="AL106" s="391" t="s">
        <v>69</v>
      </c>
      <c r="AM106" s="391" t="s">
        <v>69</v>
      </c>
      <c r="AN106" s="391" t="s">
        <v>69</v>
      </c>
      <c r="AO106" s="391" t="s">
        <v>69</v>
      </c>
      <c r="AP106" s="391" t="s">
        <v>69</v>
      </c>
      <c r="AQ106" s="391">
        <v>3</v>
      </c>
      <c r="AR106" s="391" t="s">
        <v>69</v>
      </c>
      <c r="AS106" s="391" t="s">
        <v>69</v>
      </c>
      <c r="AT106" s="391" t="s">
        <v>69</v>
      </c>
      <c r="AU106" s="391" t="s">
        <v>69</v>
      </c>
      <c r="AV106" s="391" t="s">
        <v>69</v>
      </c>
      <c r="AW106" s="391">
        <v>3</v>
      </c>
      <c r="AX106" s="391" t="s">
        <v>69</v>
      </c>
      <c r="AY106" s="391" t="s">
        <v>69</v>
      </c>
      <c r="AZ106" s="391" t="s">
        <v>69</v>
      </c>
      <c r="BA106" s="391" t="s">
        <v>69</v>
      </c>
      <c r="BB106" s="391" t="s">
        <v>69</v>
      </c>
      <c r="BC106" s="391">
        <v>3</v>
      </c>
      <c r="BD106" s="391" t="s">
        <v>69</v>
      </c>
      <c r="BE106" s="391" t="s">
        <v>69</v>
      </c>
      <c r="BF106" s="391" t="s">
        <v>69</v>
      </c>
      <c r="BG106" s="391" t="s">
        <v>69</v>
      </c>
      <c r="BH106" s="391" t="s">
        <v>69</v>
      </c>
      <c r="BI106" s="391" t="s">
        <v>69</v>
      </c>
      <c r="BJ106" s="391" t="s">
        <v>69</v>
      </c>
      <c r="BK106" s="391" t="s">
        <v>69</v>
      </c>
      <c r="BL106" s="391" t="s">
        <v>69</v>
      </c>
      <c r="BM106" s="391" t="s">
        <v>69</v>
      </c>
      <c r="BN106" s="391" t="s">
        <v>69</v>
      </c>
      <c r="BO106" s="391" t="s">
        <v>69</v>
      </c>
      <c r="BP106" s="391" t="s">
        <v>69</v>
      </c>
      <c r="BQ106" s="391">
        <v>3</v>
      </c>
      <c r="BR106" s="391">
        <v>3</v>
      </c>
      <c r="BS106" s="391" t="s">
        <v>69</v>
      </c>
      <c r="BT106" s="391" t="s">
        <v>69</v>
      </c>
      <c r="BU106" s="391" t="s">
        <v>69</v>
      </c>
      <c r="BV106" s="391" t="s">
        <v>69</v>
      </c>
      <c r="BW106" s="391" t="s">
        <v>69</v>
      </c>
      <c r="BX106" s="391" t="s">
        <v>69</v>
      </c>
      <c r="BY106" s="391" t="s">
        <v>69</v>
      </c>
      <c r="BZ106" s="391" t="s">
        <v>69</v>
      </c>
      <c r="CA106" s="391" t="s">
        <v>69</v>
      </c>
      <c r="CB106" s="391" t="s">
        <v>69</v>
      </c>
      <c r="CC106" s="391" t="s">
        <v>69</v>
      </c>
      <c r="CD106" s="391" t="s">
        <v>69</v>
      </c>
      <c r="CE106" s="391" t="s">
        <v>69</v>
      </c>
      <c r="CF106" s="391" t="s">
        <v>69</v>
      </c>
      <c r="CG106" s="391" t="s">
        <v>69</v>
      </c>
      <c r="CH106" s="391" t="s">
        <v>69</v>
      </c>
      <c r="CI106" s="391" t="s">
        <v>69</v>
      </c>
      <c r="CJ106" s="391" t="s">
        <v>69</v>
      </c>
      <c r="CK106" s="391" t="s">
        <v>69</v>
      </c>
      <c r="CL106" s="391" t="s">
        <v>69</v>
      </c>
      <c r="CM106" s="391" t="s">
        <v>69</v>
      </c>
      <c r="CN106" s="391" t="s">
        <v>69</v>
      </c>
      <c r="CO106" s="391" t="s">
        <v>69</v>
      </c>
      <c r="CP106" s="391" t="s">
        <v>69</v>
      </c>
      <c r="CQ106" s="391" t="s">
        <v>69</v>
      </c>
      <c r="CR106" s="391" t="s">
        <v>69</v>
      </c>
      <c r="CS106" s="391" t="s">
        <v>69</v>
      </c>
      <c r="CT106" s="391" t="s">
        <v>69</v>
      </c>
      <c r="CU106" s="391" t="s">
        <v>69</v>
      </c>
      <c r="CV106" s="391" t="s">
        <v>69</v>
      </c>
      <c r="CW106" s="391" t="s">
        <v>69</v>
      </c>
      <c r="CX106" s="391" t="s">
        <v>69</v>
      </c>
      <c r="CY106" s="391" t="s">
        <v>69</v>
      </c>
      <c r="CZ106" s="391" t="s">
        <v>69</v>
      </c>
      <c r="DA106" s="391" t="s">
        <v>69</v>
      </c>
      <c r="DB106" s="391" t="s">
        <v>69</v>
      </c>
      <c r="DC106" s="391" t="s">
        <v>69</v>
      </c>
      <c r="DD106" s="391" t="s">
        <v>69</v>
      </c>
      <c r="DE106" s="391" t="s">
        <v>69</v>
      </c>
      <c r="DF106" s="391" t="s">
        <v>69</v>
      </c>
      <c r="DG106" s="391" t="s">
        <v>69</v>
      </c>
      <c r="DH106" s="391" t="s">
        <v>69</v>
      </c>
      <c r="DI106" s="391" t="s">
        <v>69</v>
      </c>
      <c r="DJ106" s="391" t="s">
        <v>69</v>
      </c>
      <c r="DK106" s="391" t="s">
        <v>69</v>
      </c>
      <c r="DL106" s="391" t="s">
        <v>69</v>
      </c>
      <c r="DM106" s="391" t="s">
        <v>69</v>
      </c>
      <c r="DN106" s="391" t="s">
        <v>69</v>
      </c>
      <c r="DO106" s="391" t="s">
        <v>69</v>
      </c>
      <c r="DP106" s="391" t="s">
        <v>69</v>
      </c>
      <c r="DQ106" s="391" t="s">
        <v>69</v>
      </c>
      <c r="DR106" s="391" t="s">
        <v>69</v>
      </c>
      <c r="DS106" s="391" t="s">
        <v>69</v>
      </c>
      <c r="DT106" s="391" t="s">
        <v>69</v>
      </c>
      <c r="DU106" s="398">
        <f t="shared" si="6"/>
        <v>0.12698412698412698</v>
      </c>
      <c r="DV106" s="399">
        <f t="shared" ref="DV106" si="7">+COUNTIF(E106:DT106,"&gt;2")/COUNTIF(E106:DT106,"&gt;1")</f>
        <v>1</v>
      </c>
    </row>
    <row r="107" spans="1:126" s="230" customFormat="1" ht="120" customHeight="1">
      <c r="A107" s="406" t="s">
        <v>1115</v>
      </c>
      <c r="B107" s="407" t="s">
        <v>1116</v>
      </c>
      <c r="C107" s="409">
        <v>46083</v>
      </c>
      <c r="D107" s="408" t="s">
        <v>1155</v>
      </c>
      <c r="E107" s="391" t="s">
        <v>69</v>
      </c>
      <c r="F107" s="391" t="s">
        <v>69</v>
      </c>
      <c r="G107" s="391" t="s">
        <v>69</v>
      </c>
      <c r="H107" s="391" t="s">
        <v>69</v>
      </c>
      <c r="I107" s="391" t="s">
        <v>69</v>
      </c>
      <c r="J107" s="391" t="s">
        <v>69</v>
      </c>
      <c r="K107" s="391" t="s">
        <v>69</v>
      </c>
      <c r="L107" s="391" t="s">
        <v>69</v>
      </c>
      <c r="M107" s="391" t="s">
        <v>69</v>
      </c>
      <c r="N107" s="391" t="s">
        <v>69</v>
      </c>
      <c r="O107" s="391" t="s">
        <v>69</v>
      </c>
      <c r="P107" s="391" t="s">
        <v>69</v>
      </c>
      <c r="Q107" s="391" t="s">
        <v>69</v>
      </c>
      <c r="R107" s="391" t="s">
        <v>69</v>
      </c>
      <c r="S107" s="391" t="s">
        <v>69</v>
      </c>
      <c r="T107" s="391" t="s">
        <v>69</v>
      </c>
      <c r="U107" s="391" t="s">
        <v>69</v>
      </c>
      <c r="V107" s="391" t="s">
        <v>69</v>
      </c>
      <c r="W107" s="391">
        <v>3</v>
      </c>
      <c r="X107" s="391" t="s">
        <v>69</v>
      </c>
      <c r="Y107" s="391" t="s">
        <v>69</v>
      </c>
      <c r="Z107" s="391" t="s">
        <v>69</v>
      </c>
      <c r="AA107" s="391" t="s">
        <v>69</v>
      </c>
      <c r="AB107" s="391" t="s">
        <v>69</v>
      </c>
      <c r="AC107" s="391" t="s">
        <v>69</v>
      </c>
      <c r="AD107" s="391" t="s">
        <v>69</v>
      </c>
      <c r="AE107" s="391" t="s">
        <v>69</v>
      </c>
      <c r="AF107" s="391" t="s">
        <v>69</v>
      </c>
      <c r="AG107" s="391" t="s">
        <v>69</v>
      </c>
      <c r="AH107" s="391" t="s">
        <v>69</v>
      </c>
      <c r="AI107" s="391" t="s">
        <v>69</v>
      </c>
      <c r="AJ107" s="391" t="s">
        <v>69</v>
      </c>
      <c r="AK107" s="391" t="s">
        <v>69</v>
      </c>
      <c r="AL107" s="391" t="s">
        <v>69</v>
      </c>
      <c r="AM107" s="391">
        <v>3</v>
      </c>
      <c r="AN107" s="391" t="s">
        <v>69</v>
      </c>
      <c r="AO107" s="391" t="s">
        <v>69</v>
      </c>
      <c r="AP107" s="391" t="s">
        <v>69</v>
      </c>
      <c r="AQ107" s="391" t="s">
        <v>69</v>
      </c>
      <c r="AR107" s="391" t="s">
        <v>69</v>
      </c>
      <c r="AS107" s="391" t="s">
        <v>69</v>
      </c>
      <c r="AT107" s="391" t="s">
        <v>69</v>
      </c>
      <c r="AU107" s="391" t="s">
        <v>69</v>
      </c>
      <c r="AV107" s="391" t="s">
        <v>69</v>
      </c>
      <c r="AW107" s="391" t="s">
        <v>69</v>
      </c>
      <c r="AX107" s="391" t="s">
        <v>69</v>
      </c>
      <c r="AY107" s="391" t="s">
        <v>69</v>
      </c>
      <c r="AZ107" s="391" t="s">
        <v>69</v>
      </c>
      <c r="BA107" s="391" t="s">
        <v>69</v>
      </c>
      <c r="BB107" s="391" t="s">
        <v>69</v>
      </c>
      <c r="BC107" s="391" t="s">
        <v>69</v>
      </c>
      <c r="BD107" s="391" t="s">
        <v>69</v>
      </c>
      <c r="BE107" s="391" t="s">
        <v>69</v>
      </c>
      <c r="BF107" s="391" t="s">
        <v>69</v>
      </c>
      <c r="BG107" s="391" t="s">
        <v>69</v>
      </c>
      <c r="BH107" s="391" t="s">
        <v>69</v>
      </c>
      <c r="BI107" s="391" t="s">
        <v>69</v>
      </c>
      <c r="BJ107" s="391" t="s">
        <v>69</v>
      </c>
      <c r="BK107" s="391" t="s">
        <v>69</v>
      </c>
      <c r="BL107" s="391" t="s">
        <v>69</v>
      </c>
      <c r="BM107" s="391" t="s">
        <v>69</v>
      </c>
      <c r="BN107" s="391" t="s">
        <v>69</v>
      </c>
      <c r="BO107" s="391" t="s">
        <v>69</v>
      </c>
      <c r="BP107" s="391" t="s">
        <v>69</v>
      </c>
      <c r="BQ107" s="391" t="s">
        <v>69</v>
      </c>
      <c r="BR107" s="391" t="s">
        <v>69</v>
      </c>
      <c r="BS107" s="391" t="s">
        <v>69</v>
      </c>
      <c r="BT107" s="391" t="s">
        <v>69</v>
      </c>
      <c r="BU107" s="391" t="s">
        <v>69</v>
      </c>
      <c r="BV107" s="391" t="s">
        <v>69</v>
      </c>
      <c r="BW107" s="391" t="s">
        <v>69</v>
      </c>
      <c r="BX107" s="391" t="s">
        <v>69</v>
      </c>
      <c r="BY107" s="391" t="s">
        <v>69</v>
      </c>
      <c r="BZ107" s="391" t="s">
        <v>69</v>
      </c>
      <c r="CA107" s="391" t="s">
        <v>69</v>
      </c>
      <c r="CB107" s="391" t="s">
        <v>69</v>
      </c>
      <c r="CC107" s="391" t="s">
        <v>69</v>
      </c>
      <c r="CD107" s="391" t="s">
        <v>69</v>
      </c>
      <c r="CE107" s="391" t="s">
        <v>69</v>
      </c>
      <c r="CF107" s="391" t="s">
        <v>69</v>
      </c>
      <c r="CG107" s="391" t="s">
        <v>69</v>
      </c>
      <c r="CH107" s="391" t="s">
        <v>69</v>
      </c>
      <c r="CI107" s="391" t="s">
        <v>69</v>
      </c>
      <c r="CJ107" s="391" t="s">
        <v>69</v>
      </c>
      <c r="CK107" s="391" t="s">
        <v>69</v>
      </c>
      <c r="CL107" s="391" t="s">
        <v>69</v>
      </c>
      <c r="CM107" s="391" t="s">
        <v>69</v>
      </c>
      <c r="CN107" s="391" t="s">
        <v>69</v>
      </c>
      <c r="CO107" s="391" t="s">
        <v>69</v>
      </c>
      <c r="CP107" s="391" t="s">
        <v>69</v>
      </c>
      <c r="CQ107" s="391" t="s">
        <v>69</v>
      </c>
      <c r="CR107" s="391" t="s">
        <v>69</v>
      </c>
      <c r="CS107" s="391" t="s">
        <v>69</v>
      </c>
      <c r="CT107" s="391" t="s">
        <v>69</v>
      </c>
      <c r="CU107" s="391" t="s">
        <v>69</v>
      </c>
      <c r="CV107" s="391" t="s">
        <v>69</v>
      </c>
      <c r="CW107" s="391" t="s">
        <v>69</v>
      </c>
      <c r="CX107" s="391" t="s">
        <v>69</v>
      </c>
      <c r="CY107" s="391" t="s">
        <v>69</v>
      </c>
      <c r="CZ107" s="391">
        <v>3</v>
      </c>
      <c r="DA107" s="391" t="s">
        <v>69</v>
      </c>
      <c r="DB107" s="391" t="s">
        <v>69</v>
      </c>
      <c r="DC107" s="391" t="s">
        <v>69</v>
      </c>
      <c r="DD107" s="391" t="s">
        <v>69</v>
      </c>
      <c r="DE107" s="391" t="s">
        <v>69</v>
      </c>
      <c r="DF107" s="391" t="s">
        <v>69</v>
      </c>
      <c r="DG107" s="391" t="s">
        <v>69</v>
      </c>
      <c r="DH107" s="391" t="s">
        <v>69</v>
      </c>
      <c r="DI107" s="391" t="s">
        <v>69</v>
      </c>
      <c r="DJ107" s="391" t="s">
        <v>69</v>
      </c>
      <c r="DK107" s="391" t="s">
        <v>69</v>
      </c>
      <c r="DL107" s="391" t="s">
        <v>69</v>
      </c>
      <c r="DM107" s="391" t="s">
        <v>69</v>
      </c>
      <c r="DN107" s="391" t="s">
        <v>69</v>
      </c>
      <c r="DO107" s="391" t="s">
        <v>69</v>
      </c>
      <c r="DP107" s="391" t="s">
        <v>69</v>
      </c>
      <c r="DQ107" s="391" t="s">
        <v>69</v>
      </c>
      <c r="DR107" s="391" t="s">
        <v>69</v>
      </c>
      <c r="DS107" s="391" t="s">
        <v>69</v>
      </c>
      <c r="DT107" s="391" t="s">
        <v>69</v>
      </c>
      <c r="DU107" s="398">
        <f t="shared" si="6"/>
        <v>4.7619047619047616E-2</v>
      </c>
      <c r="DV107" s="399">
        <v>0</v>
      </c>
    </row>
    <row r="108" spans="1:126" s="230" customFormat="1" ht="120" customHeight="1">
      <c r="A108" s="406" t="s">
        <v>1113</v>
      </c>
      <c r="B108" s="407" t="s">
        <v>1114</v>
      </c>
      <c r="C108" s="409">
        <v>46083</v>
      </c>
      <c r="D108" s="408" t="s">
        <v>1155</v>
      </c>
      <c r="E108" s="391" t="s">
        <v>69</v>
      </c>
      <c r="F108" s="391" t="s">
        <v>69</v>
      </c>
      <c r="G108" s="391" t="s">
        <v>69</v>
      </c>
      <c r="H108" s="391" t="s">
        <v>69</v>
      </c>
      <c r="I108" s="391" t="s">
        <v>69</v>
      </c>
      <c r="J108" s="391" t="s">
        <v>69</v>
      </c>
      <c r="K108" s="391" t="s">
        <v>69</v>
      </c>
      <c r="L108" s="391">
        <v>3</v>
      </c>
      <c r="M108" s="391" t="s">
        <v>69</v>
      </c>
      <c r="N108" s="391" t="s">
        <v>69</v>
      </c>
      <c r="O108" s="391" t="s">
        <v>69</v>
      </c>
      <c r="P108" s="391" t="s">
        <v>69</v>
      </c>
      <c r="Q108" s="391" t="s">
        <v>69</v>
      </c>
      <c r="R108" s="391" t="s">
        <v>69</v>
      </c>
      <c r="S108" s="391" t="s">
        <v>69</v>
      </c>
      <c r="T108" s="391" t="s">
        <v>69</v>
      </c>
      <c r="U108" s="391" t="s">
        <v>69</v>
      </c>
      <c r="V108" s="391" t="s">
        <v>69</v>
      </c>
      <c r="W108" s="391" t="s">
        <v>69</v>
      </c>
      <c r="X108" s="391" t="s">
        <v>69</v>
      </c>
      <c r="Y108" s="391" t="s">
        <v>69</v>
      </c>
      <c r="Z108" s="391">
        <v>3</v>
      </c>
      <c r="AA108" s="391" t="s">
        <v>69</v>
      </c>
      <c r="AB108" s="391" t="s">
        <v>69</v>
      </c>
      <c r="AC108" s="391" t="s">
        <v>69</v>
      </c>
      <c r="AD108" s="391" t="s">
        <v>69</v>
      </c>
      <c r="AE108" s="391" t="s">
        <v>69</v>
      </c>
      <c r="AF108" s="391" t="s">
        <v>69</v>
      </c>
      <c r="AG108" s="391" t="s">
        <v>69</v>
      </c>
      <c r="AH108" s="391" t="s">
        <v>69</v>
      </c>
      <c r="AI108" s="391" t="s">
        <v>69</v>
      </c>
      <c r="AJ108" s="391" t="s">
        <v>69</v>
      </c>
      <c r="AK108" s="391" t="s">
        <v>69</v>
      </c>
      <c r="AL108" s="391" t="s">
        <v>69</v>
      </c>
      <c r="AM108" s="391" t="s">
        <v>69</v>
      </c>
      <c r="AN108" s="391" t="s">
        <v>69</v>
      </c>
      <c r="AO108" s="391" t="s">
        <v>69</v>
      </c>
      <c r="AP108" s="391" t="s">
        <v>69</v>
      </c>
      <c r="AQ108" s="391" t="s">
        <v>69</v>
      </c>
      <c r="AR108" s="391" t="s">
        <v>69</v>
      </c>
      <c r="AS108" s="391" t="s">
        <v>69</v>
      </c>
      <c r="AT108" s="391" t="s">
        <v>69</v>
      </c>
      <c r="AU108" s="391" t="s">
        <v>69</v>
      </c>
      <c r="AV108" s="391" t="s">
        <v>69</v>
      </c>
      <c r="AW108" s="391" t="s">
        <v>69</v>
      </c>
      <c r="AX108" s="391" t="s">
        <v>69</v>
      </c>
      <c r="AY108" s="391" t="s">
        <v>69</v>
      </c>
      <c r="AZ108" s="391" t="s">
        <v>69</v>
      </c>
      <c r="BA108" s="391" t="s">
        <v>69</v>
      </c>
      <c r="BB108" s="391" t="s">
        <v>69</v>
      </c>
      <c r="BC108" s="391" t="s">
        <v>69</v>
      </c>
      <c r="BD108" s="391" t="s">
        <v>69</v>
      </c>
      <c r="BE108" s="391" t="s">
        <v>69</v>
      </c>
      <c r="BF108" s="391" t="s">
        <v>69</v>
      </c>
      <c r="BG108" s="391" t="s">
        <v>69</v>
      </c>
      <c r="BH108" s="391" t="s">
        <v>69</v>
      </c>
      <c r="BI108" s="391" t="s">
        <v>69</v>
      </c>
      <c r="BJ108" s="391" t="s">
        <v>69</v>
      </c>
      <c r="BK108" s="391" t="s">
        <v>69</v>
      </c>
      <c r="BL108" s="391" t="s">
        <v>69</v>
      </c>
      <c r="BM108" s="391" t="s">
        <v>69</v>
      </c>
      <c r="BN108" s="391" t="s">
        <v>69</v>
      </c>
      <c r="BO108" s="391" t="s">
        <v>69</v>
      </c>
      <c r="BP108" s="391" t="s">
        <v>69</v>
      </c>
      <c r="BQ108" s="391" t="s">
        <v>69</v>
      </c>
      <c r="BR108" s="391" t="s">
        <v>69</v>
      </c>
      <c r="BS108" s="391" t="s">
        <v>69</v>
      </c>
      <c r="BT108" s="391" t="s">
        <v>69</v>
      </c>
      <c r="BU108" s="391" t="s">
        <v>69</v>
      </c>
      <c r="BV108" s="391" t="s">
        <v>69</v>
      </c>
      <c r="BW108" s="391" t="s">
        <v>69</v>
      </c>
      <c r="BX108" s="391" t="s">
        <v>69</v>
      </c>
      <c r="BY108" s="391" t="s">
        <v>69</v>
      </c>
      <c r="BZ108" s="391" t="s">
        <v>69</v>
      </c>
      <c r="CA108" s="391" t="s">
        <v>69</v>
      </c>
      <c r="CB108" s="391" t="s">
        <v>69</v>
      </c>
      <c r="CC108" s="391" t="s">
        <v>69</v>
      </c>
      <c r="CD108" s="391">
        <v>2</v>
      </c>
      <c r="CE108" s="391" t="s">
        <v>69</v>
      </c>
      <c r="CF108" s="391" t="s">
        <v>69</v>
      </c>
      <c r="CG108" s="391" t="s">
        <v>69</v>
      </c>
      <c r="CH108" s="391" t="s">
        <v>69</v>
      </c>
      <c r="CI108" s="391" t="s">
        <v>69</v>
      </c>
      <c r="CJ108" s="391" t="s">
        <v>69</v>
      </c>
      <c r="CK108" s="391" t="s">
        <v>69</v>
      </c>
      <c r="CL108" s="391" t="s">
        <v>69</v>
      </c>
      <c r="CM108" s="391" t="s">
        <v>69</v>
      </c>
      <c r="CN108" s="391" t="s">
        <v>69</v>
      </c>
      <c r="CO108" s="391" t="s">
        <v>69</v>
      </c>
      <c r="CP108" s="391" t="s">
        <v>69</v>
      </c>
      <c r="CQ108" s="391" t="s">
        <v>69</v>
      </c>
      <c r="CR108" s="391" t="s">
        <v>69</v>
      </c>
      <c r="CS108" s="391" t="s">
        <v>69</v>
      </c>
      <c r="CT108" s="391" t="s">
        <v>69</v>
      </c>
      <c r="CU108" s="391" t="s">
        <v>69</v>
      </c>
      <c r="CV108" s="391" t="s">
        <v>69</v>
      </c>
      <c r="CW108" s="391" t="s">
        <v>69</v>
      </c>
      <c r="CX108" s="391" t="s">
        <v>69</v>
      </c>
      <c r="CY108" s="391" t="s">
        <v>69</v>
      </c>
      <c r="CZ108" s="391" t="s">
        <v>69</v>
      </c>
      <c r="DA108" s="391" t="s">
        <v>69</v>
      </c>
      <c r="DB108" s="391" t="s">
        <v>69</v>
      </c>
      <c r="DC108" s="391" t="s">
        <v>69</v>
      </c>
      <c r="DD108" s="391" t="s">
        <v>69</v>
      </c>
      <c r="DE108" s="391" t="s">
        <v>69</v>
      </c>
      <c r="DF108" s="391" t="s">
        <v>69</v>
      </c>
      <c r="DG108" s="391" t="s">
        <v>69</v>
      </c>
      <c r="DH108" s="391" t="s">
        <v>69</v>
      </c>
      <c r="DI108" s="391" t="s">
        <v>69</v>
      </c>
      <c r="DJ108" s="391" t="s">
        <v>69</v>
      </c>
      <c r="DK108" s="391" t="s">
        <v>69</v>
      </c>
      <c r="DL108" s="391" t="s">
        <v>69</v>
      </c>
      <c r="DM108" s="391" t="s">
        <v>69</v>
      </c>
      <c r="DN108" s="391" t="s">
        <v>69</v>
      </c>
      <c r="DO108" s="391" t="s">
        <v>69</v>
      </c>
      <c r="DP108" s="391" t="s">
        <v>69</v>
      </c>
      <c r="DQ108" s="391" t="s">
        <v>69</v>
      </c>
      <c r="DR108" s="391" t="s">
        <v>69</v>
      </c>
      <c r="DS108" s="391" t="s">
        <v>69</v>
      </c>
      <c r="DT108" s="391" t="s">
        <v>69</v>
      </c>
      <c r="DU108" s="398">
        <f t="shared" si="6"/>
        <v>4.7619047619047616E-2</v>
      </c>
      <c r="DV108" s="399">
        <v>0</v>
      </c>
    </row>
    <row r="109" spans="1:126" s="230" customFormat="1" ht="120" customHeight="1">
      <c r="A109" s="406" t="s">
        <v>1111</v>
      </c>
      <c r="B109" s="407" t="s">
        <v>1112</v>
      </c>
      <c r="C109" s="409">
        <v>46083</v>
      </c>
      <c r="D109" s="408" t="s">
        <v>1155</v>
      </c>
      <c r="E109" s="391">
        <v>3</v>
      </c>
      <c r="F109" s="391" t="s">
        <v>69</v>
      </c>
      <c r="G109" s="391">
        <v>3</v>
      </c>
      <c r="H109" s="391" t="s">
        <v>69</v>
      </c>
      <c r="I109" s="391" t="s">
        <v>69</v>
      </c>
      <c r="J109" s="391" t="s">
        <v>69</v>
      </c>
      <c r="K109" s="391" t="s">
        <v>69</v>
      </c>
      <c r="L109" s="391" t="s">
        <v>69</v>
      </c>
      <c r="M109" s="391" t="s">
        <v>69</v>
      </c>
      <c r="N109" s="391">
        <v>3</v>
      </c>
      <c r="O109" s="391" t="s">
        <v>69</v>
      </c>
      <c r="P109" s="391" t="s">
        <v>69</v>
      </c>
      <c r="Q109" s="391" t="s">
        <v>69</v>
      </c>
      <c r="R109" s="391" t="s">
        <v>69</v>
      </c>
      <c r="S109" s="391" t="s">
        <v>69</v>
      </c>
      <c r="T109" s="391" t="s">
        <v>69</v>
      </c>
      <c r="U109" s="391" t="s">
        <v>69</v>
      </c>
      <c r="V109" s="391" t="s">
        <v>69</v>
      </c>
      <c r="W109" s="391" t="s">
        <v>69</v>
      </c>
      <c r="X109" s="391" t="s">
        <v>69</v>
      </c>
      <c r="Y109" s="391" t="s">
        <v>69</v>
      </c>
      <c r="Z109" s="391" t="s">
        <v>69</v>
      </c>
      <c r="AA109" s="391" t="s">
        <v>69</v>
      </c>
      <c r="AB109" s="391" t="s">
        <v>69</v>
      </c>
      <c r="AC109" s="391" t="s">
        <v>69</v>
      </c>
      <c r="AD109" s="391" t="s">
        <v>69</v>
      </c>
      <c r="AE109" s="391" t="s">
        <v>69</v>
      </c>
      <c r="AF109" s="391" t="s">
        <v>69</v>
      </c>
      <c r="AG109" s="391" t="s">
        <v>69</v>
      </c>
      <c r="AH109" s="391" t="s">
        <v>69</v>
      </c>
      <c r="AI109" s="391" t="s">
        <v>69</v>
      </c>
      <c r="AJ109" s="391" t="s">
        <v>69</v>
      </c>
      <c r="AK109" s="391" t="s">
        <v>69</v>
      </c>
      <c r="AL109" s="391" t="s">
        <v>69</v>
      </c>
      <c r="AM109" s="391" t="s">
        <v>69</v>
      </c>
      <c r="AN109" s="391" t="s">
        <v>69</v>
      </c>
      <c r="AO109" s="391" t="s">
        <v>69</v>
      </c>
      <c r="AP109" s="391" t="s">
        <v>69</v>
      </c>
      <c r="AQ109" s="391">
        <v>3</v>
      </c>
      <c r="AR109" s="391">
        <v>3</v>
      </c>
      <c r="AS109" s="391" t="s">
        <v>69</v>
      </c>
      <c r="AT109" s="391" t="s">
        <v>69</v>
      </c>
      <c r="AU109" s="391" t="s">
        <v>69</v>
      </c>
      <c r="AV109" s="391" t="s">
        <v>69</v>
      </c>
      <c r="AW109" s="391">
        <v>3</v>
      </c>
      <c r="AX109" s="391">
        <v>3</v>
      </c>
      <c r="AY109" s="391" t="s">
        <v>69</v>
      </c>
      <c r="AZ109" s="391" t="s">
        <v>69</v>
      </c>
      <c r="BA109" s="391" t="s">
        <v>69</v>
      </c>
      <c r="BB109" s="391" t="s">
        <v>69</v>
      </c>
      <c r="BC109" s="391" t="s">
        <v>69</v>
      </c>
      <c r="BD109" s="391">
        <v>3</v>
      </c>
      <c r="BE109" s="391" t="s">
        <v>69</v>
      </c>
      <c r="BF109" s="391" t="s">
        <v>69</v>
      </c>
      <c r="BG109" s="391" t="s">
        <v>69</v>
      </c>
      <c r="BH109" s="391" t="s">
        <v>69</v>
      </c>
      <c r="BI109" s="391" t="s">
        <v>69</v>
      </c>
      <c r="BJ109" s="391" t="s">
        <v>69</v>
      </c>
      <c r="BK109" s="391" t="s">
        <v>69</v>
      </c>
      <c r="BL109" s="391" t="s">
        <v>69</v>
      </c>
      <c r="BM109" s="391" t="s">
        <v>69</v>
      </c>
      <c r="BN109" s="391" t="s">
        <v>69</v>
      </c>
      <c r="BO109" s="391" t="s">
        <v>69</v>
      </c>
      <c r="BP109" s="391" t="s">
        <v>69</v>
      </c>
      <c r="BQ109" s="391">
        <v>3</v>
      </c>
      <c r="BR109" s="391">
        <v>3</v>
      </c>
      <c r="BS109" s="391" t="s">
        <v>69</v>
      </c>
      <c r="BT109" s="391" t="s">
        <v>69</v>
      </c>
      <c r="BU109" s="391" t="s">
        <v>69</v>
      </c>
      <c r="BV109" s="391" t="s">
        <v>69</v>
      </c>
      <c r="BW109" s="391" t="s">
        <v>69</v>
      </c>
      <c r="BX109" s="391" t="s">
        <v>69</v>
      </c>
      <c r="BY109" s="391" t="s">
        <v>69</v>
      </c>
      <c r="BZ109" s="391" t="s">
        <v>69</v>
      </c>
      <c r="CA109" s="391" t="s">
        <v>69</v>
      </c>
      <c r="CB109" s="391" t="s">
        <v>69</v>
      </c>
      <c r="CC109" s="391" t="s">
        <v>69</v>
      </c>
      <c r="CD109" s="391" t="s">
        <v>69</v>
      </c>
      <c r="CE109" s="391" t="s">
        <v>69</v>
      </c>
      <c r="CF109" s="391" t="s">
        <v>69</v>
      </c>
      <c r="CG109" s="391" t="s">
        <v>69</v>
      </c>
      <c r="CH109" s="391" t="s">
        <v>69</v>
      </c>
      <c r="CI109" s="391" t="s">
        <v>69</v>
      </c>
      <c r="CJ109" s="391" t="s">
        <v>69</v>
      </c>
      <c r="CK109" s="391" t="s">
        <v>69</v>
      </c>
      <c r="CL109" s="391" t="s">
        <v>69</v>
      </c>
      <c r="CM109" s="391" t="s">
        <v>69</v>
      </c>
      <c r="CN109" s="391" t="s">
        <v>69</v>
      </c>
      <c r="CO109" s="391" t="s">
        <v>69</v>
      </c>
      <c r="CP109" s="391" t="s">
        <v>69</v>
      </c>
      <c r="CQ109" s="391" t="s">
        <v>69</v>
      </c>
      <c r="CR109" s="391" t="s">
        <v>69</v>
      </c>
      <c r="CS109" s="391" t="s">
        <v>69</v>
      </c>
      <c r="CT109" s="391" t="s">
        <v>69</v>
      </c>
      <c r="CU109" s="391" t="s">
        <v>69</v>
      </c>
      <c r="CV109" s="391" t="s">
        <v>69</v>
      </c>
      <c r="CW109" s="391" t="s">
        <v>69</v>
      </c>
      <c r="CX109" s="391" t="s">
        <v>69</v>
      </c>
      <c r="CY109" s="391" t="s">
        <v>69</v>
      </c>
      <c r="CZ109" s="391" t="s">
        <v>69</v>
      </c>
      <c r="DA109" s="391" t="s">
        <v>69</v>
      </c>
      <c r="DB109" s="391" t="s">
        <v>69</v>
      </c>
      <c r="DC109" s="391" t="s">
        <v>69</v>
      </c>
      <c r="DD109" s="391" t="s">
        <v>69</v>
      </c>
      <c r="DE109" s="391" t="s">
        <v>69</v>
      </c>
      <c r="DF109" s="391" t="s">
        <v>69</v>
      </c>
      <c r="DG109" s="391" t="s">
        <v>69</v>
      </c>
      <c r="DH109" s="391" t="s">
        <v>69</v>
      </c>
      <c r="DI109" s="391" t="s">
        <v>69</v>
      </c>
      <c r="DJ109" s="391" t="s">
        <v>69</v>
      </c>
      <c r="DK109" s="391" t="s">
        <v>69</v>
      </c>
      <c r="DL109" s="391" t="s">
        <v>69</v>
      </c>
      <c r="DM109" s="391" t="s">
        <v>69</v>
      </c>
      <c r="DN109" s="391" t="s">
        <v>69</v>
      </c>
      <c r="DO109" s="391" t="s">
        <v>69</v>
      </c>
      <c r="DP109" s="391" t="s">
        <v>69</v>
      </c>
      <c r="DQ109" s="391" t="s">
        <v>69</v>
      </c>
      <c r="DR109" s="391" t="s">
        <v>69</v>
      </c>
      <c r="DS109" s="391" t="s">
        <v>69</v>
      </c>
      <c r="DT109" s="391" t="s">
        <v>69</v>
      </c>
      <c r="DU109" s="398">
        <f t="shared" si="6"/>
        <v>0.15873015873015872</v>
      </c>
      <c r="DV109" s="399">
        <v>0</v>
      </c>
    </row>
    <row r="110" spans="1:126" s="230" customFormat="1" ht="120" customHeight="1">
      <c r="A110" s="406" t="s">
        <v>1216</v>
      </c>
      <c r="B110" s="407" t="s">
        <v>1217</v>
      </c>
      <c r="C110" s="409">
        <v>46118</v>
      </c>
      <c r="D110" s="408" t="s">
        <v>635</v>
      </c>
      <c r="E110" s="391" t="s">
        <v>69</v>
      </c>
      <c r="F110" s="391" t="s">
        <v>69</v>
      </c>
      <c r="G110" s="391" t="s">
        <v>69</v>
      </c>
      <c r="H110" s="391" t="s">
        <v>69</v>
      </c>
      <c r="I110" s="391" t="s">
        <v>69</v>
      </c>
      <c r="J110" s="391">
        <v>3</v>
      </c>
      <c r="K110" s="391" t="s">
        <v>69</v>
      </c>
      <c r="L110" s="391" t="s">
        <v>69</v>
      </c>
      <c r="M110" s="391" t="s">
        <v>69</v>
      </c>
      <c r="N110" s="391" t="s">
        <v>69</v>
      </c>
      <c r="O110" s="391" t="s">
        <v>69</v>
      </c>
      <c r="P110" s="391" t="s">
        <v>69</v>
      </c>
      <c r="Q110" s="391" t="s">
        <v>69</v>
      </c>
      <c r="R110" s="391" t="s">
        <v>69</v>
      </c>
      <c r="S110" s="391" t="s">
        <v>69</v>
      </c>
      <c r="T110" s="391" t="s">
        <v>69</v>
      </c>
      <c r="U110" s="391" t="s">
        <v>69</v>
      </c>
      <c r="V110" s="391" t="s">
        <v>69</v>
      </c>
      <c r="W110" s="391" t="s">
        <v>69</v>
      </c>
      <c r="X110" s="391" t="s">
        <v>69</v>
      </c>
      <c r="Y110" s="391" t="s">
        <v>69</v>
      </c>
      <c r="Z110" s="391" t="s">
        <v>69</v>
      </c>
      <c r="AA110" s="391">
        <v>3</v>
      </c>
      <c r="AB110" s="391" t="s">
        <v>69</v>
      </c>
      <c r="AC110" s="391" t="s">
        <v>69</v>
      </c>
      <c r="AD110" s="391" t="s">
        <v>69</v>
      </c>
      <c r="AE110" s="391" t="s">
        <v>69</v>
      </c>
      <c r="AF110" s="391" t="s">
        <v>69</v>
      </c>
      <c r="AG110" s="391" t="s">
        <v>69</v>
      </c>
      <c r="AH110" s="391" t="s">
        <v>69</v>
      </c>
      <c r="AI110" s="391" t="s">
        <v>69</v>
      </c>
      <c r="AJ110" s="391" t="s">
        <v>69</v>
      </c>
      <c r="AK110" s="391" t="s">
        <v>69</v>
      </c>
      <c r="AL110" s="391" t="s">
        <v>69</v>
      </c>
      <c r="AM110" s="391" t="s">
        <v>69</v>
      </c>
      <c r="AN110" s="391" t="s">
        <v>69</v>
      </c>
      <c r="AO110" s="391" t="s">
        <v>69</v>
      </c>
      <c r="AP110" s="391" t="s">
        <v>69</v>
      </c>
      <c r="AQ110" s="391" t="s">
        <v>69</v>
      </c>
      <c r="AR110" s="391" t="s">
        <v>69</v>
      </c>
      <c r="AS110" s="391" t="s">
        <v>69</v>
      </c>
      <c r="AT110" s="391" t="s">
        <v>69</v>
      </c>
      <c r="AU110" s="391" t="s">
        <v>69</v>
      </c>
      <c r="AV110" s="391" t="s">
        <v>69</v>
      </c>
      <c r="AW110" s="391" t="s">
        <v>69</v>
      </c>
      <c r="AX110" s="391" t="s">
        <v>69</v>
      </c>
      <c r="AY110" s="391" t="s">
        <v>69</v>
      </c>
      <c r="AZ110" s="391" t="s">
        <v>69</v>
      </c>
      <c r="BA110" s="391" t="s">
        <v>69</v>
      </c>
      <c r="BB110" s="391" t="s">
        <v>69</v>
      </c>
      <c r="BC110" s="391" t="s">
        <v>69</v>
      </c>
      <c r="BD110" s="391" t="s">
        <v>69</v>
      </c>
      <c r="BE110" s="391" t="s">
        <v>69</v>
      </c>
      <c r="BF110" s="391" t="s">
        <v>69</v>
      </c>
      <c r="BG110" s="391" t="s">
        <v>69</v>
      </c>
      <c r="BH110" s="391" t="s">
        <v>69</v>
      </c>
      <c r="BI110" s="391" t="s">
        <v>69</v>
      </c>
      <c r="BJ110" s="391" t="s">
        <v>69</v>
      </c>
      <c r="BK110" s="391" t="s">
        <v>69</v>
      </c>
      <c r="BL110" s="391" t="s">
        <v>69</v>
      </c>
      <c r="BM110" s="391" t="s">
        <v>69</v>
      </c>
      <c r="BN110" s="391" t="s">
        <v>69</v>
      </c>
      <c r="BO110" s="391" t="s">
        <v>69</v>
      </c>
      <c r="BP110" s="391" t="s">
        <v>69</v>
      </c>
      <c r="BQ110" s="391" t="s">
        <v>69</v>
      </c>
      <c r="BR110" s="391" t="s">
        <v>69</v>
      </c>
      <c r="BS110" s="391" t="s">
        <v>69</v>
      </c>
      <c r="BT110" s="391" t="s">
        <v>69</v>
      </c>
      <c r="BU110" s="391" t="s">
        <v>69</v>
      </c>
      <c r="BV110" s="391" t="s">
        <v>69</v>
      </c>
      <c r="BW110" s="391" t="s">
        <v>69</v>
      </c>
      <c r="BX110" s="391" t="s">
        <v>69</v>
      </c>
      <c r="BY110" s="391" t="s">
        <v>69</v>
      </c>
      <c r="BZ110" s="391" t="s">
        <v>69</v>
      </c>
      <c r="CA110" s="391" t="s">
        <v>69</v>
      </c>
      <c r="CB110" s="391" t="s">
        <v>69</v>
      </c>
      <c r="CC110" s="391" t="s">
        <v>69</v>
      </c>
      <c r="CD110" s="391" t="s">
        <v>69</v>
      </c>
      <c r="CE110" s="391" t="s">
        <v>69</v>
      </c>
      <c r="CF110" s="391" t="s">
        <v>69</v>
      </c>
      <c r="CG110" s="391" t="s">
        <v>69</v>
      </c>
      <c r="CH110" s="391" t="s">
        <v>69</v>
      </c>
      <c r="CI110" s="391" t="s">
        <v>69</v>
      </c>
      <c r="CJ110" s="391" t="s">
        <v>69</v>
      </c>
      <c r="CK110" s="391" t="s">
        <v>69</v>
      </c>
      <c r="CL110" s="391" t="s">
        <v>69</v>
      </c>
      <c r="CM110" s="391" t="s">
        <v>69</v>
      </c>
      <c r="CN110" s="391" t="s">
        <v>69</v>
      </c>
      <c r="CO110" s="391" t="s">
        <v>69</v>
      </c>
      <c r="CP110" s="391" t="s">
        <v>69</v>
      </c>
      <c r="CQ110" s="391" t="s">
        <v>69</v>
      </c>
      <c r="CR110" s="391" t="s">
        <v>69</v>
      </c>
      <c r="CS110" s="391" t="s">
        <v>69</v>
      </c>
      <c r="CT110" s="391" t="s">
        <v>69</v>
      </c>
      <c r="CU110" s="391" t="s">
        <v>69</v>
      </c>
      <c r="CV110" s="391" t="s">
        <v>69</v>
      </c>
      <c r="CW110" s="391" t="s">
        <v>69</v>
      </c>
      <c r="CX110" s="391" t="s">
        <v>69</v>
      </c>
      <c r="CY110" s="391" t="s">
        <v>69</v>
      </c>
      <c r="CZ110" s="391" t="s">
        <v>69</v>
      </c>
      <c r="DA110" s="391" t="s">
        <v>69</v>
      </c>
      <c r="DB110" s="391" t="s">
        <v>69</v>
      </c>
      <c r="DC110" s="391" t="s">
        <v>69</v>
      </c>
      <c r="DD110" s="391" t="s">
        <v>69</v>
      </c>
      <c r="DE110" s="391" t="s">
        <v>69</v>
      </c>
      <c r="DF110" s="391" t="s">
        <v>69</v>
      </c>
      <c r="DG110" s="391" t="s">
        <v>69</v>
      </c>
      <c r="DH110" s="391" t="s">
        <v>69</v>
      </c>
      <c r="DI110" s="391" t="s">
        <v>69</v>
      </c>
      <c r="DJ110" s="391" t="s">
        <v>69</v>
      </c>
      <c r="DK110" s="391" t="s">
        <v>69</v>
      </c>
      <c r="DL110" s="391" t="s">
        <v>69</v>
      </c>
      <c r="DM110" s="391" t="s">
        <v>69</v>
      </c>
      <c r="DN110" s="391" t="s">
        <v>69</v>
      </c>
      <c r="DO110" s="391" t="s">
        <v>69</v>
      </c>
      <c r="DP110" s="391" t="s">
        <v>69</v>
      </c>
      <c r="DQ110" s="391" t="s">
        <v>69</v>
      </c>
      <c r="DR110" s="391" t="s">
        <v>69</v>
      </c>
      <c r="DS110" s="391" t="s">
        <v>69</v>
      </c>
      <c r="DT110" s="391" t="s">
        <v>69</v>
      </c>
      <c r="DU110" s="398">
        <f t="shared" si="6"/>
        <v>3.1746031746031744E-2</v>
      </c>
      <c r="DV110" s="399">
        <v>0</v>
      </c>
    </row>
    <row r="111" spans="1:126" s="230" customFormat="1" ht="120" customHeight="1">
      <c r="A111" s="406" t="s">
        <v>1214</v>
      </c>
      <c r="B111" s="407" t="s">
        <v>1215</v>
      </c>
      <c r="C111" s="409">
        <v>46118</v>
      </c>
      <c r="D111" s="408" t="s">
        <v>635</v>
      </c>
      <c r="E111" s="391" t="s">
        <v>69</v>
      </c>
      <c r="F111" s="391" t="s">
        <v>69</v>
      </c>
      <c r="G111" s="391" t="s">
        <v>69</v>
      </c>
      <c r="H111" s="391" t="s">
        <v>69</v>
      </c>
      <c r="I111" s="391" t="s">
        <v>69</v>
      </c>
      <c r="J111" s="391">
        <v>3</v>
      </c>
      <c r="K111" s="391" t="s">
        <v>69</v>
      </c>
      <c r="L111" s="391">
        <v>3</v>
      </c>
      <c r="M111" s="391" t="s">
        <v>69</v>
      </c>
      <c r="N111" s="391" t="s">
        <v>69</v>
      </c>
      <c r="O111" s="391" t="s">
        <v>69</v>
      </c>
      <c r="P111" s="391" t="s">
        <v>69</v>
      </c>
      <c r="Q111" s="391" t="s">
        <v>69</v>
      </c>
      <c r="R111" s="391" t="s">
        <v>69</v>
      </c>
      <c r="S111" s="391" t="s">
        <v>69</v>
      </c>
      <c r="T111" s="391" t="s">
        <v>69</v>
      </c>
      <c r="U111" s="391" t="s">
        <v>69</v>
      </c>
      <c r="V111" s="391" t="s">
        <v>69</v>
      </c>
      <c r="W111" s="391" t="s">
        <v>69</v>
      </c>
      <c r="X111" s="391" t="s">
        <v>69</v>
      </c>
      <c r="Y111" s="391" t="s">
        <v>69</v>
      </c>
      <c r="Z111" s="391" t="s">
        <v>69</v>
      </c>
      <c r="AA111" s="391" t="s">
        <v>69</v>
      </c>
      <c r="AB111" s="391" t="s">
        <v>69</v>
      </c>
      <c r="AC111" s="391" t="s">
        <v>69</v>
      </c>
      <c r="AD111" s="391" t="s">
        <v>69</v>
      </c>
      <c r="AE111" s="391" t="s">
        <v>69</v>
      </c>
      <c r="AF111" s="391" t="s">
        <v>69</v>
      </c>
      <c r="AG111" s="391" t="s">
        <v>69</v>
      </c>
      <c r="AH111" s="391" t="s">
        <v>69</v>
      </c>
      <c r="AI111" s="391" t="s">
        <v>69</v>
      </c>
      <c r="AJ111" s="391" t="s">
        <v>69</v>
      </c>
      <c r="AK111" s="391" t="s">
        <v>69</v>
      </c>
      <c r="AL111" s="391" t="s">
        <v>69</v>
      </c>
      <c r="AM111" s="391" t="s">
        <v>69</v>
      </c>
      <c r="AN111" s="391" t="s">
        <v>69</v>
      </c>
      <c r="AO111" s="391" t="s">
        <v>69</v>
      </c>
      <c r="AP111" s="391" t="s">
        <v>69</v>
      </c>
      <c r="AQ111" s="391" t="s">
        <v>69</v>
      </c>
      <c r="AR111" s="391" t="s">
        <v>69</v>
      </c>
      <c r="AS111" s="391" t="s">
        <v>69</v>
      </c>
      <c r="AT111" s="391" t="s">
        <v>69</v>
      </c>
      <c r="AU111" s="391" t="s">
        <v>69</v>
      </c>
      <c r="AV111" s="391" t="s">
        <v>69</v>
      </c>
      <c r="AW111" s="391" t="s">
        <v>69</v>
      </c>
      <c r="AX111" s="391" t="s">
        <v>69</v>
      </c>
      <c r="AY111" s="391" t="s">
        <v>69</v>
      </c>
      <c r="AZ111" s="391" t="s">
        <v>69</v>
      </c>
      <c r="BA111" s="391" t="s">
        <v>69</v>
      </c>
      <c r="BB111" s="391" t="s">
        <v>69</v>
      </c>
      <c r="BC111" s="391" t="s">
        <v>69</v>
      </c>
      <c r="BD111" s="391" t="s">
        <v>69</v>
      </c>
      <c r="BE111" s="391" t="s">
        <v>69</v>
      </c>
      <c r="BF111" s="391" t="s">
        <v>69</v>
      </c>
      <c r="BG111" s="391" t="s">
        <v>69</v>
      </c>
      <c r="BH111" s="391" t="s">
        <v>69</v>
      </c>
      <c r="BI111" s="391" t="s">
        <v>69</v>
      </c>
      <c r="BJ111" s="391" t="s">
        <v>69</v>
      </c>
      <c r="BK111" s="391" t="s">
        <v>69</v>
      </c>
      <c r="BL111" s="391" t="s">
        <v>69</v>
      </c>
      <c r="BM111" s="391" t="s">
        <v>69</v>
      </c>
      <c r="BN111" s="391" t="s">
        <v>69</v>
      </c>
      <c r="BO111" s="391" t="s">
        <v>69</v>
      </c>
      <c r="BP111" s="391" t="s">
        <v>69</v>
      </c>
      <c r="BQ111" s="391" t="s">
        <v>69</v>
      </c>
      <c r="BR111" s="391" t="s">
        <v>69</v>
      </c>
      <c r="BS111" s="391" t="s">
        <v>69</v>
      </c>
      <c r="BT111" s="391" t="s">
        <v>69</v>
      </c>
      <c r="BU111" s="391" t="s">
        <v>69</v>
      </c>
      <c r="BV111" s="391" t="s">
        <v>69</v>
      </c>
      <c r="BW111" s="391">
        <v>2</v>
      </c>
      <c r="BX111" s="391" t="s">
        <v>69</v>
      </c>
      <c r="BY111" s="391" t="s">
        <v>69</v>
      </c>
      <c r="BZ111" s="391" t="s">
        <v>69</v>
      </c>
      <c r="CA111" s="391" t="s">
        <v>69</v>
      </c>
      <c r="CB111" s="391" t="s">
        <v>69</v>
      </c>
      <c r="CC111" s="391" t="s">
        <v>69</v>
      </c>
      <c r="CD111" s="391" t="s">
        <v>69</v>
      </c>
      <c r="CE111" s="391" t="s">
        <v>69</v>
      </c>
      <c r="CF111" s="391" t="s">
        <v>69</v>
      </c>
      <c r="CG111" s="391" t="s">
        <v>69</v>
      </c>
      <c r="CH111" s="391" t="s">
        <v>69</v>
      </c>
      <c r="CI111" s="391" t="s">
        <v>69</v>
      </c>
      <c r="CJ111" s="391" t="s">
        <v>69</v>
      </c>
      <c r="CK111" s="391" t="s">
        <v>69</v>
      </c>
      <c r="CL111" s="391" t="s">
        <v>69</v>
      </c>
      <c r="CM111" s="391" t="s">
        <v>69</v>
      </c>
      <c r="CN111" s="391" t="s">
        <v>69</v>
      </c>
      <c r="CO111" s="391" t="s">
        <v>69</v>
      </c>
      <c r="CP111" s="391" t="s">
        <v>69</v>
      </c>
      <c r="CQ111" s="391" t="s">
        <v>69</v>
      </c>
      <c r="CR111" s="391" t="s">
        <v>69</v>
      </c>
      <c r="CS111" s="391" t="s">
        <v>69</v>
      </c>
      <c r="CT111" s="391" t="s">
        <v>69</v>
      </c>
      <c r="CU111" s="391" t="s">
        <v>69</v>
      </c>
      <c r="CV111" s="391" t="s">
        <v>69</v>
      </c>
      <c r="CW111" s="391" t="s">
        <v>69</v>
      </c>
      <c r="CX111" s="391" t="s">
        <v>69</v>
      </c>
      <c r="CY111" s="391" t="s">
        <v>69</v>
      </c>
      <c r="CZ111" s="391" t="s">
        <v>69</v>
      </c>
      <c r="DA111" s="391" t="s">
        <v>69</v>
      </c>
      <c r="DB111" s="391" t="s">
        <v>69</v>
      </c>
      <c r="DC111" s="391" t="s">
        <v>69</v>
      </c>
      <c r="DD111" s="391" t="s">
        <v>69</v>
      </c>
      <c r="DE111" s="391" t="s">
        <v>69</v>
      </c>
      <c r="DF111" s="391" t="s">
        <v>69</v>
      </c>
      <c r="DG111" s="391" t="s">
        <v>69</v>
      </c>
      <c r="DH111" s="391" t="s">
        <v>69</v>
      </c>
      <c r="DI111" s="391" t="s">
        <v>69</v>
      </c>
      <c r="DJ111" s="391" t="s">
        <v>69</v>
      </c>
      <c r="DK111" s="391" t="s">
        <v>69</v>
      </c>
      <c r="DL111" s="391" t="s">
        <v>69</v>
      </c>
      <c r="DM111" s="391" t="s">
        <v>69</v>
      </c>
      <c r="DN111" s="391" t="s">
        <v>69</v>
      </c>
      <c r="DO111" s="391" t="s">
        <v>69</v>
      </c>
      <c r="DP111" s="391" t="s">
        <v>69</v>
      </c>
      <c r="DQ111" s="391" t="s">
        <v>69</v>
      </c>
      <c r="DR111" s="391" t="s">
        <v>69</v>
      </c>
      <c r="DS111" s="391" t="s">
        <v>69</v>
      </c>
      <c r="DT111" s="391" t="s">
        <v>69</v>
      </c>
      <c r="DU111" s="398">
        <f t="shared" si="6"/>
        <v>4.7619047619047616E-2</v>
      </c>
      <c r="DV111" s="399">
        <v>0</v>
      </c>
    </row>
    <row r="112" spans="1:126" s="230" customFormat="1" ht="120" customHeight="1">
      <c r="A112" s="406" t="s">
        <v>1208</v>
      </c>
      <c r="B112" s="407" t="s">
        <v>1209</v>
      </c>
      <c r="C112" s="409">
        <v>46118</v>
      </c>
      <c r="D112" s="408" t="s">
        <v>635</v>
      </c>
      <c r="E112" s="391" t="s">
        <v>69</v>
      </c>
      <c r="F112" s="391" t="s">
        <v>69</v>
      </c>
      <c r="G112" s="391" t="s">
        <v>69</v>
      </c>
      <c r="H112" s="391" t="s">
        <v>69</v>
      </c>
      <c r="I112" s="391" t="s">
        <v>69</v>
      </c>
      <c r="J112" s="391" t="s">
        <v>69</v>
      </c>
      <c r="K112" s="391" t="s">
        <v>69</v>
      </c>
      <c r="L112" s="391" t="s">
        <v>69</v>
      </c>
      <c r="M112" s="391" t="s">
        <v>69</v>
      </c>
      <c r="N112" s="391" t="s">
        <v>69</v>
      </c>
      <c r="O112" s="391" t="s">
        <v>69</v>
      </c>
      <c r="P112" s="391" t="s">
        <v>69</v>
      </c>
      <c r="Q112" s="391" t="s">
        <v>69</v>
      </c>
      <c r="R112" s="391" t="s">
        <v>69</v>
      </c>
      <c r="S112" s="391" t="s">
        <v>69</v>
      </c>
      <c r="T112" s="391" t="s">
        <v>69</v>
      </c>
      <c r="U112" s="391" t="s">
        <v>69</v>
      </c>
      <c r="V112" s="391" t="s">
        <v>69</v>
      </c>
      <c r="W112" s="391" t="s">
        <v>69</v>
      </c>
      <c r="X112" s="391" t="s">
        <v>69</v>
      </c>
      <c r="Y112" s="391" t="s">
        <v>69</v>
      </c>
      <c r="Z112" s="391" t="s">
        <v>69</v>
      </c>
      <c r="AA112" s="391" t="s">
        <v>69</v>
      </c>
      <c r="AB112" s="391" t="s">
        <v>69</v>
      </c>
      <c r="AC112" s="391" t="s">
        <v>69</v>
      </c>
      <c r="AD112" s="391" t="s">
        <v>69</v>
      </c>
      <c r="AE112" s="391" t="s">
        <v>69</v>
      </c>
      <c r="AF112" s="391" t="s">
        <v>69</v>
      </c>
      <c r="AG112" s="391" t="s">
        <v>69</v>
      </c>
      <c r="AH112" s="391" t="s">
        <v>69</v>
      </c>
      <c r="AI112" s="391" t="s">
        <v>69</v>
      </c>
      <c r="AJ112" s="391" t="s">
        <v>69</v>
      </c>
      <c r="AK112" s="391" t="s">
        <v>69</v>
      </c>
      <c r="AL112" s="391" t="s">
        <v>69</v>
      </c>
      <c r="AM112" s="391">
        <v>3</v>
      </c>
      <c r="AN112" s="391" t="s">
        <v>69</v>
      </c>
      <c r="AO112" s="391" t="s">
        <v>69</v>
      </c>
      <c r="AP112" s="391" t="s">
        <v>69</v>
      </c>
      <c r="AQ112" s="391" t="s">
        <v>69</v>
      </c>
      <c r="AR112" s="391" t="s">
        <v>69</v>
      </c>
      <c r="AS112" s="391" t="s">
        <v>69</v>
      </c>
      <c r="AT112" s="391" t="s">
        <v>69</v>
      </c>
      <c r="AU112" s="391" t="s">
        <v>69</v>
      </c>
      <c r="AV112" s="391" t="s">
        <v>69</v>
      </c>
      <c r="AW112" s="391" t="s">
        <v>69</v>
      </c>
      <c r="AX112" s="391" t="s">
        <v>69</v>
      </c>
      <c r="AY112" s="391" t="s">
        <v>69</v>
      </c>
      <c r="AZ112" s="391" t="s">
        <v>69</v>
      </c>
      <c r="BA112" s="391" t="s">
        <v>69</v>
      </c>
      <c r="BB112" s="391" t="s">
        <v>69</v>
      </c>
      <c r="BC112" s="391" t="s">
        <v>69</v>
      </c>
      <c r="BD112" s="391" t="s">
        <v>69</v>
      </c>
      <c r="BE112" s="391" t="s">
        <v>69</v>
      </c>
      <c r="BF112" s="391" t="s">
        <v>69</v>
      </c>
      <c r="BG112" s="391" t="s">
        <v>69</v>
      </c>
      <c r="BH112" s="391" t="s">
        <v>69</v>
      </c>
      <c r="BI112" s="391" t="s">
        <v>69</v>
      </c>
      <c r="BJ112" s="391" t="s">
        <v>69</v>
      </c>
      <c r="BK112" s="391" t="s">
        <v>69</v>
      </c>
      <c r="BL112" s="391" t="s">
        <v>69</v>
      </c>
      <c r="BM112" s="391" t="s">
        <v>69</v>
      </c>
      <c r="BN112" s="391" t="s">
        <v>69</v>
      </c>
      <c r="BO112" s="391" t="s">
        <v>69</v>
      </c>
      <c r="BP112" s="391" t="s">
        <v>69</v>
      </c>
      <c r="BQ112" s="391" t="s">
        <v>69</v>
      </c>
      <c r="BR112" s="391" t="s">
        <v>69</v>
      </c>
      <c r="BS112" s="391" t="s">
        <v>69</v>
      </c>
      <c r="BT112" s="391" t="s">
        <v>69</v>
      </c>
      <c r="BU112" s="391" t="s">
        <v>69</v>
      </c>
      <c r="BV112" s="391" t="s">
        <v>69</v>
      </c>
      <c r="BW112" s="391" t="s">
        <v>69</v>
      </c>
      <c r="BX112" s="391" t="s">
        <v>69</v>
      </c>
      <c r="BY112" s="391" t="s">
        <v>69</v>
      </c>
      <c r="BZ112" s="391" t="s">
        <v>69</v>
      </c>
      <c r="CA112" s="391" t="s">
        <v>69</v>
      </c>
      <c r="CB112" s="391" t="s">
        <v>69</v>
      </c>
      <c r="CC112" s="391" t="s">
        <v>69</v>
      </c>
      <c r="CD112" s="391" t="s">
        <v>69</v>
      </c>
      <c r="CE112" s="391" t="s">
        <v>69</v>
      </c>
      <c r="CF112" s="391" t="s">
        <v>69</v>
      </c>
      <c r="CG112" s="391" t="s">
        <v>69</v>
      </c>
      <c r="CH112" s="391" t="s">
        <v>69</v>
      </c>
      <c r="CI112" s="391" t="s">
        <v>69</v>
      </c>
      <c r="CJ112" s="391" t="s">
        <v>69</v>
      </c>
      <c r="CK112" s="391" t="s">
        <v>69</v>
      </c>
      <c r="CL112" s="391" t="s">
        <v>69</v>
      </c>
      <c r="CM112" s="391" t="s">
        <v>69</v>
      </c>
      <c r="CN112" s="391" t="s">
        <v>69</v>
      </c>
      <c r="CO112" s="391" t="s">
        <v>69</v>
      </c>
      <c r="CP112" s="391" t="s">
        <v>69</v>
      </c>
      <c r="CQ112" s="391" t="s">
        <v>69</v>
      </c>
      <c r="CR112" s="391" t="s">
        <v>69</v>
      </c>
      <c r="CS112" s="391" t="s">
        <v>69</v>
      </c>
      <c r="CT112" s="391" t="s">
        <v>69</v>
      </c>
      <c r="CU112" s="391" t="s">
        <v>69</v>
      </c>
      <c r="CV112" s="391" t="s">
        <v>69</v>
      </c>
      <c r="CW112" s="391" t="s">
        <v>69</v>
      </c>
      <c r="CX112" s="391" t="s">
        <v>69</v>
      </c>
      <c r="CY112" s="391" t="s">
        <v>69</v>
      </c>
      <c r="CZ112" s="391" t="s">
        <v>69</v>
      </c>
      <c r="DA112" s="391" t="s">
        <v>69</v>
      </c>
      <c r="DB112" s="391" t="s">
        <v>69</v>
      </c>
      <c r="DC112" s="391" t="s">
        <v>69</v>
      </c>
      <c r="DD112" s="391" t="s">
        <v>69</v>
      </c>
      <c r="DE112" s="391" t="s">
        <v>69</v>
      </c>
      <c r="DF112" s="391" t="s">
        <v>69</v>
      </c>
      <c r="DG112" s="391" t="s">
        <v>69</v>
      </c>
      <c r="DH112" s="391" t="s">
        <v>69</v>
      </c>
      <c r="DI112" s="391" t="s">
        <v>69</v>
      </c>
      <c r="DJ112" s="391" t="s">
        <v>69</v>
      </c>
      <c r="DK112" s="391" t="s">
        <v>69</v>
      </c>
      <c r="DL112" s="391" t="s">
        <v>69</v>
      </c>
      <c r="DM112" s="391" t="s">
        <v>69</v>
      </c>
      <c r="DN112" s="391" t="s">
        <v>69</v>
      </c>
      <c r="DO112" s="391" t="s">
        <v>69</v>
      </c>
      <c r="DP112" s="391" t="s">
        <v>69</v>
      </c>
      <c r="DQ112" s="391" t="s">
        <v>69</v>
      </c>
      <c r="DR112" s="391" t="s">
        <v>69</v>
      </c>
      <c r="DS112" s="391" t="s">
        <v>69</v>
      </c>
      <c r="DT112" s="391" t="s">
        <v>69</v>
      </c>
      <c r="DU112" s="398">
        <f t="shared" si="6"/>
        <v>1.5873015873015872E-2</v>
      </c>
      <c r="DV112" s="399">
        <v>0</v>
      </c>
    </row>
    <row r="113" spans="1:126" s="230" customFormat="1" ht="120" customHeight="1">
      <c r="A113" s="406" t="s">
        <v>1206</v>
      </c>
      <c r="B113" s="407" t="s">
        <v>1207</v>
      </c>
      <c r="C113" s="409">
        <v>46118</v>
      </c>
      <c r="D113" s="408" t="s">
        <v>635</v>
      </c>
      <c r="E113" s="391" t="s">
        <v>69</v>
      </c>
      <c r="F113" s="391" t="s">
        <v>69</v>
      </c>
      <c r="G113" s="391" t="s">
        <v>69</v>
      </c>
      <c r="H113" s="391" t="s">
        <v>69</v>
      </c>
      <c r="I113" s="391" t="s">
        <v>69</v>
      </c>
      <c r="J113" s="391">
        <v>3</v>
      </c>
      <c r="K113" s="391" t="s">
        <v>69</v>
      </c>
      <c r="L113" s="391">
        <v>3</v>
      </c>
      <c r="M113" s="391" t="s">
        <v>69</v>
      </c>
      <c r="N113" s="391" t="s">
        <v>69</v>
      </c>
      <c r="O113" s="391" t="s">
        <v>69</v>
      </c>
      <c r="P113" s="391" t="s">
        <v>69</v>
      </c>
      <c r="Q113" s="391" t="s">
        <v>69</v>
      </c>
      <c r="R113" s="391" t="s">
        <v>69</v>
      </c>
      <c r="S113" s="391" t="s">
        <v>69</v>
      </c>
      <c r="T113" s="391" t="s">
        <v>69</v>
      </c>
      <c r="U113" s="391" t="s">
        <v>69</v>
      </c>
      <c r="V113" s="391" t="s">
        <v>69</v>
      </c>
      <c r="W113" s="391" t="s">
        <v>69</v>
      </c>
      <c r="X113" s="391" t="s">
        <v>69</v>
      </c>
      <c r="Y113" s="391" t="s">
        <v>69</v>
      </c>
      <c r="Z113" s="391" t="s">
        <v>69</v>
      </c>
      <c r="AA113" s="391" t="s">
        <v>69</v>
      </c>
      <c r="AB113" s="391" t="s">
        <v>69</v>
      </c>
      <c r="AC113" s="391" t="s">
        <v>69</v>
      </c>
      <c r="AD113" s="391" t="s">
        <v>69</v>
      </c>
      <c r="AE113" s="391" t="s">
        <v>69</v>
      </c>
      <c r="AF113" s="391" t="s">
        <v>69</v>
      </c>
      <c r="AG113" s="391" t="s">
        <v>69</v>
      </c>
      <c r="AH113" s="391" t="s">
        <v>69</v>
      </c>
      <c r="AI113" s="391" t="s">
        <v>69</v>
      </c>
      <c r="AJ113" s="391" t="s">
        <v>69</v>
      </c>
      <c r="AK113" s="391" t="s">
        <v>69</v>
      </c>
      <c r="AL113" s="391" t="s">
        <v>69</v>
      </c>
      <c r="AM113" s="391" t="s">
        <v>69</v>
      </c>
      <c r="AN113" s="391" t="s">
        <v>69</v>
      </c>
      <c r="AO113" s="391" t="s">
        <v>69</v>
      </c>
      <c r="AP113" s="391" t="s">
        <v>69</v>
      </c>
      <c r="AQ113" s="391" t="s">
        <v>69</v>
      </c>
      <c r="AR113" s="391" t="s">
        <v>69</v>
      </c>
      <c r="AS113" s="391" t="s">
        <v>69</v>
      </c>
      <c r="AT113" s="391" t="s">
        <v>69</v>
      </c>
      <c r="AU113" s="391" t="s">
        <v>69</v>
      </c>
      <c r="AV113" s="391" t="s">
        <v>69</v>
      </c>
      <c r="AW113" s="391" t="s">
        <v>69</v>
      </c>
      <c r="AX113" s="391" t="s">
        <v>69</v>
      </c>
      <c r="AY113" s="391" t="s">
        <v>69</v>
      </c>
      <c r="AZ113" s="391" t="s">
        <v>69</v>
      </c>
      <c r="BA113" s="391" t="s">
        <v>69</v>
      </c>
      <c r="BB113" s="391" t="s">
        <v>69</v>
      </c>
      <c r="BC113" s="391" t="s">
        <v>69</v>
      </c>
      <c r="BD113" s="391" t="s">
        <v>69</v>
      </c>
      <c r="BE113" s="391" t="s">
        <v>69</v>
      </c>
      <c r="BF113" s="391" t="s">
        <v>69</v>
      </c>
      <c r="BG113" s="391" t="s">
        <v>69</v>
      </c>
      <c r="BH113" s="391" t="s">
        <v>69</v>
      </c>
      <c r="BI113" s="391" t="s">
        <v>69</v>
      </c>
      <c r="BJ113" s="391" t="s">
        <v>69</v>
      </c>
      <c r="BK113" s="391" t="s">
        <v>69</v>
      </c>
      <c r="BL113" s="391" t="s">
        <v>69</v>
      </c>
      <c r="BM113" s="391" t="s">
        <v>69</v>
      </c>
      <c r="BN113" s="391" t="s">
        <v>69</v>
      </c>
      <c r="BO113" s="391" t="s">
        <v>69</v>
      </c>
      <c r="BP113" s="391" t="s">
        <v>69</v>
      </c>
      <c r="BQ113" s="391" t="s">
        <v>69</v>
      </c>
      <c r="BR113" s="391" t="s">
        <v>69</v>
      </c>
      <c r="BS113" s="391" t="s">
        <v>69</v>
      </c>
      <c r="BT113" s="391" t="s">
        <v>69</v>
      </c>
      <c r="BU113" s="391" t="s">
        <v>69</v>
      </c>
      <c r="BV113" s="391" t="s">
        <v>69</v>
      </c>
      <c r="BW113" s="391" t="s">
        <v>69</v>
      </c>
      <c r="BX113" s="391" t="s">
        <v>69</v>
      </c>
      <c r="BY113" s="391" t="s">
        <v>69</v>
      </c>
      <c r="BZ113" s="391" t="s">
        <v>69</v>
      </c>
      <c r="CA113" s="391" t="s">
        <v>69</v>
      </c>
      <c r="CB113" s="391" t="s">
        <v>69</v>
      </c>
      <c r="CC113" s="391" t="s">
        <v>69</v>
      </c>
      <c r="CD113" s="391">
        <v>3</v>
      </c>
      <c r="CE113" s="391" t="s">
        <v>69</v>
      </c>
      <c r="CF113" s="391" t="s">
        <v>69</v>
      </c>
      <c r="CG113" s="391" t="s">
        <v>69</v>
      </c>
      <c r="CH113" s="391" t="s">
        <v>69</v>
      </c>
      <c r="CI113" s="391" t="s">
        <v>69</v>
      </c>
      <c r="CJ113" s="391" t="s">
        <v>69</v>
      </c>
      <c r="CK113" s="391" t="s">
        <v>69</v>
      </c>
      <c r="CL113" s="391" t="s">
        <v>69</v>
      </c>
      <c r="CM113" s="391" t="s">
        <v>69</v>
      </c>
      <c r="CN113" s="391" t="s">
        <v>69</v>
      </c>
      <c r="CO113" s="391" t="s">
        <v>69</v>
      </c>
      <c r="CP113" s="391" t="s">
        <v>69</v>
      </c>
      <c r="CQ113" s="391" t="s">
        <v>69</v>
      </c>
      <c r="CR113" s="391" t="s">
        <v>69</v>
      </c>
      <c r="CS113" s="391" t="s">
        <v>69</v>
      </c>
      <c r="CT113" s="391" t="s">
        <v>69</v>
      </c>
      <c r="CU113" s="391" t="s">
        <v>69</v>
      </c>
      <c r="CV113" s="391" t="s">
        <v>69</v>
      </c>
      <c r="CW113" s="391" t="s">
        <v>69</v>
      </c>
      <c r="CX113" s="391" t="s">
        <v>69</v>
      </c>
      <c r="CY113" s="391" t="s">
        <v>69</v>
      </c>
      <c r="CZ113" s="391" t="s">
        <v>69</v>
      </c>
      <c r="DA113" s="391" t="s">
        <v>69</v>
      </c>
      <c r="DB113" s="391" t="s">
        <v>69</v>
      </c>
      <c r="DC113" s="391" t="s">
        <v>69</v>
      </c>
      <c r="DD113" s="391" t="s">
        <v>69</v>
      </c>
      <c r="DE113" s="391" t="s">
        <v>69</v>
      </c>
      <c r="DF113" s="391" t="s">
        <v>69</v>
      </c>
      <c r="DG113" s="391" t="s">
        <v>69</v>
      </c>
      <c r="DH113" s="391" t="s">
        <v>69</v>
      </c>
      <c r="DI113" s="391" t="s">
        <v>69</v>
      </c>
      <c r="DJ113" s="391" t="s">
        <v>69</v>
      </c>
      <c r="DK113" s="391" t="s">
        <v>69</v>
      </c>
      <c r="DL113" s="391" t="s">
        <v>69</v>
      </c>
      <c r="DM113" s="391" t="s">
        <v>69</v>
      </c>
      <c r="DN113" s="391" t="s">
        <v>69</v>
      </c>
      <c r="DO113" s="391" t="s">
        <v>69</v>
      </c>
      <c r="DP113" s="391" t="s">
        <v>69</v>
      </c>
      <c r="DQ113" s="391" t="s">
        <v>69</v>
      </c>
      <c r="DR113" s="391" t="s">
        <v>69</v>
      </c>
      <c r="DS113" s="391" t="s">
        <v>69</v>
      </c>
      <c r="DT113" s="391" t="s">
        <v>69</v>
      </c>
      <c r="DU113" s="398">
        <f t="shared" ref="DU113:DU123" si="8">COUNTIF(E113:DT113,"&gt;0")/63</f>
        <v>4.7619047619047616E-2</v>
      </c>
      <c r="DV113" s="399">
        <v>1</v>
      </c>
    </row>
    <row r="114" spans="1:126" s="230" customFormat="1" ht="120" customHeight="1">
      <c r="A114" s="406" t="s">
        <v>1204</v>
      </c>
      <c r="B114" s="407" t="s">
        <v>1205</v>
      </c>
      <c r="C114" s="409">
        <v>46118</v>
      </c>
      <c r="D114" s="408" t="s">
        <v>635</v>
      </c>
      <c r="E114" s="391" t="s">
        <v>69</v>
      </c>
      <c r="F114" s="391" t="s">
        <v>69</v>
      </c>
      <c r="G114" s="391" t="s">
        <v>69</v>
      </c>
      <c r="H114" s="391" t="s">
        <v>69</v>
      </c>
      <c r="I114" s="391" t="s">
        <v>69</v>
      </c>
      <c r="J114" s="391" t="s">
        <v>69</v>
      </c>
      <c r="K114" s="391" t="s">
        <v>69</v>
      </c>
      <c r="L114" s="391" t="s">
        <v>69</v>
      </c>
      <c r="M114" s="391" t="s">
        <v>69</v>
      </c>
      <c r="N114" s="391" t="s">
        <v>69</v>
      </c>
      <c r="O114" s="391" t="s">
        <v>69</v>
      </c>
      <c r="P114" s="391" t="s">
        <v>69</v>
      </c>
      <c r="Q114" s="391" t="s">
        <v>69</v>
      </c>
      <c r="R114" s="391" t="s">
        <v>69</v>
      </c>
      <c r="S114" s="391" t="s">
        <v>69</v>
      </c>
      <c r="T114" s="391" t="s">
        <v>69</v>
      </c>
      <c r="U114" s="391" t="s">
        <v>69</v>
      </c>
      <c r="V114" s="391" t="s">
        <v>69</v>
      </c>
      <c r="W114" s="391" t="s">
        <v>69</v>
      </c>
      <c r="X114" s="391" t="s">
        <v>69</v>
      </c>
      <c r="Y114" s="391" t="s">
        <v>69</v>
      </c>
      <c r="Z114" s="391" t="s">
        <v>69</v>
      </c>
      <c r="AA114" s="391" t="s">
        <v>69</v>
      </c>
      <c r="AB114" s="391" t="s">
        <v>69</v>
      </c>
      <c r="AC114" s="391" t="s">
        <v>69</v>
      </c>
      <c r="AD114" s="391" t="s">
        <v>69</v>
      </c>
      <c r="AE114" s="391" t="s">
        <v>69</v>
      </c>
      <c r="AF114" s="391" t="s">
        <v>69</v>
      </c>
      <c r="AG114" s="391" t="s">
        <v>69</v>
      </c>
      <c r="AH114" s="391" t="s">
        <v>69</v>
      </c>
      <c r="AI114" s="391" t="s">
        <v>69</v>
      </c>
      <c r="AJ114" s="391" t="s">
        <v>69</v>
      </c>
      <c r="AK114" s="391" t="s">
        <v>69</v>
      </c>
      <c r="AL114" s="391" t="s">
        <v>69</v>
      </c>
      <c r="AM114" s="391" t="s">
        <v>69</v>
      </c>
      <c r="AN114" s="391" t="s">
        <v>69</v>
      </c>
      <c r="AO114" s="391" t="s">
        <v>69</v>
      </c>
      <c r="AP114" s="391" t="s">
        <v>69</v>
      </c>
      <c r="AQ114" s="391" t="s">
        <v>69</v>
      </c>
      <c r="AR114" s="391" t="s">
        <v>69</v>
      </c>
      <c r="AS114" s="391" t="s">
        <v>69</v>
      </c>
      <c r="AT114" s="391" t="s">
        <v>69</v>
      </c>
      <c r="AU114" s="391" t="s">
        <v>69</v>
      </c>
      <c r="AV114" s="391" t="s">
        <v>69</v>
      </c>
      <c r="AW114" s="391" t="s">
        <v>69</v>
      </c>
      <c r="AX114" s="391" t="s">
        <v>69</v>
      </c>
      <c r="AY114" s="391" t="s">
        <v>69</v>
      </c>
      <c r="AZ114" s="391" t="s">
        <v>69</v>
      </c>
      <c r="BA114" s="391" t="s">
        <v>69</v>
      </c>
      <c r="BB114" s="391" t="s">
        <v>69</v>
      </c>
      <c r="BC114" s="391" t="s">
        <v>69</v>
      </c>
      <c r="BD114" s="391" t="s">
        <v>69</v>
      </c>
      <c r="BE114" s="391" t="s">
        <v>69</v>
      </c>
      <c r="BF114" s="391">
        <v>2</v>
      </c>
      <c r="BG114" s="391" t="s">
        <v>69</v>
      </c>
      <c r="BH114" s="391" t="s">
        <v>69</v>
      </c>
      <c r="BI114" s="391" t="s">
        <v>69</v>
      </c>
      <c r="BJ114" s="391" t="s">
        <v>69</v>
      </c>
      <c r="BK114" s="391" t="s">
        <v>69</v>
      </c>
      <c r="BL114" s="391" t="s">
        <v>69</v>
      </c>
      <c r="BM114" s="391" t="s">
        <v>69</v>
      </c>
      <c r="BN114" s="391" t="s">
        <v>69</v>
      </c>
      <c r="BO114" s="391" t="s">
        <v>69</v>
      </c>
      <c r="BP114" s="391" t="s">
        <v>69</v>
      </c>
      <c r="BQ114" s="391" t="s">
        <v>69</v>
      </c>
      <c r="BR114" s="391" t="s">
        <v>69</v>
      </c>
      <c r="BS114" s="391" t="s">
        <v>69</v>
      </c>
      <c r="BT114" s="391" t="s">
        <v>69</v>
      </c>
      <c r="BU114" s="391" t="s">
        <v>69</v>
      </c>
      <c r="BV114" s="391" t="s">
        <v>69</v>
      </c>
      <c r="BW114" s="391" t="s">
        <v>69</v>
      </c>
      <c r="BX114" s="391" t="s">
        <v>69</v>
      </c>
      <c r="BY114" s="391" t="s">
        <v>69</v>
      </c>
      <c r="BZ114" s="391" t="s">
        <v>69</v>
      </c>
      <c r="CA114" s="391" t="s">
        <v>69</v>
      </c>
      <c r="CB114" s="391" t="s">
        <v>69</v>
      </c>
      <c r="CC114" s="391" t="s">
        <v>69</v>
      </c>
      <c r="CD114" s="391" t="s">
        <v>69</v>
      </c>
      <c r="CE114" s="391" t="s">
        <v>69</v>
      </c>
      <c r="CF114" s="391" t="s">
        <v>69</v>
      </c>
      <c r="CG114" s="391" t="s">
        <v>69</v>
      </c>
      <c r="CH114" s="391" t="s">
        <v>69</v>
      </c>
      <c r="CI114" s="391" t="s">
        <v>69</v>
      </c>
      <c r="CJ114" s="391" t="s">
        <v>69</v>
      </c>
      <c r="CK114" s="391" t="s">
        <v>69</v>
      </c>
      <c r="CL114" s="391" t="s">
        <v>69</v>
      </c>
      <c r="CM114" s="391" t="s">
        <v>69</v>
      </c>
      <c r="CN114" s="391" t="s">
        <v>69</v>
      </c>
      <c r="CO114" s="391" t="s">
        <v>69</v>
      </c>
      <c r="CP114" s="391" t="s">
        <v>69</v>
      </c>
      <c r="CQ114" s="391" t="s">
        <v>69</v>
      </c>
      <c r="CR114" s="391" t="s">
        <v>69</v>
      </c>
      <c r="CS114" s="391" t="s">
        <v>69</v>
      </c>
      <c r="CT114" s="391" t="s">
        <v>69</v>
      </c>
      <c r="CU114" s="391" t="s">
        <v>69</v>
      </c>
      <c r="CV114" s="391" t="s">
        <v>69</v>
      </c>
      <c r="CW114" s="391" t="s">
        <v>69</v>
      </c>
      <c r="CX114" s="391" t="s">
        <v>69</v>
      </c>
      <c r="CY114" s="391" t="s">
        <v>69</v>
      </c>
      <c r="CZ114" s="391" t="s">
        <v>69</v>
      </c>
      <c r="DA114" s="391" t="s">
        <v>69</v>
      </c>
      <c r="DB114" s="391">
        <v>3</v>
      </c>
      <c r="DC114" s="391" t="s">
        <v>69</v>
      </c>
      <c r="DD114" s="391" t="s">
        <v>69</v>
      </c>
      <c r="DE114" s="391" t="s">
        <v>69</v>
      </c>
      <c r="DF114" s="391" t="s">
        <v>69</v>
      </c>
      <c r="DG114" s="391" t="s">
        <v>69</v>
      </c>
      <c r="DH114" s="391" t="s">
        <v>69</v>
      </c>
      <c r="DI114" s="391" t="s">
        <v>69</v>
      </c>
      <c r="DJ114" s="391" t="s">
        <v>69</v>
      </c>
      <c r="DK114" s="391" t="s">
        <v>69</v>
      </c>
      <c r="DL114" s="391" t="s">
        <v>69</v>
      </c>
      <c r="DM114" s="391" t="s">
        <v>69</v>
      </c>
      <c r="DN114" s="391" t="s">
        <v>69</v>
      </c>
      <c r="DO114" s="391" t="s">
        <v>69</v>
      </c>
      <c r="DP114" s="391" t="s">
        <v>69</v>
      </c>
      <c r="DQ114" s="391" t="s">
        <v>69</v>
      </c>
      <c r="DR114" s="391" t="s">
        <v>69</v>
      </c>
      <c r="DS114" s="391" t="s">
        <v>69</v>
      </c>
      <c r="DT114" s="391" t="s">
        <v>69</v>
      </c>
      <c r="DU114" s="398">
        <f t="shared" si="8"/>
        <v>3.1746031746031744E-2</v>
      </c>
      <c r="DV114" s="399">
        <v>2</v>
      </c>
    </row>
    <row r="115" spans="1:126" s="230" customFormat="1" ht="120" customHeight="1">
      <c r="A115" s="406" t="s">
        <v>1202</v>
      </c>
      <c r="B115" s="407" t="s">
        <v>1203</v>
      </c>
      <c r="C115" s="409">
        <v>46118</v>
      </c>
      <c r="D115" s="408" t="s">
        <v>635</v>
      </c>
      <c r="E115" s="391">
        <v>3</v>
      </c>
      <c r="F115" s="391" t="s">
        <v>69</v>
      </c>
      <c r="G115" s="391">
        <v>3</v>
      </c>
      <c r="H115" s="391" t="s">
        <v>69</v>
      </c>
      <c r="I115" s="391" t="s">
        <v>69</v>
      </c>
      <c r="J115" s="391" t="s">
        <v>69</v>
      </c>
      <c r="K115" s="391" t="s">
        <v>69</v>
      </c>
      <c r="L115" s="391" t="s">
        <v>69</v>
      </c>
      <c r="M115" s="391" t="s">
        <v>69</v>
      </c>
      <c r="N115" s="391" t="s">
        <v>69</v>
      </c>
      <c r="O115" s="391" t="s">
        <v>69</v>
      </c>
      <c r="P115" s="391" t="s">
        <v>69</v>
      </c>
      <c r="Q115" s="391" t="s">
        <v>69</v>
      </c>
      <c r="R115" s="391" t="s">
        <v>69</v>
      </c>
      <c r="S115" s="391" t="s">
        <v>69</v>
      </c>
      <c r="T115" s="391" t="s">
        <v>69</v>
      </c>
      <c r="U115" s="391" t="s">
        <v>69</v>
      </c>
      <c r="V115" s="391" t="s">
        <v>69</v>
      </c>
      <c r="W115" s="391" t="s">
        <v>69</v>
      </c>
      <c r="X115" s="391" t="s">
        <v>69</v>
      </c>
      <c r="Y115" s="391" t="s">
        <v>69</v>
      </c>
      <c r="Z115" s="391" t="s">
        <v>69</v>
      </c>
      <c r="AA115" s="391" t="s">
        <v>69</v>
      </c>
      <c r="AB115" s="391" t="s">
        <v>69</v>
      </c>
      <c r="AC115" s="391" t="s">
        <v>69</v>
      </c>
      <c r="AD115" s="391" t="s">
        <v>69</v>
      </c>
      <c r="AE115" s="391" t="s">
        <v>69</v>
      </c>
      <c r="AF115" s="391" t="s">
        <v>69</v>
      </c>
      <c r="AG115" s="391" t="s">
        <v>69</v>
      </c>
      <c r="AH115" s="391" t="s">
        <v>69</v>
      </c>
      <c r="AI115" s="391" t="s">
        <v>69</v>
      </c>
      <c r="AJ115" s="391" t="s">
        <v>69</v>
      </c>
      <c r="AK115" s="391" t="s">
        <v>69</v>
      </c>
      <c r="AL115" s="391" t="s">
        <v>69</v>
      </c>
      <c r="AM115" s="391" t="s">
        <v>69</v>
      </c>
      <c r="AN115" s="391" t="s">
        <v>69</v>
      </c>
      <c r="AO115" s="391" t="s">
        <v>69</v>
      </c>
      <c r="AP115" s="391" t="s">
        <v>69</v>
      </c>
      <c r="AQ115" s="391" t="s">
        <v>69</v>
      </c>
      <c r="AR115" s="391" t="s">
        <v>69</v>
      </c>
      <c r="AS115" s="391" t="s">
        <v>69</v>
      </c>
      <c r="AT115" s="391" t="s">
        <v>69</v>
      </c>
      <c r="AU115" s="391" t="s">
        <v>69</v>
      </c>
      <c r="AV115" s="391" t="s">
        <v>69</v>
      </c>
      <c r="AW115" s="391">
        <v>3</v>
      </c>
      <c r="AX115" s="391" t="s">
        <v>69</v>
      </c>
      <c r="AY115" s="391" t="s">
        <v>69</v>
      </c>
      <c r="AZ115" s="391" t="s">
        <v>69</v>
      </c>
      <c r="BA115" s="391" t="s">
        <v>69</v>
      </c>
      <c r="BB115" s="391" t="s">
        <v>69</v>
      </c>
      <c r="BC115" s="391">
        <v>3</v>
      </c>
      <c r="BD115" s="391" t="s">
        <v>69</v>
      </c>
      <c r="BE115" s="391" t="s">
        <v>69</v>
      </c>
      <c r="BF115" s="391" t="s">
        <v>69</v>
      </c>
      <c r="BG115" s="391" t="s">
        <v>69</v>
      </c>
      <c r="BH115" s="391" t="s">
        <v>69</v>
      </c>
      <c r="BI115" s="391" t="s">
        <v>69</v>
      </c>
      <c r="BJ115" s="391" t="s">
        <v>69</v>
      </c>
      <c r="BK115" s="391" t="s">
        <v>69</v>
      </c>
      <c r="BL115" s="391" t="s">
        <v>69</v>
      </c>
      <c r="BM115" s="391" t="s">
        <v>69</v>
      </c>
      <c r="BN115" s="391" t="s">
        <v>69</v>
      </c>
      <c r="BO115" s="391" t="s">
        <v>69</v>
      </c>
      <c r="BP115" s="391" t="s">
        <v>69</v>
      </c>
      <c r="BQ115" s="391" t="s">
        <v>69</v>
      </c>
      <c r="BR115" s="391" t="s">
        <v>69</v>
      </c>
      <c r="BS115" s="391" t="s">
        <v>69</v>
      </c>
      <c r="BT115" s="391" t="s">
        <v>69</v>
      </c>
      <c r="BU115" s="391" t="s">
        <v>69</v>
      </c>
      <c r="BV115" s="391" t="s">
        <v>69</v>
      </c>
      <c r="BW115" s="391" t="s">
        <v>69</v>
      </c>
      <c r="BX115" s="391" t="s">
        <v>69</v>
      </c>
      <c r="BY115" s="391" t="s">
        <v>69</v>
      </c>
      <c r="BZ115" s="391" t="s">
        <v>69</v>
      </c>
      <c r="CA115" s="391" t="s">
        <v>69</v>
      </c>
      <c r="CB115" s="391" t="s">
        <v>69</v>
      </c>
      <c r="CC115" s="391" t="s">
        <v>69</v>
      </c>
      <c r="CD115" s="391" t="s">
        <v>69</v>
      </c>
      <c r="CE115" s="391" t="s">
        <v>69</v>
      </c>
      <c r="CF115" s="391" t="s">
        <v>69</v>
      </c>
      <c r="CG115" s="391" t="s">
        <v>69</v>
      </c>
      <c r="CH115" s="391" t="s">
        <v>69</v>
      </c>
      <c r="CI115" s="391" t="s">
        <v>69</v>
      </c>
      <c r="CJ115" s="391" t="s">
        <v>69</v>
      </c>
      <c r="CK115" s="391">
        <v>2</v>
      </c>
      <c r="CL115" s="391" t="s">
        <v>69</v>
      </c>
      <c r="CM115" s="391" t="s">
        <v>69</v>
      </c>
      <c r="CN115" s="391" t="s">
        <v>69</v>
      </c>
      <c r="CO115" s="391" t="s">
        <v>69</v>
      </c>
      <c r="CP115" s="391" t="s">
        <v>69</v>
      </c>
      <c r="CQ115" s="391" t="s">
        <v>69</v>
      </c>
      <c r="CR115" s="391" t="s">
        <v>69</v>
      </c>
      <c r="CS115" s="391" t="s">
        <v>69</v>
      </c>
      <c r="CT115" s="391" t="s">
        <v>69</v>
      </c>
      <c r="CU115" s="391" t="s">
        <v>69</v>
      </c>
      <c r="CV115" s="391" t="s">
        <v>69</v>
      </c>
      <c r="CW115" s="391" t="s">
        <v>69</v>
      </c>
      <c r="CX115" s="391" t="s">
        <v>69</v>
      </c>
      <c r="CY115" s="391" t="s">
        <v>69</v>
      </c>
      <c r="CZ115" s="391" t="s">
        <v>69</v>
      </c>
      <c r="DA115" s="391" t="s">
        <v>69</v>
      </c>
      <c r="DB115" s="391" t="s">
        <v>69</v>
      </c>
      <c r="DC115" s="391" t="s">
        <v>69</v>
      </c>
      <c r="DD115" s="391" t="s">
        <v>69</v>
      </c>
      <c r="DE115" s="391" t="s">
        <v>69</v>
      </c>
      <c r="DF115" s="391" t="s">
        <v>69</v>
      </c>
      <c r="DG115" s="391" t="s">
        <v>69</v>
      </c>
      <c r="DH115" s="391" t="s">
        <v>69</v>
      </c>
      <c r="DI115" s="391" t="s">
        <v>69</v>
      </c>
      <c r="DJ115" s="391" t="s">
        <v>69</v>
      </c>
      <c r="DK115" s="391" t="s">
        <v>69</v>
      </c>
      <c r="DL115" s="391">
        <v>2</v>
      </c>
      <c r="DM115" s="391" t="s">
        <v>69</v>
      </c>
      <c r="DN115" s="391" t="s">
        <v>69</v>
      </c>
      <c r="DO115" s="391" t="s">
        <v>69</v>
      </c>
      <c r="DP115" s="391" t="s">
        <v>69</v>
      </c>
      <c r="DQ115" s="391" t="s">
        <v>69</v>
      </c>
      <c r="DR115" s="391" t="s">
        <v>69</v>
      </c>
      <c r="DS115" s="391" t="s">
        <v>69</v>
      </c>
      <c r="DT115" s="391" t="s">
        <v>69</v>
      </c>
      <c r="DU115" s="398">
        <f t="shared" si="8"/>
        <v>9.5238095238095233E-2</v>
      </c>
      <c r="DV115" s="399">
        <v>3</v>
      </c>
    </row>
    <row r="116" spans="1:126" s="230" customFormat="1" ht="120" customHeight="1">
      <c r="A116" s="406" t="s">
        <v>1200</v>
      </c>
      <c r="B116" s="407" t="s">
        <v>1201</v>
      </c>
      <c r="C116" s="409">
        <v>46118</v>
      </c>
      <c r="D116" s="408" t="s">
        <v>635</v>
      </c>
      <c r="E116" s="391" t="s">
        <v>69</v>
      </c>
      <c r="F116" s="391" t="s">
        <v>69</v>
      </c>
      <c r="G116" s="391" t="s">
        <v>69</v>
      </c>
      <c r="H116" s="391" t="s">
        <v>69</v>
      </c>
      <c r="I116" s="391" t="s">
        <v>69</v>
      </c>
      <c r="J116" s="391" t="s">
        <v>69</v>
      </c>
      <c r="K116" s="391" t="s">
        <v>69</v>
      </c>
      <c r="L116" s="391" t="s">
        <v>69</v>
      </c>
      <c r="M116" s="391" t="s">
        <v>69</v>
      </c>
      <c r="N116" s="391" t="s">
        <v>69</v>
      </c>
      <c r="O116" s="391" t="s">
        <v>69</v>
      </c>
      <c r="P116" s="391" t="s">
        <v>69</v>
      </c>
      <c r="Q116" s="391" t="s">
        <v>69</v>
      </c>
      <c r="R116" s="391" t="s">
        <v>69</v>
      </c>
      <c r="S116" s="391" t="s">
        <v>69</v>
      </c>
      <c r="T116" s="391" t="s">
        <v>69</v>
      </c>
      <c r="U116" s="391" t="s">
        <v>69</v>
      </c>
      <c r="V116" s="391" t="s">
        <v>69</v>
      </c>
      <c r="W116" s="391" t="s">
        <v>69</v>
      </c>
      <c r="X116" s="391" t="s">
        <v>69</v>
      </c>
      <c r="Y116" s="391" t="s">
        <v>69</v>
      </c>
      <c r="Z116" s="391" t="s">
        <v>69</v>
      </c>
      <c r="AA116" s="391" t="s">
        <v>69</v>
      </c>
      <c r="AB116" s="391" t="s">
        <v>69</v>
      </c>
      <c r="AC116" s="391" t="s">
        <v>69</v>
      </c>
      <c r="AD116" s="391" t="s">
        <v>69</v>
      </c>
      <c r="AE116" s="391" t="s">
        <v>69</v>
      </c>
      <c r="AF116" s="391" t="s">
        <v>69</v>
      </c>
      <c r="AG116" s="391" t="s">
        <v>69</v>
      </c>
      <c r="AH116" s="391" t="s">
        <v>69</v>
      </c>
      <c r="AI116" s="391" t="s">
        <v>69</v>
      </c>
      <c r="AJ116" s="391" t="s">
        <v>69</v>
      </c>
      <c r="AK116" s="391" t="s">
        <v>69</v>
      </c>
      <c r="AL116" s="391" t="s">
        <v>69</v>
      </c>
      <c r="AM116" s="391" t="s">
        <v>69</v>
      </c>
      <c r="AN116" s="391" t="s">
        <v>69</v>
      </c>
      <c r="AO116" s="391" t="s">
        <v>69</v>
      </c>
      <c r="AP116" s="391" t="s">
        <v>69</v>
      </c>
      <c r="AQ116" s="391" t="s">
        <v>69</v>
      </c>
      <c r="AR116" s="391" t="s">
        <v>69</v>
      </c>
      <c r="AS116" s="391" t="s">
        <v>69</v>
      </c>
      <c r="AT116" s="391" t="s">
        <v>69</v>
      </c>
      <c r="AU116" s="391" t="s">
        <v>69</v>
      </c>
      <c r="AV116" s="391" t="s">
        <v>69</v>
      </c>
      <c r="AW116" s="391" t="s">
        <v>69</v>
      </c>
      <c r="AX116" s="391" t="s">
        <v>69</v>
      </c>
      <c r="AY116" s="391" t="s">
        <v>69</v>
      </c>
      <c r="AZ116" s="391" t="s">
        <v>69</v>
      </c>
      <c r="BA116" s="391" t="s">
        <v>69</v>
      </c>
      <c r="BB116" s="391" t="s">
        <v>69</v>
      </c>
      <c r="BC116" s="391" t="s">
        <v>69</v>
      </c>
      <c r="BD116" s="391" t="s">
        <v>69</v>
      </c>
      <c r="BE116" s="391" t="s">
        <v>69</v>
      </c>
      <c r="BF116" s="391" t="s">
        <v>69</v>
      </c>
      <c r="BG116" s="391" t="s">
        <v>69</v>
      </c>
      <c r="BH116" s="391" t="s">
        <v>69</v>
      </c>
      <c r="BI116" s="391" t="s">
        <v>69</v>
      </c>
      <c r="BJ116" s="391" t="s">
        <v>69</v>
      </c>
      <c r="BK116" s="391" t="s">
        <v>69</v>
      </c>
      <c r="BL116" s="391" t="s">
        <v>69</v>
      </c>
      <c r="BM116" s="391" t="s">
        <v>69</v>
      </c>
      <c r="BN116" s="391" t="s">
        <v>69</v>
      </c>
      <c r="BO116" s="391" t="s">
        <v>69</v>
      </c>
      <c r="BP116" s="391" t="s">
        <v>69</v>
      </c>
      <c r="BQ116" s="391" t="s">
        <v>69</v>
      </c>
      <c r="BR116" s="391" t="s">
        <v>69</v>
      </c>
      <c r="BS116" s="391" t="s">
        <v>69</v>
      </c>
      <c r="BT116" s="391" t="s">
        <v>69</v>
      </c>
      <c r="BU116" s="391" t="s">
        <v>69</v>
      </c>
      <c r="BV116" s="391" t="s">
        <v>69</v>
      </c>
      <c r="BW116" s="391" t="s">
        <v>69</v>
      </c>
      <c r="BX116" s="391" t="s">
        <v>69</v>
      </c>
      <c r="BY116" s="391" t="s">
        <v>69</v>
      </c>
      <c r="BZ116" s="391" t="s">
        <v>69</v>
      </c>
      <c r="CA116" s="391" t="s">
        <v>69</v>
      </c>
      <c r="CB116" s="391" t="s">
        <v>69</v>
      </c>
      <c r="CC116" s="391" t="s">
        <v>69</v>
      </c>
      <c r="CD116" s="391" t="s">
        <v>69</v>
      </c>
      <c r="CE116" s="391" t="s">
        <v>69</v>
      </c>
      <c r="CF116" s="391" t="s">
        <v>69</v>
      </c>
      <c r="CG116" s="391" t="s">
        <v>69</v>
      </c>
      <c r="CH116" s="391" t="s">
        <v>69</v>
      </c>
      <c r="CI116" s="391" t="s">
        <v>69</v>
      </c>
      <c r="CJ116" s="391" t="s">
        <v>69</v>
      </c>
      <c r="CK116" s="391">
        <v>3</v>
      </c>
      <c r="CL116" s="391">
        <v>3</v>
      </c>
      <c r="CM116" s="391" t="s">
        <v>69</v>
      </c>
      <c r="CN116" s="391" t="s">
        <v>69</v>
      </c>
      <c r="CO116" s="391" t="s">
        <v>69</v>
      </c>
      <c r="CP116" s="391" t="s">
        <v>69</v>
      </c>
      <c r="CQ116" s="391" t="s">
        <v>69</v>
      </c>
      <c r="CR116" s="391" t="s">
        <v>69</v>
      </c>
      <c r="CS116" s="391" t="s">
        <v>69</v>
      </c>
      <c r="CT116" s="391" t="s">
        <v>69</v>
      </c>
      <c r="CU116" s="391" t="s">
        <v>69</v>
      </c>
      <c r="CV116" s="391" t="s">
        <v>69</v>
      </c>
      <c r="CW116" s="391" t="s">
        <v>69</v>
      </c>
      <c r="CX116" s="391" t="s">
        <v>69</v>
      </c>
      <c r="CY116" s="391" t="s">
        <v>69</v>
      </c>
      <c r="CZ116" s="391" t="s">
        <v>69</v>
      </c>
      <c r="DA116" s="391" t="s">
        <v>69</v>
      </c>
      <c r="DB116" s="391" t="s">
        <v>69</v>
      </c>
      <c r="DC116" s="391" t="s">
        <v>69</v>
      </c>
      <c r="DD116" s="391" t="s">
        <v>69</v>
      </c>
      <c r="DE116" s="391" t="s">
        <v>69</v>
      </c>
      <c r="DF116" s="391" t="s">
        <v>69</v>
      </c>
      <c r="DG116" s="391" t="s">
        <v>69</v>
      </c>
      <c r="DH116" s="391" t="s">
        <v>69</v>
      </c>
      <c r="DI116" s="391" t="s">
        <v>69</v>
      </c>
      <c r="DJ116" s="391" t="s">
        <v>69</v>
      </c>
      <c r="DK116" s="391" t="s">
        <v>69</v>
      </c>
      <c r="DL116" s="391" t="s">
        <v>69</v>
      </c>
      <c r="DM116" s="391" t="s">
        <v>69</v>
      </c>
      <c r="DN116" s="391" t="s">
        <v>69</v>
      </c>
      <c r="DO116" s="391" t="s">
        <v>69</v>
      </c>
      <c r="DP116" s="391" t="s">
        <v>69</v>
      </c>
      <c r="DQ116" s="391" t="s">
        <v>69</v>
      </c>
      <c r="DR116" s="391" t="s">
        <v>69</v>
      </c>
      <c r="DS116" s="391" t="s">
        <v>69</v>
      </c>
      <c r="DT116" s="391" t="s">
        <v>69</v>
      </c>
      <c r="DU116" s="398">
        <f t="shared" si="8"/>
        <v>3.1746031746031744E-2</v>
      </c>
      <c r="DV116" s="399">
        <v>4</v>
      </c>
    </row>
    <row r="117" spans="1:126" s="230" customFormat="1" ht="120" customHeight="1">
      <c r="A117" s="406" t="s">
        <v>1198</v>
      </c>
      <c r="B117" s="407" t="s">
        <v>1199</v>
      </c>
      <c r="C117" s="409">
        <v>46118</v>
      </c>
      <c r="D117" s="408" t="s">
        <v>635</v>
      </c>
      <c r="E117" s="391" t="s">
        <v>69</v>
      </c>
      <c r="F117" s="391" t="s">
        <v>69</v>
      </c>
      <c r="G117" s="391" t="s">
        <v>69</v>
      </c>
      <c r="H117" s="391" t="s">
        <v>69</v>
      </c>
      <c r="I117" s="391" t="s">
        <v>69</v>
      </c>
      <c r="J117" s="391" t="s">
        <v>69</v>
      </c>
      <c r="K117" s="391" t="s">
        <v>69</v>
      </c>
      <c r="L117" s="391" t="s">
        <v>69</v>
      </c>
      <c r="M117" s="391" t="s">
        <v>69</v>
      </c>
      <c r="N117" s="391" t="s">
        <v>69</v>
      </c>
      <c r="O117" s="391" t="s">
        <v>69</v>
      </c>
      <c r="P117" s="391" t="s">
        <v>69</v>
      </c>
      <c r="Q117" s="391" t="s">
        <v>69</v>
      </c>
      <c r="R117" s="391" t="s">
        <v>69</v>
      </c>
      <c r="S117" s="391" t="s">
        <v>69</v>
      </c>
      <c r="T117" s="391" t="s">
        <v>69</v>
      </c>
      <c r="U117" s="391" t="s">
        <v>69</v>
      </c>
      <c r="V117" s="391" t="s">
        <v>69</v>
      </c>
      <c r="W117" s="391" t="s">
        <v>69</v>
      </c>
      <c r="X117" s="391" t="s">
        <v>69</v>
      </c>
      <c r="Y117" s="391" t="s">
        <v>69</v>
      </c>
      <c r="Z117" s="391" t="s">
        <v>69</v>
      </c>
      <c r="AA117" s="391" t="s">
        <v>69</v>
      </c>
      <c r="AB117" s="391" t="s">
        <v>69</v>
      </c>
      <c r="AC117" s="391" t="s">
        <v>69</v>
      </c>
      <c r="AD117" s="391" t="s">
        <v>69</v>
      </c>
      <c r="AE117" s="391">
        <v>3</v>
      </c>
      <c r="AF117" s="391" t="s">
        <v>69</v>
      </c>
      <c r="AG117" s="391" t="s">
        <v>69</v>
      </c>
      <c r="AH117" s="391" t="s">
        <v>69</v>
      </c>
      <c r="AI117" s="391" t="s">
        <v>69</v>
      </c>
      <c r="AJ117" s="391" t="s">
        <v>69</v>
      </c>
      <c r="AK117" s="391" t="s">
        <v>69</v>
      </c>
      <c r="AL117" s="391" t="s">
        <v>69</v>
      </c>
      <c r="AM117" s="391" t="s">
        <v>69</v>
      </c>
      <c r="AN117" s="391" t="s">
        <v>69</v>
      </c>
      <c r="AO117" s="391" t="s">
        <v>69</v>
      </c>
      <c r="AP117" s="391" t="s">
        <v>69</v>
      </c>
      <c r="AQ117" s="391" t="s">
        <v>69</v>
      </c>
      <c r="AR117" s="391" t="s">
        <v>69</v>
      </c>
      <c r="AS117" s="391" t="s">
        <v>69</v>
      </c>
      <c r="AT117" s="391" t="s">
        <v>69</v>
      </c>
      <c r="AU117" s="391" t="s">
        <v>69</v>
      </c>
      <c r="AV117" s="391" t="s">
        <v>69</v>
      </c>
      <c r="AW117" s="391" t="s">
        <v>69</v>
      </c>
      <c r="AX117" s="391" t="s">
        <v>69</v>
      </c>
      <c r="AY117" s="391" t="s">
        <v>69</v>
      </c>
      <c r="AZ117" s="391" t="s">
        <v>69</v>
      </c>
      <c r="BA117" s="391" t="s">
        <v>69</v>
      </c>
      <c r="BB117" s="391" t="s">
        <v>69</v>
      </c>
      <c r="BC117" s="391" t="s">
        <v>69</v>
      </c>
      <c r="BD117" s="391" t="s">
        <v>69</v>
      </c>
      <c r="BE117" s="391" t="s">
        <v>69</v>
      </c>
      <c r="BF117" s="391" t="s">
        <v>69</v>
      </c>
      <c r="BG117" s="391" t="s">
        <v>69</v>
      </c>
      <c r="BH117" s="391" t="s">
        <v>69</v>
      </c>
      <c r="BI117" s="391" t="s">
        <v>69</v>
      </c>
      <c r="BJ117" s="391" t="s">
        <v>69</v>
      </c>
      <c r="BK117" s="391" t="s">
        <v>69</v>
      </c>
      <c r="BL117" s="391" t="s">
        <v>69</v>
      </c>
      <c r="BM117" s="391" t="s">
        <v>69</v>
      </c>
      <c r="BN117" s="391" t="s">
        <v>69</v>
      </c>
      <c r="BO117" s="391" t="s">
        <v>69</v>
      </c>
      <c r="BP117" s="391" t="s">
        <v>69</v>
      </c>
      <c r="BQ117" s="391" t="s">
        <v>69</v>
      </c>
      <c r="BR117" s="391" t="s">
        <v>69</v>
      </c>
      <c r="BS117" s="391" t="s">
        <v>69</v>
      </c>
      <c r="BT117" s="391" t="s">
        <v>69</v>
      </c>
      <c r="BU117" s="391" t="s">
        <v>69</v>
      </c>
      <c r="BV117" s="391" t="s">
        <v>69</v>
      </c>
      <c r="BW117" s="391" t="s">
        <v>69</v>
      </c>
      <c r="BX117" s="391" t="s">
        <v>69</v>
      </c>
      <c r="BY117" s="391" t="s">
        <v>69</v>
      </c>
      <c r="BZ117" s="391" t="s">
        <v>69</v>
      </c>
      <c r="CA117" s="391" t="s">
        <v>69</v>
      </c>
      <c r="CB117" s="391" t="s">
        <v>69</v>
      </c>
      <c r="CC117" s="391" t="s">
        <v>69</v>
      </c>
      <c r="CD117" s="391" t="s">
        <v>69</v>
      </c>
      <c r="CE117" s="391" t="s">
        <v>69</v>
      </c>
      <c r="CF117" s="391" t="s">
        <v>69</v>
      </c>
      <c r="CG117" s="391" t="s">
        <v>69</v>
      </c>
      <c r="CH117" s="391" t="s">
        <v>69</v>
      </c>
      <c r="CI117" s="391" t="s">
        <v>69</v>
      </c>
      <c r="CJ117" s="391" t="s">
        <v>69</v>
      </c>
      <c r="CK117" s="391" t="s">
        <v>69</v>
      </c>
      <c r="CL117" s="391" t="s">
        <v>69</v>
      </c>
      <c r="CM117" s="391" t="s">
        <v>69</v>
      </c>
      <c r="CN117" s="391" t="s">
        <v>69</v>
      </c>
      <c r="CO117" s="391" t="s">
        <v>69</v>
      </c>
      <c r="CP117" s="391" t="s">
        <v>69</v>
      </c>
      <c r="CQ117" s="391" t="s">
        <v>69</v>
      </c>
      <c r="CR117" s="391" t="s">
        <v>69</v>
      </c>
      <c r="CS117" s="391" t="s">
        <v>69</v>
      </c>
      <c r="CT117" s="391" t="s">
        <v>69</v>
      </c>
      <c r="CU117" s="391" t="s">
        <v>69</v>
      </c>
      <c r="CV117" s="391" t="s">
        <v>69</v>
      </c>
      <c r="CW117" s="391" t="s">
        <v>69</v>
      </c>
      <c r="CX117" s="391" t="s">
        <v>69</v>
      </c>
      <c r="CY117" s="391" t="s">
        <v>69</v>
      </c>
      <c r="CZ117" s="391" t="s">
        <v>69</v>
      </c>
      <c r="DA117" s="391" t="s">
        <v>69</v>
      </c>
      <c r="DB117" s="391" t="s">
        <v>69</v>
      </c>
      <c r="DC117" s="391" t="s">
        <v>69</v>
      </c>
      <c r="DD117" s="391" t="s">
        <v>69</v>
      </c>
      <c r="DE117" s="391" t="s">
        <v>69</v>
      </c>
      <c r="DF117" s="391" t="s">
        <v>69</v>
      </c>
      <c r="DG117" s="391" t="s">
        <v>69</v>
      </c>
      <c r="DH117" s="391" t="s">
        <v>69</v>
      </c>
      <c r="DI117" s="391" t="s">
        <v>69</v>
      </c>
      <c r="DJ117" s="391" t="s">
        <v>69</v>
      </c>
      <c r="DK117" s="391" t="s">
        <v>69</v>
      </c>
      <c r="DL117" s="391" t="s">
        <v>69</v>
      </c>
      <c r="DM117" s="391" t="s">
        <v>69</v>
      </c>
      <c r="DN117" s="391" t="s">
        <v>69</v>
      </c>
      <c r="DO117" s="391" t="s">
        <v>69</v>
      </c>
      <c r="DP117" s="391" t="s">
        <v>69</v>
      </c>
      <c r="DQ117" s="391" t="s">
        <v>69</v>
      </c>
      <c r="DR117" s="391" t="s">
        <v>69</v>
      </c>
      <c r="DS117" s="391" t="s">
        <v>69</v>
      </c>
      <c r="DT117" s="391" t="s">
        <v>69</v>
      </c>
      <c r="DU117" s="398">
        <f t="shared" si="8"/>
        <v>1.5873015873015872E-2</v>
      </c>
      <c r="DV117" s="399">
        <v>5</v>
      </c>
    </row>
    <row r="118" spans="1:126" s="230" customFormat="1" ht="120" customHeight="1">
      <c r="A118" s="406" t="s">
        <v>1196</v>
      </c>
      <c r="B118" s="407" t="s">
        <v>1197</v>
      </c>
      <c r="C118" s="409">
        <v>46118</v>
      </c>
      <c r="D118" s="408" t="s">
        <v>635</v>
      </c>
      <c r="E118" s="391">
        <v>3</v>
      </c>
      <c r="F118" s="391" t="s">
        <v>69</v>
      </c>
      <c r="G118" s="391">
        <v>3</v>
      </c>
      <c r="H118" s="391" t="s">
        <v>69</v>
      </c>
      <c r="I118" s="391" t="s">
        <v>69</v>
      </c>
      <c r="J118" s="391" t="s">
        <v>69</v>
      </c>
      <c r="K118" s="391" t="s">
        <v>69</v>
      </c>
      <c r="L118" s="391" t="s">
        <v>69</v>
      </c>
      <c r="M118" s="391" t="s">
        <v>69</v>
      </c>
      <c r="N118" s="391" t="s">
        <v>69</v>
      </c>
      <c r="O118" s="391" t="s">
        <v>69</v>
      </c>
      <c r="P118" s="391" t="s">
        <v>69</v>
      </c>
      <c r="Q118" s="391" t="s">
        <v>69</v>
      </c>
      <c r="R118" s="391" t="s">
        <v>69</v>
      </c>
      <c r="S118" s="391" t="s">
        <v>69</v>
      </c>
      <c r="T118" s="391" t="s">
        <v>69</v>
      </c>
      <c r="U118" s="391" t="s">
        <v>69</v>
      </c>
      <c r="V118" s="391" t="s">
        <v>69</v>
      </c>
      <c r="W118" s="391" t="s">
        <v>69</v>
      </c>
      <c r="X118" s="391" t="s">
        <v>69</v>
      </c>
      <c r="Y118" s="391" t="s">
        <v>69</v>
      </c>
      <c r="Z118" s="391" t="s">
        <v>69</v>
      </c>
      <c r="AA118" s="391" t="s">
        <v>69</v>
      </c>
      <c r="AB118" s="391" t="s">
        <v>69</v>
      </c>
      <c r="AC118" s="391" t="s">
        <v>69</v>
      </c>
      <c r="AD118" s="391" t="s">
        <v>69</v>
      </c>
      <c r="AE118" s="391" t="s">
        <v>69</v>
      </c>
      <c r="AF118" s="391" t="s">
        <v>69</v>
      </c>
      <c r="AG118" s="391" t="s">
        <v>69</v>
      </c>
      <c r="AH118" s="391" t="s">
        <v>69</v>
      </c>
      <c r="AI118" s="391" t="s">
        <v>69</v>
      </c>
      <c r="AJ118" s="391" t="s">
        <v>69</v>
      </c>
      <c r="AK118" s="391" t="s">
        <v>69</v>
      </c>
      <c r="AL118" s="391" t="s">
        <v>69</v>
      </c>
      <c r="AM118" s="391" t="s">
        <v>69</v>
      </c>
      <c r="AN118" s="391" t="s">
        <v>69</v>
      </c>
      <c r="AO118" s="391" t="s">
        <v>69</v>
      </c>
      <c r="AP118" s="391" t="s">
        <v>69</v>
      </c>
      <c r="AQ118" s="391" t="s">
        <v>69</v>
      </c>
      <c r="AR118" s="391" t="s">
        <v>69</v>
      </c>
      <c r="AS118" s="391" t="s">
        <v>69</v>
      </c>
      <c r="AT118" s="391" t="s">
        <v>69</v>
      </c>
      <c r="AU118" s="391" t="s">
        <v>69</v>
      </c>
      <c r="AV118" s="391" t="s">
        <v>69</v>
      </c>
      <c r="AW118" s="391" t="s">
        <v>69</v>
      </c>
      <c r="AX118" s="391" t="s">
        <v>69</v>
      </c>
      <c r="AY118" s="391" t="s">
        <v>69</v>
      </c>
      <c r="AZ118" s="391" t="s">
        <v>69</v>
      </c>
      <c r="BA118" s="391" t="s">
        <v>69</v>
      </c>
      <c r="BB118" s="391" t="s">
        <v>69</v>
      </c>
      <c r="BC118" s="391" t="s">
        <v>69</v>
      </c>
      <c r="BD118" s="391" t="s">
        <v>69</v>
      </c>
      <c r="BE118" s="391" t="s">
        <v>69</v>
      </c>
      <c r="BF118" s="391" t="s">
        <v>69</v>
      </c>
      <c r="BG118" s="391" t="s">
        <v>69</v>
      </c>
      <c r="BH118" s="391" t="s">
        <v>69</v>
      </c>
      <c r="BI118" s="391" t="s">
        <v>69</v>
      </c>
      <c r="BJ118" s="391" t="s">
        <v>69</v>
      </c>
      <c r="BK118" s="391" t="s">
        <v>69</v>
      </c>
      <c r="BL118" s="391" t="s">
        <v>69</v>
      </c>
      <c r="BM118" s="391" t="s">
        <v>69</v>
      </c>
      <c r="BN118" s="391" t="s">
        <v>69</v>
      </c>
      <c r="BO118" s="391" t="s">
        <v>69</v>
      </c>
      <c r="BP118" s="391" t="s">
        <v>69</v>
      </c>
      <c r="BQ118" s="391" t="s">
        <v>69</v>
      </c>
      <c r="BR118" s="391" t="s">
        <v>69</v>
      </c>
      <c r="BS118" s="391" t="s">
        <v>69</v>
      </c>
      <c r="BT118" s="391" t="s">
        <v>69</v>
      </c>
      <c r="BU118" s="391" t="s">
        <v>69</v>
      </c>
      <c r="BV118" s="391" t="s">
        <v>69</v>
      </c>
      <c r="BW118" s="391" t="s">
        <v>69</v>
      </c>
      <c r="BX118" s="391" t="s">
        <v>69</v>
      </c>
      <c r="BY118" s="391" t="s">
        <v>69</v>
      </c>
      <c r="BZ118" s="391" t="s">
        <v>69</v>
      </c>
      <c r="CA118" s="391" t="s">
        <v>69</v>
      </c>
      <c r="CB118" s="391" t="s">
        <v>69</v>
      </c>
      <c r="CC118" s="391" t="s">
        <v>69</v>
      </c>
      <c r="CD118" s="391" t="s">
        <v>69</v>
      </c>
      <c r="CE118" s="391" t="s">
        <v>69</v>
      </c>
      <c r="CF118" s="391" t="s">
        <v>69</v>
      </c>
      <c r="CG118" s="391" t="s">
        <v>69</v>
      </c>
      <c r="CH118" s="391">
        <v>4</v>
      </c>
      <c r="CI118" s="391" t="s">
        <v>69</v>
      </c>
      <c r="CJ118" s="391" t="s">
        <v>69</v>
      </c>
      <c r="CK118" s="391" t="s">
        <v>69</v>
      </c>
      <c r="CL118" s="391" t="s">
        <v>69</v>
      </c>
      <c r="CM118" s="391" t="s">
        <v>69</v>
      </c>
      <c r="CN118" s="391" t="s">
        <v>69</v>
      </c>
      <c r="CO118" s="391" t="s">
        <v>69</v>
      </c>
      <c r="CP118" s="391" t="s">
        <v>69</v>
      </c>
      <c r="CQ118" s="391" t="s">
        <v>69</v>
      </c>
      <c r="CR118" s="391" t="s">
        <v>69</v>
      </c>
      <c r="CS118" s="391" t="s">
        <v>69</v>
      </c>
      <c r="CT118" s="391" t="s">
        <v>69</v>
      </c>
      <c r="CU118" s="391" t="s">
        <v>69</v>
      </c>
      <c r="CV118" s="391" t="s">
        <v>69</v>
      </c>
      <c r="CW118" s="391" t="s">
        <v>69</v>
      </c>
      <c r="CX118" s="391" t="s">
        <v>69</v>
      </c>
      <c r="CY118" s="391" t="s">
        <v>69</v>
      </c>
      <c r="CZ118" s="391" t="s">
        <v>69</v>
      </c>
      <c r="DA118" s="391" t="s">
        <v>69</v>
      </c>
      <c r="DB118" s="391" t="s">
        <v>69</v>
      </c>
      <c r="DC118" s="391" t="s">
        <v>69</v>
      </c>
      <c r="DD118" s="391" t="s">
        <v>69</v>
      </c>
      <c r="DE118" s="391" t="s">
        <v>69</v>
      </c>
      <c r="DF118" s="391" t="s">
        <v>69</v>
      </c>
      <c r="DG118" s="391" t="s">
        <v>69</v>
      </c>
      <c r="DH118" s="391" t="s">
        <v>69</v>
      </c>
      <c r="DI118" s="391" t="s">
        <v>69</v>
      </c>
      <c r="DJ118" s="391" t="s">
        <v>69</v>
      </c>
      <c r="DK118" s="391" t="s">
        <v>69</v>
      </c>
      <c r="DL118" s="391" t="s">
        <v>69</v>
      </c>
      <c r="DM118" s="391" t="s">
        <v>69</v>
      </c>
      <c r="DN118" s="391" t="s">
        <v>69</v>
      </c>
      <c r="DO118" s="391" t="s">
        <v>69</v>
      </c>
      <c r="DP118" s="391" t="s">
        <v>69</v>
      </c>
      <c r="DQ118" s="391" t="s">
        <v>69</v>
      </c>
      <c r="DR118" s="391" t="s">
        <v>69</v>
      </c>
      <c r="DS118" s="391" t="s">
        <v>69</v>
      </c>
      <c r="DT118" s="391" t="s">
        <v>69</v>
      </c>
      <c r="DU118" s="398">
        <f t="shared" si="8"/>
        <v>4.7619047619047616E-2</v>
      </c>
      <c r="DV118" s="399">
        <v>6</v>
      </c>
    </row>
    <row r="119" spans="1:126" s="230" customFormat="1" ht="120" customHeight="1">
      <c r="A119" s="406" t="s">
        <v>1296</v>
      </c>
      <c r="B119" s="407" t="s">
        <v>1297</v>
      </c>
      <c r="C119" s="409" t="s">
        <v>1298</v>
      </c>
      <c r="D119" s="408" t="s">
        <v>635</v>
      </c>
      <c r="E119" s="391" t="s">
        <v>69</v>
      </c>
      <c r="F119" s="391" t="s">
        <v>69</v>
      </c>
      <c r="G119" s="391" t="s">
        <v>69</v>
      </c>
      <c r="H119" s="391" t="s">
        <v>69</v>
      </c>
      <c r="I119" s="391" t="s">
        <v>69</v>
      </c>
      <c r="J119" s="391" t="s">
        <v>69</v>
      </c>
      <c r="K119" s="391" t="s">
        <v>69</v>
      </c>
      <c r="L119" s="391" t="s">
        <v>69</v>
      </c>
      <c r="M119" s="391" t="s">
        <v>69</v>
      </c>
      <c r="N119" s="391" t="s">
        <v>69</v>
      </c>
      <c r="O119" s="391" t="s">
        <v>69</v>
      </c>
      <c r="P119" s="391" t="s">
        <v>69</v>
      </c>
      <c r="Q119" s="391" t="s">
        <v>69</v>
      </c>
      <c r="R119" s="391" t="s">
        <v>69</v>
      </c>
      <c r="S119" s="391" t="s">
        <v>69</v>
      </c>
      <c r="T119" s="391" t="s">
        <v>69</v>
      </c>
      <c r="U119" s="391" t="s">
        <v>69</v>
      </c>
      <c r="V119" s="391" t="s">
        <v>69</v>
      </c>
      <c r="W119" s="391" t="s">
        <v>69</v>
      </c>
      <c r="X119" s="391" t="s">
        <v>69</v>
      </c>
      <c r="Y119" s="391" t="s">
        <v>69</v>
      </c>
      <c r="Z119" s="391" t="s">
        <v>69</v>
      </c>
      <c r="AA119" s="391" t="s">
        <v>69</v>
      </c>
      <c r="AB119" s="391" t="s">
        <v>69</v>
      </c>
      <c r="AC119" s="391" t="s">
        <v>69</v>
      </c>
      <c r="AD119" s="391" t="s">
        <v>69</v>
      </c>
      <c r="AE119" s="391" t="s">
        <v>69</v>
      </c>
      <c r="AF119" s="391" t="s">
        <v>69</v>
      </c>
      <c r="AG119" s="391" t="s">
        <v>69</v>
      </c>
      <c r="AH119" s="391" t="s">
        <v>69</v>
      </c>
      <c r="AI119" s="391" t="s">
        <v>69</v>
      </c>
      <c r="AJ119" s="391" t="s">
        <v>69</v>
      </c>
      <c r="AK119" s="391" t="s">
        <v>69</v>
      </c>
      <c r="AL119" s="391" t="s">
        <v>69</v>
      </c>
      <c r="AM119" s="391" t="s">
        <v>69</v>
      </c>
      <c r="AN119" s="391" t="s">
        <v>69</v>
      </c>
      <c r="AO119" s="391" t="s">
        <v>69</v>
      </c>
      <c r="AP119" s="391" t="s">
        <v>69</v>
      </c>
      <c r="AQ119" s="391" t="s">
        <v>69</v>
      </c>
      <c r="AR119" s="391" t="s">
        <v>69</v>
      </c>
      <c r="AS119" s="391" t="s">
        <v>69</v>
      </c>
      <c r="AT119" s="391" t="s">
        <v>69</v>
      </c>
      <c r="AU119" s="391" t="s">
        <v>69</v>
      </c>
      <c r="AV119" s="391" t="s">
        <v>69</v>
      </c>
      <c r="AW119" s="391" t="s">
        <v>69</v>
      </c>
      <c r="AX119" s="391" t="s">
        <v>69</v>
      </c>
      <c r="AY119" s="391" t="s">
        <v>69</v>
      </c>
      <c r="AZ119" s="391" t="s">
        <v>69</v>
      </c>
      <c r="BA119" s="391" t="s">
        <v>69</v>
      </c>
      <c r="BB119" s="391" t="s">
        <v>69</v>
      </c>
      <c r="BC119" s="391" t="s">
        <v>69</v>
      </c>
      <c r="BD119" s="391" t="s">
        <v>69</v>
      </c>
      <c r="BE119" s="391" t="s">
        <v>69</v>
      </c>
      <c r="BF119" s="391" t="s">
        <v>69</v>
      </c>
      <c r="BG119" s="391" t="s">
        <v>69</v>
      </c>
      <c r="BH119" s="391" t="s">
        <v>69</v>
      </c>
      <c r="BI119" s="391" t="s">
        <v>69</v>
      </c>
      <c r="BJ119" s="391" t="s">
        <v>69</v>
      </c>
      <c r="BK119" s="391" t="s">
        <v>69</v>
      </c>
      <c r="BL119" s="391" t="s">
        <v>69</v>
      </c>
      <c r="BM119" s="391" t="s">
        <v>69</v>
      </c>
      <c r="BN119" s="391" t="s">
        <v>69</v>
      </c>
      <c r="BO119" s="391" t="s">
        <v>69</v>
      </c>
      <c r="BP119" s="391" t="s">
        <v>69</v>
      </c>
      <c r="BQ119" s="391" t="s">
        <v>69</v>
      </c>
      <c r="BR119" s="391" t="s">
        <v>69</v>
      </c>
      <c r="BS119" s="391" t="s">
        <v>69</v>
      </c>
      <c r="BT119" s="391" t="s">
        <v>69</v>
      </c>
      <c r="BU119" s="391" t="s">
        <v>69</v>
      </c>
      <c r="BV119" s="391" t="s">
        <v>69</v>
      </c>
      <c r="BW119" s="391" t="s">
        <v>69</v>
      </c>
      <c r="BX119" s="391" t="s">
        <v>69</v>
      </c>
      <c r="BY119" s="391" t="s">
        <v>69</v>
      </c>
      <c r="BZ119" s="391" t="s">
        <v>69</v>
      </c>
      <c r="CA119" s="391" t="s">
        <v>69</v>
      </c>
      <c r="CB119" s="391" t="s">
        <v>69</v>
      </c>
      <c r="CC119" s="391" t="s">
        <v>69</v>
      </c>
      <c r="CD119" s="391" t="s">
        <v>69</v>
      </c>
      <c r="CE119" s="391" t="s">
        <v>69</v>
      </c>
      <c r="CF119" s="391" t="s">
        <v>69</v>
      </c>
      <c r="CG119" s="391" t="s">
        <v>69</v>
      </c>
      <c r="CH119" s="391" t="s">
        <v>69</v>
      </c>
      <c r="CI119" s="391" t="s">
        <v>69</v>
      </c>
      <c r="CJ119" s="391" t="s">
        <v>69</v>
      </c>
      <c r="CK119" s="391">
        <v>3</v>
      </c>
      <c r="CL119" s="391">
        <v>2</v>
      </c>
      <c r="CM119" s="391" t="s">
        <v>69</v>
      </c>
      <c r="CN119" s="391" t="s">
        <v>69</v>
      </c>
      <c r="CO119" s="391" t="s">
        <v>69</v>
      </c>
      <c r="CP119" s="391" t="s">
        <v>69</v>
      </c>
      <c r="CQ119" s="391" t="s">
        <v>69</v>
      </c>
      <c r="CR119" s="391" t="s">
        <v>69</v>
      </c>
      <c r="CS119" s="391" t="s">
        <v>69</v>
      </c>
      <c r="CT119" s="391" t="s">
        <v>69</v>
      </c>
      <c r="CU119" s="391" t="s">
        <v>69</v>
      </c>
      <c r="CV119" s="391" t="s">
        <v>69</v>
      </c>
      <c r="CW119" s="391" t="s">
        <v>69</v>
      </c>
      <c r="CX119" s="391" t="s">
        <v>69</v>
      </c>
      <c r="CY119" s="391" t="s">
        <v>69</v>
      </c>
      <c r="CZ119" s="391" t="s">
        <v>69</v>
      </c>
      <c r="DA119" s="391" t="s">
        <v>69</v>
      </c>
      <c r="DB119" s="391" t="s">
        <v>69</v>
      </c>
      <c r="DC119" s="391" t="s">
        <v>69</v>
      </c>
      <c r="DD119" s="391" t="s">
        <v>69</v>
      </c>
      <c r="DE119" s="391" t="s">
        <v>69</v>
      </c>
      <c r="DF119" s="391" t="s">
        <v>69</v>
      </c>
      <c r="DG119" s="391" t="s">
        <v>69</v>
      </c>
      <c r="DH119" s="391" t="s">
        <v>69</v>
      </c>
      <c r="DI119" s="391" t="s">
        <v>69</v>
      </c>
      <c r="DJ119" s="391" t="s">
        <v>69</v>
      </c>
      <c r="DK119" s="391" t="s">
        <v>69</v>
      </c>
      <c r="DL119" s="391" t="s">
        <v>69</v>
      </c>
      <c r="DM119" s="391" t="s">
        <v>69</v>
      </c>
      <c r="DN119" s="391" t="s">
        <v>69</v>
      </c>
      <c r="DO119" s="391" t="s">
        <v>69</v>
      </c>
      <c r="DP119" s="391" t="s">
        <v>69</v>
      </c>
      <c r="DQ119" s="391" t="s">
        <v>69</v>
      </c>
      <c r="DR119" s="391" t="s">
        <v>69</v>
      </c>
      <c r="DS119" s="391" t="s">
        <v>69</v>
      </c>
      <c r="DT119" s="391" t="s">
        <v>69</v>
      </c>
      <c r="DU119" s="398">
        <f t="shared" si="8"/>
        <v>3.1746031746031744E-2</v>
      </c>
      <c r="DV119" s="399">
        <v>7</v>
      </c>
    </row>
    <row r="120" spans="1:126" s="230" customFormat="1" ht="120" customHeight="1">
      <c r="A120" s="406"/>
      <c r="B120" s="407"/>
      <c r="C120" s="409"/>
      <c r="D120" s="408"/>
      <c r="E120" s="391"/>
      <c r="F120" s="391"/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  <c r="X120" s="391"/>
      <c r="Y120" s="391"/>
      <c r="Z120" s="391"/>
      <c r="AA120" s="391"/>
      <c r="AB120" s="391"/>
      <c r="AC120" s="391"/>
      <c r="AD120" s="391"/>
      <c r="AE120" s="391"/>
      <c r="AF120" s="391"/>
      <c r="AG120" s="391"/>
      <c r="AH120" s="391"/>
      <c r="AI120" s="391"/>
      <c r="AJ120" s="391"/>
      <c r="AK120" s="391"/>
      <c r="AL120" s="391"/>
      <c r="AM120" s="391"/>
      <c r="AN120" s="391"/>
      <c r="AO120" s="391"/>
      <c r="AP120" s="391"/>
      <c r="AQ120" s="391"/>
      <c r="AR120" s="391"/>
      <c r="AS120" s="391"/>
      <c r="AT120" s="391"/>
      <c r="AU120" s="391"/>
      <c r="AV120" s="391"/>
      <c r="AW120" s="391"/>
      <c r="AX120" s="391"/>
      <c r="AY120" s="391"/>
      <c r="AZ120" s="391"/>
      <c r="BA120" s="391"/>
      <c r="BB120" s="391"/>
      <c r="BC120" s="391"/>
      <c r="BD120" s="391"/>
      <c r="BE120" s="391"/>
      <c r="BF120" s="391"/>
      <c r="BG120" s="391"/>
      <c r="BH120" s="391"/>
      <c r="BI120" s="391"/>
      <c r="BJ120" s="391"/>
      <c r="BK120" s="391"/>
      <c r="BL120" s="391"/>
      <c r="BM120" s="391"/>
      <c r="BN120" s="391"/>
      <c r="BO120" s="391"/>
      <c r="BP120" s="391"/>
      <c r="BQ120" s="391"/>
      <c r="BR120" s="391"/>
      <c r="BS120" s="391"/>
      <c r="BT120" s="391"/>
      <c r="BU120" s="391"/>
      <c r="BV120" s="391"/>
      <c r="BW120" s="391"/>
      <c r="BX120" s="391"/>
      <c r="BY120" s="391"/>
      <c r="BZ120" s="391"/>
      <c r="CA120" s="391"/>
      <c r="CB120" s="391"/>
      <c r="CC120" s="391"/>
      <c r="CD120" s="391"/>
      <c r="CE120" s="391"/>
      <c r="CF120" s="391"/>
      <c r="CG120" s="391"/>
      <c r="CH120" s="391"/>
      <c r="CI120" s="391"/>
      <c r="CJ120" s="391"/>
      <c r="CK120" s="391"/>
      <c r="CL120" s="391"/>
      <c r="CM120" s="391"/>
      <c r="CN120" s="391"/>
      <c r="CO120" s="391"/>
      <c r="CP120" s="391"/>
      <c r="CQ120" s="391"/>
      <c r="CR120" s="391"/>
      <c r="CS120" s="391"/>
      <c r="CT120" s="391"/>
      <c r="CU120" s="391"/>
      <c r="CV120" s="391"/>
      <c r="CW120" s="391"/>
      <c r="CX120" s="391"/>
      <c r="CY120" s="391"/>
      <c r="CZ120" s="391"/>
      <c r="DA120" s="391"/>
      <c r="DB120" s="391"/>
      <c r="DC120" s="391"/>
      <c r="DD120" s="391"/>
      <c r="DE120" s="391"/>
      <c r="DF120" s="391"/>
      <c r="DG120" s="391"/>
      <c r="DH120" s="391"/>
      <c r="DI120" s="391"/>
      <c r="DJ120" s="391"/>
      <c r="DK120" s="391"/>
      <c r="DL120" s="391"/>
      <c r="DM120" s="391"/>
      <c r="DN120" s="391"/>
      <c r="DO120" s="391"/>
      <c r="DP120" s="391"/>
      <c r="DQ120" s="391"/>
      <c r="DR120" s="391"/>
      <c r="DS120" s="391"/>
      <c r="DT120" s="391"/>
      <c r="DU120" s="398">
        <f t="shared" si="8"/>
        <v>0</v>
      </c>
      <c r="DV120" s="399">
        <v>8</v>
      </c>
    </row>
    <row r="121" spans="1:126" s="230" customFormat="1" ht="120" customHeight="1">
      <c r="A121" s="406"/>
      <c r="B121" s="407"/>
      <c r="C121" s="409"/>
      <c r="D121" s="408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  <c r="AA121" s="391"/>
      <c r="AB121" s="391"/>
      <c r="AC121" s="391"/>
      <c r="AD121" s="391"/>
      <c r="AE121" s="391"/>
      <c r="AF121" s="391"/>
      <c r="AG121" s="391"/>
      <c r="AH121" s="391"/>
      <c r="AI121" s="391"/>
      <c r="AJ121" s="391"/>
      <c r="AK121" s="391"/>
      <c r="AL121" s="391"/>
      <c r="AM121" s="391"/>
      <c r="AN121" s="391"/>
      <c r="AO121" s="391"/>
      <c r="AP121" s="391"/>
      <c r="AQ121" s="391"/>
      <c r="AR121" s="391"/>
      <c r="AS121" s="391"/>
      <c r="AT121" s="391"/>
      <c r="AU121" s="391"/>
      <c r="AV121" s="391"/>
      <c r="AW121" s="391"/>
      <c r="AX121" s="391"/>
      <c r="AY121" s="391"/>
      <c r="AZ121" s="391"/>
      <c r="BA121" s="391"/>
      <c r="BB121" s="391"/>
      <c r="BC121" s="391"/>
      <c r="BD121" s="391"/>
      <c r="BE121" s="391"/>
      <c r="BF121" s="391"/>
      <c r="BG121" s="391"/>
      <c r="BH121" s="391"/>
      <c r="BI121" s="391"/>
      <c r="BJ121" s="391"/>
      <c r="BK121" s="391"/>
      <c r="BL121" s="391"/>
      <c r="BM121" s="391"/>
      <c r="BN121" s="391"/>
      <c r="BO121" s="391"/>
      <c r="BP121" s="391"/>
      <c r="BQ121" s="391"/>
      <c r="BR121" s="391"/>
      <c r="BS121" s="391"/>
      <c r="BT121" s="391"/>
      <c r="BU121" s="391"/>
      <c r="BV121" s="391"/>
      <c r="BW121" s="391"/>
      <c r="BX121" s="391"/>
      <c r="BY121" s="391"/>
      <c r="BZ121" s="391"/>
      <c r="CA121" s="391"/>
      <c r="CB121" s="391"/>
      <c r="CC121" s="391"/>
      <c r="CD121" s="391"/>
      <c r="CE121" s="391"/>
      <c r="CF121" s="391"/>
      <c r="CG121" s="391"/>
      <c r="CH121" s="391"/>
      <c r="CI121" s="391"/>
      <c r="CJ121" s="391"/>
      <c r="CK121" s="391"/>
      <c r="CL121" s="391"/>
      <c r="CM121" s="391"/>
      <c r="CN121" s="391"/>
      <c r="CO121" s="391"/>
      <c r="CP121" s="391"/>
      <c r="CQ121" s="391"/>
      <c r="CR121" s="391"/>
      <c r="CS121" s="391"/>
      <c r="CT121" s="391"/>
      <c r="CU121" s="391"/>
      <c r="CV121" s="391"/>
      <c r="CW121" s="391"/>
      <c r="CX121" s="391"/>
      <c r="CY121" s="391"/>
      <c r="CZ121" s="391"/>
      <c r="DA121" s="391"/>
      <c r="DB121" s="391"/>
      <c r="DC121" s="391"/>
      <c r="DD121" s="391"/>
      <c r="DE121" s="391"/>
      <c r="DF121" s="391"/>
      <c r="DG121" s="391"/>
      <c r="DH121" s="391"/>
      <c r="DI121" s="391"/>
      <c r="DJ121" s="391"/>
      <c r="DK121" s="391"/>
      <c r="DL121" s="391"/>
      <c r="DM121" s="391"/>
      <c r="DN121" s="391"/>
      <c r="DO121" s="391"/>
      <c r="DP121" s="391"/>
      <c r="DQ121" s="391"/>
      <c r="DR121" s="391"/>
      <c r="DS121" s="391"/>
      <c r="DT121" s="391"/>
      <c r="DU121" s="398">
        <f t="shared" si="8"/>
        <v>0</v>
      </c>
      <c r="DV121" s="399">
        <v>9</v>
      </c>
    </row>
    <row r="122" spans="1:126" s="230" customFormat="1" ht="120" customHeight="1">
      <c r="A122" s="406"/>
      <c r="B122" s="407"/>
      <c r="C122" s="409"/>
      <c r="D122" s="408"/>
      <c r="E122" s="391"/>
      <c r="F122" s="391"/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391"/>
      <c r="X122" s="391"/>
      <c r="Y122" s="391"/>
      <c r="Z122" s="391"/>
      <c r="AA122" s="391"/>
      <c r="AB122" s="391"/>
      <c r="AC122" s="391"/>
      <c r="AD122" s="391"/>
      <c r="AE122" s="391"/>
      <c r="AF122" s="391"/>
      <c r="AG122" s="391"/>
      <c r="AH122" s="391"/>
      <c r="AI122" s="391"/>
      <c r="AJ122" s="391"/>
      <c r="AK122" s="391"/>
      <c r="AL122" s="391"/>
      <c r="AM122" s="391"/>
      <c r="AN122" s="391"/>
      <c r="AO122" s="391"/>
      <c r="AP122" s="391"/>
      <c r="AQ122" s="391"/>
      <c r="AR122" s="391"/>
      <c r="AS122" s="391"/>
      <c r="AT122" s="391"/>
      <c r="AU122" s="391"/>
      <c r="AV122" s="391"/>
      <c r="AW122" s="391"/>
      <c r="AX122" s="391"/>
      <c r="AY122" s="391"/>
      <c r="AZ122" s="391"/>
      <c r="BA122" s="391"/>
      <c r="BB122" s="391"/>
      <c r="BC122" s="391"/>
      <c r="BD122" s="391"/>
      <c r="BE122" s="391"/>
      <c r="BF122" s="391"/>
      <c r="BG122" s="391"/>
      <c r="BH122" s="391"/>
      <c r="BI122" s="391"/>
      <c r="BJ122" s="391"/>
      <c r="BK122" s="391"/>
      <c r="BL122" s="391"/>
      <c r="BM122" s="391"/>
      <c r="BN122" s="391"/>
      <c r="BO122" s="391"/>
      <c r="BP122" s="391"/>
      <c r="BQ122" s="391"/>
      <c r="BR122" s="391"/>
      <c r="BS122" s="391"/>
      <c r="BT122" s="391"/>
      <c r="BU122" s="391"/>
      <c r="BV122" s="391"/>
      <c r="BW122" s="391"/>
      <c r="BX122" s="391"/>
      <c r="BY122" s="391"/>
      <c r="BZ122" s="391"/>
      <c r="CA122" s="391"/>
      <c r="CB122" s="391"/>
      <c r="CC122" s="391"/>
      <c r="CD122" s="391"/>
      <c r="CE122" s="391"/>
      <c r="CF122" s="391"/>
      <c r="CG122" s="391"/>
      <c r="CH122" s="391"/>
      <c r="CI122" s="391"/>
      <c r="CJ122" s="391"/>
      <c r="CK122" s="391"/>
      <c r="CL122" s="391"/>
      <c r="CM122" s="391"/>
      <c r="CN122" s="391"/>
      <c r="CO122" s="391"/>
      <c r="CP122" s="391"/>
      <c r="CQ122" s="391"/>
      <c r="CR122" s="391"/>
      <c r="CS122" s="391"/>
      <c r="CT122" s="391"/>
      <c r="CU122" s="391"/>
      <c r="CV122" s="391"/>
      <c r="CW122" s="391"/>
      <c r="CX122" s="391"/>
      <c r="CY122" s="391"/>
      <c r="CZ122" s="391"/>
      <c r="DA122" s="391"/>
      <c r="DB122" s="391"/>
      <c r="DC122" s="391"/>
      <c r="DD122" s="391"/>
      <c r="DE122" s="391"/>
      <c r="DF122" s="391"/>
      <c r="DG122" s="391"/>
      <c r="DH122" s="391"/>
      <c r="DI122" s="391"/>
      <c r="DJ122" s="391"/>
      <c r="DK122" s="391"/>
      <c r="DL122" s="391"/>
      <c r="DM122" s="391"/>
      <c r="DN122" s="391"/>
      <c r="DO122" s="391"/>
      <c r="DP122" s="391"/>
      <c r="DQ122" s="391"/>
      <c r="DR122" s="391"/>
      <c r="DS122" s="391"/>
      <c r="DT122" s="391"/>
      <c r="DU122" s="398">
        <f t="shared" si="8"/>
        <v>0</v>
      </c>
      <c r="DV122" s="399">
        <v>10</v>
      </c>
    </row>
    <row r="123" spans="1:126" s="230" customFormat="1" ht="120" customHeight="1">
      <c r="A123" s="406"/>
      <c r="B123" s="407"/>
      <c r="C123" s="409"/>
      <c r="D123" s="408"/>
      <c r="E123" s="391"/>
      <c r="F123" s="391"/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  <c r="W123" s="391"/>
      <c r="X123" s="391"/>
      <c r="Y123" s="391"/>
      <c r="Z123" s="391"/>
      <c r="AA123" s="391"/>
      <c r="AB123" s="391"/>
      <c r="AC123" s="391"/>
      <c r="AD123" s="391"/>
      <c r="AE123" s="391"/>
      <c r="AF123" s="391"/>
      <c r="AG123" s="391"/>
      <c r="AH123" s="391"/>
      <c r="AI123" s="391"/>
      <c r="AJ123" s="391"/>
      <c r="AK123" s="391"/>
      <c r="AL123" s="391"/>
      <c r="AM123" s="391"/>
      <c r="AN123" s="391"/>
      <c r="AO123" s="391"/>
      <c r="AP123" s="391"/>
      <c r="AQ123" s="391"/>
      <c r="AR123" s="391"/>
      <c r="AS123" s="391"/>
      <c r="AT123" s="391"/>
      <c r="AU123" s="391"/>
      <c r="AV123" s="391"/>
      <c r="AW123" s="391"/>
      <c r="AX123" s="391"/>
      <c r="AY123" s="391"/>
      <c r="AZ123" s="391"/>
      <c r="BA123" s="391"/>
      <c r="BB123" s="391"/>
      <c r="BC123" s="391"/>
      <c r="BD123" s="391"/>
      <c r="BE123" s="391"/>
      <c r="BF123" s="391"/>
      <c r="BG123" s="391"/>
      <c r="BH123" s="391"/>
      <c r="BI123" s="391"/>
      <c r="BJ123" s="391"/>
      <c r="BK123" s="391"/>
      <c r="BL123" s="391"/>
      <c r="BM123" s="391"/>
      <c r="BN123" s="391"/>
      <c r="BO123" s="391"/>
      <c r="BP123" s="391"/>
      <c r="BQ123" s="391"/>
      <c r="BR123" s="391"/>
      <c r="BS123" s="391"/>
      <c r="BT123" s="391"/>
      <c r="BU123" s="391"/>
      <c r="BV123" s="391"/>
      <c r="BW123" s="391"/>
      <c r="BX123" s="391"/>
      <c r="BY123" s="391"/>
      <c r="BZ123" s="391"/>
      <c r="CA123" s="391"/>
      <c r="CB123" s="391"/>
      <c r="CC123" s="391"/>
      <c r="CD123" s="391"/>
      <c r="CE123" s="391"/>
      <c r="CF123" s="391"/>
      <c r="CG123" s="391"/>
      <c r="CH123" s="391"/>
      <c r="CI123" s="391"/>
      <c r="CJ123" s="391"/>
      <c r="CK123" s="391"/>
      <c r="CL123" s="391"/>
      <c r="CM123" s="391"/>
      <c r="CN123" s="391"/>
      <c r="CO123" s="391"/>
      <c r="CP123" s="391"/>
      <c r="CQ123" s="391"/>
      <c r="CR123" s="391"/>
      <c r="CS123" s="391"/>
      <c r="CT123" s="391"/>
      <c r="CU123" s="391"/>
      <c r="CV123" s="391"/>
      <c r="CW123" s="391"/>
      <c r="CX123" s="391"/>
      <c r="CY123" s="391"/>
      <c r="CZ123" s="391"/>
      <c r="DA123" s="391"/>
      <c r="DB123" s="391"/>
      <c r="DC123" s="391"/>
      <c r="DD123" s="391"/>
      <c r="DE123" s="391"/>
      <c r="DF123" s="391"/>
      <c r="DG123" s="391"/>
      <c r="DH123" s="391"/>
      <c r="DI123" s="391"/>
      <c r="DJ123" s="391"/>
      <c r="DK123" s="391"/>
      <c r="DL123" s="391"/>
      <c r="DM123" s="391"/>
      <c r="DN123" s="391"/>
      <c r="DO123" s="391"/>
      <c r="DP123" s="391"/>
      <c r="DQ123" s="391"/>
      <c r="DR123" s="391"/>
      <c r="DS123" s="391"/>
      <c r="DT123" s="391"/>
      <c r="DU123" s="398">
        <f t="shared" si="8"/>
        <v>0</v>
      </c>
      <c r="DV123" s="399">
        <v>11</v>
      </c>
    </row>
    <row r="124" spans="1:126" s="230" customFormat="1" ht="69.75" customHeight="1">
      <c r="A124" s="406"/>
      <c r="B124" s="407"/>
      <c r="C124" s="409"/>
      <c r="D124" s="408"/>
      <c r="E124" s="391"/>
      <c r="F124" s="391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  <c r="AA124" s="391"/>
      <c r="AB124" s="391"/>
      <c r="AC124" s="391"/>
      <c r="AD124" s="391"/>
      <c r="AE124" s="391"/>
      <c r="AF124" s="391"/>
      <c r="AG124" s="391"/>
      <c r="AH124" s="391"/>
      <c r="AI124" s="391"/>
      <c r="AJ124" s="391"/>
      <c r="AK124" s="391"/>
      <c r="AL124" s="391"/>
      <c r="AM124" s="391"/>
      <c r="AN124" s="391"/>
      <c r="AO124" s="391"/>
      <c r="AP124" s="391"/>
      <c r="AQ124" s="391"/>
      <c r="AR124" s="391"/>
      <c r="AS124" s="391"/>
      <c r="AT124" s="391"/>
      <c r="AU124" s="391"/>
      <c r="AV124" s="391"/>
      <c r="AW124" s="391"/>
      <c r="AX124" s="391"/>
      <c r="AY124" s="391"/>
      <c r="AZ124" s="391"/>
      <c r="BA124" s="391"/>
      <c r="BB124" s="391"/>
      <c r="BC124" s="391"/>
      <c r="BD124" s="391"/>
      <c r="BE124" s="391"/>
      <c r="BF124" s="391"/>
      <c r="BG124" s="391"/>
      <c r="BH124" s="391"/>
      <c r="BI124" s="391"/>
      <c r="BJ124" s="391"/>
      <c r="BK124" s="391"/>
      <c r="BL124" s="391"/>
      <c r="BM124" s="391"/>
      <c r="BN124" s="391"/>
      <c r="BO124" s="391"/>
      <c r="BP124" s="391"/>
      <c r="BQ124" s="391"/>
      <c r="BR124" s="391"/>
      <c r="BS124" s="391"/>
      <c r="BT124" s="391"/>
      <c r="BU124" s="391"/>
      <c r="BV124" s="391"/>
      <c r="BW124" s="391"/>
      <c r="BX124" s="391"/>
      <c r="BY124" s="391"/>
      <c r="BZ124" s="391"/>
      <c r="CA124" s="391"/>
      <c r="CB124" s="391"/>
      <c r="CC124" s="391"/>
      <c r="CD124" s="391"/>
      <c r="CE124" s="391"/>
      <c r="CF124" s="391"/>
      <c r="CG124" s="391"/>
      <c r="CH124" s="391"/>
      <c r="CI124" s="391"/>
      <c r="CJ124" s="391"/>
      <c r="CK124" s="391"/>
      <c r="CL124" s="391"/>
      <c r="CM124" s="391"/>
      <c r="CN124" s="391"/>
      <c r="CO124" s="391"/>
      <c r="CP124" s="391"/>
      <c r="CQ124" s="391"/>
      <c r="CR124" s="391"/>
      <c r="CS124" s="391"/>
      <c r="CT124" s="391"/>
      <c r="CU124" s="391"/>
      <c r="CV124" s="391"/>
      <c r="CW124" s="391"/>
      <c r="CX124" s="391"/>
      <c r="CY124" s="391"/>
      <c r="CZ124" s="391"/>
      <c r="DA124" s="391"/>
      <c r="DB124" s="391"/>
      <c r="DC124" s="391"/>
      <c r="DD124" s="391"/>
      <c r="DE124" s="391"/>
      <c r="DF124" s="391"/>
      <c r="DG124" s="391"/>
      <c r="DH124" s="391"/>
      <c r="DI124" s="391"/>
      <c r="DJ124" s="391"/>
      <c r="DK124" s="391"/>
      <c r="DL124" s="391"/>
      <c r="DM124" s="391"/>
      <c r="DN124" s="391"/>
      <c r="DO124" s="391"/>
      <c r="DP124" s="391"/>
      <c r="DQ124" s="391"/>
      <c r="DR124" s="391"/>
      <c r="DS124" s="391"/>
      <c r="DT124" s="391"/>
      <c r="DU124" s="398">
        <f t="shared" si="6"/>
        <v>0</v>
      </c>
      <c r="DV124" s="399">
        <v>0</v>
      </c>
    </row>
    <row r="125" spans="1:126" s="230" customFormat="1" ht="69.75" customHeight="1">
      <c r="A125" s="406"/>
      <c r="B125" s="407"/>
      <c r="C125" s="409"/>
      <c r="D125" s="408"/>
      <c r="E125" s="391"/>
      <c r="F125" s="391"/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  <c r="AA125" s="391"/>
      <c r="AB125" s="391"/>
      <c r="AC125" s="391"/>
      <c r="AD125" s="391"/>
      <c r="AE125" s="391"/>
      <c r="AF125" s="391"/>
      <c r="AG125" s="391"/>
      <c r="AH125" s="391"/>
      <c r="AI125" s="391"/>
      <c r="AJ125" s="391"/>
      <c r="AK125" s="391"/>
      <c r="AL125" s="391"/>
      <c r="AM125" s="391"/>
      <c r="AN125" s="391"/>
      <c r="AO125" s="391"/>
      <c r="AP125" s="391"/>
      <c r="AQ125" s="391"/>
      <c r="AR125" s="391"/>
      <c r="AS125" s="391"/>
      <c r="AT125" s="391"/>
      <c r="AU125" s="391"/>
      <c r="AV125" s="391"/>
      <c r="AW125" s="391"/>
      <c r="AX125" s="391"/>
      <c r="AY125" s="391"/>
      <c r="AZ125" s="391"/>
      <c r="BA125" s="391"/>
      <c r="BB125" s="391"/>
      <c r="BC125" s="391"/>
      <c r="BD125" s="391"/>
      <c r="BE125" s="391"/>
      <c r="BF125" s="391"/>
      <c r="BG125" s="391"/>
      <c r="BH125" s="391"/>
      <c r="BI125" s="391"/>
      <c r="BJ125" s="391"/>
      <c r="BK125" s="391"/>
      <c r="BL125" s="391"/>
      <c r="BM125" s="391"/>
      <c r="BN125" s="391"/>
      <c r="BO125" s="391"/>
      <c r="BP125" s="391"/>
      <c r="BQ125" s="391"/>
      <c r="BR125" s="391"/>
      <c r="BS125" s="391"/>
      <c r="BT125" s="391"/>
      <c r="BU125" s="391"/>
      <c r="BV125" s="391"/>
      <c r="BW125" s="391"/>
      <c r="BX125" s="391"/>
      <c r="BY125" s="391"/>
      <c r="BZ125" s="391"/>
      <c r="CA125" s="391"/>
      <c r="CB125" s="391"/>
      <c r="CC125" s="391"/>
      <c r="CD125" s="391"/>
      <c r="CE125" s="391"/>
      <c r="CF125" s="391"/>
      <c r="CG125" s="391"/>
      <c r="CH125" s="391"/>
      <c r="CI125" s="391"/>
      <c r="CJ125" s="391"/>
      <c r="CK125" s="391"/>
      <c r="CL125" s="391"/>
      <c r="CM125" s="391"/>
      <c r="CN125" s="391"/>
      <c r="CO125" s="391"/>
      <c r="CP125" s="391"/>
      <c r="CQ125" s="391"/>
      <c r="CR125" s="391"/>
      <c r="CS125" s="391"/>
      <c r="CT125" s="391"/>
      <c r="CU125" s="391"/>
      <c r="CV125" s="391"/>
      <c r="CW125" s="391"/>
      <c r="CX125" s="391"/>
      <c r="CY125" s="391"/>
      <c r="CZ125" s="391"/>
      <c r="DA125" s="391"/>
      <c r="DB125" s="391"/>
      <c r="DC125" s="391"/>
      <c r="DD125" s="391"/>
      <c r="DE125" s="391"/>
      <c r="DF125" s="391"/>
      <c r="DG125" s="391"/>
      <c r="DH125" s="391"/>
      <c r="DI125" s="391"/>
      <c r="DJ125" s="391"/>
      <c r="DK125" s="391"/>
      <c r="DL125" s="391"/>
      <c r="DM125" s="391"/>
      <c r="DN125" s="391"/>
      <c r="DO125" s="391"/>
      <c r="DP125" s="391"/>
      <c r="DQ125" s="391"/>
      <c r="DR125" s="391"/>
      <c r="DS125" s="391"/>
      <c r="DT125" s="391"/>
      <c r="DU125" s="398">
        <f t="shared" ref="DU125" si="9">COUNTIF(E125:DT125,"&gt;0")/63</f>
        <v>0</v>
      </c>
      <c r="DV125" s="399">
        <v>0</v>
      </c>
    </row>
    <row r="126" spans="1:126" s="230" customFormat="1" ht="69.75" customHeight="1">
      <c r="D126" s="397"/>
      <c r="E126" s="397"/>
      <c r="F126" s="397"/>
      <c r="G126" s="397"/>
      <c r="H126" s="397"/>
      <c r="I126" s="397"/>
      <c r="J126" s="397"/>
      <c r="K126" s="397"/>
      <c r="L126" s="397"/>
      <c r="M126" s="397"/>
      <c r="N126" s="397"/>
      <c r="O126" s="397"/>
      <c r="P126" s="397"/>
      <c r="Q126" s="397"/>
      <c r="R126" s="397"/>
      <c r="S126" s="397"/>
      <c r="T126" s="397"/>
      <c r="U126" s="397"/>
      <c r="V126" s="397"/>
      <c r="W126" s="397"/>
      <c r="X126" s="397"/>
      <c r="Y126" s="397"/>
      <c r="Z126" s="397"/>
      <c r="AA126" s="397"/>
      <c r="AB126" s="397"/>
      <c r="AC126" s="397"/>
      <c r="AD126" s="397"/>
      <c r="AE126" s="397"/>
      <c r="AF126" s="397"/>
      <c r="AG126" s="397"/>
      <c r="AH126" s="397"/>
      <c r="AI126" s="397"/>
      <c r="AJ126" s="397"/>
      <c r="AK126" s="397"/>
      <c r="AL126" s="397"/>
      <c r="AM126" s="397"/>
      <c r="AN126" s="397"/>
      <c r="AO126" s="397"/>
      <c r="AP126" s="397"/>
      <c r="AQ126" s="397"/>
      <c r="AR126" s="397"/>
      <c r="AS126" s="397"/>
      <c r="AT126" s="397"/>
      <c r="AU126" s="397"/>
      <c r="AV126" s="397"/>
      <c r="AW126" s="397"/>
      <c r="AX126" s="397"/>
      <c r="AY126" s="397"/>
      <c r="AZ126" s="397"/>
      <c r="BA126" s="397"/>
      <c r="BB126" s="397"/>
      <c r="BC126" s="397"/>
      <c r="BD126" s="397"/>
      <c r="BE126" s="397"/>
      <c r="BF126" s="397"/>
      <c r="BG126" s="397"/>
      <c r="BH126" s="397"/>
      <c r="BI126" s="397"/>
      <c r="BJ126" s="397"/>
      <c r="BK126" s="397"/>
      <c r="BL126" s="397"/>
      <c r="BM126" s="397"/>
      <c r="BN126" s="397"/>
      <c r="BO126" s="397"/>
      <c r="BP126" s="397"/>
      <c r="BQ126" s="397"/>
      <c r="BR126" s="397"/>
      <c r="BS126" s="397"/>
      <c r="BT126" s="397"/>
      <c r="BU126" s="397"/>
      <c r="BV126" s="397"/>
      <c r="BW126" s="397"/>
      <c r="BX126" s="397"/>
      <c r="BY126" s="397"/>
      <c r="BZ126" s="397"/>
      <c r="CA126" s="397"/>
      <c r="CB126" s="397"/>
      <c r="CC126" s="397"/>
      <c r="CD126" s="397"/>
      <c r="CE126" s="397"/>
      <c r="CF126" s="397"/>
      <c r="CG126" s="397"/>
      <c r="CH126" s="397"/>
      <c r="CI126" s="397"/>
      <c r="CJ126" s="397"/>
      <c r="CK126" s="397"/>
      <c r="CL126" s="397"/>
      <c r="CM126" s="397"/>
      <c r="CN126" s="397"/>
      <c r="CO126" s="397"/>
      <c r="CP126" s="397"/>
      <c r="CQ126" s="397"/>
      <c r="CR126" s="397"/>
      <c r="CS126" s="397"/>
      <c r="CT126" s="397"/>
      <c r="CU126" s="397"/>
      <c r="CV126" s="397"/>
      <c r="CW126" s="397"/>
      <c r="CX126" s="397"/>
      <c r="CY126" s="397"/>
      <c r="CZ126" s="397"/>
      <c r="DA126" s="397"/>
      <c r="DB126" s="397"/>
      <c r="DC126" s="397"/>
      <c r="DD126" s="397"/>
      <c r="DE126" s="397"/>
      <c r="DF126" s="397"/>
      <c r="DG126" s="397"/>
      <c r="DH126" s="397"/>
      <c r="DI126" s="397"/>
      <c r="DJ126" s="397"/>
      <c r="DK126" s="397"/>
      <c r="DL126" s="397"/>
      <c r="DM126" s="397"/>
      <c r="DN126" s="397"/>
      <c r="DO126" s="397"/>
      <c r="DP126" s="397"/>
      <c r="DQ126" s="397"/>
      <c r="DR126" s="397"/>
      <c r="DS126" s="397"/>
    </row>
    <row r="127" spans="1:126" ht="31.8" thickBot="1"/>
    <row r="128" spans="1:126" s="403" customFormat="1" ht="125.25" customHeight="1" thickBot="1">
      <c r="A128" s="1048" t="s">
        <v>1169</v>
      </c>
      <c r="B128" s="1049"/>
      <c r="C128" s="1049"/>
      <c r="D128" s="1049"/>
      <c r="E128" s="1050"/>
      <c r="F128" s="400">
        <f t="shared" ref="F128:AK128" si="10">COUNTIF(F14:F61,"&gt;1")</f>
        <v>12</v>
      </c>
      <c r="G128" s="400">
        <f t="shared" si="10"/>
        <v>35</v>
      </c>
      <c r="H128" s="400">
        <f t="shared" si="10"/>
        <v>23</v>
      </c>
      <c r="I128" s="400">
        <f t="shared" si="10"/>
        <v>7</v>
      </c>
      <c r="J128" s="400">
        <f t="shared" si="10"/>
        <v>10</v>
      </c>
      <c r="K128" s="400">
        <f t="shared" si="10"/>
        <v>5</v>
      </c>
      <c r="L128" s="400">
        <f t="shared" si="10"/>
        <v>7</v>
      </c>
      <c r="M128" s="400">
        <f t="shared" si="10"/>
        <v>2</v>
      </c>
      <c r="N128" s="400">
        <f t="shared" si="10"/>
        <v>16</v>
      </c>
      <c r="O128" s="400">
        <f t="shared" si="10"/>
        <v>4</v>
      </c>
      <c r="P128" s="400">
        <f t="shared" si="10"/>
        <v>5</v>
      </c>
      <c r="Q128" s="400">
        <f t="shared" si="10"/>
        <v>2</v>
      </c>
      <c r="R128" s="400">
        <f t="shared" si="10"/>
        <v>12</v>
      </c>
      <c r="S128" s="400">
        <f t="shared" si="10"/>
        <v>9</v>
      </c>
      <c r="T128" s="400">
        <f t="shared" si="10"/>
        <v>6</v>
      </c>
      <c r="U128" s="400">
        <f t="shared" si="10"/>
        <v>4</v>
      </c>
      <c r="V128" s="400">
        <f t="shared" si="10"/>
        <v>2</v>
      </c>
      <c r="W128" s="400">
        <f t="shared" si="10"/>
        <v>5</v>
      </c>
      <c r="X128" s="400">
        <f t="shared" si="10"/>
        <v>4</v>
      </c>
      <c r="Y128" s="400">
        <f t="shared" si="10"/>
        <v>2</v>
      </c>
      <c r="Z128" s="400">
        <f t="shared" si="10"/>
        <v>10</v>
      </c>
      <c r="AA128" s="400">
        <f t="shared" si="10"/>
        <v>5</v>
      </c>
      <c r="AB128" s="400">
        <f t="shared" si="10"/>
        <v>3</v>
      </c>
      <c r="AC128" s="400">
        <f t="shared" si="10"/>
        <v>1</v>
      </c>
      <c r="AD128" s="400">
        <f t="shared" si="10"/>
        <v>1</v>
      </c>
      <c r="AE128" s="400">
        <f t="shared" si="10"/>
        <v>9</v>
      </c>
      <c r="AF128" s="400">
        <f t="shared" si="10"/>
        <v>4</v>
      </c>
      <c r="AG128" s="400">
        <f t="shared" si="10"/>
        <v>16</v>
      </c>
      <c r="AH128" s="400">
        <f t="shared" si="10"/>
        <v>8</v>
      </c>
      <c r="AI128" s="400">
        <f t="shared" si="10"/>
        <v>0</v>
      </c>
      <c r="AJ128" s="400">
        <f t="shared" si="10"/>
        <v>0</v>
      </c>
      <c r="AK128" s="400">
        <f t="shared" si="10"/>
        <v>5</v>
      </c>
      <c r="AL128" s="400">
        <f t="shared" ref="AL128:BQ128" si="11">COUNTIF(AL14:AL61,"&gt;1")</f>
        <v>6</v>
      </c>
      <c r="AM128" s="400">
        <f t="shared" si="11"/>
        <v>7</v>
      </c>
      <c r="AN128" s="400">
        <f t="shared" si="11"/>
        <v>7</v>
      </c>
      <c r="AO128" s="400">
        <f t="shared" si="11"/>
        <v>8</v>
      </c>
      <c r="AP128" s="400">
        <f t="shared" si="11"/>
        <v>10</v>
      </c>
      <c r="AQ128" s="400">
        <f t="shared" si="11"/>
        <v>14</v>
      </c>
      <c r="AR128" s="400">
        <f t="shared" si="11"/>
        <v>12</v>
      </c>
      <c r="AS128" s="400">
        <f t="shared" si="11"/>
        <v>2</v>
      </c>
      <c r="AT128" s="400">
        <f t="shared" si="11"/>
        <v>11</v>
      </c>
      <c r="AU128" s="400">
        <f t="shared" si="11"/>
        <v>13</v>
      </c>
      <c r="AV128" s="400">
        <f t="shared" si="11"/>
        <v>6</v>
      </c>
      <c r="AW128" s="400">
        <f t="shared" si="11"/>
        <v>16</v>
      </c>
      <c r="AX128" s="400">
        <f t="shared" si="11"/>
        <v>15</v>
      </c>
      <c r="AY128" s="400">
        <f t="shared" si="11"/>
        <v>6</v>
      </c>
      <c r="AZ128" s="400">
        <f t="shared" si="11"/>
        <v>2</v>
      </c>
      <c r="BA128" s="400">
        <f t="shared" si="11"/>
        <v>5</v>
      </c>
      <c r="BB128" s="400">
        <f t="shared" si="11"/>
        <v>1</v>
      </c>
      <c r="BC128" s="400">
        <f t="shared" si="11"/>
        <v>20</v>
      </c>
      <c r="BD128" s="400">
        <f t="shared" si="11"/>
        <v>18</v>
      </c>
      <c r="BE128" s="400">
        <f t="shared" si="11"/>
        <v>12</v>
      </c>
      <c r="BF128" s="400">
        <f t="shared" si="11"/>
        <v>3</v>
      </c>
      <c r="BG128" s="400">
        <f t="shared" si="11"/>
        <v>2</v>
      </c>
      <c r="BH128" s="400">
        <f t="shared" si="11"/>
        <v>6</v>
      </c>
      <c r="BI128" s="400">
        <f t="shared" si="11"/>
        <v>9</v>
      </c>
      <c r="BJ128" s="400">
        <f t="shared" si="11"/>
        <v>7</v>
      </c>
      <c r="BK128" s="400">
        <f t="shared" si="11"/>
        <v>2</v>
      </c>
      <c r="BL128" s="400">
        <f t="shared" si="11"/>
        <v>2</v>
      </c>
      <c r="BM128" s="400">
        <f t="shared" si="11"/>
        <v>9</v>
      </c>
      <c r="BN128" s="400">
        <f t="shared" si="11"/>
        <v>1</v>
      </c>
      <c r="BO128" s="400">
        <f t="shared" si="11"/>
        <v>4</v>
      </c>
      <c r="BP128" s="400">
        <f t="shared" si="11"/>
        <v>9</v>
      </c>
      <c r="BQ128" s="400">
        <f t="shared" si="11"/>
        <v>34</v>
      </c>
      <c r="BR128" s="400">
        <f t="shared" ref="BR128:CT128" si="12">COUNTIF(BR14:BR61,"&gt;1")</f>
        <v>6</v>
      </c>
      <c r="BS128" s="400">
        <f t="shared" si="12"/>
        <v>3</v>
      </c>
      <c r="BT128" s="400">
        <f t="shared" si="12"/>
        <v>0</v>
      </c>
      <c r="BU128" s="400">
        <f t="shared" si="12"/>
        <v>0</v>
      </c>
      <c r="BV128" s="400">
        <f t="shared" si="12"/>
        <v>8</v>
      </c>
      <c r="BW128" s="400">
        <f t="shared" si="12"/>
        <v>9</v>
      </c>
      <c r="BX128" s="400">
        <f t="shared" si="12"/>
        <v>3</v>
      </c>
      <c r="BY128" s="400">
        <f t="shared" si="12"/>
        <v>4</v>
      </c>
      <c r="BZ128" s="400">
        <f t="shared" si="12"/>
        <v>2</v>
      </c>
      <c r="CA128" s="400">
        <f t="shared" si="12"/>
        <v>1</v>
      </c>
      <c r="CB128" s="400">
        <f t="shared" si="12"/>
        <v>1</v>
      </c>
      <c r="CC128" s="400">
        <f t="shared" si="12"/>
        <v>2</v>
      </c>
      <c r="CD128" s="400">
        <f t="shared" si="12"/>
        <v>10</v>
      </c>
      <c r="CE128" s="400">
        <f t="shared" si="12"/>
        <v>4</v>
      </c>
      <c r="CF128" s="400">
        <f t="shared" si="12"/>
        <v>7</v>
      </c>
      <c r="CG128" s="400">
        <f t="shared" si="12"/>
        <v>4</v>
      </c>
      <c r="CH128" s="400">
        <f t="shared" si="12"/>
        <v>11</v>
      </c>
      <c r="CI128" s="400">
        <f t="shared" si="12"/>
        <v>7</v>
      </c>
      <c r="CJ128" s="400">
        <f t="shared" si="12"/>
        <v>14</v>
      </c>
      <c r="CK128" s="400">
        <f t="shared" si="12"/>
        <v>14</v>
      </c>
      <c r="CL128" s="400">
        <f t="shared" si="12"/>
        <v>22</v>
      </c>
      <c r="CM128" s="400">
        <f t="shared" si="12"/>
        <v>21</v>
      </c>
      <c r="CN128" s="400">
        <f t="shared" si="12"/>
        <v>7</v>
      </c>
      <c r="CO128" s="400">
        <f t="shared" si="12"/>
        <v>2</v>
      </c>
      <c r="CP128" s="400">
        <f t="shared" si="12"/>
        <v>2</v>
      </c>
      <c r="CQ128" s="400">
        <f t="shared" si="12"/>
        <v>4</v>
      </c>
      <c r="CR128" s="400">
        <f t="shared" si="12"/>
        <v>1</v>
      </c>
      <c r="CS128" s="400">
        <f t="shared" si="12"/>
        <v>10</v>
      </c>
      <c r="CT128" s="400">
        <f t="shared" si="12"/>
        <v>7</v>
      </c>
      <c r="CU128" s="400"/>
      <c r="CV128" s="400"/>
      <c r="CW128" s="400">
        <f>COUNTIF(CW14:CW61,"&gt;1")</f>
        <v>5</v>
      </c>
      <c r="CX128" s="400">
        <f>COUNTIF(CX14:CX61,"&gt;1")</f>
        <v>2</v>
      </c>
      <c r="CY128" s="400">
        <f>COUNTIF(CY14:CY61,"&gt;1")</f>
        <v>3</v>
      </c>
      <c r="CZ128" s="400">
        <f t="shared" ref="CZ128:DT128" si="13">COUNTIF(CZ14:CZ61,"&gt;1")</f>
        <v>11</v>
      </c>
      <c r="DA128" s="400">
        <f t="shared" si="13"/>
        <v>5</v>
      </c>
      <c r="DB128" s="400">
        <f t="shared" si="13"/>
        <v>11</v>
      </c>
      <c r="DC128" s="400">
        <f t="shared" si="13"/>
        <v>3</v>
      </c>
      <c r="DD128" s="400">
        <f t="shared" si="13"/>
        <v>3</v>
      </c>
      <c r="DE128" s="400">
        <f t="shared" si="13"/>
        <v>9</v>
      </c>
      <c r="DF128" s="400">
        <f t="shared" si="13"/>
        <v>8</v>
      </c>
      <c r="DG128" s="400">
        <f t="shared" si="13"/>
        <v>2</v>
      </c>
      <c r="DH128" s="400">
        <f t="shared" si="13"/>
        <v>1</v>
      </c>
      <c r="DI128" s="400">
        <f t="shared" si="13"/>
        <v>1</v>
      </c>
      <c r="DJ128" s="400">
        <f t="shared" si="13"/>
        <v>2</v>
      </c>
      <c r="DK128" s="400">
        <f t="shared" si="13"/>
        <v>10</v>
      </c>
      <c r="DL128" s="400">
        <f t="shared" si="13"/>
        <v>8</v>
      </c>
      <c r="DM128" s="400">
        <f t="shared" si="13"/>
        <v>3</v>
      </c>
      <c r="DN128" s="400">
        <f t="shared" si="13"/>
        <v>0</v>
      </c>
      <c r="DO128" s="400">
        <f t="shared" si="13"/>
        <v>3</v>
      </c>
      <c r="DP128" s="400">
        <f t="shared" si="13"/>
        <v>0</v>
      </c>
      <c r="DQ128" s="400">
        <f t="shared" si="13"/>
        <v>3</v>
      </c>
      <c r="DR128" s="400">
        <f t="shared" si="13"/>
        <v>1</v>
      </c>
      <c r="DS128" s="400">
        <f t="shared" si="13"/>
        <v>1</v>
      </c>
      <c r="DT128" s="400">
        <f t="shared" si="13"/>
        <v>25</v>
      </c>
      <c r="DU128" s="401">
        <f>COUNTIF(E128:DT128,"&gt;0")/63</f>
        <v>1.7619047619047619</v>
      </c>
      <c r="DV128" s="402">
        <f>+COUNTIF(E128:DT128,"&gt;2")/COUNTIF(E128:DT128,"&gt;1")</f>
        <v>0.84</v>
      </c>
    </row>
    <row r="129" spans="1:126" s="403" customFormat="1" ht="125.25" customHeight="1" thickBot="1">
      <c r="A129" s="1051" t="s">
        <v>12</v>
      </c>
      <c r="B129" s="1052"/>
      <c r="C129" s="1052"/>
      <c r="D129" s="1052"/>
      <c r="E129" s="1053"/>
      <c r="F129" s="400">
        <v>3</v>
      </c>
      <c r="G129" s="400">
        <v>3</v>
      </c>
      <c r="H129" s="400">
        <v>3</v>
      </c>
      <c r="I129" s="400">
        <v>3</v>
      </c>
      <c r="J129" s="400">
        <v>3</v>
      </c>
      <c r="K129" s="400">
        <v>3</v>
      </c>
      <c r="L129" s="400">
        <v>3</v>
      </c>
      <c r="M129" s="400">
        <v>3</v>
      </c>
      <c r="N129" s="400">
        <v>3</v>
      </c>
      <c r="O129" s="400">
        <v>3</v>
      </c>
      <c r="P129" s="400">
        <v>3</v>
      </c>
      <c r="Q129" s="400">
        <v>3</v>
      </c>
      <c r="R129" s="400">
        <v>3</v>
      </c>
      <c r="S129" s="400">
        <v>3</v>
      </c>
      <c r="T129" s="400">
        <v>3</v>
      </c>
      <c r="U129" s="400">
        <v>3</v>
      </c>
      <c r="V129" s="400">
        <v>3</v>
      </c>
      <c r="W129" s="400">
        <v>3</v>
      </c>
      <c r="X129" s="400">
        <v>3</v>
      </c>
      <c r="Y129" s="400">
        <v>3</v>
      </c>
      <c r="Z129" s="400">
        <v>3</v>
      </c>
      <c r="AA129" s="400">
        <v>3</v>
      </c>
      <c r="AB129" s="400">
        <v>3</v>
      </c>
      <c r="AC129" s="400">
        <v>3</v>
      </c>
      <c r="AD129" s="400">
        <v>3</v>
      </c>
      <c r="AE129" s="400">
        <v>3</v>
      </c>
      <c r="AF129" s="400">
        <v>3</v>
      </c>
      <c r="AG129" s="400">
        <v>3</v>
      </c>
      <c r="AH129" s="400">
        <v>3</v>
      </c>
      <c r="AI129" s="400">
        <v>3</v>
      </c>
      <c r="AJ129" s="400">
        <v>3</v>
      </c>
      <c r="AK129" s="400">
        <v>3</v>
      </c>
      <c r="AL129" s="400">
        <v>3</v>
      </c>
      <c r="AM129" s="400">
        <v>3</v>
      </c>
      <c r="AN129" s="400">
        <v>3</v>
      </c>
      <c r="AO129" s="400">
        <v>3</v>
      </c>
      <c r="AP129" s="400">
        <v>3</v>
      </c>
      <c r="AQ129" s="400">
        <v>3</v>
      </c>
      <c r="AR129" s="400">
        <v>3</v>
      </c>
      <c r="AS129" s="400">
        <v>3</v>
      </c>
      <c r="AT129" s="400">
        <v>3</v>
      </c>
      <c r="AU129" s="400">
        <v>3</v>
      </c>
      <c r="AV129" s="400">
        <v>3</v>
      </c>
      <c r="AW129" s="400">
        <v>3</v>
      </c>
      <c r="AX129" s="400">
        <v>3</v>
      </c>
      <c r="AY129" s="400">
        <v>3</v>
      </c>
      <c r="AZ129" s="400">
        <v>3</v>
      </c>
      <c r="BA129" s="400">
        <v>3</v>
      </c>
      <c r="BB129" s="400">
        <v>3</v>
      </c>
      <c r="BC129" s="400">
        <v>3</v>
      </c>
      <c r="BD129" s="400">
        <v>3</v>
      </c>
      <c r="BE129" s="400">
        <v>3</v>
      </c>
      <c r="BF129" s="400">
        <v>3</v>
      </c>
      <c r="BG129" s="400">
        <v>3</v>
      </c>
      <c r="BH129" s="400">
        <v>3</v>
      </c>
      <c r="BI129" s="400">
        <v>3</v>
      </c>
      <c r="BJ129" s="400">
        <v>3</v>
      </c>
      <c r="BK129" s="400">
        <v>3</v>
      </c>
      <c r="BL129" s="400">
        <v>3</v>
      </c>
      <c r="BM129" s="400">
        <v>3</v>
      </c>
      <c r="BN129" s="400">
        <v>3</v>
      </c>
      <c r="BO129" s="400">
        <v>3</v>
      </c>
      <c r="BP129" s="400">
        <v>3</v>
      </c>
      <c r="BQ129" s="400">
        <v>3</v>
      </c>
      <c r="BR129" s="400">
        <v>3</v>
      </c>
      <c r="BS129" s="400">
        <v>3</v>
      </c>
      <c r="BT129" s="400">
        <v>3</v>
      </c>
      <c r="BU129" s="400">
        <v>3</v>
      </c>
      <c r="BV129" s="400">
        <v>3</v>
      </c>
      <c r="BW129" s="400">
        <v>3</v>
      </c>
      <c r="BX129" s="400">
        <v>3</v>
      </c>
      <c r="BY129" s="400">
        <v>3</v>
      </c>
      <c r="BZ129" s="400">
        <v>3</v>
      </c>
      <c r="CA129" s="400">
        <v>3</v>
      </c>
      <c r="CB129" s="400">
        <v>3</v>
      </c>
      <c r="CC129" s="400">
        <v>3</v>
      </c>
      <c r="CD129" s="400">
        <v>3</v>
      </c>
      <c r="CE129" s="400">
        <v>3</v>
      </c>
      <c r="CF129" s="400">
        <v>3</v>
      </c>
      <c r="CG129" s="400">
        <v>3</v>
      </c>
      <c r="CH129" s="400">
        <v>3</v>
      </c>
      <c r="CI129" s="400">
        <v>3</v>
      </c>
      <c r="CJ129" s="400">
        <v>3</v>
      </c>
      <c r="CK129" s="400">
        <v>3</v>
      </c>
      <c r="CL129" s="400">
        <v>3</v>
      </c>
      <c r="CM129" s="400">
        <v>3</v>
      </c>
      <c r="CN129" s="400">
        <v>3</v>
      </c>
      <c r="CO129" s="400">
        <v>3</v>
      </c>
      <c r="CP129" s="400">
        <v>3</v>
      </c>
      <c r="CQ129" s="400">
        <v>3</v>
      </c>
      <c r="CR129" s="400">
        <v>3</v>
      </c>
      <c r="CS129" s="400">
        <v>3</v>
      </c>
      <c r="CT129" s="400">
        <v>3</v>
      </c>
      <c r="CU129" s="400"/>
      <c r="CV129" s="400"/>
      <c r="CW129" s="400">
        <v>3</v>
      </c>
      <c r="CX129" s="400">
        <v>3</v>
      </c>
      <c r="CY129" s="400">
        <v>3</v>
      </c>
      <c r="CZ129" s="400">
        <v>3</v>
      </c>
      <c r="DA129" s="400">
        <v>3</v>
      </c>
      <c r="DB129" s="400">
        <v>3</v>
      </c>
      <c r="DC129" s="400">
        <v>3</v>
      </c>
      <c r="DD129" s="400">
        <v>3</v>
      </c>
      <c r="DE129" s="400">
        <v>3</v>
      </c>
      <c r="DF129" s="400">
        <v>3</v>
      </c>
      <c r="DG129" s="400">
        <v>3</v>
      </c>
      <c r="DH129" s="400">
        <v>3</v>
      </c>
      <c r="DI129" s="400">
        <v>3</v>
      </c>
      <c r="DJ129" s="400">
        <v>3</v>
      </c>
      <c r="DK129" s="400">
        <v>3</v>
      </c>
      <c r="DL129" s="400">
        <v>3</v>
      </c>
      <c r="DM129" s="400">
        <v>3</v>
      </c>
      <c r="DN129" s="400">
        <v>3</v>
      </c>
      <c r="DO129" s="400">
        <v>3</v>
      </c>
      <c r="DP129" s="400">
        <v>3</v>
      </c>
      <c r="DQ129" s="400">
        <v>3</v>
      </c>
      <c r="DR129" s="400">
        <v>3</v>
      </c>
      <c r="DS129" s="400">
        <v>3</v>
      </c>
      <c r="DT129" s="400">
        <v>3</v>
      </c>
      <c r="DU129" s="404">
        <f>COUNTIF(E129:DT129,"&gt;0")/63</f>
        <v>1.8571428571428572</v>
      </c>
      <c r="DV129" s="405">
        <f>+COUNTIF(E129:DT129,"&gt;2")/COUNTIF(E129:DT129,"&gt;1")</f>
        <v>1</v>
      </c>
    </row>
    <row r="130" spans="1:126" s="136" customFormat="1" ht="30">
      <c r="AK130" s="136" t="s">
        <v>213</v>
      </c>
      <c r="DV130" s="155"/>
    </row>
    <row r="131" spans="1:126" s="136" customFormat="1" ht="96" customHeight="1">
      <c r="B131" s="564" t="s">
        <v>13</v>
      </c>
      <c r="C131" s="564"/>
      <c r="D131" s="564"/>
      <c r="E131" s="564"/>
      <c r="F131" s="564"/>
      <c r="G131" s="564"/>
      <c r="H131" s="564"/>
      <c r="I131" s="564"/>
      <c r="J131" s="564"/>
      <c r="K131" s="564"/>
      <c r="L131" s="564"/>
      <c r="M131" s="564"/>
      <c r="N131" s="564"/>
      <c r="O131" s="564"/>
      <c r="P131" s="564"/>
      <c r="Q131" s="564" t="s">
        <v>1066</v>
      </c>
      <c r="R131" s="564"/>
      <c r="S131" s="564"/>
      <c r="T131" s="564"/>
      <c r="U131" s="564"/>
      <c r="V131" s="564"/>
      <c r="W131" s="564"/>
      <c r="X131" s="564"/>
      <c r="Y131" s="564"/>
      <c r="Z131" s="564"/>
      <c r="AA131" s="564"/>
      <c r="AB131" s="564"/>
      <c r="AC131" s="564"/>
      <c r="AD131" s="564"/>
      <c r="AE131" s="564"/>
      <c r="AF131" s="564"/>
      <c r="AG131" s="564"/>
      <c r="AH131" s="564"/>
      <c r="AI131" s="564"/>
      <c r="AJ131" s="564"/>
      <c r="AK131" s="564"/>
      <c r="AL131" s="564"/>
      <c r="AM131" s="564"/>
      <c r="AN131" s="564" t="s">
        <v>15</v>
      </c>
      <c r="AO131" s="564"/>
      <c r="AP131" s="564"/>
      <c r="AQ131" s="564"/>
      <c r="AR131" s="564"/>
      <c r="AS131" s="564"/>
      <c r="AT131" s="564"/>
      <c r="AU131" s="564"/>
      <c r="AV131" s="564"/>
      <c r="AW131" s="564"/>
      <c r="AX131" s="564"/>
      <c r="AY131" s="564"/>
      <c r="AZ131" s="564"/>
      <c r="BA131" s="564"/>
      <c r="BB131" s="564"/>
      <c r="BC131" s="564"/>
      <c r="BD131" s="564"/>
      <c r="BE131" s="564"/>
      <c r="BF131" s="564"/>
      <c r="BG131" s="564"/>
      <c r="BH131" s="564"/>
      <c r="DV131" s="155"/>
    </row>
    <row r="132" spans="1:126" s="136" customFormat="1" ht="99.75" customHeight="1">
      <c r="B132" s="564"/>
      <c r="C132" s="564"/>
      <c r="D132" s="564"/>
      <c r="E132" s="564"/>
      <c r="F132" s="564"/>
      <c r="G132" s="564"/>
      <c r="H132" s="564"/>
      <c r="I132" s="564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  <c r="AA132" s="564"/>
      <c r="AB132" s="564"/>
      <c r="AC132" s="564"/>
      <c r="AD132" s="564"/>
      <c r="AE132" s="564"/>
      <c r="AF132" s="564"/>
      <c r="AG132" s="564"/>
      <c r="AH132" s="564"/>
      <c r="AI132" s="564"/>
      <c r="AJ132" s="564"/>
      <c r="AK132" s="564"/>
      <c r="AL132" s="564"/>
      <c r="AM132" s="564"/>
      <c r="AN132" s="564"/>
      <c r="AO132" s="564"/>
      <c r="AP132" s="564"/>
      <c r="AQ132" s="564"/>
      <c r="AR132" s="564"/>
      <c r="AS132" s="564"/>
      <c r="AT132" s="564"/>
      <c r="AU132" s="564"/>
      <c r="AV132" s="564"/>
      <c r="AW132" s="564"/>
      <c r="AX132" s="564"/>
      <c r="AY132" s="564"/>
      <c r="AZ132" s="564"/>
      <c r="BA132" s="564"/>
      <c r="BB132" s="564"/>
      <c r="BC132" s="564"/>
      <c r="BD132" s="564"/>
      <c r="BE132" s="564"/>
      <c r="BF132" s="564"/>
      <c r="BG132" s="564"/>
      <c r="BH132" s="564"/>
      <c r="DV132" s="155"/>
    </row>
    <row r="133" spans="1:126" s="136" customFormat="1" ht="29.25" customHeight="1">
      <c r="B133" s="1044" t="s">
        <v>1167</v>
      </c>
      <c r="C133" s="1045"/>
      <c r="D133" s="1045"/>
      <c r="E133" s="1045"/>
      <c r="F133" s="1045"/>
      <c r="G133" s="1045"/>
      <c r="H133" s="1045"/>
      <c r="I133" s="1045"/>
      <c r="J133" s="1045"/>
      <c r="K133" s="1045"/>
      <c r="L133" s="1045"/>
      <c r="M133" s="1045"/>
      <c r="N133" s="1045"/>
      <c r="O133" s="1045"/>
      <c r="P133" s="1045"/>
      <c r="Q133" s="1045" t="s">
        <v>1168</v>
      </c>
      <c r="R133" s="1045"/>
      <c r="S133" s="1045"/>
      <c r="T133" s="1045"/>
      <c r="U133" s="1045"/>
      <c r="V133" s="1045"/>
      <c r="W133" s="1045"/>
      <c r="X133" s="1045"/>
      <c r="Y133" s="1045"/>
      <c r="Z133" s="1045"/>
      <c r="AA133" s="1045"/>
      <c r="AB133" s="1045"/>
      <c r="AC133" s="1045"/>
      <c r="AD133" s="1045"/>
      <c r="AE133" s="1045"/>
      <c r="AF133" s="1045"/>
      <c r="AG133" s="1045"/>
      <c r="AH133" s="1045"/>
      <c r="AI133" s="1045"/>
      <c r="AJ133" s="1045"/>
      <c r="AK133" s="1045"/>
      <c r="AL133" s="1045"/>
      <c r="AM133" s="1045"/>
      <c r="AN133" s="1045" t="s">
        <v>1167</v>
      </c>
      <c r="AO133" s="1045"/>
      <c r="AP133" s="1045"/>
      <c r="AQ133" s="1045"/>
      <c r="AR133" s="1045"/>
      <c r="AS133" s="1045"/>
      <c r="AT133" s="1045"/>
      <c r="AU133" s="1045"/>
      <c r="AV133" s="1045"/>
      <c r="AW133" s="1045"/>
      <c r="AX133" s="1045"/>
      <c r="AY133" s="1045"/>
      <c r="AZ133" s="1045"/>
      <c r="BA133" s="1045"/>
      <c r="BB133" s="1045"/>
      <c r="BC133" s="1045"/>
      <c r="BD133" s="1045"/>
      <c r="BE133" s="1045"/>
      <c r="BF133" s="1045"/>
      <c r="BG133" s="1045"/>
      <c r="BH133" s="1045"/>
      <c r="DV133" s="155"/>
    </row>
    <row r="134" spans="1:126" s="136" customFormat="1" ht="29.25" customHeight="1">
      <c r="B134" s="1045"/>
      <c r="C134" s="1045"/>
      <c r="D134" s="1045"/>
      <c r="E134" s="1045"/>
      <c r="F134" s="1045"/>
      <c r="G134" s="1045"/>
      <c r="H134" s="1045"/>
      <c r="I134" s="1045"/>
      <c r="J134" s="1045"/>
      <c r="K134" s="1045"/>
      <c r="L134" s="1045"/>
      <c r="M134" s="1045"/>
      <c r="N134" s="1045"/>
      <c r="O134" s="1045"/>
      <c r="P134" s="1045"/>
      <c r="Q134" s="1045"/>
      <c r="R134" s="1045"/>
      <c r="S134" s="1045"/>
      <c r="T134" s="1045"/>
      <c r="U134" s="1045"/>
      <c r="V134" s="1045"/>
      <c r="W134" s="1045"/>
      <c r="X134" s="1045"/>
      <c r="Y134" s="1045"/>
      <c r="Z134" s="1045"/>
      <c r="AA134" s="1045"/>
      <c r="AB134" s="1045"/>
      <c r="AC134" s="1045"/>
      <c r="AD134" s="1045"/>
      <c r="AE134" s="1045"/>
      <c r="AF134" s="1045"/>
      <c r="AG134" s="1045"/>
      <c r="AH134" s="1045"/>
      <c r="AI134" s="1045"/>
      <c r="AJ134" s="1045"/>
      <c r="AK134" s="1045"/>
      <c r="AL134" s="1045"/>
      <c r="AM134" s="1045"/>
      <c r="AN134" s="1045"/>
      <c r="AO134" s="1045"/>
      <c r="AP134" s="1045"/>
      <c r="AQ134" s="1045"/>
      <c r="AR134" s="1045"/>
      <c r="AS134" s="1045"/>
      <c r="AT134" s="1045"/>
      <c r="AU134" s="1045"/>
      <c r="AV134" s="1045"/>
      <c r="AW134" s="1045"/>
      <c r="AX134" s="1045"/>
      <c r="AY134" s="1045"/>
      <c r="AZ134" s="1045"/>
      <c r="BA134" s="1045"/>
      <c r="BB134" s="1045"/>
      <c r="BC134" s="1045"/>
      <c r="BD134" s="1045"/>
      <c r="BE134" s="1045"/>
      <c r="BF134" s="1045"/>
      <c r="BG134" s="1045"/>
      <c r="BH134" s="1045"/>
      <c r="DV134" s="155"/>
    </row>
    <row r="135" spans="1:126" s="136" customFormat="1" ht="29.25" customHeight="1">
      <c r="B135" s="1045"/>
      <c r="C135" s="1045"/>
      <c r="D135" s="1045"/>
      <c r="E135" s="1045"/>
      <c r="F135" s="1045"/>
      <c r="G135" s="1045"/>
      <c r="H135" s="1045"/>
      <c r="I135" s="1045"/>
      <c r="J135" s="1045"/>
      <c r="K135" s="1045"/>
      <c r="L135" s="1045"/>
      <c r="M135" s="1045"/>
      <c r="N135" s="1045"/>
      <c r="O135" s="1045"/>
      <c r="P135" s="1045"/>
      <c r="Q135" s="1045"/>
      <c r="R135" s="1045"/>
      <c r="S135" s="1045"/>
      <c r="T135" s="1045"/>
      <c r="U135" s="1045"/>
      <c r="V135" s="1045"/>
      <c r="W135" s="1045"/>
      <c r="X135" s="1045"/>
      <c r="Y135" s="1045"/>
      <c r="Z135" s="1045"/>
      <c r="AA135" s="1045"/>
      <c r="AB135" s="1045"/>
      <c r="AC135" s="1045"/>
      <c r="AD135" s="1045"/>
      <c r="AE135" s="1045"/>
      <c r="AF135" s="1045"/>
      <c r="AG135" s="1045"/>
      <c r="AH135" s="1045"/>
      <c r="AI135" s="1045"/>
      <c r="AJ135" s="1045"/>
      <c r="AK135" s="1045"/>
      <c r="AL135" s="1045"/>
      <c r="AM135" s="1045"/>
      <c r="AN135" s="1045"/>
      <c r="AO135" s="1045"/>
      <c r="AP135" s="1045"/>
      <c r="AQ135" s="1045"/>
      <c r="AR135" s="1045"/>
      <c r="AS135" s="1045"/>
      <c r="AT135" s="1045"/>
      <c r="AU135" s="1045"/>
      <c r="AV135" s="1045"/>
      <c r="AW135" s="1045"/>
      <c r="AX135" s="1045"/>
      <c r="AY135" s="1045"/>
      <c r="AZ135" s="1045"/>
      <c r="BA135" s="1045"/>
      <c r="BB135" s="1045"/>
      <c r="BC135" s="1045"/>
      <c r="BD135" s="1045"/>
      <c r="BE135" s="1045"/>
      <c r="BF135" s="1045"/>
      <c r="BG135" s="1045"/>
      <c r="BH135" s="1045"/>
      <c r="CK135" s="140"/>
      <c r="CL135" s="140"/>
      <c r="CM135" s="140"/>
      <c r="CN135" s="140"/>
      <c r="CO135" s="140"/>
      <c r="CP135" s="46"/>
      <c r="CQ135" s="46"/>
      <c r="CR135" s="46"/>
      <c r="CS135" s="46"/>
      <c r="DV135" s="155"/>
    </row>
    <row r="136" spans="1:126" s="136" customFormat="1" ht="131.25" customHeight="1">
      <c r="B136" s="1045"/>
      <c r="C136" s="1045"/>
      <c r="D136" s="1045"/>
      <c r="E136" s="1045"/>
      <c r="F136" s="1045"/>
      <c r="G136" s="1045"/>
      <c r="H136" s="1045"/>
      <c r="I136" s="1045"/>
      <c r="J136" s="1045"/>
      <c r="K136" s="1045"/>
      <c r="L136" s="1045"/>
      <c r="M136" s="1045"/>
      <c r="N136" s="1045"/>
      <c r="O136" s="1045"/>
      <c r="P136" s="1045"/>
      <c r="Q136" s="1045"/>
      <c r="R136" s="1045"/>
      <c r="S136" s="1045"/>
      <c r="T136" s="1045"/>
      <c r="U136" s="1045"/>
      <c r="V136" s="1045"/>
      <c r="W136" s="1045"/>
      <c r="X136" s="1045"/>
      <c r="Y136" s="1045"/>
      <c r="Z136" s="1045"/>
      <c r="AA136" s="1045"/>
      <c r="AB136" s="1045"/>
      <c r="AC136" s="1045"/>
      <c r="AD136" s="1045"/>
      <c r="AE136" s="1045"/>
      <c r="AF136" s="1045"/>
      <c r="AG136" s="1045"/>
      <c r="AH136" s="1045"/>
      <c r="AI136" s="1045"/>
      <c r="AJ136" s="1045"/>
      <c r="AK136" s="1045"/>
      <c r="AL136" s="1045"/>
      <c r="AM136" s="1045"/>
      <c r="AN136" s="1045"/>
      <c r="AO136" s="1045"/>
      <c r="AP136" s="1045"/>
      <c r="AQ136" s="1045"/>
      <c r="AR136" s="1045"/>
      <c r="AS136" s="1045"/>
      <c r="AT136" s="1045"/>
      <c r="AU136" s="1045"/>
      <c r="AV136" s="1045"/>
      <c r="AW136" s="1045"/>
      <c r="AX136" s="1045"/>
      <c r="AY136" s="1045"/>
      <c r="AZ136" s="1045"/>
      <c r="BA136" s="1045"/>
      <c r="BB136" s="1045"/>
      <c r="BC136" s="1045"/>
      <c r="BD136" s="1045"/>
      <c r="BE136" s="1045"/>
      <c r="BF136" s="1045"/>
      <c r="BG136" s="1045"/>
      <c r="BH136" s="1045"/>
      <c r="CK136" s="140"/>
      <c r="CL136" s="140"/>
      <c r="CM136" s="140"/>
      <c r="CN136" s="140"/>
      <c r="CO136" s="140"/>
      <c r="CP136" s="46"/>
      <c r="CQ136" s="46"/>
      <c r="CR136" s="46"/>
      <c r="CS136" s="46"/>
      <c r="DV136" s="155"/>
    </row>
    <row r="137" spans="1:126" s="136" customFormat="1" ht="131.25" customHeight="1">
      <c r="B137" s="1045"/>
      <c r="C137" s="1045"/>
      <c r="D137" s="1045"/>
      <c r="E137" s="1045"/>
      <c r="F137" s="1045"/>
      <c r="G137" s="1045"/>
      <c r="H137" s="1045"/>
      <c r="I137" s="1045"/>
      <c r="J137" s="1045"/>
      <c r="K137" s="1045"/>
      <c r="L137" s="1045"/>
      <c r="M137" s="1045"/>
      <c r="N137" s="1045"/>
      <c r="O137" s="1045"/>
      <c r="P137" s="1045"/>
      <c r="Q137" s="1045"/>
      <c r="R137" s="1045"/>
      <c r="S137" s="1045"/>
      <c r="T137" s="1045"/>
      <c r="U137" s="1045"/>
      <c r="V137" s="1045"/>
      <c r="W137" s="1045"/>
      <c r="X137" s="1045"/>
      <c r="Y137" s="1045"/>
      <c r="Z137" s="1045"/>
      <c r="AA137" s="1045"/>
      <c r="AB137" s="1045"/>
      <c r="AC137" s="1045"/>
      <c r="AD137" s="1045"/>
      <c r="AE137" s="1045"/>
      <c r="AF137" s="1045"/>
      <c r="AG137" s="1045"/>
      <c r="AH137" s="1045"/>
      <c r="AI137" s="1045"/>
      <c r="AJ137" s="1045"/>
      <c r="AK137" s="1045"/>
      <c r="AL137" s="1045"/>
      <c r="AM137" s="1045"/>
      <c r="AN137" s="1045"/>
      <c r="AO137" s="1045"/>
      <c r="AP137" s="1045"/>
      <c r="AQ137" s="1045"/>
      <c r="AR137" s="1045"/>
      <c r="AS137" s="1045"/>
      <c r="AT137" s="1045"/>
      <c r="AU137" s="1045"/>
      <c r="AV137" s="1045"/>
      <c r="AW137" s="1045"/>
      <c r="AX137" s="1045"/>
      <c r="AY137" s="1045"/>
      <c r="AZ137" s="1045"/>
      <c r="BA137" s="1045"/>
      <c r="BB137" s="1045"/>
      <c r="BC137" s="1045"/>
      <c r="BD137" s="1045"/>
      <c r="BE137" s="1045"/>
      <c r="BF137" s="1045"/>
      <c r="BG137" s="1045"/>
      <c r="BH137" s="1045"/>
      <c r="CK137" s="140"/>
      <c r="CL137" s="140"/>
      <c r="CM137" s="140"/>
      <c r="CN137" s="140"/>
      <c r="CO137" s="140"/>
      <c r="CP137" s="46"/>
      <c r="CQ137" s="46"/>
      <c r="CR137" s="46"/>
      <c r="CS137" s="46"/>
      <c r="DV137" s="155"/>
    </row>
    <row r="138" spans="1:126" s="136" customFormat="1" ht="131.25" customHeight="1">
      <c r="B138" s="1045"/>
      <c r="C138" s="1045"/>
      <c r="D138" s="1045"/>
      <c r="E138" s="1045"/>
      <c r="F138" s="1045"/>
      <c r="G138" s="1045"/>
      <c r="H138" s="1045"/>
      <c r="I138" s="1045"/>
      <c r="J138" s="1045"/>
      <c r="K138" s="1045"/>
      <c r="L138" s="1045"/>
      <c r="M138" s="1045"/>
      <c r="N138" s="1045"/>
      <c r="O138" s="1045"/>
      <c r="P138" s="1045"/>
      <c r="Q138" s="1045"/>
      <c r="R138" s="1045"/>
      <c r="S138" s="1045"/>
      <c r="T138" s="1045"/>
      <c r="U138" s="1045"/>
      <c r="V138" s="1045"/>
      <c r="W138" s="1045"/>
      <c r="X138" s="1045"/>
      <c r="Y138" s="1045"/>
      <c r="Z138" s="1045"/>
      <c r="AA138" s="1045"/>
      <c r="AB138" s="1045"/>
      <c r="AC138" s="1045"/>
      <c r="AD138" s="1045"/>
      <c r="AE138" s="1045"/>
      <c r="AF138" s="1045"/>
      <c r="AG138" s="1045"/>
      <c r="AH138" s="1045"/>
      <c r="AI138" s="1045"/>
      <c r="AJ138" s="1045"/>
      <c r="AK138" s="1045"/>
      <c r="AL138" s="1045"/>
      <c r="AM138" s="1045"/>
      <c r="AN138" s="1045"/>
      <c r="AO138" s="1045"/>
      <c r="AP138" s="1045"/>
      <c r="AQ138" s="1045"/>
      <c r="AR138" s="1045"/>
      <c r="AS138" s="1045"/>
      <c r="AT138" s="1045"/>
      <c r="AU138" s="1045"/>
      <c r="AV138" s="1045"/>
      <c r="AW138" s="1045"/>
      <c r="AX138" s="1045"/>
      <c r="AY138" s="1045"/>
      <c r="AZ138" s="1045"/>
      <c r="BA138" s="1045"/>
      <c r="BB138" s="1045"/>
      <c r="BC138" s="1045"/>
      <c r="BD138" s="1045"/>
      <c r="BE138" s="1045"/>
      <c r="BF138" s="1045"/>
      <c r="BG138" s="1045"/>
      <c r="BH138" s="1045"/>
      <c r="CK138" s="140"/>
      <c r="CL138" s="140"/>
      <c r="CM138" s="140"/>
      <c r="CN138" s="140"/>
      <c r="CO138" s="140"/>
      <c r="CP138" s="46"/>
      <c r="CQ138" s="46"/>
      <c r="CR138" s="46"/>
      <c r="CS138" s="46"/>
      <c r="DV138" s="155"/>
    </row>
    <row r="139" spans="1:126" s="136" customFormat="1" ht="131.25" customHeight="1">
      <c r="B139" s="1045"/>
      <c r="C139" s="1045"/>
      <c r="D139" s="1045"/>
      <c r="E139" s="1045"/>
      <c r="F139" s="1045"/>
      <c r="G139" s="1045"/>
      <c r="H139" s="1045"/>
      <c r="I139" s="1045"/>
      <c r="J139" s="1045"/>
      <c r="K139" s="1045"/>
      <c r="L139" s="1045"/>
      <c r="M139" s="1045"/>
      <c r="N139" s="1045"/>
      <c r="O139" s="1045"/>
      <c r="P139" s="1045"/>
      <c r="Q139" s="1045"/>
      <c r="R139" s="1045"/>
      <c r="S139" s="1045"/>
      <c r="T139" s="1045"/>
      <c r="U139" s="1045"/>
      <c r="V139" s="1045"/>
      <c r="W139" s="1045"/>
      <c r="X139" s="1045"/>
      <c r="Y139" s="1045"/>
      <c r="Z139" s="1045"/>
      <c r="AA139" s="1045"/>
      <c r="AB139" s="1045"/>
      <c r="AC139" s="1045"/>
      <c r="AD139" s="1045"/>
      <c r="AE139" s="1045"/>
      <c r="AF139" s="1045"/>
      <c r="AG139" s="1045"/>
      <c r="AH139" s="1045"/>
      <c r="AI139" s="1045"/>
      <c r="AJ139" s="1045"/>
      <c r="AK139" s="1045"/>
      <c r="AL139" s="1045"/>
      <c r="AM139" s="1045"/>
      <c r="AN139" s="1045"/>
      <c r="AO139" s="1045"/>
      <c r="AP139" s="1045"/>
      <c r="AQ139" s="1045"/>
      <c r="AR139" s="1045"/>
      <c r="AS139" s="1045"/>
      <c r="AT139" s="1045"/>
      <c r="AU139" s="1045"/>
      <c r="AV139" s="1045"/>
      <c r="AW139" s="1045"/>
      <c r="AX139" s="1045"/>
      <c r="AY139" s="1045"/>
      <c r="AZ139" s="1045"/>
      <c r="BA139" s="1045"/>
      <c r="BB139" s="1045"/>
      <c r="BC139" s="1045"/>
      <c r="BD139" s="1045"/>
      <c r="BE139" s="1045"/>
      <c r="BF139" s="1045"/>
      <c r="BG139" s="1045"/>
      <c r="BH139" s="1045"/>
      <c r="CK139" s="109"/>
      <c r="CL139" s="109"/>
      <c r="CM139" s="109"/>
      <c r="CN139" s="109"/>
      <c r="CO139" s="109"/>
      <c r="CP139" s="29"/>
      <c r="CQ139" s="29"/>
      <c r="CR139" s="29"/>
      <c r="CS139" s="29"/>
      <c r="DV139" s="155"/>
    </row>
    <row r="140" spans="1:126" s="136" customFormat="1" ht="29.25" customHeight="1">
      <c r="B140" s="1045"/>
      <c r="C140" s="1045"/>
      <c r="D140" s="1045"/>
      <c r="E140" s="1045"/>
      <c r="F140" s="1045"/>
      <c r="G140" s="1045"/>
      <c r="H140" s="1045"/>
      <c r="I140" s="1045"/>
      <c r="J140" s="1045"/>
      <c r="K140" s="1045"/>
      <c r="L140" s="1045"/>
      <c r="M140" s="1045"/>
      <c r="N140" s="1045"/>
      <c r="O140" s="1045"/>
      <c r="P140" s="1045"/>
      <c r="Q140" s="1045"/>
      <c r="R140" s="1045"/>
      <c r="S140" s="1045"/>
      <c r="T140" s="1045"/>
      <c r="U140" s="1045"/>
      <c r="V140" s="1045"/>
      <c r="W140" s="1045"/>
      <c r="X140" s="1045"/>
      <c r="Y140" s="1045"/>
      <c r="Z140" s="1045"/>
      <c r="AA140" s="1045"/>
      <c r="AB140" s="1045"/>
      <c r="AC140" s="1045"/>
      <c r="AD140" s="1045"/>
      <c r="AE140" s="1045"/>
      <c r="AF140" s="1045"/>
      <c r="AG140" s="1045"/>
      <c r="AH140" s="1045"/>
      <c r="AI140" s="1045"/>
      <c r="AJ140" s="1045"/>
      <c r="AK140" s="1045"/>
      <c r="AL140" s="1045"/>
      <c r="AM140" s="1045"/>
      <c r="AN140" s="1045"/>
      <c r="AO140" s="1045"/>
      <c r="AP140" s="1045"/>
      <c r="AQ140" s="1045"/>
      <c r="AR140" s="1045"/>
      <c r="AS140" s="1045"/>
      <c r="AT140" s="1045"/>
      <c r="AU140" s="1045"/>
      <c r="AV140" s="1045"/>
      <c r="AW140" s="1045"/>
      <c r="AX140" s="1045"/>
      <c r="AY140" s="1045"/>
      <c r="AZ140" s="1045"/>
      <c r="BA140" s="1045"/>
      <c r="BB140" s="1045"/>
      <c r="BC140" s="1045"/>
      <c r="BD140" s="1045"/>
      <c r="BE140" s="1045"/>
      <c r="BF140" s="1045"/>
      <c r="BG140" s="1045"/>
      <c r="BH140" s="1045"/>
      <c r="CK140" s="109"/>
      <c r="CL140" s="109"/>
      <c r="CM140" s="109"/>
      <c r="CN140" s="109"/>
      <c r="CO140" s="109"/>
      <c r="CP140" s="29"/>
      <c r="CQ140" s="29"/>
      <c r="CR140" s="29"/>
      <c r="CS140" s="29"/>
      <c r="DV140" s="155"/>
    </row>
    <row r="141" spans="1:126" s="136" customFormat="1" ht="29.25" customHeight="1">
      <c r="B141" s="1045"/>
      <c r="C141" s="1045"/>
      <c r="D141" s="1045"/>
      <c r="E141" s="1045"/>
      <c r="F141" s="1045"/>
      <c r="G141" s="1045"/>
      <c r="H141" s="1045"/>
      <c r="I141" s="1045"/>
      <c r="J141" s="1045"/>
      <c r="K141" s="1045"/>
      <c r="L141" s="1045"/>
      <c r="M141" s="1045"/>
      <c r="N141" s="1045"/>
      <c r="O141" s="1045"/>
      <c r="P141" s="1045"/>
      <c r="Q141" s="1045"/>
      <c r="R141" s="1045"/>
      <c r="S141" s="1045"/>
      <c r="T141" s="1045"/>
      <c r="U141" s="1045"/>
      <c r="V141" s="1045"/>
      <c r="W141" s="1045"/>
      <c r="X141" s="1045"/>
      <c r="Y141" s="1045"/>
      <c r="Z141" s="1045"/>
      <c r="AA141" s="1045"/>
      <c r="AB141" s="1045"/>
      <c r="AC141" s="1045"/>
      <c r="AD141" s="1045"/>
      <c r="AE141" s="1045"/>
      <c r="AF141" s="1045"/>
      <c r="AG141" s="1045"/>
      <c r="AH141" s="1045"/>
      <c r="AI141" s="1045"/>
      <c r="AJ141" s="1045"/>
      <c r="AK141" s="1045"/>
      <c r="AL141" s="1045"/>
      <c r="AM141" s="1045"/>
      <c r="AN141" s="1045"/>
      <c r="AO141" s="1045"/>
      <c r="AP141" s="1045"/>
      <c r="AQ141" s="1045"/>
      <c r="AR141" s="1045"/>
      <c r="AS141" s="1045"/>
      <c r="AT141" s="1045"/>
      <c r="AU141" s="1045"/>
      <c r="AV141" s="1045"/>
      <c r="AW141" s="1045"/>
      <c r="AX141" s="1045"/>
      <c r="AY141" s="1045"/>
      <c r="AZ141" s="1045"/>
      <c r="BA141" s="1045"/>
      <c r="BB141" s="1045"/>
      <c r="BC141" s="1045"/>
      <c r="BD141" s="1045"/>
      <c r="BE141" s="1045"/>
      <c r="BF141" s="1045"/>
      <c r="BG141" s="1045"/>
      <c r="BH141" s="1045"/>
      <c r="CK141" s="109"/>
      <c r="CL141" s="109"/>
      <c r="CM141" s="109"/>
      <c r="CN141" s="109"/>
      <c r="CO141" s="109"/>
      <c r="CP141" s="29"/>
      <c r="CQ141" s="29"/>
      <c r="CR141" s="29"/>
      <c r="CS141" s="29"/>
      <c r="DV141" s="155"/>
    </row>
    <row r="142" spans="1:126" s="136" customFormat="1" ht="29.25" customHeight="1">
      <c r="B142" s="1045"/>
      <c r="C142" s="1045"/>
      <c r="D142" s="1045"/>
      <c r="E142" s="1045"/>
      <c r="F142" s="1045"/>
      <c r="G142" s="1045"/>
      <c r="H142" s="1045"/>
      <c r="I142" s="1045"/>
      <c r="J142" s="1045"/>
      <c r="K142" s="1045"/>
      <c r="L142" s="1045"/>
      <c r="M142" s="1045"/>
      <c r="N142" s="1045"/>
      <c r="O142" s="1045"/>
      <c r="P142" s="1045"/>
      <c r="Q142" s="1045"/>
      <c r="R142" s="1045"/>
      <c r="S142" s="1045"/>
      <c r="T142" s="1045"/>
      <c r="U142" s="1045"/>
      <c r="V142" s="1045"/>
      <c r="W142" s="1045"/>
      <c r="X142" s="1045"/>
      <c r="Y142" s="1045"/>
      <c r="Z142" s="1045"/>
      <c r="AA142" s="1045"/>
      <c r="AB142" s="1045"/>
      <c r="AC142" s="1045"/>
      <c r="AD142" s="1045"/>
      <c r="AE142" s="1045"/>
      <c r="AF142" s="1045"/>
      <c r="AG142" s="1045"/>
      <c r="AH142" s="1045"/>
      <c r="AI142" s="1045"/>
      <c r="AJ142" s="1045"/>
      <c r="AK142" s="1045"/>
      <c r="AL142" s="1045"/>
      <c r="AM142" s="1045"/>
      <c r="AN142" s="1045"/>
      <c r="AO142" s="1045"/>
      <c r="AP142" s="1045"/>
      <c r="AQ142" s="1045"/>
      <c r="AR142" s="1045"/>
      <c r="AS142" s="1045"/>
      <c r="AT142" s="1045"/>
      <c r="AU142" s="1045"/>
      <c r="AV142" s="1045"/>
      <c r="AW142" s="1045"/>
      <c r="AX142" s="1045"/>
      <c r="AY142" s="1045"/>
      <c r="AZ142" s="1045"/>
      <c r="BA142" s="1045"/>
      <c r="BB142" s="1045"/>
      <c r="BC142" s="1045"/>
      <c r="BD142" s="1045"/>
      <c r="BE142" s="1045"/>
      <c r="BF142" s="1045"/>
      <c r="BG142" s="1045"/>
      <c r="BH142" s="1045"/>
      <c r="CK142" s="109"/>
      <c r="CL142" s="109"/>
      <c r="CM142" s="109"/>
      <c r="CN142" s="109"/>
      <c r="CO142" s="109"/>
      <c r="CP142" s="29"/>
      <c r="CQ142" s="29"/>
      <c r="CR142" s="29"/>
      <c r="CS142" s="29"/>
      <c r="DV142" s="155"/>
    </row>
    <row r="143" spans="1:126">
      <c r="CG143" s="105">
        <v>0</v>
      </c>
      <c r="CK143" s="109"/>
      <c r="CL143" s="109"/>
      <c r="CM143" s="109"/>
      <c r="CN143" s="109"/>
      <c r="CO143" s="109"/>
      <c r="CP143" s="29"/>
      <c r="CQ143" s="29"/>
      <c r="CR143" s="29"/>
      <c r="CS143" s="29"/>
    </row>
    <row r="144" spans="1:126" ht="131.25" customHeight="1">
      <c r="A144" s="1046" t="s">
        <v>1166</v>
      </c>
      <c r="B144" s="1046"/>
      <c r="C144" s="1046"/>
      <c r="D144" s="1046"/>
      <c r="E144" s="1046"/>
      <c r="F144" s="1046"/>
      <c r="G144" s="1046"/>
      <c r="CK144" s="109"/>
      <c r="CL144" s="109"/>
      <c r="CM144" s="109"/>
      <c r="CN144" s="109"/>
      <c r="CO144" s="109"/>
      <c r="CP144" s="29"/>
      <c r="CQ144" s="29"/>
      <c r="CR144" s="29"/>
      <c r="CS144" s="29"/>
    </row>
    <row r="145" spans="1:126" ht="87.75" customHeight="1">
      <c r="A145" s="1047" t="s">
        <v>19</v>
      </c>
      <c r="B145" s="1047"/>
      <c r="C145" s="1047"/>
      <c r="D145" s="1047"/>
      <c r="E145" s="1047"/>
      <c r="F145" s="1047"/>
      <c r="G145" s="1047"/>
      <c r="CK145" s="109"/>
      <c r="CL145" s="109"/>
      <c r="CM145" s="109"/>
      <c r="CN145" s="109"/>
      <c r="CO145" s="109"/>
      <c r="CP145" s="29"/>
      <c r="CQ145" s="29"/>
      <c r="CR145" s="29"/>
      <c r="CS145" s="29"/>
    </row>
    <row r="146" spans="1:126">
      <c r="CK146" s="109"/>
      <c r="CL146" s="109" t="s">
        <v>781</v>
      </c>
      <c r="CM146" s="109"/>
      <c r="CN146" s="109"/>
      <c r="CO146" s="109"/>
      <c r="CP146" s="29"/>
      <c r="CQ146" s="29"/>
      <c r="CR146" s="29"/>
      <c r="CS146" s="29"/>
    </row>
    <row r="147" spans="1:126">
      <c r="CK147" s="109"/>
      <c r="CL147" s="109"/>
      <c r="CM147" s="109"/>
      <c r="CN147" s="109"/>
      <c r="CO147" s="109"/>
      <c r="CP147" s="29"/>
      <c r="CQ147" s="29"/>
      <c r="CR147" s="29"/>
      <c r="CS147" s="29"/>
    </row>
    <row r="148" spans="1:126">
      <c r="CI148" s="125"/>
      <c r="CJ148" s="125"/>
      <c r="CN148" s="30"/>
      <c r="CO148" s="30"/>
      <c r="CR148" s="105"/>
      <c r="CS148" s="105"/>
      <c r="DT148" s="156"/>
      <c r="DV148" s="105"/>
    </row>
    <row r="159" spans="1:126">
      <c r="BM159" s="105" t="s">
        <v>637</v>
      </c>
    </row>
    <row r="160" spans="1:126">
      <c r="BM160" s="105" t="s">
        <v>638</v>
      </c>
    </row>
  </sheetData>
  <autoFilter ref="A17:D125" xr:uid="{953054A3-B9F0-439B-A78A-5F4A2E307EDA}"/>
  <mergeCells count="241">
    <mergeCell ref="A1:B2"/>
    <mergeCell ref="C1:DR1"/>
    <mergeCell ref="DS1:DT1"/>
    <mergeCell ref="DU1:DV1"/>
    <mergeCell ref="C2:DR2"/>
    <mergeCell ref="DS2:DT2"/>
    <mergeCell ref="DU2:DV2"/>
    <mergeCell ref="BN11:BP12"/>
    <mergeCell ref="BQ11:BR12"/>
    <mergeCell ref="DR3:DT9"/>
    <mergeCell ref="DU3:DU9"/>
    <mergeCell ref="DV3:DV9"/>
    <mergeCell ref="F7:DF7"/>
    <mergeCell ref="E10:DV10"/>
    <mergeCell ref="E11:Q12"/>
    <mergeCell ref="R11:AB12"/>
    <mergeCell ref="AC11:AJ12"/>
    <mergeCell ref="AK11:AP12"/>
    <mergeCell ref="AQ11:BE12"/>
    <mergeCell ref="A12:A16"/>
    <mergeCell ref="B12:B16"/>
    <mergeCell ref="C12:C16"/>
    <mergeCell ref="D12:D16"/>
    <mergeCell ref="E13:F14"/>
    <mergeCell ref="G13:I14"/>
    <mergeCell ref="J13:K14"/>
    <mergeCell ref="DI11:DI12"/>
    <mergeCell ref="DJ11:DJ12"/>
    <mergeCell ref="DI15:DI16"/>
    <mergeCell ref="CY11:CY12"/>
    <mergeCell ref="CZ11:DA12"/>
    <mergeCell ref="DB11:DC12"/>
    <mergeCell ref="DD11:DD12"/>
    <mergeCell ref="DE11:DF12"/>
    <mergeCell ref="DG11:DH12"/>
    <mergeCell ref="CF11:CG12"/>
    <mergeCell ref="CH11:CI12"/>
    <mergeCell ref="CJ11:CN12"/>
    <mergeCell ref="CO11:CR12"/>
    <mergeCell ref="CS11:CV12"/>
    <mergeCell ref="CW11:CX12"/>
    <mergeCell ref="BS11:BU12"/>
    <mergeCell ref="BV11:BW12"/>
    <mergeCell ref="L13:M14"/>
    <mergeCell ref="N13:O14"/>
    <mergeCell ref="P13:Q14"/>
    <mergeCell ref="R13:T14"/>
    <mergeCell ref="U13:V14"/>
    <mergeCell ref="W13:Y14"/>
    <mergeCell ref="DT11:DT16"/>
    <mergeCell ref="DU11:DU16"/>
    <mergeCell ref="DV11:DV16"/>
    <mergeCell ref="DK11:DM12"/>
    <mergeCell ref="DN11:DQ12"/>
    <mergeCell ref="DR11:DR16"/>
    <mergeCell ref="DS11:DS16"/>
    <mergeCell ref="DK13:DM14"/>
    <mergeCell ref="DN13:DO14"/>
    <mergeCell ref="DP13:DQ14"/>
    <mergeCell ref="BX11:BZ12"/>
    <mergeCell ref="CA11:CA12"/>
    <mergeCell ref="CB11:CC12"/>
    <mergeCell ref="CD11:CE12"/>
    <mergeCell ref="BF11:BH12"/>
    <mergeCell ref="BI11:BI12"/>
    <mergeCell ref="BJ11:BJ12"/>
    <mergeCell ref="BK11:BM12"/>
    <mergeCell ref="AM13:AN14"/>
    <mergeCell ref="AO13:AP14"/>
    <mergeCell ref="AQ13:AS14"/>
    <mergeCell ref="AT13:AV14"/>
    <mergeCell ref="AW13:AY14"/>
    <mergeCell ref="AZ13:BB14"/>
    <mergeCell ref="Z13:AB14"/>
    <mergeCell ref="AC13:AD14"/>
    <mergeCell ref="AE13:AF14"/>
    <mergeCell ref="AG13:AH14"/>
    <mergeCell ref="AI13:AJ14"/>
    <mergeCell ref="AK13:AL14"/>
    <mergeCell ref="BN13:BN14"/>
    <mergeCell ref="BO13:BO14"/>
    <mergeCell ref="BP13:BP14"/>
    <mergeCell ref="BC13:BE14"/>
    <mergeCell ref="BF13:BF14"/>
    <mergeCell ref="BG13:BG14"/>
    <mergeCell ref="BH13:BH14"/>
    <mergeCell ref="BI13:BI14"/>
    <mergeCell ref="BJ13:BJ14"/>
    <mergeCell ref="DG13:DH14"/>
    <mergeCell ref="DI13:DI14"/>
    <mergeCell ref="BT13:BU14"/>
    <mergeCell ref="BV13:BV14"/>
    <mergeCell ref="BW13:BW14"/>
    <mergeCell ref="BX13:BZ14"/>
    <mergeCell ref="BK13:BK14"/>
    <mergeCell ref="BL13:BL14"/>
    <mergeCell ref="BM13:BM14"/>
    <mergeCell ref="DJ13:DJ14"/>
    <mergeCell ref="CO13:CR14"/>
    <mergeCell ref="CS13:CT14"/>
    <mergeCell ref="CU13:CV14"/>
    <mergeCell ref="CW13:CX14"/>
    <mergeCell ref="CY13:CY14"/>
    <mergeCell ref="CZ13:DA14"/>
    <mergeCell ref="E15:E16"/>
    <mergeCell ref="F15:F16"/>
    <mergeCell ref="G15:G16"/>
    <mergeCell ref="H15:H16"/>
    <mergeCell ref="I15:I16"/>
    <mergeCell ref="J15:J16"/>
    <mergeCell ref="DB13:DC14"/>
    <mergeCell ref="DD13:DD14"/>
    <mergeCell ref="DE13:DF14"/>
    <mergeCell ref="CA13:CA14"/>
    <mergeCell ref="CB13:CC14"/>
    <mergeCell ref="CD13:CE14"/>
    <mergeCell ref="CF13:CG14"/>
    <mergeCell ref="CH13:CI14"/>
    <mergeCell ref="CJ13:CN14"/>
    <mergeCell ref="BQ13:BR14"/>
    <mergeCell ref="BS13:BS14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AC15:AC16"/>
    <mergeCell ref="AD15:AD16"/>
    <mergeCell ref="AE15:AE16"/>
    <mergeCell ref="AF15:AF16"/>
    <mergeCell ref="AG15:AG16"/>
    <mergeCell ref="AH15:AH16"/>
    <mergeCell ref="W15:W16"/>
    <mergeCell ref="X15:X16"/>
    <mergeCell ref="Y15:Y16"/>
    <mergeCell ref="Z15:Z16"/>
    <mergeCell ref="AA15:AA16"/>
    <mergeCell ref="AB15:AB16"/>
    <mergeCell ref="AO15:AO16"/>
    <mergeCell ref="AP15:AP16"/>
    <mergeCell ref="AQ15:AQ16"/>
    <mergeCell ref="AR15:AR16"/>
    <mergeCell ref="AS15:AS16"/>
    <mergeCell ref="AT15:AT16"/>
    <mergeCell ref="AI15:AI16"/>
    <mergeCell ref="AJ15:AJ16"/>
    <mergeCell ref="AK15:AK16"/>
    <mergeCell ref="AL15:AL16"/>
    <mergeCell ref="AM15:AM16"/>
    <mergeCell ref="AN15:AN16"/>
    <mergeCell ref="BA15:BA16"/>
    <mergeCell ref="BB15:BB16"/>
    <mergeCell ref="BC15:BC16"/>
    <mergeCell ref="BD15:BD16"/>
    <mergeCell ref="BE15:BE16"/>
    <mergeCell ref="BF15:BF16"/>
    <mergeCell ref="AU15:AU16"/>
    <mergeCell ref="AV15:AV16"/>
    <mergeCell ref="AW15:AW16"/>
    <mergeCell ref="AX15:AX16"/>
    <mergeCell ref="AY15:AY16"/>
    <mergeCell ref="AZ15:AZ16"/>
    <mergeCell ref="BM15:BM16"/>
    <mergeCell ref="BN15:BN16"/>
    <mergeCell ref="BO15:BO16"/>
    <mergeCell ref="BP15:BP16"/>
    <mergeCell ref="BQ15:BQ16"/>
    <mergeCell ref="BR15:BR16"/>
    <mergeCell ref="BG15:BG16"/>
    <mergeCell ref="BH15:BH16"/>
    <mergeCell ref="BI15:BI16"/>
    <mergeCell ref="BJ15:BJ16"/>
    <mergeCell ref="BK15:BK16"/>
    <mergeCell ref="BL15:BL16"/>
    <mergeCell ref="BY15:BY16"/>
    <mergeCell ref="BZ15:BZ16"/>
    <mergeCell ref="CA15:CA16"/>
    <mergeCell ref="CB15:CB16"/>
    <mergeCell ref="CC15:CC16"/>
    <mergeCell ref="CD15:CD16"/>
    <mergeCell ref="BS15:BS16"/>
    <mergeCell ref="BT15:BT16"/>
    <mergeCell ref="BU15:BU16"/>
    <mergeCell ref="BV15:BV16"/>
    <mergeCell ref="BW15:BW16"/>
    <mergeCell ref="BX15:BX16"/>
    <mergeCell ref="CK15:CK16"/>
    <mergeCell ref="CL15:CL16"/>
    <mergeCell ref="CM15:CM16"/>
    <mergeCell ref="CN15:CN16"/>
    <mergeCell ref="CO15:CO16"/>
    <mergeCell ref="CP15:CP16"/>
    <mergeCell ref="CE15:CE16"/>
    <mergeCell ref="CF15:CF16"/>
    <mergeCell ref="CG15:CG16"/>
    <mergeCell ref="CH15:CH16"/>
    <mergeCell ref="CI15:CI16"/>
    <mergeCell ref="CJ15:CJ16"/>
    <mergeCell ref="CW15:CW16"/>
    <mergeCell ref="CX15:CX16"/>
    <mergeCell ref="CY15:CY16"/>
    <mergeCell ref="CZ15:CZ16"/>
    <mergeCell ref="DA15:DA16"/>
    <mergeCell ref="DB15:DB16"/>
    <mergeCell ref="CQ15:CQ16"/>
    <mergeCell ref="CR15:CR16"/>
    <mergeCell ref="CS15:CS16"/>
    <mergeCell ref="CT15:CT16"/>
    <mergeCell ref="CU15:CU16"/>
    <mergeCell ref="CV15:CV16"/>
    <mergeCell ref="DP15:DP16"/>
    <mergeCell ref="DQ15:DQ16"/>
    <mergeCell ref="DJ15:DJ16"/>
    <mergeCell ref="DK15:DK16"/>
    <mergeCell ref="DL15:DL16"/>
    <mergeCell ref="DM15:DM16"/>
    <mergeCell ref="DN15:DN16"/>
    <mergeCell ref="DO15:DO16"/>
    <mergeCell ref="DC15:DC16"/>
    <mergeCell ref="DD15:DD16"/>
    <mergeCell ref="DE15:DE16"/>
    <mergeCell ref="DF15:DF16"/>
    <mergeCell ref="DG15:DG16"/>
    <mergeCell ref="DH15:DH16"/>
    <mergeCell ref="B133:P142"/>
    <mergeCell ref="Q133:AM142"/>
    <mergeCell ref="AN133:BH142"/>
    <mergeCell ref="A144:G144"/>
    <mergeCell ref="A145:G145"/>
    <mergeCell ref="A128:E128"/>
    <mergeCell ref="A129:E129"/>
    <mergeCell ref="B131:P132"/>
    <mergeCell ref="Q131:AM132"/>
    <mergeCell ref="AN131:BH132"/>
  </mergeCells>
  <conditionalFormatting sqref="A17:A41">
    <cfRule type="duplicateValues" dxfId="12852" priority="33"/>
  </conditionalFormatting>
  <conditionalFormatting sqref="A128:A129 A146:B1048576 A1:B3 A144:A145 A4:A7 A143:B143 A134:A142 A133:B133 A132 A130:B131 A8:B16 A126:B127">
    <cfRule type="duplicateValues" dxfId="12851" priority="6500"/>
  </conditionalFormatting>
  <conditionalFormatting sqref="A130:A1048576 A1:A16">
    <cfRule type="duplicateValues" dxfId="12850" priority="6499"/>
  </conditionalFormatting>
  <conditionalFormatting sqref="A131:A142">
    <cfRule type="duplicateValues" dxfId="12849" priority="6498" stopIfTrue="1"/>
  </conditionalFormatting>
  <conditionalFormatting sqref="A17:B58">
    <cfRule type="duplicateValues" dxfId="12848" priority="5"/>
  </conditionalFormatting>
  <conditionalFormatting sqref="A17:B106">
    <cfRule type="duplicateValues" dxfId="12847" priority="3010"/>
  </conditionalFormatting>
  <conditionalFormatting sqref="A59:B100">
    <cfRule type="duplicateValues" dxfId="12846" priority="3009"/>
  </conditionalFormatting>
  <conditionalFormatting sqref="A101:B101">
    <cfRule type="duplicateValues" dxfId="12845" priority="3008"/>
  </conditionalFormatting>
  <conditionalFormatting sqref="A102:B106">
    <cfRule type="duplicateValues" dxfId="12844" priority="3007"/>
  </conditionalFormatting>
  <conditionalFormatting sqref="A107:B119">
    <cfRule type="duplicateValues" dxfId="12843" priority="64"/>
    <cfRule type="duplicateValues" dxfId="12842" priority="63"/>
  </conditionalFormatting>
  <conditionalFormatting sqref="A120:B125">
    <cfRule type="duplicateValues" dxfId="12841" priority="3034"/>
    <cfRule type="duplicateValues" dxfId="12840" priority="3035"/>
  </conditionalFormatting>
  <conditionalFormatting sqref="B17:B18">
    <cfRule type="duplicateValues" dxfId="12839" priority="3004"/>
    <cfRule type="duplicateValues" dxfId="12838" priority="3006"/>
    <cfRule type="duplicateValues" dxfId="12837" priority="3005"/>
  </conditionalFormatting>
  <conditionalFormatting sqref="E18">
    <cfRule type="top10" dxfId="12836" priority="2998" rank="10"/>
    <cfRule type="top10" dxfId="12835" priority="2993" rank="10"/>
    <cfRule type="top10" dxfId="12834" priority="2994" rank="10"/>
    <cfRule type="cellIs" dxfId="12833" priority="2996" operator="equal">
      <formula>4</formula>
    </cfRule>
    <cfRule type="cellIs" dxfId="12832" priority="2997" operator="equal">
      <formula>4</formula>
    </cfRule>
    <cfRule type="cellIs" dxfId="12831" priority="2999" operator="equal">
      <formula>1</formula>
    </cfRule>
    <cfRule type="cellIs" dxfId="12830" priority="3000" operator="equal">
      <formula>4</formula>
    </cfRule>
    <cfRule type="cellIs" dxfId="12829" priority="3001" operator="equal">
      <formula>4</formula>
    </cfRule>
    <cfRule type="cellIs" dxfId="12828" priority="2991" operator="equal">
      <formula>2</formula>
    </cfRule>
    <cfRule type="cellIs" dxfId="12827" priority="2995" operator="equal">
      <formula>1</formula>
    </cfRule>
    <cfRule type="containsText" dxfId="12826" priority="3003" operator="containsText" text="1">
      <formula>NOT(ISERROR(SEARCH("1",E18)))</formula>
    </cfRule>
    <cfRule type="cellIs" dxfId="12825" priority="3002" operator="equal">
      <formula>1</formula>
    </cfRule>
    <cfRule type="cellIs" dxfId="12824" priority="2992" operator="equal">
      <formula>4</formula>
    </cfRule>
  </conditionalFormatting>
  <conditionalFormatting sqref="E18:E30">
    <cfRule type="cellIs" dxfId="12823" priority="2984" operator="equal">
      <formula>1</formula>
    </cfRule>
  </conditionalFormatting>
  <conditionalFormatting sqref="E19:E31">
    <cfRule type="cellIs" dxfId="12822" priority="2985" operator="equal">
      <formula>4</formula>
    </cfRule>
  </conditionalFormatting>
  <conditionalFormatting sqref="E27">
    <cfRule type="cellIs" dxfId="12821" priority="2972" operator="equal">
      <formula>4</formula>
    </cfRule>
    <cfRule type="cellIs" dxfId="12820" priority="2977" operator="equal">
      <formula>1</formula>
    </cfRule>
    <cfRule type="cellIs" dxfId="12819" priority="2979" operator="equal">
      <formula>1</formula>
    </cfRule>
    <cfRule type="cellIs" dxfId="12818" priority="2971" operator="equal">
      <formula>4</formula>
    </cfRule>
    <cfRule type="cellIs" dxfId="12817" priority="2974" operator="equal">
      <formula>1</formula>
    </cfRule>
    <cfRule type="cellIs" dxfId="12816" priority="2975" operator="equal">
      <formula>4</formula>
    </cfRule>
    <cfRule type="top10" dxfId="12815" priority="2976" rank="10"/>
    <cfRule type="cellIs" dxfId="12814" priority="2981" operator="equal">
      <formula>1</formula>
    </cfRule>
    <cfRule type="cellIs" dxfId="12813" priority="2970" operator="equal">
      <formula>1</formula>
    </cfRule>
    <cfRule type="cellIs" dxfId="12812" priority="2983" operator="equal">
      <formula>4</formula>
    </cfRule>
    <cfRule type="top10" dxfId="12811" priority="2982" rank="10"/>
    <cfRule type="cellIs" dxfId="12810" priority="2980" operator="equal">
      <formula>4</formula>
    </cfRule>
    <cfRule type="cellIs" dxfId="12809" priority="2973" operator="equal">
      <formula>4</formula>
    </cfRule>
    <cfRule type="cellIs" dxfId="12808" priority="2978" operator="equal">
      <formula>4</formula>
    </cfRule>
  </conditionalFormatting>
  <conditionalFormatting sqref="E29 BW29">
    <cfRule type="cellIs" dxfId="12807" priority="2968" operator="equal">
      <formula>4</formula>
    </cfRule>
    <cfRule type="cellIs" dxfId="12806" priority="2969" operator="equal">
      <formula>4</formula>
    </cfRule>
  </conditionalFormatting>
  <conditionalFormatting sqref="E29">
    <cfRule type="cellIs" dxfId="12805" priority="2960" operator="equal">
      <formula>4</formula>
    </cfRule>
    <cfRule type="cellIs" dxfId="12804" priority="2961" operator="equal">
      <formula>1</formula>
    </cfRule>
    <cfRule type="top10" dxfId="12803" priority="2963" rank="10"/>
    <cfRule type="cellIs" dxfId="12802" priority="2967" operator="equal">
      <formula>4</formula>
    </cfRule>
    <cfRule type="cellIs" dxfId="12801" priority="2962" operator="equal">
      <formula>4</formula>
    </cfRule>
    <cfRule type="cellIs" dxfId="12800" priority="2955" operator="equal">
      <formula>1</formula>
    </cfRule>
    <cfRule type="cellIs" dxfId="12799" priority="2966" operator="equal">
      <formula>1</formula>
    </cfRule>
    <cfRule type="cellIs" dxfId="12798" priority="2965" operator="equal">
      <formula>4</formula>
    </cfRule>
    <cfRule type="cellIs" dxfId="12797" priority="2964" operator="equal">
      <formula>1</formula>
    </cfRule>
    <cfRule type="cellIs" dxfId="12796" priority="2959" operator="equal">
      <formula>4</formula>
    </cfRule>
    <cfRule type="cellIs" dxfId="12795" priority="2958" operator="equal">
      <formula>4</formula>
    </cfRule>
    <cfRule type="cellIs" dxfId="12794" priority="2957" operator="equal">
      <formula>1</formula>
    </cfRule>
    <cfRule type="cellIs" dxfId="12793" priority="2956" operator="equal">
      <formula>1</formula>
    </cfRule>
    <cfRule type="top10" dxfId="12792" priority="2954" rank="10"/>
  </conditionalFormatting>
  <conditionalFormatting sqref="E30 AO30 G30">
    <cfRule type="top10" dxfId="12791" priority="2953" rank="10"/>
  </conditionalFormatting>
  <conditionalFormatting sqref="E31">
    <cfRule type="cellIs" dxfId="12790" priority="2942" operator="equal">
      <formula>4</formula>
    </cfRule>
    <cfRule type="cellIs" dxfId="12789" priority="2941" operator="equal">
      <formula>1</formula>
    </cfRule>
    <cfRule type="cellIs" dxfId="12788" priority="2944" operator="equal">
      <formula>4</formula>
    </cfRule>
    <cfRule type="cellIs" dxfId="12787" priority="2940" operator="equal">
      <formula>1</formula>
    </cfRule>
    <cfRule type="cellIs" dxfId="12786" priority="2943" operator="equal">
      <formula>4</formula>
    </cfRule>
    <cfRule type="top10" dxfId="12785" priority="2952" rank="10"/>
    <cfRule type="cellIs" dxfId="12784" priority="2951" operator="equal">
      <formula>1</formula>
    </cfRule>
    <cfRule type="cellIs" dxfId="12783" priority="2950" operator="equal">
      <formula>4</formula>
    </cfRule>
    <cfRule type="cellIs" dxfId="12782" priority="2949" operator="equal">
      <formula>1</formula>
    </cfRule>
    <cfRule type="cellIs" dxfId="12781" priority="2948" operator="equal">
      <formula>1</formula>
    </cfRule>
    <cfRule type="top10" dxfId="12780" priority="2947" rank="10"/>
    <cfRule type="cellIs" dxfId="12779" priority="2946" operator="equal">
      <formula>4</formula>
    </cfRule>
    <cfRule type="cellIs" dxfId="12778" priority="2945" operator="equal">
      <formula>1</formula>
    </cfRule>
  </conditionalFormatting>
  <conditionalFormatting sqref="E41">
    <cfRule type="cellIs" dxfId="12777" priority="2932" operator="equal">
      <formula>4</formula>
    </cfRule>
    <cfRule type="cellIs" dxfId="12776" priority="2935" operator="equal">
      <formula>4</formula>
    </cfRule>
    <cfRule type="top10" dxfId="12775" priority="2933" rank="10"/>
    <cfRule type="cellIs" dxfId="12774" priority="2934" operator="equal">
      <formula>1</formula>
    </cfRule>
    <cfRule type="cellIs" dxfId="12773" priority="2926" operator="equal">
      <formula>1</formula>
    </cfRule>
    <cfRule type="cellIs" dxfId="12772" priority="2927" operator="equal">
      <formula>1</formula>
    </cfRule>
    <cfRule type="cellIs" dxfId="12771" priority="2937" operator="equal">
      <formula>4</formula>
    </cfRule>
    <cfRule type="cellIs" dxfId="12770" priority="2938" operator="equal">
      <formula>1</formula>
    </cfRule>
    <cfRule type="top10" dxfId="12769" priority="2939" rank="10"/>
    <cfRule type="cellIs" dxfId="12768" priority="2928" operator="equal">
      <formula>4</formula>
    </cfRule>
    <cfRule type="cellIs" dxfId="12767" priority="2929" operator="equal">
      <formula>4</formula>
    </cfRule>
    <cfRule type="cellIs" dxfId="12766" priority="2930" operator="equal">
      <formula>4</formula>
    </cfRule>
    <cfRule type="cellIs" dxfId="12765" priority="2931" operator="equal">
      <formula>1</formula>
    </cfRule>
    <cfRule type="cellIs" dxfId="12764" priority="2936" operator="equal">
      <formula>1</formula>
    </cfRule>
  </conditionalFormatting>
  <conditionalFormatting sqref="E42 AO18 E26 E39 AO26 AO35 AO39 AO42 E35 E36:F36 E18 G42 G26 G39 G35:G36 G18 I36">
    <cfRule type="top10" dxfId="12763" priority="2925" rank="10"/>
  </conditionalFormatting>
  <conditionalFormatting sqref="E44:E46">
    <cfRule type="cellIs" dxfId="12762" priority="2914" operator="equal">
      <formula>4</formula>
    </cfRule>
    <cfRule type="cellIs" dxfId="12761" priority="2915" operator="equal">
      <formula>4</formula>
    </cfRule>
    <cfRule type="cellIs" dxfId="12760" priority="2917" operator="equal">
      <formula>4</formula>
    </cfRule>
    <cfRule type="top10" dxfId="12759" priority="2918" rank="10"/>
    <cfRule type="cellIs" dxfId="12758" priority="2919" operator="equal">
      <formula>1</formula>
    </cfRule>
    <cfRule type="cellIs" dxfId="12757" priority="2920" operator="equal">
      <formula>4</formula>
    </cfRule>
    <cfRule type="cellIs" dxfId="12756" priority="2921" operator="equal">
      <formula>1</formula>
    </cfRule>
    <cfRule type="cellIs" dxfId="12755" priority="2922" operator="equal">
      <formula>4</formula>
    </cfRule>
    <cfRule type="cellIs" dxfId="12754" priority="2923" operator="equal">
      <formula>1</formula>
    </cfRule>
    <cfRule type="top10" dxfId="12753" priority="2924" rank="10"/>
    <cfRule type="cellIs" dxfId="12752" priority="2911" operator="equal">
      <formula>1</formula>
    </cfRule>
    <cfRule type="cellIs" dxfId="12751" priority="2916" operator="equal">
      <formula>1</formula>
    </cfRule>
    <cfRule type="cellIs" dxfId="12750" priority="2912" operator="equal">
      <formula>1</formula>
    </cfRule>
    <cfRule type="cellIs" dxfId="12749" priority="2913" operator="equal">
      <formula>4</formula>
    </cfRule>
  </conditionalFormatting>
  <conditionalFormatting sqref="E53:E54">
    <cfRule type="cellIs" dxfId="12748" priority="2898" operator="equal">
      <formula>4</formula>
    </cfRule>
    <cfRule type="cellIs" dxfId="12747" priority="2896" operator="equal">
      <formula>1</formula>
    </cfRule>
    <cfRule type="cellIs" dxfId="12746" priority="2897" operator="equal">
      <formula>1</formula>
    </cfRule>
    <cfRule type="top10" dxfId="12745" priority="2910" rank="10"/>
    <cfRule type="cellIs" dxfId="12744" priority="2909" operator="equal">
      <formula>1</formula>
    </cfRule>
    <cfRule type="cellIs" dxfId="12743" priority="2908" operator="equal">
      <formula>4</formula>
    </cfRule>
    <cfRule type="cellIs" dxfId="12742" priority="2907" operator="equal">
      <formula>4</formula>
    </cfRule>
    <cfRule type="cellIs" dxfId="12741" priority="2906" operator="equal">
      <formula>1</formula>
    </cfRule>
    <cfRule type="cellIs" dxfId="12740" priority="2905" operator="equal">
      <formula>4</formula>
    </cfRule>
    <cfRule type="cellIs" dxfId="12739" priority="2904" operator="equal">
      <formula>1</formula>
    </cfRule>
    <cfRule type="top10" dxfId="12738" priority="2903" rank="10"/>
    <cfRule type="cellIs" dxfId="12737" priority="2902" operator="equal">
      <formula>4</formula>
    </cfRule>
    <cfRule type="cellIs" dxfId="12736" priority="2901" operator="equal">
      <formula>1</formula>
    </cfRule>
    <cfRule type="cellIs" dxfId="12735" priority="2900" operator="equal">
      <formula>4</formula>
    </cfRule>
    <cfRule type="cellIs" dxfId="12734" priority="2899" operator="equal">
      <formula>4</formula>
    </cfRule>
  </conditionalFormatting>
  <conditionalFormatting sqref="E57:E60">
    <cfRule type="top10" dxfId="12733" priority="2894" rank="10"/>
    <cfRule type="cellIs" dxfId="12732" priority="2893" operator="equal">
      <formula>1</formula>
    </cfRule>
    <cfRule type="cellIs" dxfId="12731" priority="2892" operator="equal">
      <formula>4</formula>
    </cfRule>
    <cfRule type="cellIs" dxfId="12730" priority="2891" operator="equal">
      <formula>4</formula>
    </cfRule>
    <cfRule type="cellIs" dxfId="12729" priority="2890" operator="equal">
      <formula>1</formula>
    </cfRule>
    <cfRule type="cellIs" dxfId="12728" priority="2889" operator="equal">
      <formula>2</formula>
    </cfRule>
    <cfRule type="cellIs" dxfId="12727" priority="2888" operator="equal">
      <formula>4</formula>
    </cfRule>
    <cfRule type="cellIs" dxfId="12726" priority="2887" operator="equal">
      <formula>1</formula>
    </cfRule>
    <cfRule type="top10" dxfId="12725" priority="2886" rank="10"/>
    <cfRule type="cellIs" dxfId="12724" priority="2885" operator="equal">
      <formula>4</formula>
    </cfRule>
    <cfRule type="cellIs" dxfId="12723" priority="2884" operator="equal">
      <formula>1</formula>
    </cfRule>
    <cfRule type="cellIs" dxfId="12722" priority="2883" operator="equal">
      <formula>4</formula>
    </cfRule>
    <cfRule type="cellIs" dxfId="12721" priority="2882" operator="equal">
      <formula>4</formula>
    </cfRule>
    <cfRule type="cellIs" dxfId="12720" priority="2881" operator="equal">
      <formula>4</formula>
    </cfRule>
    <cfRule type="cellIs" dxfId="12719" priority="2880" operator="equal">
      <formula>1</formula>
    </cfRule>
    <cfRule type="cellIs" dxfId="12718" priority="2879" operator="equal">
      <formula>1</formula>
    </cfRule>
    <cfRule type="cellIs" dxfId="12717" priority="2895" operator="equal">
      <formula>3</formula>
    </cfRule>
  </conditionalFormatting>
  <conditionalFormatting sqref="E62:E63">
    <cfRule type="cellIs" dxfId="12716" priority="2878" operator="equal">
      <formula>3</formula>
    </cfRule>
    <cfRule type="top10" dxfId="12715" priority="2877" rank="10"/>
    <cfRule type="cellIs" dxfId="12714" priority="2876" operator="equal">
      <formula>1</formula>
    </cfRule>
    <cfRule type="cellIs" dxfId="12713" priority="2875" operator="equal">
      <formula>4</formula>
    </cfRule>
    <cfRule type="cellIs" dxfId="12712" priority="2874" operator="equal">
      <formula>4</formula>
    </cfRule>
    <cfRule type="cellIs" dxfId="12711" priority="2873" operator="equal">
      <formula>1</formula>
    </cfRule>
    <cfRule type="cellIs" dxfId="12710" priority="2872" operator="equal">
      <formula>2</formula>
    </cfRule>
    <cfRule type="cellIs" dxfId="12709" priority="2871" operator="equal">
      <formula>4</formula>
    </cfRule>
    <cfRule type="cellIs" dxfId="12708" priority="2870" operator="equal">
      <formula>1</formula>
    </cfRule>
    <cfRule type="top10" dxfId="12707" priority="2869" rank="10"/>
    <cfRule type="cellIs" dxfId="12706" priority="2868" operator="equal">
      <formula>4</formula>
    </cfRule>
    <cfRule type="cellIs" dxfId="12705" priority="2867" operator="equal">
      <formula>1</formula>
    </cfRule>
    <cfRule type="cellIs" dxfId="12704" priority="2866" operator="equal">
      <formula>4</formula>
    </cfRule>
    <cfRule type="cellIs" dxfId="12703" priority="2865" operator="equal">
      <formula>4</formula>
    </cfRule>
    <cfRule type="cellIs" dxfId="12702" priority="2864" operator="equal">
      <formula>4</formula>
    </cfRule>
    <cfRule type="cellIs" dxfId="12701" priority="2863" operator="equal">
      <formula>1</formula>
    </cfRule>
    <cfRule type="cellIs" dxfId="12700" priority="2862" operator="equal">
      <formula>1</formula>
    </cfRule>
  </conditionalFormatting>
  <conditionalFormatting sqref="E76">
    <cfRule type="cellIs" dxfId="12699" priority="2861" operator="equal">
      <formula>3</formula>
    </cfRule>
    <cfRule type="top10" dxfId="12698" priority="2860" rank="10"/>
    <cfRule type="cellIs" dxfId="12697" priority="2859" operator="equal">
      <formula>1</formula>
    </cfRule>
    <cfRule type="cellIs" dxfId="12696" priority="2858" operator="equal">
      <formula>4</formula>
    </cfRule>
    <cfRule type="cellIs" dxfId="12695" priority="2857" operator="equal">
      <formula>4</formula>
    </cfRule>
    <cfRule type="cellIs" dxfId="12694" priority="2856" operator="equal">
      <formula>1</formula>
    </cfRule>
    <cfRule type="cellIs" dxfId="12693" priority="2855" operator="equal">
      <formula>2</formula>
    </cfRule>
    <cfRule type="cellIs" dxfId="12692" priority="2854" operator="equal">
      <formula>4</formula>
    </cfRule>
    <cfRule type="cellIs" dxfId="12691" priority="2853" operator="equal">
      <formula>1</formula>
    </cfRule>
    <cfRule type="top10" dxfId="12690" priority="2852" rank="10"/>
    <cfRule type="cellIs" dxfId="12689" priority="2851" operator="equal">
      <formula>4</formula>
    </cfRule>
    <cfRule type="cellIs" dxfId="12688" priority="2850" operator="equal">
      <formula>1</formula>
    </cfRule>
    <cfRule type="cellIs" dxfId="12687" priority="2849" operator="equal">
      <formula>4</formula>
    </cfRule>
    <cfRule type="cellIs" dxfId="12686" priority="2848" operator="equal">
      <formula>4</formula>
    </cfRule>
    <cfRule type="cellIs" dxfId="12685" priority="2847" operator="equal">
      <formula>4</formula>
    </cfRule>
    <cfRule type="cellIs" dxfId="12684" priority="2846" operator="equal">
      <formula>1</formula>
    </cfRule>
    <cfRule type="cellIs" dxfId="12683" priority="2845" operator="equal">
      <formula>1</formula>
    </cfRule>
  </conditionalFormatting>
  <conditionalFormatting sqref="E17:G18 J18:T25 U18:AF43 G19:G27 AG20:AH35 F21:F24 I21:I26 AO24:AP47 R26:T42 J26:Q43 H31:I37 E31:G43 E44:AF47 P48:Q48 CJ17:CR58 BN18:BN42 BQ18:BQ42 AI18:AN47 AQ18:BB48 BF18:BG48 BK18:BL48 BR19:BV48 BC27:BE41 BM27:BM42 BO27:BP42 BH27:BJ47 DK31:DS32 CS31:DA35 DD32:DJ32 DB32:DC35 BW33:CI34 DD33:DS34 DD42:DS42 BM44:BQ47 DB44:DT47 AG47:AH47 AK48:AN48 E49:CI58 CS49:DT58 E59:DT119 AG18:AH18 DR18:DS18 H22:H25 DR23:DS29 BW24:CI24 BC24:BE25 BH24:BJ25 BM24:BM25 BO24:BP25 CS25:CV26 CF26:CG26">
    <cfRule type="cellIs" dxfId="12682" priority="2844" operator="equal">
      <formula>4</formula>
    </cfRule>
  </conditionalFormatting>
  <conditionalFormatting sqref="E29:G29 AO29:AP29">
    <cfRule type="cellIs" dxfId="12681" priority="2842" operator="equal">
      <formula>1</formula>
    </cfRule>
  </conditionalFormatting>
  <conditionalFormatting sqref="E48:G48 R43:S43 F21 F28 R28:T28 R38:T38 R40:T40 AG28:AH28 AG38:AH38 AG40:AH40 AO40:AP40 AO32:AP34 AO28:AP28 AO38:AP38 E20:E25 I28 E43:G43 E40:G40 E32:G34 E38:G38 I38 I32:I34 I40 I43 AO48:AP48 AG48:AH48 I48:T48 I21 E19:F19 I19 R20:T21 AE21:AH21 AG22 E27:E29 G19:G28 R32:T34 J25:R25 J18:Q24 J26:Q47 AG32:AH34">
    <cfRule type="top10" dxfId="12680" priority="2841" rank="10"/>
  </conditionalFormatting>
  <conditionalFormatting sqref="E48:G48 DT17 E18:G18">
    <cfRule type="cellIs" dxfId="12679" priority="2843" operator="equal">
      <formula>4</formula>
    </cfRule>
  </conditionalFormatting>
  <conditionalFormatting sqref="E41:H41 E49:CI58">
    <cfRule type="cellIs" dxfId="12678" priority="2832" operator="equal">
      <formula>3</formula>
    </cfRule>
  </conditionalFormatting>
  <conditionalFormatting sqref="E17:I17 E31:DT125">
    <cfRule type="containsText" dxfId="12677" priority="2839" operator="containsText" text="1">
      <formula>NOT(ISERROR(SEARCH("1",E17)))</formula>
    </cfRule>
  </conditionalFormatting>
  <conditionalFormatting sqref="E17:S17 U17:AF17 Z18:AF47 P18:Q48 R20:S20 AG21:AH21 AG22 Z48:AG48">
    <cfRule type="cellIs" dxfId="12676" priority="2838" operator="equal">
      <formula>4</formula>
    </cfRule>
    <cfRule type="cellIs" dxfId="12675" priority="2837" operator="equal">
      <formula>4</formula>
    </cfRule>
  </conditionalFormatting>
  <conditionalFormatting sqref="E17:AH17">
    <cfRule type="cellIs" dxfId="12674" priority="2836" operator="equal">
      <formula>1</formula>
    </cfRule>
  </conditionalFormatting>
  <conditionalFormatting sqref="E17:BW17 CS17:DD17 CS18:DC18 I18:I20 AO18:AP20 F19:F20 H19:H20 BW19:CI20 CS19:DS20 BC19:BE22 BH19:BJ22 BM19:BM22 BO19:BP22 E19:E24 CS21:DQ22 CS23:DA24 CS25:CW25 E25:F26 CZ25:DA26 CS26:CY26 DD26:DI27 DJ26:DJ28 CS27:DC29 E27:I30 BW27:CI32 CS30:DS30 DR35:DS41 BW35:CI48 CS36:DQ41 H38:I43 AG38:AH43 CS42:DA42 BM43:BQ43 CU43:CV43 BC43:BE47 CS44:DA48">
    <cfRule type="cellIs" dxfId="12673" priority="2834" operator="equal">
      <formula>4</formula>
    </cfRule>
  </conditionalFormatting>
  <conditionalFormatting sqref="E17:CI17 E18:I18 BO18:CI18 CS21:DQ24 I25:I29 CS25:DC29 H26:H29 CS44:DT47 CS48:DC48">
    <cfRule type="cellIs" dxfId="12672" priority="2833" operator="equal">
      <formula>3</formula>
    </cfRule>
  </conditionalFormatting>
  <conditionalFormatting sqref="E49:CI55">
    <cfRule type="cellIs" dxfId="12671" priority="2831" operator="equal">
      <formula>1</formula>
    </cfRule>
  </conditionalFormatting>
  <conditionalFormatting sqref="E17:DS17 BF18:CI18 CS18:DS18 E18:BE42 CJ18:CR53 DD19:DS20 BO19:BP21 CS19:DC26 BF19:BN41 BQ19:BV41 BW19:CI42 DD23:DQ26 DR23:DS31 BO23:BP41 CS27:DQ29 DD30:DQ31 CS30:DA40 DB30:DC43 DD32:DS42 CT41:DA41 CS41:CS42 CU42:CV42 CS43:CY47 E43:CI53 DB44:DT47 CZ47:DA47 CS48:DS48 CS49:DT53 E54:DT119">
    <cfRule type="cellIs" dxfId="12670" priority="2830" operator="equal">
      <formula>2</formula>
    </cfRule>
  </conditionalFormatting>
  <conditionalFormatting sqref="E17:DT119">
    <cfRule type="containsText" dxfId="12669" priority="2825" operator="containsText" text="1">
      <formula>NOT(ISERROR(SEARCH("1",E17)))</formula>
    </cfRule>
    <cfRule type="containsText" dxfId="12668" priority="2826" operator="containsText" text="3">
      <formula>NOT(ISERROR(SEARCH("3",E17)))</formula>
    </cfRule>
    <cfRule type="containsText" dxfId="12667" priority="2827" operator="containsText" text="4">
      <formula>NOT(ISERROR(SEARCH("4",E17)))</formula>
    </cfRule>
    <cfRule type="containsText" dxfId="12666" priority="2829" operator="containsText" text="2">
      <formula>NOT(ISERROR(SEARCH("2",E17)))</formula>
    </cfRule>
    <cfRule type="containsText" dxfId="12665" priority="2828" operator="containsText" text="3">
      <formula>NOT(ISERROR(SEARCH("3",E17)))</formula>
    </cfRule>
    <cfRule type="containsText" dxfId="12664" priority="2823" operator="containsText" text="4">
      <formula>NOT(ISERROR(SEARCH("4",E17)))</formula>
    </cfRule>
    <cfRule type="containsText" dxfId="12663" priority="2824" operator="containsText" text="1">
      <formula>NOT(ISERROR(SEARCH("1",E17)))</formula>
    </cfRule>
  </conditionalFormatting>
  <conditionalFormatting sqref="E59:DT119 CS49:DS51 E46:G47 I46:I47 H47 BC47:BE47 BH47:BJ47 BM47 BO47 AO47:AP47 AG47:AH47 R46:T47 CJ55:CR58 E49:CI58 CS52:DT58">
    <cfRule type="top10" dxfId="12662" priority="58" rank="10"/>
  </conditionalFormatting>
  <conditionalFormatting sqref="E59:DT119 CS49:DS51 H46:H47 CJ55:CR58 E49:CI58 CS52:DT58">
    <cfRule type="top10" dxfId="12661" priority="57" rank="10"/>
  </conditionalFormatting>
  <conditionalFormatting sqref="E59:DT119 CS49:DS51 CJ55:CR58 E49:CI58 CS52:DT58">
    <cfRule type="top10" dxfId="12660" priority="56" rank="10"/>
  </conditionalFormatting>
  <conditionalFormatting sqref="E120:DT125 CK135:CS138">
    <cfRule type="cellIs" dxfId="12659" priority="6313" operator="equal">
      <formula>2</formula>
    </cfRule>
  </conditionalFormatting>
  <conditionalFormatting sqref="E120:DT125">
    <cfRule type="containsText" dxfId="12658" priority="6307" operator="containsText" text="1">
      <formula>NOT(ISERROR(SEARCH("1",E120)))</formula>
    </cfRule>
    <cfRule type="containsText" dxfId="12657" priority="6308" operator="containsText" text="1">
      <formula>NOT(ISERROR(SEARCH("1",E120)))</formula>
    </cfRule>
    <cfRule type="containsText" dxfId="12656" priority="6309" operator="containsText" text="3">
      <formula>NOT(ISERROR(SEARCH("3",E120)))</formula>
    </cfRule>
    <cfRule type="containsText" dxfId="12655" priority="6310" operator="containsText" text="4">
      <formula>NOT(ISERROR(SEARCH("4",E120)))</formula>
    </cfRule>
    <cfRule type="top10" dxfId="12654" priority="320802" rank="10"/>
    <cfRule type="containsText" dxfId="12653" priority="6311" operator="containsText" text="3">
      <formula>NOT(ISERROR(SEARCH("3",E120)))</formula>
    </cfRule>
    <cfRule type="cellIs" dxfId="12652" priority="6316" operator="equal">
      <formula>4</formula>
    </cfRule>
    <cfRule type="cellIs" dxfId="12651" priority="6320" operator="equal">
      <formula>3</formula>
    </cfRule>
    <cfRule type="cellIs" dxfId="12650" priority="6472" operator="equal">
      <formula>1</formula>
    </cfRule>
    <cfRule type="top10" dxfId="12649" priority="320779" rank="10"/>
    <cfRule type="top10" dxfId="12648" priority="320795" rank="10"/>
    <cfRule type="containsText" dxfId="12647" priority="6312" operator="containsText" text="2">
      <formula>NOT(ISERROR(SEARCH("2",E120)))</formula>
    </cfRule>
    <cfRule type="containsText" dxfId="12646" priority="6306" operator="containsText" text="4">
      <formula>NOT(ISERROR(SEARCH("4",E120)))</formula>
    </cfRule>
  </conditionalFormatting>
  <conditionalFormatting sqref="F17 I17">
    <cfRule type="top10" dxfId="12645" priority="2822" rank="10"/>
  </conditionalFormatting>
  <conditionalFormatting sqref="F19">
    <cfRule type="cellIs" dxfId="12644" priority="2821" operator="equal">
      <formula>4</formula>
    </cfRule>
    <cfRule type="cellIs" dxfId="12643" priority="2820" operator="equal">
      <formula>4</formula>
    </cfRule>
    <cfRule type="cellIs" dxfId="12642" priority="2819" operator="equal">
      <formula>4</formula>
    </cfRule>
    <cfRule type="cellIs" dxfId="12641" priority="2818" operator="equal">
      <formula>1</formula>
    </cfRule>
  </conditionalFormatting>
  <conditionalFormatting sqref="F21 I21">
    <cfRule type="cellIs" dxfId="12640" priority="2817" operator="equal">
      <formula>4</formula>
    </cfRule>
  </conditionalFormatting>
  <conditionalFormatting sqref="F21:F22 I21:I24">
    <cfRule type="cellIs" dxfId="12639" priority="2816" operator="equal">
      <formula>4</formula>
    </cfRule>
  </conditionalFormatting>
  <conditionalFormatting sqref="F22:F25 I24:I25">
    <cfRule type="cellIs" dxfId="12638" priority="2812" operator="equal">
      <formula>4</formula>
    </cfRule>
  </conditionalFormatting>
  <conditionalFormatting sqref="F24:F25 I25">
    <cfRule type="cellIs" dxfId="12637" priority="2811" operator="equal">
      <formula>4</formula>
    </cfRule>
  </conditionalFormatting>
  <conditionalFormatting sqref="F30 F19 F23 I30 I23 I19">
    <cfRule type="top10" dxfId="12636" priority="2810" rank="10"/>
  </conditionalFormatting>
  <conditionalFormatting sqref="F36:F37 I36:I37">
    <cfRule type="cellIs" dxfId="12635" priority="2809" operator="equal">
      <formula>1</formula>
    </cfRule>
  </conditionalFormatting>
  <conditionalFormatting sqref="F58">
    <cfRule type="cellIs" dxfId="12634" priority="2800" operator="equal">
      <formula>1</formula>
    </cfRule>
    <cfRule type="top10" dxfId="12633" priority="2799" rank="10"/>
    <cfRule type="cellIs" dxfId="12632" priority="2801" operator="equal">
      <formula>4</formula>
    </cfRule>
    <cfRule type="cellIs" dxfId="12631" priority="2798" operator="equal">
      <formula>4</formula>
    </cfRule>
    <cfRule type="cellIs" dxfId="12630" priority="2796" operator="equal">
      <formula>4</formula>
    </cfRule>
    <cfRule type="cellIs" dxfId="12629" priority="2795" operator="equal">
      <formula>4</formula>
    </cfRule>
    <cfRule type="cellIs" dxfId="12628" priority="2794" operator="equal">
      <formula>4</formula>
    </cfRule>
    <cfRule type="cellIs" dxfId="12627" priority="2793" operator="equal">
      <formula>1</formula>
    </cfRule>
    <cfRule type="cellIs" dxfId="12626" priority="2792" operator="equal">
      <formula>1</formula>
    </cfRule>
    <cfRule type="cellIs" dxfId="12625" priority="2797" operator="equal">
      <formula>1</formula>
    </cfRule>
    <cfRule type="cellIs" dxfId="12624" priority="2808" operator="equal">
      <formula>3</formula>
    </cfRule>
    <cfRule type="top10" dxfId="12623" priority="2807" rank="10"/>
    <cfRule type="cellIs" dxfId="12622" priority="2806" operator="equal">
      <formula>1</formula>
    </cfRule>
    <cfRule type="cellIs" dxfId="12621" priority="2805" operator="equal">
      <formula>4</formula>
    </cfRule>
    <cfRule type="cellIs" dxfId="12620" priority="2804" operator="equal">
      <formula>4</formula>
    </cfRule>
    <cfRule type="cellIs" dxfId="12619" priority="2803" operator="equal">
      <formula>1</formula>
    </cfRule>
    <cfRule type="cellIs" dxfId="12618" priority="2802" operator="equal">
      <formula>2</formula>
    </cfRule>
  </conditionalFormatting>
  <conditionalFormatting sqref="F63">
    <cfRule type="cellIs" dxfId="12617" priority="2783" operator="equal">
      <formula>1</formula>
    </cfRule>
    <cfRule type="cellIs" dxfId="12616" priority="2784" operator="equal">
      <formula>4</formula>
    </cfRule>
    <cfRule type="cellIs" dxfId="12615" priority="2786" operator="equal">
      <formula>1</formula>
    </cfRule>
    <cfRule type="cellIs" dxfId="12614" priority="2787" operator="equal">
      <formula>4</formula>
    </cfRule>
    <cfRule type="cellIs" dxfId="12613" priority="2788" operator="equal">
      <formula>4</formula>
    </cfRule>
    <cfRule type="cellIs" dxfId="12612" priority="2789" operator="equal">
      <formula>1</formula>
    </cfRule>
    <cfRule type="top10" dxfId="12611" priority="2790" rank="10"/>
    <cfRule type="cellIs" dxfId="12610" priority="2791" operator="equal">
      <formula>3</formula>
    </cfRule>
    <cfRule type="cellIs" dxfId="12609" priority="2785" operator="equal">
      <formula>2</formula>
    </cfRule>
    <cfRule type="cellIs" dxfId="12608" priority="2775" operator="equal">
      <formula>1</formula>
    </cfRule>
    <cfRule type="cellIs" dxfId="12607" priority="2776" operator="equal">
      <formula>1</formula>
    </cfRule>
    <cfRule type="cellIs" dxfId="12606" priority="2777" operator="equal">
      <formula>4</formula>
    </cfRule>
    <cfRule type="cellIs" dxfId="12605" priority="2778" operator="equal">
      <formula>4</formula>
    </cfRule>
    <cfRule type="cellIs" dxfId="12604" priority="2779" operator="equal">
      <formula>4</formula>
    </cfRule>
    <cfRule type="cellIs" dxfId="12603" priority="2780" operator="equal">
      <formula>1</formula>
    </cfRule>
    <cfRule type="cellIs" dxfId="12602" priority="2781" operator="equal">
      <formula>4</formula>
    </cfRule>
    <cfRule type="top10" dxfId="12601" priority="2782" rank="10"/>
  </conditionalFormatting>
  <conditionalFormatting sqref="F44:G44">
    <cfRule type="cellIs" dxfId="12600" priority="2761" operator="equal">
      <formula>1</formula>
    </cfRule>
    <cfRule type="cellIs" dxfId="12599" priority="2762" operator="equal">
      <formula>1</formula>
    </cfRule>
    <cfRule type="cellIs" dxfId="12598" priority="2763" operator="equal">
      <formula>4</formula>
    </cfRule>
    <cfRule type="cellIs" dxfId="12597" priority="2764" operator="equal">
      <formula>4</formula>
    </cfRule>
    <cfRule type="cellIs" dxfId="12596" priority="2765" operator="equal">
      <formula>4</formula>
    </cfRule>
    <cfRule type="cellIs" dxfId="12595" priority="2766" operator="equal">
      <formula>1</formula>
    </cfRule>
    <cfRule type="cellIs" dxfId="12594" priority="2767" operator="equal">
      <formula>4</formula>
    </cfRule>
    <cfRule type="top10" dxfId="12593" priority="2768" rank="10"/>
    <cfRule type="cellIs" dxfId="12592" priority="2771" operator="equal">
      <formula>1</formula>
    </cfRule>
    <cfRule type="cellIs" dxfId="12591" priority="2772" operator="equal">
      <formula>4</formula>
    </cfRule>
    <cfRule type="cellIs" dxfId="12590" priority="2769" operator="equal">
      <formula>1</formula>
    </cfRule>
    <cfRule type="cellIs" dxfId="12589" priority="2770" operator="equal">
      <formula>4</formula>
    </cfRule>
    <cfRule type="top10" dxfId="12588" priority="2774" rank="10"/>
    <cfRule type="cellIs" dxfId="12587" priority="2773" operator="equal">
      <formula>1</formula>
    </cfRule>
  </conditionalFormatting>
  <conditionalFormatting sqref="G18">
    <cfRule type="containsText" dxfId="12586" priority="2760" operator="containsText" text="1">
      <formula>NOT(ISERROR(SEARCH("1",G18)))</formula>
    </cfRule>
    <cfRule type="cellIs" dxfId="12585" priority="2757" operator="equal">
      <formula>4</formula>
    </cfRule>
    <cfRule type="cellIs" dxfId="12584" priority="2753" operator="equal">
      <formula>2</formula>
    </cfRule>
    <cfRule type="cellIs" dxfId="12583" priority="2756" operator="equal">
      <formula>1</formula>
    </cfRule>
    <cfRule type="top10" dxfId="12582" priority="2755" rank="10"/>
    <cfRule type="top10" dxfId="12581" priority="2754" rank="10"/>
    <cfRule type="cellIs" dxfId="12580" priority="2758" operator="equal">
      <formula>4</formula>
    </cfRule>
    <cfRule type="cellIs" dxfId="12579" priority="2759" operator="equal">
      <formula>1</formula>
    </cfRule>
  </conditionalFormatting>
  <conditionalFormatting sqref="G19:G29 AK17:AN48 AQ17:BB48 BK17:BL48 BN17:BN48 BQ17:BQ48 BF18:BG48 BT18:BV48 R19:T19 DT20:DT31 BH18:BJ19 AO19:AP19 BC19:BE19 BM19 BO19 DR19:DT19 AG19:AH19">
    <cfRule type="cellIs" dxfId="12578" priority="2987" operator="equal">
      <formula>4</formula>
    </cfRule>
  </conditionalFormatting>
  <conditionalFormatting sqref="G19:G30 I18:I19 Z18:AF47 P18:Q48 F19 AK17:AN48 AQ17:BB48 BF17:BG48 BK17:BL48 BN17:BN48 BQ17:BQ48 AI18:AJ48 BT18:BV48 DT20:DT31 R18:T19 BW18:CE19 DR18:DT19 BR19:BS19 F23:F24 I23:I24">
    <cfRule type="cellIs" dxfId="12577" priority="2989" operator="equal">
      <formula>1</formula>
    </cfRule>
  </conditionalFormatting>
  <conditionalFormatting sqref="G26:G27">
    <cfRule type="cellIs" dxfId="12576" priority="2752" operator="equal">
      <formula>4</formula>
    </cfRule>
  </conditionalFormatting>
  <conditionalFormatting sqref="G27">
    <cfRule type="cellIs" dxfId="12575" priority="2737" operator="equal">
      <formula>4</formula>
    </cfRule>
    <cfRule type="cellIs" dxfId="12574" priority="2736" operator="equal">
      <formula>1</formula>
    </cfRule>
    <cfRule type="cellIs" dxfId="12573" priority="2751" operator="equal">
      <formula>1</formula>
    </cfRule>
    <cfRule type="cellIs" dxfId="12572" priority="2750" operator="equal">
      <formula>1</formula>
    </cfRule>
    <cfRule type="cellIs" dxfId="12571" priority="2749" operator="equal">
      <formula>1</formula>
    </cfRule>
    <cfRule type="cellIs" dxfId="12570" priority="2748" operator="equal">
      <formula>4</formula>
    </cfRule>
    <cfRule type="top10" dxfId="12569" priority="2747" rank="10"/>
    <cfRule type="cellIs" dxfId="12568" priority="2746" operator="equal">
      <formula>1</formula>
    </cfRule>
    <cfRule type="cellIs" dxfId="12567" priority="2745" operator="equal">
      <formula>4</formula>
    </cfRule>
    <cfRule type="cellIs" dxfId="12566" priority="2744" operator="equal">
      <formula>1</formula>
    </cfRule>
    <cfRule type="cellIs" dxfId="12565" priority="2743" operator="equal">
      <formula>4</formula>
    </cfRule>
    <cfRule type="cellIs" dxfId="12564" priority="2742" operator="equal">
      <formula>1</formula>
    </cfRule>
    <cfRule type="top10" dxfId="12563" priority="2741" rank="10"/>
    <cfRule type="cellIs" dxfId="12562" priority="2740" operator="equal">
      <formula>1</formula>
    </cfRule>
    <cfRule type="cellIs" dxfId="12561" priority="2739" operator="equal">
      <formula>4</formula>
    </cfRule>
    <cfRule type="cellIs" dxfId="12560" priority="2738" operator="equal">
      <formula>4</formula>
    </cfRule>
  </conditionalFormatting>
  <conditionalFormatting sqref="G29">
    <cfRule type="cellIs" dxfId="12559" priority="2733" operator="equal">
      <formula>4</formula>
    </cfRule>
    <cfRule type="cellIs" dxfId="12558" priority="2734" operator="equal">
      <formula>4</formula>
    </cfRule>
    <cfRule type="cellIs" dxfId="12557" priority="2735" operator="equal">
      <formula>1</formula>
    </cfRule>
    <cfRule type="top10" dxfId="12556" priority="2731" rank="10"/>
    <cfRule type="cellIs" dxfId="12555" priority="2732" operator="equal">
      <formula>1</formula>
    </cfRule>
  </conditionalFormatting>
  <conditionalFormatting sqref="G30">
    <cfRule type="cellIs" dxfId="12554" priority="2729" operator="equal">
      <formula>4</formula>
    </cfRule>
    <cfRule type="cellIs" dxfId="12553" priority="2730" operator="equal">
      <formula>4</formula>
    </cfRule>
  </conditionalFormatting>
  <conditionalFormatting sqref="G31">
    <cfRule type="top10" dxfId="12552" priority="2728" rank="10"/>
  </conditionalFormatting>
  <conditionalFormatting sqref="G37">
    <cfRule type="top10" dxfId="12551" priority="2726" rank="10"/>
    <cfRule type="cellIs" dxfId="12550" priority="2727" operator="equal">
      <formula>1</formula>
    </cfRule>
  </conditionalFormatting>
  <conditionalFormatting sqref="G45:G46">
    <cfRule type="cellIs" dxfId="12549" priority="2715" operator="equal">
      <formula>4</formula>
    </cfRule>
    <cfRule type="cellIs" dxfId="12548" priority="2722" operator="equal">
      <formula>1</formula>
    </cfRule>
    <cfRule type="cellIs" dxfId="12547" priority="2723" operator="equal">
      <formula>4</formula>
    </cfRule>
    <cfRule type="cellIs" dxfId="12546" priority="2724" operator="equal">
      <formula>1</formula>
    </cfRule>
    <cfRule type="top10" dxfId="12545" priority="2725" rank="10"/>
    <cfRule type="cellIs" dxfId="12544" priority="2712" operator="equal">
      <formula>1</formula>
    </cfRule>
    <cfRule type="cellIs" dxfId="12543" priority="2713" operator="equal">
      <formula>1</formula>
    </cfRule>
    <cfRule type="cellIs" dxfId="12542" priority="2714" operator="equal">
      <formula>4</formula>
    </cfRule>
    <cfRule type="cellIs" dxfId="12541" priority="2716" operator="equal">
      <formula>4</formula>
    </cfRule>
    <cfRule type="cellIs" dxfId="12540" priority="2717" operator="equal">
      <formula>1</formula>
    </cfRule>
    <cfRule type="cellIs" dxfId="12539" priority="2718" operator="equal">
      <formula>4</formula>
    </cfRule>
    <cfRule type="top10" dxfId="12538" priority="2719" rank="10"/>
    <cfRule type="cellIs" dxfId="12537" priority="2720" operator="equal">
      <formula>1</formula>
    </cfRule>
    <cfRule type="cellIs" dxfId="12536" priority="2721" operator="equal">
      <formula>4</formula>
    </cfRule>
  </conditionalFormatting>
  <conditionalFormatting sqref="G53">
    <cfRule type="top10" dxfId="12535" priority="2711" rank="10"/>
    <cfRule type="cellIs" dxfId="12534" priority="2709" operator="equal">
      <formula>4</formula>
    </cfRule>
    <cfRule type="cellIs" dxfId="12533" priority="2706" operator="equal">
      <formula>4</formula>
    </cfRule>
    <cfRule type="cellIs" dxfId="12532" priority="2707" operator="equal">
      <formula>1</formula>
    </cfRule>
    <cfRule type="cellIs" dxfId="12531" priority="2710" operator="equal">
      <formula>1</formula>
    </cfRule>
    <cfRule type="cellIs" dxfId="12530" priority="2708" operator="equal">
      <formula>4</formula>
    </cfRule>
    <cfRule type="cellIs" dxfId="12529" priority="2705" operator="equal">
      <formula>1</formula>
    </cfRule>
    <cfRule type="top10" dxfId="12528" priority="2704" rank="10"/>
    <cfRule type="cellIs" dxfId="12527" priority="2703" operator="equal">
      <formula>4</formula>
    </cfRule>
    <cfRule type="cellIs" dxfId="12526" priority="2702" operator="equal">
      <formula>1</formula>
    </cfRule>
    <cfRule type="cellIs" dxfId="12525" priority="2701" operator="equal">
      <formula>4</formula>
    </cfRule>
    <cfRule type="cellIs" dxfId="12524" priority="2700" operator="equal">
      <formula>4</formula>
    </cfRule>
    <cfRule type="cellIs" dxfId="12523" priority="2699" operator="equal">
      <formula>4</formula>
    </cfRule>
    <cfRule type="cellIs" dxfId="12522" priority="2698" operator="equal">
      <formula>1</formula>
    </cfRule>
    <cfRule type="cellIs" dxfId="12521" priority="2697" operator="equal">
      <formula>1</formula>
    </cfRule>
  </conditionalFormatting>
  <conditionalFormatting sqref="G57:G58">
    <cfRule type="cellIs" dxfId="12520" priority="2684" operator="equal">
      <formula>4</formula>
    </cfRule>
    <cfRule type="cellIs" dxfId="12519" priority="2683" operator="equal">
      <formula>4</formula>
    </cfRule>
    <cfRule type="cellIs" dxfId="12518" priority="2682" operator="equal">
      <formula>4</formula>
    </cfRule>
    <cfRule type="cellIs" dxfId="12517" priority="2681" operator="equal">
      <formula>1</formula>
    </cfRule>
    <cfRule type="cellIs" dxfId="12516" priority="2680" operator="equal">
      <formula>1</formula>
    </cfRule>
    <cfRule type="cellIs" dxfId="12515" priority="2690" operator="equal">
      <formula>2</formula>
    </cfRule>
    <cfRule type="cellIs" dxfId="12514" priority="2686" operator="equal">
      <formula>4</formula>
    </cfRule>
    <cfRule type="cellIs" dxfId="12513" priority="2696" operator="equal">
      <formula>3</formula>
    </cfRule>
    <cfRule type="top10" dxfId="12512" priority="2695" rank="10"/>
    <cfRule type="cellIs" dxfId="12511" priority="2694" operator="equal">
      <formula>1</formula>
    </cfRule>
    <cfRule type="cellIs" dxfId="12510" priority="2693" operator="equal">
      <formula>4</formula>
    </cfRule>
    <cfRule type="cellIs" dxfId="12509" priority="2692" operator="equal">
      <formula>4</formula>
    </cfRule>
    <cfRule type="cellIs" dxfId="12508" priority="2691" operator="equal">
      <formula>1</formula>
    </cfRule>
    <cfRule type="cellIs" dxfId="12507" priority="2689" operator="equal">
      <formula>4</formula>
    </cfRule>
    <cfRule type="cellIs" dxfId="12506" priority="2688" operator="equal">
      <formula>1</formula>
    </cfRule>
    <cfRule type="top10" dxfId="12505" priority="2687" rank="10"/>
    <cfRule type="cellIs" dxfId="12504" priority="2685" operator="equal">
      <formula>1</formula>
    </cfRule>
  </conditionalFormatting>
  <conditionalFormatting sqref="G60">
    <cfRule type="cellIs" dxfId="12503" priority="2677" operator="equal">
      <formula>1</formula>
    </cfRule>
    <cfRule type="cellIs" dxfId="12502" priority="2676" operator="equal">
      <formula>4</formula>
    </cfRule>
    <cfRule type="cellIs" dxfId="12501" priority="2675" operator="equal">
      <formula>4</formula>
    </cfRule>
    <cfRule type="cellIs" dxfId="12500" priority="2663" operator="equal">
      <formula>1</formula>
    </cfRule>
    <cfRule type="cellIs" dxfId="12499" priority="2664" operator="equal">
      <formula>1</formula>
    </cfRule>
    <cfRule type="cellIs" dxfId="12498" priority="2665" operator="equal">
      <formula>4</formula>
    </cfRule>
    <cfRule type="cellIs" dxfId="12497" priority="2666" operator="equal">
      <formula>4</formula>
    </cfRule>
    <cfRule type="cellIs" dxfId="12496" priority="2667" operator="equal">
      <formula>4</formula>
    </cfRule>
    <cfRule type="cellIs" dxfId="12495" priority="2668" operator="equal">
      <formula>1</formula>
    </cfRule>
    <cfRule type="cellIs" dxfId="12494" priority="2669" operator="equal">
      <formula>4</formula>
    </cfRule>
    <cfRule type="top10" dxfId="12493" priority="2670" rank="10"/>
    <cfRule type="cellIs" dxfId="12492" priority="2671" operator="equal">
      <formula>1</formula>
    </cfRule>
    <cfRule type="cellIs" dxfId="12491" priority="2672" operator="equal">
      <formula>4</formula>
    </cfRule>
    <cfRule type="cellIs" dxfId="12490" priority="2674" operator="equal">
      <formula>1</formula>
    </cfRule>
    <cfRule type="top10" dxfId="12489" priority="2678" rank="10"/>
    <cfRule type="cellIs" dxfId="12488" priority="2679" operator="equal">
      <formula>3</formula>
    </cfRule>
    <cfRule type="cellIs" dxfId="12487" priority="2673" operator="equal">
      <formula>2</formula>
    </cfRule>
  </conditionalFormatting>
  <conditionalFormatting sqref="G76">
    <cfRule type="cellIs" dxfId="12486" priority="2652" operator="equal">
      <formula>4</formula>
    </cfRule>
    <cfRule type="cellIs" dxfId="12485" priority="2660" operator="equal">
      <formula>1</formula>
    </cfRule>
    <cfRule type="top10" dxfId="12484" priority="2661" rank="10"/>
    <cfRule type="cellIs" dxfId="12483" priority="2648" operator="equal">
      <formula>4</formula>
    </cfRule>
    <cfRule type="cellIs" dxfId="12482" priority="2651" operator="equal">
      <formula>1</formula>
    </cfRule>
    <cfRule type="cellIs" dxfId="12481" priority="2662" operator="equal">
      <formula>3</formula>
    </cfRule>
    <cfRule type="cellIs" dxfId="12480" priority="2647" operator="equal">
      <formula>1</formula>
    </cfRule>
    <cfRule type="top10" dxfId="12479" priority="2653" rank="10"/>
    <cfRule type="cellIs" dxfId="12478" priority="2650" operator="equal">
      <formula>4</formula>
    </cfRule>
    <cfRule type="cellIs" dxfId="12477" priority="2649" operator="equal">
      <formula>4</formula>
    </cfRule>
    <cfRule type="cellIs" dxfId="12476" priority="2654" operator="equal">
      <formula>1</formula>
    </cfRule>
    <cfRule type="cellIs" dxfId="12475" priority="2655" operator="equal">
      <formula>4</formula>
    </cfRule>
    <cfRule type="cellIs" dxfId="12474" priority="2656" operator="equal">
      <formula>2</formula>
    </cfRule>
    <cfRule type="cellIs" dxfId="12473" priority="2657" operator="equal">
      <formula>1</formula>
    </cfRule>
    <cfRule type="cellIs" dxfId="12472" priority="2658" operator="equal">
      <formula>4</formula>
    </cfRule>
    <cfRule type="cellIs" dxfId="12471" priority="2646" operator="equal">
      <formula>1</formula>
    </cfRule>
    <cfRule type="cellIs" dxfId="12470" priority="2659" operator="equal">
      <formula>4</formula>
    </cfRule>
  </conditionalFormatting>
  <conditionalFormatting sqref="G26:H26">
    <cfRule type="cellIs" dxfId="12469" priority="2645" operator="equal">
      <formula>1</formula>
    </cfRule>
  </conditionalFormatting>
  <conditionalFormatting sqref="G41:H41">
    <cfRule type="cellIs" dxfId="12468" priority="2642" operator="equal">
      <formula>1</formula>
    </cfRule>
    <cfRule type="cellIs" dxfId="12467" priority="2633" operator="equal">
      <formula>1</formula>
    </cfRule>
    <cfRule type="cellIs" dxfId="12466" priority="2634" operator="equal">
      <formula>4</formula>
    </cfRule>
    <cfRule type="cellIs" dxfId="12465" priority="2632" operator="equal">
      <formula>1</formula>
    </cfRule>
    <cfRule type="top10" dxfId="12464" priority="2639" rank="10"/>
    <cfRule type="cellIs" dxfId="12463" priority="2641" operator="equal">
      <formula>4</formula>
    </cfRule>
    <cfRule type="top10" dxfId="12462" priority="2644" rank="10"/>
    <cfRule type="cellIs" dxfId="12461" priority="2640" operator="equal">
      <formula>1</formula>
    </cfRule>
    <cfRule type="cellIs" dxfId="12460" priority="2635" operator="equal">
      <formula>4</formula>
    </cfRule>
    <cfRule type="cellIs" dxfId="12459" priority="2643" operator="equal">
      <formula>4</formula>
    </cfRule>
    <cfRule type="cellIs" dxfId="12458" priority="2638" operator="equal">
      <formula>4</formula>
    </cfRule>
    <cfRule type="cellIs" dxfId="12457" priority="2637" operator="equal">
      <formula>1</formula>
    </cfRule>
    <cfRule type="cellIs" dxfId="12456" priority="2636" operator="equal">
      <formula>4</formula>
    </cfRule>
  </conditionalFormatting>
  <conditionalFormatting sqref="G62:H62">
    <cfRule type="cellIs" dxfId="12455" priority="2624" operator="equal">
      <formula>4</formula>
    </cfRule>
    <cfRule type="cellIs" dxfId="12454" priority="2627" operator="equal">
      <formula>4</formula>
    </cfRule>
    <cfRule type="top10" dxfId="12453" priority="2630" rank="10"/>
    <cfRule type="cellIs" dxfId="12452" priority="2631" operator="equal">
      <formula>3</formula>
    </cfRule>
    <cfRule type="cellIs" dxfId="12451" priority="2618" operator="equal">
      <formula>4</formula>
    </cfRule>
    <cfRule type="cellIs" dxfId="12450" priority="2617" operator="equal">
      <formula>4</formula>
    </cfRule>
    <cfRule type="cellIs" dxfId="12449" priority="2616" operator="equal">
      <formula>1</formula>
    </cfRule>
    <cfRule type="cellIs" dxfId="12448" priority="2615" operator="equal">
      <formula>1</formula>
    </cfRule>
    <cfRule type="cellIs" dxfId="12447" priority="2629" operator="equal">
      <formula>1</formula>
    </cfRule>
    <cfRule type="cellIs" dxfId="12446" priority="2628" operator="equal">
      <formula>4</formula>
    </cfRule>
    <cfRule type="cellIs" dxfId="12445" priority="2626" operator="equal">
      <formula>1</formula>
    </cfRule>
    <cfRule type="cellIs" dxfId="12444" priority="2625" operator="equal">
      <formula>2</formula>
    </cfRule>
    <cfRule type="cellIs" dxfId="12443" priority="2623" operator="equal">
      <formula>1</formula>
    </cfRule>
    <cfRule type="top10" dxfId="12442" priority="2622" rank="10"/>
    <cfRule type="cellIs" dxfId="12441" priority="2621" operator="equal">
      <formula>4</formula>
    </cfRule>
    <cfRule type="cellIs" dxfId="12440" priority="2620" operator="equal">
      <formula>1</formula>
    </cfRule>
    <cfRule type="cellIs" dxfId="12439" priority="2619" operator="equal">
      <formula>4</formula>
    </cfRule>
  </conditionalFormatting>
  <conditionalFormatting sqref="H17">
    <cfRule type="cellIs" dxfId="12438" priority="2613" operator="equal">
      <formula>4</formula>
    </cfRule>
    <cfRule type="top10" dxfId="12437" priority="2614" rank="10"/>
  </conditionalFormatting>
  <conditionalFormatting sqref="H17:H18 E48:H48 AO18:AP18">
    <cfRule type="cellIs" dxfId="12436" priority="2612" operator="equal">
      <formula>1</formula>
    </cfRule>
  </conditionalFormatting>
  <conditionalFormatting sqref="H17:H18">
    <cfRule type="cellIs" dxfId="12435" priority="2610" operator="equal">
      <formula>1</formula>
    </cfRule>
    <cfRule type="cellIs" dxfId="12434" priority="2611" operator="equal">
      <formula>4</formula>
    </cfRule>
  </conditionalFormatting>
  <conditionalFormatting sqref="H18 H26 E48:BE48 BW17:BZ17 AG22 BH48:BQ48">
    <cfRule type="cellIs" dxfId="12433" priority="2609" operator="equal">
      <formula>4</formula>
    </cfRule>
  </conditionalFormatting>
  <conditionalFormatting sqref="H18:H19 AG24">
    <cfRule type="cellIs" dxfId="12432" priority="2608" operator="equal">
      <formula>4</formula>
    </cfRule>
  </conditionalFormatting>
  <conditionalFormatting sqref="H19">
    <cfRule type="top10" dxfId="12431" priority="2606" rank="10"/>
    <cfRule type="cellIs" dxfId="12430" priority="2607" operator="equal">
      <formula>4</formula>
    </cfRule>
    <cfRule type="cellIs" dxfId="12429" priority="2605" operator="equal">
      <formula>1</formula>
    </cfRule>
  </conditionalFormatting>
  <conditionalFormatting sqref="H20">
    <cfRule type="top10" dxfId="12428" priority="2604" rank="10"/>
  </conditionalFormatting>
  <conditionalFormatting sqref="H21">
    <cfRule type="cellIs" dxfId="12427" priority="2599" operator="equal">
      <formula>4</formula>
    </cfRule>
    <cfRule type="cellIs" dxfId="12426" priority="2601" operator="equal">
      <formula>1</formula>
    </cfRule>
    <cfRule type="cellIs" dxfId="12425" priority="2603" operator="equal">
      <formula>1</formula>
    </cfRule>
    <cfRule type="cellIs" dxfId="12424" priority="2600" operator="equal">
      <formula>4</formula>
    </cfRule>
    <cfRule type="top10" dxfId="12423" priority="2597" rank="10"/>
    <cfRule type="top10" dxfId="12422" priority="2594" rank="10"/>
    <cfRule type="cellIs" dxfId="12421" priority="2596" operator="equal">
      <formula>1</formula>
    </cfRule>
    <cfRule type="cellIs" dxfId="12420" priority="2602" operator="equal">
      <formula>4</formula>
    </cfRule>
    <cfRule type="top10" dxfId="12419" priority="2595" rank="10"/>
    <cfRule type="cellIs" dxfId="12418" priority="2598" operator="equal">
      <formula>1</formula>
    </cfRule>
  </conditionalFormatting>
  <conditionalFormatting sqref="H22">
    <cfRule type="cellIs" dxfId="12417" priority="2592" operator="equal">
      <formula>1</formula>
    </cfRule>
    <cfRule type="top10" dxfId="12416" priority="2593" rank="10"/>
  </conditionalFormatting>
  <conditionalFormatting sqref="H22:H24">
    <cfRule type="cellIs" dxfId="12415" priority="2591" operator="equal">
      <formula>1</formula>
    </cfRule>
    <cfRule type="cellIs" dxfId="12414" priority="2590" operator="equal">
      <formula>4</formula>
    </cfRule>
  </conditionalFormatting>
  <conditionalFormatting sqref="H24">
    <cfRule type="top10" dxfId="12413" priority="2587" rank="10"/>
    <cfRule type="cellIs" dxfId="12412" priority="2588" operator="equal">
      <formula>4</formula>
    </cfRule>
  </conditionalFormatting>
  <conditionalFormatting sqref="H25">
    <cfRule type="cellIs" dxfId="12411" priority="2586" operator="equal">
      <formula>4</formula>
    </cfRule>
    <cfRule type="top10" dxfId="12410" priority="2584" rank="10"/>
    <cfRule type="cellIs" dxfId="12409" priority="2585" operator="equal">
      <formula>3</formula>
    </cfRule>
  </conditionalFormatting>
  <conditionalFormatting sqref="H25:H26">
    <cfRule type="cellIs" dxfId="12408" priority="2583" operator="equal">
      <formula>4</formula>
    </cfRule>
  </conditionalFormatting>
  <conditionalFormatting sqref="H26">
    <cfRule type="cellIs" dxfId="12407" priority="2581" operator="equal">
      <formula>4</formula>
    </cfRule>
    <cfRule type="cellIs" dxfId="12406" priority="2582" operator="equal">
      <formula>1</formula>
    </cfRule>
  </conditionalFormatting>
  <conditionalFormatting sqref="H27">
    <cfRule type="top10" dxfId="12405" priority="2580" rank="10"/>
  </conditionalFormatting>
  <conditionalFormatting sqref="H28:H29">
    <cfRule type="cellIs" dxfId="12404" priority="2579" operator="equal">
      <formula>1</formula>
    </cfRule>
    <cfRule type="cellIs" dxfId="12403" priority="2578" operator="equal">
      <formula>4</formula>
    </cfRule>
    <cfRule type="cellIs" dxfId="12402" priority="2577" operator="equal">
      <formula>4</formula>
    </cfRule>
  </conditionalFormatting>
  <conditionalFormatting sqref="H28:H31 H23">
    <cfRule type="cellIs" dxfId="12401" priority="2589" operator="equal">
      <formula>1</formula>
    </cfRule>
  </conditionalFormatting>
  <conditionalFormatting sqref="H30 H23">
    <cfRule type="top10" dxfId="12400" priority="2576" rank="10"/>
  </conditionalFormatting>
  <conditionalFormatting sqref="H31">
    <cfRule type="top10" dxfId="12399" priority="2575" rank="10"/>
  </conditionalFormatting>
  <conditionalFormatting sqref="H34">
    <cfRule type="top10" dxfId="12398" priority="2573" rank="10"/>
    <cfRule type="cellIs" dxfId="12397" priority="2572" operator="equal">
      <formula>1</formula>
    </cfRule>
    <cfRule type="top10" dxfId="12396" priority="2571" rank="10"/>
    <cfRule type="top10" dxfId="12395" priority="2569" rank="10"/>
    <cfRule type="cellIs" dxfId="12394" priority="2570" operator="equal">
      <formula>1</formula>
    </cfRule>
    <cfRule type="cellIs" dxfId="12393" priority="2574" operator="equal">
      <formula>1</formula>
    </cfRule>
  </conditionalFormatting>
  <conditionalFormatting sqref="H34:H35">
    <cfRule type="cellIs" dxfId="12392" priority="2568" operator="equal">
      <formula>4</formula>
    </cfRule>
  </conditionalFormatting>
  <conditionalFormatting sqref="H35">
    <cfRule type="cellIs" dxfId="12391" priority="2567" operator="equal">
      <formula>1</formula>
    </cfRule>
    <cfRule type="top10" dxfId="12390" priority="2564" rank="10"/>
    <cfRule type="cellIs" dxfId="12389" priority="2565" operator="equal">
      <formula>1</formula>
    </cfRule>
    <cfRule type="top10" dxfId="12388" priority="2566" rank="10"/>
  </conditionalFormatting>
  <conditionalFormatting sqref="H36">
    <cfRule type="top10" dxfId="12387" priority="2563" rank="10"/>
  </conditionalFormatting>
  <conditionalFormatting sqref="H37">
    <cfRule type="cellIs" dxfId="12386" priority="2562" operator="equal">
      <formula>1</formula>
    </cfRule>
    <cfRule type="top10" dxfId="12385" priority="2561" rank="10"/>
  </conditionalFormatting>
  <conditionalFormatting sqref="H39">
    <cfRule type="cellIs" dxfId="12384" priority="2555" operator="equal">
      <formula>1</formula>
    </cfRule>
    <cfRule type="cellIs" dxfId="12383" priority="2545" operator="equal">
      <formula>1</formula>
    </cfRule>
    <cfRule type="cellIs" dxfId="12382" priority="2546" operator="equal">
      <formula>1</formula>
    </cfRule>
    <cfRule type="cellIs" dxfId="12381" priority="2547" operator="equal">
      <formula>4</formula>
    </cfRule>
    <cfRule type="cellIs" dxfId="12380" priority="2548" operator="equal">
      <formula>4</formula>
    </cfRule>
    <cfRule type="cellIs" dxfId="12379" priority="2549" operator="equal">
      <formula>4</formula>
    </cfRule>
    <cfRule type="cellIs" dxfId="12378" priority="2550" operator="equal">
      <formula>1</formula>
    </cfRule>
    <cfRule type="cellIs" dxfId="12377" priority="2551" operator="equal">
      <formula>4</formula>
    </cfRule>
    <cfRule type="top10" dxfId="12376" priority="2552" rank="10"/>
    <cfRule type="cellIs" dxfId="12375" priority="2553" operator="equal">
      <formula>1</formula>
    </cfRule>
    <cfRule type="cellIs" dxfId="12374" priority="2554" operator="equal">
      <formula>4</formula>
    </cfRule>
    <cfRule type="cellIs" dxfId="12373" priority="2557" operator="equal">
      <formula>4</formula>
    </cfRule>
    <cfRule type="cellIs" dxfId="12372" priority="2556" operator="equal">
      <formula>4</formula>
    </cfRule>
    <cfRule type="cellIs" dxfId="12371" priority="2560" operator="equal">
      <formula>3</formula>
    </cfRule>
    <cfRule type="top10" dxfId="12370" priority="2559" rank="10"/>
    <cfRule type="cellIs" dxfId="12369" priority="2558" operator="equal">
      <formula>1</formula>
    </cfRule>
  </conditionalFormatting>
  <conditionalFormatting sqref="H39:H41">
    <cfRule type="cellIs" dxfId="12368" priority="2544" operator="equal">
      <formula>1</formula>
    </cfRule>
  </conditionalFormatting>
  <conditionalFormatting sqref="H40 H32:H34 H28:H29 H38">
    <cfRule type="top10" dxfId="12367" priority="2543" rank="10"/>
  </conditionalFormatting>
  <conditionalFormatting sqref="H40">
    <cfRule type="top10" dxfId="12366" priority="2542" rank="10"/>
  </conditionalFormatting>
  <conditionalFormatting sqref="H41">
    <cfRule type="cellIs" dxfId="12365" priority="2541" operator="equal">
      <formula>1</formula>
    </cfRule>
    <cfRule type="top10" dxfId="12364" priority="2540" rank="10"/>
    <cfRule type="top10" dxfId="12363" priority="2539" rank="10"/>
  </conditionalFormatting>
  <conditionalFormatting sqref="H42 H18 H26 H35 H39">
    <cfRule type="top10" dxfId="12362" priority="2538" rank="10"/>
  </conditionalFormatting>
  <conditionalFormatting sqref="H42">
    <cfRule type="top10" dxfId="12361" priority="2537" rank="10"/>
    <cfRule type="cellIs" dxfId="12360" priority="2536" operator="equal">
      <formula>1</formula>
    </cfRule>
    <cfRule type="cellIs" dxfId="12359" priority="2535" operator="equal">
      <formula>4</formula>
    </cfRule>
    <cfRule type="cellIs" dxfId="12358" priority="2534" operator="equal">
      <formula>1</formula>
    </cfRule>
    <cfRule type="cellIs" dxfId="12357" priority="2533" operator="equal">
      <formula>4</formula>
    </cfRule>
    <cfRule type="cellIs" dxfId="12356" priority="2532" operator="equal">
      <formula>1</formula>
    </cfRule>
    <cfRule type="top10" dxfId="12355" priority="2531" rank="10"/>
    <cfRule type="cellIs" dxfId="12354" priority="2530" operator="equal">
      <formula>4</formula>
    </cfRule>
    <cfRule type="cellIs" dxfId="12353" priority="2529" operator="equal">
      <formula>1</formula>
    </cfRule>
    <cfRule type="cellIs" dxfId="12352" priority="2528" operator="equal">
      <formula>4</formula>
    </cfRule>
    <cfRule type="cellIs" dxfId="12351" priority="2527" operator="equal">
      <formula>4</formula>
    </cfRule>
    <cfRule type="cellIs" dxfId="12350" priority="2526" operator="equal">
      <formula>4</formula>
    </cfRule>
    <cfRule type="cellIs" dxfId="12349" priority="2525" operator="equal">
      <formula>1</formula>
    </cfRule>
    <cfRule type="cellIs" dxfId="12348" priority="2524" operator="equal">
      <formula>1</formula>
    </cfRule>
  </conditionalFormatting>
  <conditionalFormatting sqref="H43">
    <cfRule type="cellIs" dxfId="12347" priority="2523" operator="equal">
      <formula>3</formula>
    </cfRule>
    <cfRule type="cellIs" dxfId="12346" priority="2522" operator="equal">
      <formula>1</formula>
    </cfRule>
    <cfRule type="top10" dxfId="12345" priority="2521" rank="10"/>
  </conditionalFormatting>
  <conditionalFormatting sqref="H44:H45">
    <cfRule type="cellIs" dxfId="12344" priority="2520" operator="equal">
      <formula>1</formula>
    </cfRule>
    <cfRule type="top10" dxfId="12343" priority="2519" rank="10"/>
  </conditionalFormatting>
  <conditionalFormatting sqref="H48">
    <cfRule type="cellIs" dxfId="12342" priority="2518" operator="equal">
      <formula>4</formula>
    </cfRule>
    <cfRule type="cellIs" dxfId="12341" priority="2517" operator="equal">
      <formula>4</formula>
    </cfRule>
    <cfRule type="top10" dxfId="12340" priority="2516" rank="10"/>
  </conditionalFormatting>
  <conditionalFormatting sqref="H54">
    <cfRule type="top10" dxfId="12339" priority="2515" rank="10"/>
    <cfRule type="cellIs" dxfId="12338" priority="2514" operator="equal">
      <formula>1</formula>
    </cfRule>
    <cfRule type="cellIs" dxfId="12337" priority="2513" operator="equal">
      <formula>4</formula>
    </cfRule>
    <cfRule type="cellIs" dxfId="12336" priority="2512" operator="equal">
      <formula>4</formula>
    </cfRule>
    <cfRule type="cellIs" dxfId="12335" priority="2511" operator="equal">
      <formula>1</formula>
    </cfRule>
    <cfRule type="cellIs" dxfId="12334" priority="2510" operator="equal">
      <formula>4</formula>
    </cfRule>
    <cfRule type="cellIs" dxfId="12333" priority="2509" operator="equal">
      <formula>1</formula>
    </cfRule>
    <cfRule type="top10" dxfId="12332" priority="2508" rank="10"/>
    <cfRule type="cellIs" dxfId="12331" priority="2507" operator="equal">
      <formula>4</formula>
    </cfRule>
    <cfRule type="cellIs" dxfId="12330" priority="2506" operator="equal">
      <formula>1</formula>
    </cfRule>
    <cfRule type="cellIs" dxfId="12329" priority="2505" operator="equal">
      <formula>4</formula>
    </cfRule>
    <cfRule type="cellIs" dxfId="12328" priority="2504" operator="equal">
      <formula>4</formula>
    </cfRule>
    <cfRule type="cellIs" dxfId="12327" priority="2503" operator="equal">
      <formula>4</formula>
    </cfRule>
    <cfRule type="cellIs" dxfId="12326" priority="2502" operator="equal">
      <formula>1</formula>
    </cfRule>
    <cfRule type="cellIs" dxfId="12325" priority="2501" operator="equal">
      <formula>1</formula>
    </cfRule>
  </conditionalFormatting>
  <conditionalFormatting sqref="H58">
    <cfRule type="cellIs" dxfId="12324" priority="2500" operator="equal">
      <formula>3</formula>
    </cfRule>
    <cfRule type="top10" dxfId="12323" priority="2499" rank="10"/>
    <cfRule type="cellIs" dxfId="12322" priority="2498" operator="equal">
      <formula>1</formula>
    </cfRule>
    <cfRule type="cellIs" dxfId="12321" priority="2497" operator="equal">
      <formula>4</formula>
    </cfRule>
    <cfRule type="cellIs" dxfId="12320" priority="2496" operator="equal">
      <formula>4</formula>
    </cfRule>
    <cfRule type="cellIs" dxfId="12319" priority="2495" operator="equal">
      <formula>1</formula>
    </cfRule>
    <cfRule type="cellIs" dxfId="12318" priority="2494" operator="equal">
      <formula>2</formula>
    </cfRule>
    <cfRule type="cellIs" dxfId="12317" priority="2493" operator="equal">
      <formula>4</formula>
    </cfRule>
    <cfRule type="cellIs" dxfId="12316" priority="2492" operator="equal">
      <formula>1</formula>
    </cfRule>
    <cfRule type="top10" dxfId="12315" priority="2491" rank="10"/>
    <cfRule type="cellIs" dxfId="12314" priority="2490" operator="equal">
      <formula>4</formula>
    </cfRule>
    <cfRule type="cellIs" dxfId="12313" priority="2489" operator="equal">
      <formula>1</formula>
    </cfRule>
    <cfRule type="cellIs" dxfId="12312" priority="2488" operator="equal">
      <formula>4</formula>
    </cfRule>
    <cfRule type="cellIs" dxfId="12311" priority="2487" operator="equal">
      <formula>4</formula>
    </cfRule>
    <cfRule type="cellIs" dxfId="12310" priority="2486" operator="equal">
      <formula>4</formula>
    </cfRule>
    <cfRule type="cellIs" dxfId="12309" priority="2485" operator="equal">
      <formula>1</formula>
    </cfRule>
    <cfRule type="cellIs" dxfId="12308" priority="2484" operator="equal">
      <formula>1</formula>
    </cfRule>
  </conditionalFormatting>
  <conditionalFormatting sqref="H22:I23">
    <cfRule type="cellIs" dxfId="12307" priority="2483" operator="equal">
      <formula>4</formula>
    </cfRule>
  </conditionalFormatting>
  <conditionalFormatting sqref="H63:I63">
    <cfRule type="cellIs" dxfId="12306" priority="2480" operator="equal">
      <formula>3</formula>
    </cfRule>
    <cfRule type="top10" dxfId="12305" priority="2479" rank="10"/>
    <cfRule type="cellIs" dxfId="12304" priority="2478" operator="equal">
      <formula>1</formula>
    </cfRule>
    <cfRule type="cellIs" dxfId="12303" priority="2477" operator="equal">
      <formula>4</formula>
    </cfRule>
    <cfRule type="cellIs" dxfId="12302" priority="2476" operator="equal">
      <formula>4</formula>
    </cfRule>
    <cfRule type="cellIs" dxfId="12301" priority="2475" operator="equal">
      <formula>1</formula>
    </cfRule>
    <cfRule type="cellIs" dxfId="12300" priority="2474" operator="equal">
      <formula>2</formula>
    </cfRule>
    <cfRule type="cellIs" dxfId="12299" priority="2473" operator="equal">
      <formula>4</formula>
    </cfRule>
    <cfRule type="cellIs" dxfId="12298" priority="2472" operator="equal">
      <formula>1</formula>
    </cfRule>
    <cfRule type="top10" dxfId="12297" priority="2471" rank="10"/>
    <cfRule type="cellIs" dxfId="12296" priority="2470" operator="equal">
      <formula>4</formula>
    </cfRule>
    <cfRule type="cellIs" dxfId="12295" priority="2469" operator="equal">
      <formula>1</formula>
    </cfRule>
    <cfRule type="cellIs" dxfId="12294" priority="2468" operator="equal">
      <formula>4</formula>
    </cfRule>
    <cfRule type="cellIs" dxfId="12293" priority="2467" operator="equal">
      <formula>4</formula>
    </cfRule>
    <cfRule type="cellIs" dxfId="12292" priority="2466" operator="equal">
      <formula>4</formula>
    </cfRule>
    <cfRule type="cellIs" dxfId="12291" priority="2465" operator="equal">
      <formula>1</formula>
    </cfRule>
    <cfRule type="cellIs" dxfId="12290" priority="2464" operator="equal">
      <formula>1</formula>
    </cfRule>
  </conditionalFormatting>
  <conditionalFormatting sqref="I18 Z44">
    <cfRule type="cellIs" dxfId="12289" priority="65" operator="equal">
      <formula>4</formula>
    </cfRule>
  </conditionalFormatting>
  <conditionalFormatting sqref="I18:I19">
    <cfRule type="cellIs" dxfId="12288" priority="2459" operator="equal">
      <formula>1</formula>
    </cfRule>
  </conditionalFormatting>
  <conditionalFormatting sqref="I19">
    <cfRule type="cellIs" dxfId="12287" priority="2462" operator="equal">
      <formula>3</formula>
    </cfRule>
    <cfRule type="cellIs" dxfId="12286" priority="2461" operator="equal">
      <formula>4</formula>
    </cfRule>
    <cfRule type="cellIs" dxfId="12285" priority="2460" operator="equal">
      <formula>4</formula>
    </cfRule>
  </conditionalFormatting>
  <conditionalFormatting sqref="I21:I22 F21:F22">
    <cfRule type="cellIs" dxfId="12284" priority="2458" operator="equal">
      <formula>1</formula>
    </cfRule>
  </conditionalFormatting>
  <conditionalFormatting sqref="I21:I24 R28:T28 AI17:AO17 AG28:AH28 AO28:AP28 BC27:BE27 BO30:BP32 BC31:BE32 CW21:CY22 BW22:CI22 BW29:CI29 BH31:BJ32 G32:H32 CW42:CY46 BW48:CE48">
    <cfRule type="cellIs" dxfId="12283" priority="2457" operator="equal">
      <formula>1</formula>
    </cfRule>
  </conditionalFormatting>
  <conditionalFormatting sqref="I22 F22">
    <cfRule type="top10" dxfId="12282" priority="2456" rank="10"/>
  </conditionalFormatting>
  <conditionalFormatting sqref="I24 F24">
    <cfRule type="top10" dxfId="12281" priority="2455" rank="10"/>
  </conditionalFormatting>
  <conditionalFormatting sqref="I25 F25">
    <cfRule type="top10" dxfId="12280" priority="2454" rank="10"/>
  </conditionalFormatting>
  <conditionalFormatting sqref="I25:I29 E27:H27 R27:T27 AG27:AH27 AO27:AP27">
    <cfRule type="cellIs" dxfId="12279" priority="2840" operator="equal">
      <formula>1</formula>
    </cfRule>
  </conditionalFormatting>
  <conditionalFormatting sqref="I31 F31">
    <cfRule type="top10" dxfId="12278" priority="2453" rank="10"/>
  </conditionalFormatting>
  <conditionalFormatting sqref="I36 F36 E35:E36 G35:G36">
    <cfRule type="top10" dxfId="12277" priority="2452" rank="10"/>
  </conditionalFormatting>
  <conditionalFormatting sqref="I36 AG44:AG46">
    <cfRule type="cellIs" dxfId="12276" priority="2451" operator="equal">
      <formula>4</formula>
    </cfRule>
  </conditionalFormatting>
  <conditionalFormatting sqref="I37 F37">
    <cfRule type="top10" dxfId="12275" priority="2450" rank="10"/>
  </conditionalFormatting>
  <conditionalFormatting sqref="I42 F42 F18 F26 F35 F39 I18 I26 I35 I39">
    <cfRule type="top10" dxfId="12274" priority="2449" rank="10"/>
  </conditionalFormatting>
  <conditionalFormatting sqref="I48:Q48 AG21:AH21 AG22 E30:I30">
    <cfRule type="cellIs" dxfId="12273" priority="2482" operator="equal">
      <formula>3</formula>
    </cfRule>
  </conditionalFormatting>
  <conditionalFormatting sqref="J17:O17">
    <cfRule type="top10" dxfId="12272" priority="2447" rank="10"/>
    <cfRule type="cellIs" dxfId="12271" priority="2448" operator="equal">
      <formula>1</formula>
    </cfRule>
  </conditionalFormatting>
  <conditionalFormatting sqref="N53">
    <cfRule type="cellIs" dxfId="12270" priority="2438" operator="equal">
      <formula>4</formula>
    </cfRule>
    <cfRule type="top10" dxfId="12269" priority="2439" rank="10"/>
    <cfRule type="cellIs" dxfId="12268" priority="2440" operator="equal">
      <formula>1</formula>
    </cfRule>
    <cfRule type="cellIs" dxfId="12267" priority="2441" operator="equal">
      <formula>4</formula>
    </cfRule>
    <cfRule type="cellIs" dxfId="12266" priority="2442" operator="equal">
      <formula>1</formula>
    </cfRule>
    <cfRule type="cellIs" dxfId="12265" priority="2443" operator="equal">
      <formula>4</formula>
    </cfRule>
    <cfRule type="cellIs" dxfId="12264" priority="2444" operator="equal">
      <formula>4</formula>
    </cfRule>
    <cfRule type="cellIs" dxfId="12263" priority="2445" operator="equal">
      <formula>1</formula>
    </cfRule>
    <cfRule type="top10" dxfId="12262" priority="2446" rank="10"/>
    <cfRule type="cellIs" dxfId="12261" priority="2435" operator="equal">
      <formula>4</formula>
    </cfRule>
    <cfRule type="cellIs" dxfId="12260" priority="2436" operator="equal">
      <formula>4</formula>
    </cfRule>
    <cfRule type="cellIs" dxfId="12259" priority="2437" operator="equal">
      <formula>1</formula>
    </cfRule>
    <cfRule type="cellIs" dxfId="12258" priority="2432" operator="equal">
      <formula>1</formula>
    </cfRule>
    <cfRule type="cellIs" dxfId="12257" priority="2433" operator="equal">
      <formula>1</formula>
    </cfRule>
    <cfRule type="cellIs" dxfId="12256" priority="2434" operator="equal">
      <formula>4</formula>
    </cfRule>
  </conditionalFormatting>
  <conditionalFormatting sqref="N57">
    <cfRule type="cellIs" dxfId="12255" priority="2422" operator="equal">
      <formula>4</formula>
    </cfRule>
    <cfRule type="cellIs" dxfId="12254" priority="2423" operator="equal">
      <formula>4</formula>
    </cfRule>
    <cfRule type="cellIs" dxfId="12253" priority="2424" operator="equal">
      <formula>1</formula>
    </cfRule>
    <cfRule type="cellIs" dxfId="12252" priority="2425" operator="equal">
      <formula>4</formula>
    </cfRule>
    <cfRule type="top10" dxfId="12251" priority="2426" rank="10"/>
    <cfRule type="cellIs" dxfId="12250" priority="2427" operator="equal">
      <formula>1</formula>
    </cfRule>
    <cfRule type="cellIs" dxfId="12249" priority="2428" operator="equal">
      <formula>4</formula>
    </cfRule>
    <cfRule type="cellIs" dxfId="12248" priority="2429" operator="equal">
      <formula>4</formula>
    </cfRule>
    <cfRule type="top10" dxfId="12247" priority="2430" rank="10"/>
    <cfRule type="cellIs" dxfId="12246" priority="2431" operator="equal">
      <formula>3</formula>
    </cfRule>
    <cfRule type="cellIs" dxfId="12245" priority="2420" operator="equal">
      <formula>1</formula>
    </cfRule>
    <cfRule type="cellIs" dxfId="12244" priority="2421" operator="equal">
      <formula>1</formula>
    </cfRule>
  </conditionalFormatting>
  <conditionalFormatting sqref="N57:N58">
    <cfRule type="cellIs" dxfId="12243" priority="2416" operator="equal">
      <formula>2</formula>
    </cfRule>
    <cfRule type="cellIs" dxfId="12242" priority="2419" operator="equal">
      <formula>1</formula>
    </cfRule>
    <cfRule type="cellIs" dxfId="12241" priority="2417" operator="equal">
      <formula>1</formula>
    </cfRule>
    <cfRule type="cellIs" dxfId="12240" priority="2418" operator="equal">
      <formula>4</formula>
    </cfRule>
  </conditionalFormatting>
  <conditionalFormatting sqref="N58">
    <cfRule type="cellIs" dxfId="12239" priority="2412" operator="equal">
      <formula>4</formula>
    </cfRule>
    <cfRule type="cellIs" dxfId="12238" priority="2411" operator="equal">
      <formula>1</formula>
    </cfRule>
    <cfRule type="top10" dxfId="12237" priority="2410" rank="10"/>
    <cfRule type="cellIs" dxfId="12236" priority="2409" operator="equal">
      <formula>4</formula>
    </cfRule>
    <cfRule type="cellIs" dxfId="12235" priority="2408" operator="equal">
      <formula>1</formula>
    </cfRule>
    <cfRule type="cellIs" dxfId="12234" priority="2406" operator="equal">
      <formula>4</formula>
    </cfRule>
    <cfRule type="cellIs" dxfId="12233" priority="2407" operator="equal">
      <formula>4</formula>
    </cfRule>
    <cfRule type="cellIs" dxfId="12232" priority="2415" operator="equal">
      <formula>3</formula>
    </cfRule>
    <cfRule type="top10" dxfId="12231" priority="2414" rank="10"/>
    <cfRule type="cellIs" dxfId="12230" priority="2413" operator="equal">
      <formula>4</formula>
    </cfRule>
  </conditionalFormatting>
  <conditionalFormatting sqref="N60">
    <cfRule type="cellIs" dxfId="12229" priority="2393" operator="equal">
      <formula>4</formula>
    </cfRule>
    <cfRule type="cellIs" dxfId="12228" priority="2405" operator="equal">
      <formula>3</formula>
    </cfRule>
    <cfRule type="cellIs" dxfId="12227" priority="2395" operator="equal">
      <formula>4</formula>
    </cfRule>
    <cfRule type="cellIs" dxfId="12226" priority="2401" operator="equal">
      <formula>4</formula>
    </cfRule>
    <cfRule type="top10" dxfId="12225" priority="2396" rank="10"/>
    <cfRule type="cellIs" dxfId="12224" priority="2397" operator="equal">
      <formula>1</formula>
    </cfRule>
    <cfRule type="cellIs" dxfId="12223" priority="2398" operator="equal">
      <formula>4</formula>
    </cfRule>
    <cfRule type="cellIs" dxfId="12222" priority="2394" operator="equal">
      <formula>1</formula>
    </cfRule>
    <cfRule type="cellIs" dxfId="12221" priority="2399" operator="equal">
      <formula>2</formula>
    </cfRule>
    <cfRule type="cellIs" dxfId="12220" priority="2389" operator="equal">
      <formula>1</formula>
    </cfRule>
    <cfRule type="cellIs" dxfId="12219" priority="2390" operator="equal">
      <formula>1</formula>
    </cfRule>
    <cfRule type="cellIs" dxfId="12218" priority="2391" operator="equal">
      <formula>4</formula>
    </cfRule>
    <cfRule type="cellIs" dxfId="12217" priority="2392" operator="equal">
      <formula>4</formula>
    </cfRule>
    <cfRule type="cellIs" dxfId="12216" priority="2400" operator="equal">
      <formula>1</formula>
    </cfRule>
    <cfRule type="cellIs" dxfId="12215" priority="2402" operator="equal">
      <formula>4</formula>
    </cfRule>
    <cfRule type="cellIs" dxfId="12214" priority="2403" operator="equal">
      <formula>1</formula>
    </cfRule>
    <cfRule type="top10" dxfId="12213" priority="2404" rank="10"/>
  </conditionalFormatting>
  <conditionalFormatting sqref="N62:N63">
    <cfRule type="cellIs" dxfId="12212" priority="2381" operator="equal">
      <formula>4</formula>
    </cfRule>
    <cfRule type="cellIs" dxfId="12211" priority="2382" operator="equal">
      <formula>2</formula>
    </cfRule>
    <cfRule type="cellIs" dxfId="12210" priority="2383" operator="equal">
      <formula>1</formula>
    </cfRule>
    <cfRule type="cellIs" dxfId="12209" priority="2384" operator="equal">
      <formula>4</formula>
    </cfRule>
    <cfRule type="cellIs" dxfId="12208" priority="2385" operator="equal">
      <formula>4</formula>
    </cfRule>
    <cfRule type="cellIs" dxfId="12207" priority="2386" operator="equal">
      <formula>1</formula>
    </cfRule>
    <cfRule type="cellIs" dxfId="12206" priority="2388" operator="equal">
      <formula>3</formula>
    </cfRule>
    <cfRule type="cellIs" dxfId="12205" priority="2376" operator="equal">
      <formula>4</formula>
    </cfRule>
    <cfRule type="cellIs" dxfId="12204" priority="2375" operator="equal">
      <formula>4</formula>
    </cfRule>
    <cfRule type="cellIs" dxfId="12203" priority="2374" operator="equal">
      <formula>4</formula>
    </cfRule>
    <cfRule type="cellIs" dxfId="12202" priority="2373" operator="equal">
      <formula>1</formula>
    </cfRule>
    <cfRule type="cellIs" dxfId="12201" priority="2380" operator="equal">
      <formula>1</formula>
    </cfRule>
    <cfRule type="cellIs" dxfId="12200" priority="2372" operator="equal">
      <formula>1</formula>
    </cfRule>
    <cfRule type="top10" dxfId="12199" priority="2387" rank="10"/>
    <cfRule type="top10" dxfId="12198" priority="2379" rank="10"/>
    <cfRule type="cellIs" dxfId="12197" priority="2378" operator="equal">
      <formula>4</formula>
    </cfRule>
    <cfRule type="cellIs" dxfId="12196" priority="2377" operator="equal">
      <formula>1</formula>
    </cfRule>
  </conditionalFormatting>
  <conditionalFormatting sqref="N76">
    <cfRule type="cellIs" dxfId="12195" priority="2369" operator="equal">
      <formula>1</formula>
    </cfRule>
    <cfRule type="cellIs" dxfId="12194" priority="2368" operator="equal">
      <formula>4</formula>
    </cfRule>
    <cfRule type="cellIs" dxfId="12193" priority="2355" operator="equal">
      <formula>1</formula>
    </cfRule>
    <cfRule type="cellIs" dxfId="12192" priority="2357" operator="equal">
      <formula>4</formula>
    </cfRule>
    <cfRule type="top10" dxfId="12191" priority="2370" rank="10"/>
    <cfRule type="cellIs" dxfId="12190" priority="2358" operator="equal">
      <formula>4</formula>
    </cfRule>
    <cfRule type="cellIs" dxfId="12189" priority="2359" operator="equal">
      <formula>4</formula>
    </cfRule>
    <cfRule type="cellIs" dxfId="12188" priority="2360" operator="equal">
      <formula>1</formula>
    </cfRule>
    <cfRule type="cellIs" dxfId="12187" priority="2361" operator="equal">
      <formula>4</formula>
    </cfRule>
    <cfRule type="cellIs" dxfId="12186" priority="2356" operator="equal">
      <formula>1</formula>
    </cfRule>
    <cfRule type="top10" dxfId="12185" priority="2362" rank="10"/>
    <cfRule type="cellIs" dxfId="12184" priority="2363" operator="equal">
      <formula>1</formula>
    </cfRule>
    <cfRule type="cellIs" dxfId="12183" priority="2364" operator="equal">
      <formula>4</formula>
    </cfRule>
    <cfRule type="cellIs" dxfId="12182" priority="2365" operator="equal">
      <formula>2</formula>
    </cfRule>
    <cfRule type="cellIs" dxfId="12181" priority="2366" operator="equal">
      <formula>1</formula>
    </cfRule>
    <cfRule type="cellIs" dxfId="12180" priority="2367" operator="equal">
      <formula>4</formula>
    </cfRule>
    <cfRule type="cellIs" dxfId="12179" priority="2371" operator="equal">
      <formula>3</formula>
    </cfRule>
  </conditionalFormatting>
  <conditionalFormatting sqref="N36:O36">
    <cfRule type="cellIs" dxfId="12178" priority="2347" operator="equal">
      <formula>4</formula>
    </cfRule>
    <cfRule type="cellIs" dxfId="12177" priority="2354" operator="equal">
      <formula>1</formula>
    </cfRule>
    <cfRule type="top10" dxfId="12176" priority="2353" rank="10"/>
    <cfRule type="cellIs" dxfId="12175" priority="2352" operator="equal">
      <formula>3</formula>
    </cfRule>
    <cfRule type="cellIs" dxfId="12174" priority="2351" operator="equal">
      <formula>4</formula>
    </cfRule>
    <cfRule type="top10" dxfId="12173" priority="2350" rank="10"/>
    <cfRule type="cellIs" dxfId="12172" priority="2349" operator="equal">
      <formula>3</formula>
    </cfRule>
    <cfRule type="cellIs" dxfId="12171" priority="2348" operator="equal">
      <formula>1</formula>
    </cfRule>
  </conditionalFormatting>
  <conditionalFormatting sqref="N58:O58 Q20:T20">
    <cfRule type="cellIs" dxfId="12170" priority="2345" operator="equal">
      <formula>1</formula>
    </cfRule>
    <cfRule type="cellIs" dxfId="12169" priority="2346" operator="equal">
      <formula>4</formula>
    </cfRule>
  </conditionalFormatting>
  <conditionalFormatting sqref="O54">
    <cfRule type="cellIs" dxfId="12168" priority="2329" operator="equal">
      <formula>1</formula>
    </cfRule>
    <cfRule type="top10" dxfId="12167" priority="2344" rank="10"/>
    <cfRule type="cellIs" dxfId="12166" priority="2343" operator="equal">
      <formula>1</formula>
    </cfRule>
    <cfRule type="cellIs" dxfId="12165" priority="2342" operator="equal">
      <formula>4</formula>
    </cfRule>
    <cfRule type="cellIs" dxfId="12164" priority="2341" operator="equal">
      <formula>4</formula>
    </cfRule>
    <cfRule type="cellIs" dxfId="12163" priority="2340" operator="equal">
      <formula>1</formula>
    </cfRule>
    <cfRule type="cellIs" dxfId="12162" priority="2339" operator="equal">
      <formula>2</formula>
    </cfRule>
    <cfRule type="cellIs" dxfId="12161" priority="2338" operator="equal">
      <formula>4</formula>
    </cfRule>
    <cfRule type="cellIs" dxfId="12160" priority="2337" operator="equal">
      <formula>1</formula>
    </cfRule>
    <cfRule type="top10" dxfId="12159" priority="2336" rank="10"/>
    <cfRule type="cellIs" dxfId="12158" priority="2335" operator="equal">
      <formula>4</formula>
    </cfRule>
    <cfRule type="cellIs" dxfId="12157" priority="2334" operator="equal">
      <formula>1</formula>
    </cfRule>
    <cfRule type="cellIs" dxfId="12156" priority="2333" operator="equal">
      <formula>4</formula>
    </cfRule>
    <cfRule type="cellIs" dxfId="12155" priority="2332" operator="equal">
      <formula>4</formula>
    </cfRule>
    <cfRule type="cellIs" dxfId="12154" priority="2331" operator="equal">
      <formula>4</formula>
    </cfRule>
    <cfRule type="cellIs" dxfId="12153" priority="2330" operator="equal">
      <formula>1</formula>
    </cfRule>
  </conditionalFormatting>
  <conditionalFormatting sqref="O58">
    <cfRule type="cellIs" dxfId="12152" priority="2316" operator="equal">
      <formula>4</formula>
    </cfRule>
    <cfRule type="cellIs" dxfId="12151" priority="2317" operator="equal">
      <formula>1</formula>
    </cfRule>
    <cfRule type="cellIs" dxfId="12150" priority="2318" operator="equal">
      <formula>4</formula>
    </cfRule>
    <cfRule type="cellIs" dxfId="12149" priority="2320" operator="equal">
      <formula>1</formula>
    </cfRule>
    <cfRule type="cellIs" dxfId="12148" priority="2321" operator="equal">
      <formula>4</formula>
    </cfRule>
    <cfRule type="cellIs" dxfId="12147" priority="2322" operator="equal">
      <formula>2</formula>
    </cfRule>
    <cfRule type="top10" dxfId="12146" priority="2319" rank="10"/>
    <cfRule type="cellIs" dxfId="12145" priority="2323" operator="equal">
      <formula>1</formula>
    </cfRule>
    <cfRule type="cellIs" dxfId="12144" priority="2324" operator="equal">
      <formula>4</formula>
    </cfRule>
    <cfRule type="cellIs" dxfId="12143" priority="2325" operator="equal">
      <formula>4</formula>
    </cfRule>
    <cfRule type="cellIs" dxfId="12142" priority="2326" operator="equal">
      <formula>1</formula>
    </cfRule>
    <cfRule type="top10" dxfId="12141" priority="2327" rank="10"/>
    <cfRule type="cellIs" dxfId="12140" priority="2328" operator="equal">
      <formula>3</formula>
    </cfRule>
    <cfRule type="cellIs" dxfId="12139" priority="2315" operator="equal">
      <formula>4</formula>
    </cfRule>
  </conditionalFormatting>
  <conditionalFormatting sqref="O63">
    <cfRule type="cellIs" dxfId="12138" priority="2310" operator="equal">
      <formula>4</formula>
    </cfRule>
    <cfRule type="cellIs" dxfId="12137" priority="2309" operator="equal">
      <formula>1</formula>
    </cfRule>
    <cfRule type="cellIs" dxfId="12136" priority="2307" operator="equal">
      <formula>4</formula>
    </cfRule>
    <cfRule type="cellIs" dxfId="12135" priority="2306" operator="equal">
      <formula>1</formula>
    </cfRule>
    <cfRule type="cellIs" dxfId="12134" priority="2308" operator="equal">
      <formula>2</formula>
    </cfRule>
    <cfRule type="top10" dxfId="12133" priority="2305" rank="10"/>
    <cfRule type="cellIs" dxfId="12132" priority="2304" operator="equal">
      <formula>4</formula>
    </cfRule>
    <cfRule type="cellIs" dxfId="12131" priority="2303" operator="equal">
      <formula>1</formula>
    </cfRule>
    <cfRule type="cellIs" dxfId="12130" priority="2301" operator="equal">
      <formula>4</formula>
    </cfRule>
    <cfRule type="cellIs" dxfId="12129" priority="2300" operator="equal">
      <formula>4</formula>
    </cfRule>
    <cfRule type="cellIs" dxfId="12128" priority="2299" operator="equal">
      <formula>1</formula>
    </cfRule>
    <cfRule type="cellIs" dxfId="12127" priority="2298" operator="equal">
      <formula>1</formula>
    </cfRule>
    <cfRule type="cellIs" dxfId="12126" priority="2302" operator="equal">
      <formula>4</formula>
    </cfRule>
    <cfRule type="cellIs" dxfId="12125" priority="2314" operator="equal">
      <formula>3</formula>
    </cfRule>
    <cfRule type="top10" dxfId="12124" priority="2313" rank="10"/>
    <cfRule type="cellIs" dxfId="12123" priority="2312" operator="equal">
      <formula>1</formula>
    </cfRule>
    <cfRule type="cellIs" dxfId="12122" priority="2311" operator="equal">
      <formula>4</formula>
    </cfRule>
  </conditionalFormatting>
  <conditionalFormatting sqref="P30">
    <cfRule type="top10" dxfId="12121" priority="2292" rank="10"/>
    <cfRule type="cellIs" dxfId="12120" priority="2293" operator="equal">
      <formula>1</formula>
    </cfRule>
    <cfRule type="cellIs" dxfId="12119" priority="2287" operator="equal">
      <formula>4</formula>
    </cfRule>
    <cfRule type="cellIs" dxfId="12118" priority="2295" operator="equal">
      <formula>1</formula>
    </cfRule>
    <cfRule type="cellIs" dxfId="12117" priority="2296" operator="equal">
      <formula>4</formula>
    </cfRule>
    <cfRule type="cellIs" dxfId="12116" priority="2297" operator="equal">
      <formula>1</formula>
    </cfRule>
    <cfRule type="cellIs" dxfId="12115" priority="2294" operator="equal">
      <formula>4</formula>
    </cfRule>
    <cfRule type="cellIs" dxfId="12114" priority="2291" operator="equal">
      <formula>4</formula>
    </cfRule>
    <cfRule type="cellIs" dxfId="12113" priority="2285" operator="equal">
      <formula>1</formula>
    </cfRule>
    <cfRule type="cellIs" dxfId="12112" priority="2286" operator="equal">
      <formula>1</formula>
    </cfRule>
    <cfRule type="cellIs" dxfId="12111" priority="2288" operator="equal">
      <formula>4</formula>
    </cfRule>
    <cfRule type="cellIs" dxfId="12110" priority="2289" operator="equal">
      <formula>4</formula>
    </cfRule>
    <cfRule type="cellIs" dxfId="12109" priority="2290" operator="equal">
      <formula>1</formula>
    </cfRule>
  </conditionalFormatting>
  <conditionalFormatting sqref="P34">
    <cfRule type="cellIs" dxfId="12108" priority="2280" operator="equal">
      <formula>1</formula>
    </cfRule>
    <cfRule type="cellIs" dxfId="12107" priority="2277" operator="equal">
      <formula>1</formula>
    </cfRule>
    <cfRule type="cellIs" dxfId="12106" priority="2276" operator="equal">
      <formula>4</formula>
    </cfRule>
    <cfRule type="cellIs" dxfId="12105" priority="2275" operator="equal">
      <formula>4</formula>
    </cfRule>
    <cfRule type="cellIs" dxfId="12104" priority="2274" operator="equal">
      <formula>4</formula>
    </cfRule>
    <cfRule type="cellIs" dxfId="12103" priority="2273" operator="equal">
      <formula>1</formula>
    </cfRule>
    <cfRule type="cellIs" dxfId="12102" priority="2272" operator="equal">
      <formula>1</formula>
    </cfRule>
    <cfRule type="top10" dxfId="12101" priority="2279" rank="10"/>
    <cfRule type="cellIs" dxfId="12100" priority="2278" operator="equal">
      <formula>4</formula>
    </cfRule>
    <cfRule type="cellIs" dxfId="12099" priority="2284" operator="equal">
      <formula>1</formula>
    </cfRule>
    <cfRule type="cellIs" dxfId="12098" priority="2283" operator="equal">
      <formula>4</formula>
    </cfRule>
    <cfRule type="cellIs" dxfId="12097" priority="2282" operator="equal">
      <formula>1</formula>
    </cfRule>
    <cfRule type="cellIs" dxfId="12096" priority="2281" operator="equal">
      <formula>4</formula>
    </cfRule>
  </conditionalFormatting>
  <conditionalFormatting sqref="P48">
    <cfRule type="top10" dxfId="12095" priority="2271" rank="10"/>
  </conditionalFormatting>
  <conditionalFormatting sqref="P17:Q48">
    <cfRule type="top10" dxfId="12094" priority="31" rank="10"/>
    <cfRule type="cellIs" dxfId="12093" priority="32" operator="equal">
      <formula>1</formula>
    </cfRule>
  </conditionalFormatting>
  <conditionalFormatting sqref="Q20">
    <cfRule type="cellIs" dxfId="12092" priority="2270" operator="equal">
      <formula>1</formula>
    </cfRule>
    <cfRule type="cellIs" dxfId="12091" priority="2269" operator="equal">
      <formula>4</formula>
    </cfRule>
    <cfRule type="cellIs" dxfId="12090" priority="2268" operator="equal">
      <formula>4</formula>
    </cfRule>
    <cfRule type="cellIs" dxfId="12089" priority="2267" operator="equal">
      <formula>1</formula>
    </cfRule>
    <cfRule type="cellIs" dxfId="12088" priority="2266" operator="equal">
      <formula>4</formula>
    </cfRule>
    <cfRule type="cellIs" dxfId="12087" priority="2265" operator="equal">
      <formula>4</formula>
    </cfRule>
  </conditionalFormatting>
  <conditionalFormatting sqref="Q133">
    <cfRule type="duplicateValues" dxfId="12086" priority="5717"/>
  </conditionalFormatting>
  <conditionalFormatting sqref="Q25:R25">
    <cfRule type="cellIs" dxfId="12085" priority="2253" operator="equal">
      <formula>1</formula>
    </cfRule>
    <cfRule type="cellIs" dxfId="12084" priority="2252" operator="equal">
      <formula>1</formula>
    </cfRule>
    <cfRule type="cellIs" dxfId="12083" priority="2256" operator="equal">
      <formula>4</formula>
    </cfRule>
    <cfRule type="cellIs" dxfId="12082" priority="2264" operator="equal">
      <formula>1</formula>
    </cfRule>
    <cfRule type="cellIs" dxfId="12081" priority="2263" operator="equal">
      <formula>4</formula>
    </cfRule>
    <cfRule type="cellIs" dxfId="12080" priority="2262" operator="equal">
      <formula>1</formula>
    </cfRule>
    <cfRule type="cellIs" dxfId="12079" priority="2261" operator="equal">
      <formula>4</formula>
    </cfRule>
    <cfRule type="cellIs" dxfId="12078" priority="2260" operator="equal">
      <formula>1</formula>
    </cfRule>
    <cfRule type="top10" dxfId="12077" priority="2259" rank="10"/>
    <cfRule type="cellIs" dxfId="12076" priority="2258" operator="equal">
      <formula>4</formula>
    </cfRule>
    <cfRule type="cellIs" dxfId="12075" priority="2257" operator="equal">
      <formula>1</formula>
    </cfRule>
    <cfRule type="cellIs" dxfId="12074" priority="2255" operator="equal">
      <formula>4</formula>
    </cfRule>
    <cfRule type="cellIs" dxfId="12073" priority="2254" operator="equal">
      <formula>4</formula>
    </cfRule>
  </conditionalFormatting>
  <conditionalFormatting sqref="Q20:T20 N58:O58">
    <cfRule type="cellIs" dxfId="12072" priority="2251" operator="equal">
      <formula>1</formula>
    </cfRule>
  </conditionalFormatting>
  <conditionalFormatting sqref="R18">
    <cfRule type="cellIs" dxfId="12071" priority="2242" operator="equal">
      <formula>1</formula>
    </cfRule>
    <cfRule type="cellIs" dxfId="12070" priority="2243" operator="equal">
      <formula>4</formula>
    </cfRule>
    <cfRule type="cellIs" dxfId="12069" priority="2244" operator="equal">
      <formula>4</formula>
    </cfRule>
    <cfRule type="cellIs" dxfId="12068" priority="2245" operator="equal">
      <formula>4</formula>
    </cfRule>
    <cfRule type="cellIs" dxfId="12067" priority="2247" operator="equal">
      <formula>4</formula>
    </cfRule>
    <cfRule type="top10" dxfId="12066" priority="2248" rank="10"/>
    <cfRule type="cellIs" dxfId="12065" priority="2249" operator="equal">
      <formula>1</formula>
    </cfRule>
    <cfRule type="top10" dxfId="12064" priority="2250" rank="10"/>
    <cfRule type="cellIs" dxfId="12063" priority="2246" operator="equal">
      <formula>1</formula>
    </cfRule>
    <cfRule type="cellIs" dxfId="12062" priority="2241" operator="equal">
      <formula>1</formula>
    </cfRule>
  </conditionalFormatting>
  <conditionalFormatting sqref="R23:R24">
    <cfRule type="cellIs" dxfId="12061" priority="2813" operator="equal">
      <formula>4</formula>
    </cfRule>
  </conditionalFormatting>
  <conditionalFormatting sqref="R23:R25">
    <cfRule type="cellIs" dxfId="12060" priority="2239" operator="equal">
      <formula>4</formula>
    </cfRule>
  </conditionalFormatting>
  <conditionalFormatting sqref="R25">
    <cfRule type="cellIs" dxfId="12059" priority="2238" operator="equal">
      <formula>4</formula>
    </cfRule>
  </conditionalFormatting>
  <conditionalFormatting sqref="R33">
    <cfRule type="cellIs" dxfId="12058" priority="2237" operator="equal">
      <formula>2</formula>
    </cfRule>
    <cfRule type="cellIs" dxfId="12057" priority="2236" operator="equal">
      <formula>1</formula>
    </cfRule>
    <cfRule type="top10" dxfId="12056" priority="2235" rank="10"/>
    <cfRule type="cellIs" dxfId="12055" priority="2234" operator="equal">
      <formula>3</formula>
    </cfRule>
    <cfRule type="cellIs" dxfId="12054" priority="2233" operator="equal">
      <formula>4</formula>
    </cfRule>
  </conditionalFormatting>
  <conditionalFormatting sqref="R44">
    <cfRule type="cellIs" dxfId="12053" priority="2222" operator="equal">
      <formula>4</formula>
    </cfRule>
    <cfRule type="cellIs" dxfId="12052" priority="2223" operator="equal">
      <formula>4</formula>
    </cfRule>
    <cfRule type="cellIs" dxfId="12051" priority="2224" operator="equal">
      <formula>1</formula>
    </cfRule>
    <cfRule type="cellIs" dxfId="12050" priority="2225" operator="equal">
      <formula>4</formula>
    </cfRule>
    <cfRule type="top10" dxfId="12049" priority="2226" rank="10"/>
    <cfRule type="cellIs" dxfId="12048" priority="2227" operator="equal">
      <formula>1</formula>
    </cfRule>
    <cfRule type="cellIs" dxfId="12047" priority="2228" operator="equal">
      <formula>4</formula>
    </cfRule>
    <cfRule type="cellIs" dxfId="12046" priority="2229" operator="equal">
      <formula>1</formula>
    </cfRule>
    <cfRule type="cellIs" dxfId="12045" priority="2230" operator="equal">
      <formula>4</formula>
    </cfRule>
    <cfRule type="cellIs" dxfId="12044" priority="2231" operator="equal">
      <formula>1</formula>
    </cfRule>
    <cfRule type="top10" dxfId="12043" priority="2232" rank="10"/>
    <cfRule type="cellIs" dxfId="12042" priority="2221" operator="equal">
      <formula>4</formula>
    </cfRule>
    <cfRule type="cellIs" dxfId="12041" priority="2219" operator="equal">
      <formula>1</formula>
    </cfRule>
    <cfRule type="cellIs" dxfId="12040" priority="2220" operator="equal">
      <formula>1</formula>
    </cfRule>
  </conditionalFormatting>
  <conditionalFormatting sqref="R19:T19">
    <cfRule type="top10" dxfId="12039" priority="2218" rank="10"/>
  </conditionalFormatting>
  <conditionalFormatting sqref="R20:T20 F20 AG20:AH20 AO20:AP20 I20">
    <cfRule type="top10" dxfId="12038" priority="2217" rank="10"/>
  </conditionalFormatting>
  <conditionalFormatting sqref="R24:T24 AG24:AH24 AO24:AP24">
    <cfRule type="top10" dxfId="12037" priority="2216" rank="10"/>
  </conditionalFormatting>
  <conditionalFormatting sqref="R26:T26">
    <cfRule type="cellIs" dxfId="12036" priority="2203" operator="equal">
      <formula>1</formula>
    </cfRule>
    <cfRule type="top10" dxfId="12035" priority="2215" rank="10"/>
    <cfRule type="cellIs" dxfId="12034" priority="2205" operator="equal">
      <formula>4</formula>
    </cfRule>
    <cfRule type="cellIs" dxfId="12033" priority="2214" operator="equal">
      <formula>1</formula>
    </cfRule>
    <cfRule type="cellIs" dxfId="12032" priority="2213" operator="equal">
      <formula>4</formula>
    </cfRule>
    <cfRule type="cellIs" dxfId="12031" priority="2212" operator="equal">
      <formula>1</formula>
    </cfRule>
    <cfRule type="cellIs" dxfId="12030" priority="2211" operator="equal">
      <formula>4</formula>
    </cfRule>
    <cfRule type="top10" dxfId="12029" priority="2209" rank="10"/>
    <cfRule type="cellIs" dxfId="12028" priority="2208" operator="equal">
      <formula>4</formula>
    </cfRule>
    <cfRule type="cellIs" dxfId="12027" priority="2207" operator="equal">
      <formula>1</formula>
    </cfRule>
    <cfRule type="cellIs" dxfId="12026" priority="2206" operator="equal">
      <formula>4</formula>
    </cfRule>
    <cfRule type="cellIs" dxfId="12025" priority="2210" operator="equal">
      <formula>1</formula>
    </cfRule>
    <cfRule type="cellIs" dxfId="12024" priority="2204" operator="equal">
      <formula>4</formula>
    </cfRule>
  </conditionalFormatting>
  <conditionalFormatting sqref="R26:T28">
    <cfRule type="cellIs" dxfId="12023" priority="2201" operator="equal">
      <formula>4</formula>
    </cfRule>
    <cfRule type="cellIs" dxfId="12022" priority="2200" operator="equal">
      <formula>4</formula>
    </cfRule>
    <cfRule type="cellIs" dxfId="12021" priority="2202" operator="equal">
      <formula>1</formula>
    </cfRule>
  </conditionalFormatting>
  <conditionalFormatting sqref="R27:T27 AG27:AH27 AO27:AP27 E27:G27 I27">
    <cfRule type="top10" dxfId="12020" priority="2199" rank="10"/>
  </conditionalFormatting>
  <conditionalFormatting sqref="R29:T29 AG29:AH29 AO29:AP29 E29:G29 I29">
    <cfRule type="top10" dxfId="12019" priority="2198" rank="10"/>
  </conditionalFormatting>
  <conditionalFormatting sqref="R36:T36">
    <cfRule type="top10" dxfId="12018" priority="2197" rank="10"/>
  </conditionalFormatting>
  <conditionalFormatting sqref="R41:T41 AG41:AH41 AO41:AP41 E41:G41 I41">
    <cfRule type="top10" dxfId="12017" priority="2195" rank="10"/>
  </conditionalFormatting>
  <conditionalFormatting sqref="R43:T43">
    <cfRule type="cellIs" dxfId="12016" priority="2194" operator="equal">
      <formula>3</formula>
    </cfRule>
    <cfRule type="cellIs" dxfId="12015" priority="2193" operator="equal">
      <formula>4</formula>
    </cfRule>
  </conditionalFormatting>
  <conditionalFormatting sqref="R44:T45 E44:G45 I44:I45">
    <cfRule type="top10" dxfId="12014" priority="2192" rank="10"/>
  </conditionalFormatting>
  <conditionalFormatting sqref="R44:AF47 AG47:AH47 BC43:BE43 BC33 BC36:BE36 CW18:DC19 CW20:DS20 CW23 DD25:DQ28 CS25:CS29 CT26:CT29 CW26:CY29 E28:F28 CW30 DK30:DQ30 G30:G31 CW31:DQ31 CW32:DS32 BM36 BO36:BP36 CW36:DS36 H38 BC38:BE38 BO38:BP38 DB38:DQ38 DK39:DQ41 DD39:DJ42 H42 DK42:DS42 DB43:DC45 BD44:BE47 DD44:DT47 H46:I48">
    <cfRule type="cellIs" dxfId="12013" priority="2463" operator="equal">
      <formula>1</formula>
    </cfRule>
  </conditionalFormatting>
  <conditionalFormatting sqref="R48:BE48 E48:H48">
    <cfRule type="cellIs" dxfId="12012" priority="2191" operator="equal">
      <formula>3</formula>
    </cfRule>
  </conditionalFormatting>
  <conditionalFormatting sqref="S45:S46">
    <cfRule type="top10" dxfId="12011" priority="2184" rank="10"/>
    <cfRule type="cellIs" dxfId="12010" priority="2181" operator="equal">
      <formula>4</formula>
    </cfRule>
    <cfRule type="cellIs" dxfId="12009" priority="2180" operator="equal">
      <formula>4</formula>
    </cfRule>
    <cfRule type="cellIs" dxfId="12008" priority="2179" operator="equal">
      <formula>4</formula>
    </cfRule>
    <cfRule type="cellIs" dxfId="12007" priority="2177" operator="equal">
      <formula>1</formula>
    </cfRule>
    <cfRule type="cellIs" dxfId="12006" priority="2182" operator="equal">
      <formula>1</formula>
    </cfRule>
    <cfRule type="cellIs" dxfId="12005" priority="2188" operator="equal">
      <formula>4</formula>
    </cfRule>
    <cfRule type="cellIs" dxfId="12004" priority="2178" operator="equal">
      <formula>1</formula>
    </cfRule>
    <cfRule type="cellIs" dxfId="12003" priority="2183" operator="equal">
      <formula>4</formula>
    </cfRule>
    <cfRule type="cellIs" dxfId="12002" priority="2185" operator="equal">
      <formula>1</formula>
    </cfRule>
    <cfRule type="cellIs" dxfId="12001" priority="2186" operator="equal">
      <formula>4</formula>
    </cfRule>
    <cfRule type="cellIs" dxfId="12000" priority="2187" operator="equal">
      <formula>1</formula>
    </cfRule>
    <cfRule type="cellIs" dxfId="11999" priority="2189" operator="equal">
      <formula>1</formula>
    </cfRule>
    <cfRule type="top10" dxfId="11998" priority="2190" rank="10"/>
  </conditionalFormatting>
  <conditionalFormatting sqref="T20">
    <cfRule type="cellIs" dxfId="11997" priority="2176" operator="equal">
      <formula>4</formula>
    </cfRule>
    <cfRule type="cellIs" dxfId="11996" priority="2175" operator="equal">
      <formula>4</formula>
    </cfRule>
    <cfRule type="cellIs" dxfId="11995" priority="2174" operator="equal">
      <formula>4</formula>
    </cfRule>
    <cfRule type="cellIs" dxfId="11994" priority="2173" operator="equal">
      <formula>1</formula>
    </cfRule>
    <cfRule type="cellIs" dxfId="11993" priority="2172" operator="equal">
      <formula>1</formula>
    </cfRule>
  </conditionalFormatting>
  <conditionalFormatting sqref="T23:T24">
    <cfRule type="cellIs" dxfId="11992" priority="2171" operator="equal">
      <formula>1</formula>
    </cfRule>
    <cfRule type="cellIs" dxfId="11991" priority="2170" operator="equal">
      <formula>4</formula>
    </cfRule>
    <cfRule type="cellIs" dxfId="11990" priority="2169" operator="equal">
      <formula>4</formula>
    </cfRule>
  </conditionalFormatting>
  <conditionalFormatting sqref="T43">
    <cfRule type="top10" dxfId="11989" priority="2168" rank="10"/>
  </conditionalFormatting>
  <conditionalFormatting sqref="U19">
    <cfRule type="top10" dxfId="11988" priority="2167" rank="10"/>
    <cfRule type="cellIs" dxfId="11987" priority="2166" operator="equal">
      <formula>1</formula>
    </cfRule>
    <cfRule type="cellIs" dxfId="11986" priority="2165" operator="equal">
      <formula>4</formula>
    </cfRule>
    <cfRule type="cellIs" dxfId="11985" priority="2155" operator="equal">
      <formula>1</formula>
    </cfRule>
    <cfRule type="cellIs" dxfId="11984" priority="2154" operator="equal">
      <formula>1</formula>
    </cfRule>
    <cfRule type="cellIs" dxfId="11983" priority="2157" operator="equal">
      <formula>4</formula>
    </cfRule>
    <cfRule type="cellIs" dxfId="11982" priority="2158" operator="equal">
      <formula>4</formula>
    </cfRule>
    <cfRule type="cellIs" dxfId="11981" priority="2159" operator="equal">
      <formula>1</formula>
    </cfRule>
    <cfRule type="cellIs" dxfId="11980" priority="2160" operator="equal">
      <formula>4</formula>
    </cfRule>
    <cfRule type="cellIs" dxfId="11979" priority="2156" operator="equal">
      <formula>4</formula>
    </cfRule>
    <cfRule type="top10" dxfId="11978" priority="2161" rank="10"/>
    <cfRule type="cellIs" dxfId="11977" priority="2162" operator="equal">
      <formula>1</formula>
    </cfRule>
    <cfRule type="cellIs" dxfId="11976" priority="2163" operator="equal">
      <formula>4</formula>
    </cfRule>
    <cfRule type="cellIs" dxfId="11975" priority="2164" operator="equal">
      <formula>1</formula>
    </cfRule>
  </conditionalFormatting>
  <conditionalFormatting sqref="U18:Y48">
    <cfRule type="top10" dxfId="11974" priority="30" rank="10"/>
  </conditionalFormatting>
  <conditionalFormatting sqref="U17:AF17 AG21:AH21 AG22 U48:AG48">
    <cfRule type="cellIs" dxfId="11973" priority="2153" operator="equal">
      <formula>1</formula>
    </cfRule>
  </conditionalFormatting>
  <conditionalFormatting sqref="U17:BB17">
    <cfRule type="cellIs" dxfId="11972" priority="2152" operator="equal">
      <formula>1</formula>
    </cfRule>
  </conditionalFormatting>
  <conditionalFormatting sqref="W30:X30">
    <cfRule type="cellIs" dxfId="11971" priority="2143" operator="equal">
      <formula>1</formula>
    </cfRule>
    <cfRule type="cellIs" dxfId="11970" priority="2138" operator="equal">
      <formula>1</formula>
    </cfRule>
    <cfRule type="cellIs" dxfId="11969" priority="2141" operator="equal">
      <formula>4</formula>
    </cfRule>
    <cfRule type="cellIs" dxfId="11968" priority="2140" operator="equal">
      <formula>4</formula>
    </cfRule>
    <cfRule type="top10" dxfId="11967" priority="2151" rank="10"/>
    <cfRule type="cellIs" dxfId="11966" priority="2150" operator="equal">
      <formula>1</formula>
    </cfRule>
    <cfRule type="cellIs" dxfId="11965" priority="2149" operator="equal">
      <formula>4</formula>
    </cfRule>
    <cfRule type="cellIs" dxfId="11964" priority="2148" operator="equal">
      <formula>1</formula>
    </cfRule>
    <cfRule type="cellIs" dxfId="11963" priority="2147" operator="equal">
      <formula>4</formula>
    </cfRule>
    <cfRule type="cellIs" dxfId="11962" priority="2146" operator="equal">
      <formula>1</formula>
    </cfRule>
    <cfRule type="top10" dxfId="11961" priority="2145" rank="10"/>
    <cfRule type="cellIs" dxfId="11960" priority="2139" operator="equal">
      <formula>1</formula>
    </cfRule>
    <cfRule type="cellIs" dxfId="11959" priority="2144" operator="equal">
      <formula>4</formula>
    </cfRule>
    <cfRule type="cellIs" dxfId="11958" priority="2142" operator="equal">
      <formula>4</formula>
    </cfRule>
  </conditionalFormatting>
  <conditionalFormatting sqref="W34:X34">
    <cfRule type="cellIs" dxfId="11957" priority="2135" operator="equal">
      <formula>4</formula>
    </cfRule>
    <cfRule type="cellIs" dxfId="11956" priority="2134" operator="equal">
      <formula>4</formula>
    </cfRule>
    <cfRule type="cellIs" dxfId="11955" priority="2133" operator="equal">
      <formula>1</formula>
    </cfRule>
    <cfRule type="top10" dxfId="11954" priority="2132" rank="10"/>
    <cfRule type="cellIs" dxfId="11953" priority="2131" operator="equal">
      <formula>4</formula>
    </cfRule>
    <cfRule type="cellIs" dxfId="11952" priority="2130" operator="equal">
      <formula>1</formula>
    </cfRule>
    <cfRule type="top10" dxfId="11951" priority="2129" rank="10"/>
    <cfRule type="top10" dxfId="11950" priority="2128" rank="10"/>
    <cfRule type="cellIs" dxfId="11949" priority="2127" operator="equal">
      <formula>1</formula>
    </cfRule>
    <cfRule type="cellIs" dxfId="11948" priority="2126" operator="equal">
      <formula>4</formula>
    </cfRule>
    <cfRule type="cellIs" dxfId="11947" priority="2125" operator="equal">
      <formula>1</formula>
    </cfRule>
    <cfRule type="cellIs" dxfId="11946" priority="2124" operator="equal">
      <formula>4</formula>
    </cfRule>
    <cfRule type="cellIs" dxfId="11945" priority="2123" operator="equal">
      <formula>1</formula>
    </cfRule>
    <cfRule type="top10" dxfId="11944" priority="2122" rank="10"/>
    <cfRule type="cellIs" dxfId="11943" priority="2121" operator="equal">
      <formula>4</formula>
    </cfRule>
    <cfRule type="cellIs" dxfId="11942" priority="2120" operator="equal">
      <formula>1</formula>
    </cfRule>
    <cfRule type="cellIs" dxfId="11941" priority="2119" operator="equal">
      <formula>4</formula>
    </cfRule>
    <cfRule type="cellIs" dxfId="11940" priority="2118" operator="equal">
      <formula>4</formula>
    </cfRule>
    <cfRule type="cellIs" dxfId="11939" priority="2117" operator="equal">
      <formula>4</formula>
    </cfRule>
    <cfRule type="cellIs" dxfId="11938" priority="2116" operator="equal">
      <formula>1</formula>
    </cfRule>
    <cfRule type="cellIs" dxfId="11937" priority="2115" operator="equal">
      <formula>1</formula>
    </cfRule>
    <cfRule type="top10" dxfId="11936" priority="2137" rank="10"/>
    <cfRule type="cellIs" dxfId="11935" priority="2136" operator="equal">
      <formula>1</formula>
    </cfRule>
  </conditionalFormatting>
  <conditionalFormatting sqref="X18:Y18">
    <cfRule type="cellIs" dxfId="11934" priority="2101" operator="equal">
      <formula>1</formula>
    </cfRule>
    <cfRule type="cellIs" dxfId="11933" priority="2102" operator="equal">
      <formula>1</formula>
    </cfRule>
    <cfRule type="cellIs" dxfId="11932" priority="2103" operator="equal">
      <formula>4</formula>
    </cfRule>
    <cfRule type="cellIs" dxfId="11931" priority="2104" operator="equal">
      <formula>4</formula>
    </cfRule>
    <cfRule type="cellIs" dxfId="11930" priority="2105" operator="equal">
      <formula>4</formula>
    </cfRule>
    <cfRule type="cellIs" dxfId="11929" priority="2106" operator="equal">
      <formula>1</formula>
    </cfRule>
    <cfRule type="cellIs" dxfId="11928" priority="2107" operator="equal">
      <formula>4</formula>
    </cfRule>
    <cfRule type="top10" dxfId="11927" priority="2108" rank="10"/>
    <cfRule type="cellIs" dxfId="11926" priority="2109" operator="equal">
      <formula>1</formula>
    </cfRule>
    <cfRule type="cellIs" dxfId="11925" priority="2110" operator="equal">
      <formula>4</formula>
    </cfRule>
    <cfRule type="cellIs" dxfId="11924" priority="2111" operator="equal">
      <formula>1</formula>
    </cfRule>
    <cfRule type="cellIs" dxfId="11923" priority="2112" operator="equal">
      <formula>4</formula>
    </cfRule>
    <cfRule type="cellIs" dxfId="11922" priority="2113" operator="equal">
      <formula>1</formula>
    </cfRule>
    <cfRule type="top10" dxfId="11921" priority="2114" rank="10"/>
  </conditionalFormatting>
  <conditionalFormatting sqref="Y26">
    <cfRule type="cellIs" dxfId="11920" priority="2092" operator="equal">
      <formula>1</formula>
    </cfRule>
    <cfRule type="cellIs" dxfId="11919" priority="2095" operator="equal">
      <formula>1</formula>
    </cfRule>
    <cfRule type="cellIs" dxfId="11918" priority="2097" operator="equal">
      <formula>1</formula>
    </cfRule>
    <cfRule type="cellIs" dxfId="11917" priority="2098" operator="equal">
      <formula>4</formula>
    </cfRule>
    <cfRule type="cellIs" dxfId="11916" priority="2099" operator="equal">
      <formula>1</formula>
    </cfRule>
    <cfRule type="top10" dxfId="11915" priority="2100" rank="10"/>
    <cfRule type="cellIs" dxfId="11914" priority="2096" operator="equal">
      <formula>4</formula>
    </cfRule>
    <cfRule type="cellIs" dxfId="11913" priority="2090" operator="equal">
      <formula>4</formula>
    </cfRule>
    <cfRule type="cellIs" dxfId="11912" priority="2089" operator="equal">
      <formula>4</formula>
    </cfRule>
    <cfRule type="cellIs" dxfId="11911" priority="2088" operator="equal">
      <formula>1</formula>
    </cfRule>
    <cfRule type="cellIs" dxfId="11910" priority="2087" operator="equal">
      <formula>1</formula>
    </cfRule>
    <cfRule type="cellIs" dxfId="11909" priority="2091" operator="equal">
      <formula>4</formula>
    </cfRule>
    <cfRule type="top10" dxfId="11908" priority="2094" rank="10"/>
    <cfRule type="cellIs" dxfId="11907" priority="2093" operator="equal">
      <formula>4</formula>
    </cfRule>
  </conditionalFormatting>
  <conditionalFormatting sqref="Z24">
    <cfRule type="cellIs" dxfId="11906" priority="2076" operator="equal">
      <formula>4</formula>
    </cfRule>
    <cfRule type="cellIs" dxfId="11905" priority="2077" operator="equal">
      <formula>4</formula>
    </cfRule>
    <cfRule type="cellIs" dxfId="11904" priority="2078" operator="equal">
      <formula>1</formula>
    </cfRule>
    <cfRule type="cellIs" dxfId="11903" priority="2079" operator="equal">
      <formula>4</formula>
    </cfRule>
    <cfRule type="top10" dxfId="11902" priority="2080" rank="10"/>
    <cfRule type="cellIs" dxfId="11901" priority="2081" operator="equal">
      <formula>1</formula>
    </cfRule>
    <cfRule type="cellIs" dxfId="11900" priority="2082" operator="equal">
      <formula>4</formula>
    </cfRule>
    <cfRule type="cellIs" dxfId="11899" priority="2075" operator="equal">
      <formula>4</formula>
    </cfRule>
    <cfRule type="cellIs" dxfId="11898" priority="2084" operator="equal">
      <formula>4</formula>
    </cfRule>
    <cfRule type="cellIs" dxfId="11897" priority="2085" operator="equal">
      <formula>1</formula>
    </cfRule>
    <cfRule type="top10" dxfId="11896" priority="2086" rank="10"/>
    <cfRule type="cellIs" dxfId="11895" priority="2083" operator="equal">
      <formula>1</formula>
    </cfRule>
    <cfRule type="cellIs" dxfId="11894" priority="2073" operator="equal">
      <formula>1</formula>
    </cfRule>
    <cfRule type="cellIs" dxfId="11893" priority="2074" operator="equal">
      <formula>1</formula>
    </cfRule>
  </conditionalFormatting>
  <conditionalFormatting sqref="Z30:Z31">
    <cfRule type="cellIs" dxfId="11892" priority="2069" operator="equal">
      <formula>1</formula>
    </cfRule>
    <cfRule type="top10" dxfId="11891" priority="2072" rank="10"/>
    <cfRule type="cellIs" dxfId="11890" priority="2068" operator="equal">
      <formula>4</formula>
    </cfRule>
    <cfRule type="cellIs" dxfId="11889" priority="2067" operator="equal">
      <formula>1</formula>
    </cfRule>
    <cfRule type="top10" dxfId="11888" priority="2066" rank="10"/>
    <cfRule type="cellIs" dxfId="11887" priority="2065" operator="equal">
      <formula>4</formula>
    </cfRule>
    <cfRule type="cellIs" dxfId="11886" priority="2064" operator="equal">
      <formula>1</formula>
    </cfRule>
    <cfRule type="cellIs" dxfId="11885" priority="2063" operator="equal">
      <formula>4</formula>
    </cfRule>
    <cfRule type="cellIs" dxfId="11884" priority="2062" operator="equal">
      <formula>4</formula>
    </cfRule>
    <cfRule type="cellIs" dxfId="11883" priority="2061" operator="equal">
      <formula>4</formula>
    </cfRule>
    <cfRule type="cellIs" dxfId="11882" priority="2060" operator="equal">
      <formula>1</formula>
    </cfRule>
    <cfRule type="cellIs" dxfId="11881" priority="2059" operator="equal">
      <formula>1</formula>
    </cfRule>
    <cfRule type="cellIs" dxfId="11880" priority="2071" operator="equal">
      <formula>1</formula>
    </cfRule>
    <cfRule type="cellIs" dxfId="11879" priority="2070" operator="equal">
      <formula>4</formula>
    </cfRule>
  </conditionalFormatting>
  <conditionalFormatting sqref="Z33">
    <cfRule type="cellIs" dxfId="11878" priority="2057" operator="equal">
      <formula>1</formula>
    </cfRule>
    <cfRule type="top10" dxfId="11877" priority="2058" rank="10"/>
    <cfRule type="cellIs" dxfId="11876" priority="2056" operator="equal">
      <formula>4</formula>
    </cfRule>
    <cfRule type="cellIs" dxfId="11875" priority="2055" operator="equal">
      <formula>1</formula>
    </cfRule>
    <cfRule type="cellIs" dxfId="11874" priority="2054" operator="equal">
      <formula>4</formula>
    </cfRule>
    <cfRule type="cellIs" dxfId="11873" priority="2053" operator="equal">
      <formula>1</formula>
    </cfRule>
    <cfRule type="top10" dxfId="11872" priority="2052" rank="10"/>
    <cfRule type="cellIs" dxfId="11871" priority="2051" operator="equal">
      <formula>4</formula>
    </cfRule>
    <cfRule type="cellIs" dxfId="11870" priority="2049" operator="equal">
      <formula>4</formula>
    </cfRule>
    <cfRule type="cellIs" dxfId="11869" priority="2050" operator="equal">
      <formula>1</formula>
    </cfRule>
    <cfRule type="cellIs" dxfId="11868" priority="2048" operator="equal">
      <formula>4</formula>
    </cfRule>
    <cfRule type="cellIs" dxfId="11867" priority="2047" operator="equal">
      <formula>4</formula>
    </cfRule>
    <cfRule type="cellIs" dxfId="11866" priority="2046" operator="equal">
      <formula>1</formula>
    </cfRule>
    <cfRule type="cellIs" dxfId="11865" priority="2045" operator="equal">
      <formula>1</formula>
    </cfRule>
  </conditionalFormatting>
  <conditionalFormatting sqref="Z44 BW18:CE18">
    <cfRule type="cellIs" dxfId="11864" priority="2044" operator="equal">
      <formula>4</formula>
    </cfRule>
  </conditionalFormatting>
  <conditionalFormatting sqref="Z44">
    <cfRule type="cellIs" dxfId="11863" priority="2042" operator="equal">
      <formula>1</formula>
    </cfRule>
    <cfRule type="top10" dxfId="11862" priority="2043" rank="10"/>
    <cfRule type="cellIs" dxfId="11861" priority="2041" operator="equal">
      <formula>4</formula>
    </cfRule>
    <cfRule type="cellIs" dxfId="11860" priority="2040" operator="equal">
      <formula>1</formula>
    </cfRule>
    <cfRule type="cellIs" dxfId="11859" priority="2039" operator="equal">
      <formula>4</formula>
    </cfRule>
    <cfRule type="cellIs" dxfId="11858" priority="2038" operator="equal">
      <formula>1</formula>
    </cfRule>
    <cfRule type="top10" dxfId="11857" priority="2037" rank="10"/>
    <cfRule type="cellIs" dxfId="11856" priority="2036" operator="equal">
      <formula>4</formula>
    </cfRule>
    <cfRule type="cellIs" dxfId="11855" priority="2035" operator="equal">
      <formula>1</formula>
    </cfRule>
    <cfRule type="cellIs" dxfId="11854" priority="2034" operator="equal">
      <formula>4</formula>
    </cfRule>
    <cfRule type="cellIs" dxfId="11853" priority="2033" operator="equal">
      <formula>4</formula>
    </cfRule>
    <cfRule type="cellIs" dxfId="11852" priority="2032" operator="equal">
      <formula>4</formula>
    </cfRule>
    <cfRule type="cellIs" dxfId="11851" priority="2031" operator="equal">
      <formula>1</formula>
    </cfRule>
    <cfRule type="cellIs" dxfId="11850" priority="2030" operator="equal">
      <formula>1</formula>
    </cfRule>
  </conditionalFormatting>
  <conditionalFormatting sqref="Z46">
    <cfRule type="cellIs" dxfId="11849" priority="2017" operator="equal">
      <formula>1</formula>
    </cfRule>
    <cfRule type="cellIs" dxfId="11848" priority="2018" operator="equal">
      <formula>4</formula>
    </cfRule>
    <cfRule type="cellIs" dxfId="11847" priority="2019" operator="equal">
      <formula>4</formula>
    </cfRule>
    <cfRule type="cellIs" dxfId="11846" priority="2020" operator="equal">
      <formula>4</formula>
    </cfRule>
    <cfRule type="cellIs" dxfId="11845" priority="2021" operator="equal">
      <formula>1</formula>
    </cfRule>
    <cfRule type="cellIs" dxfId="11844" priority="2022" operator="equal">
      <formula>4</formula>
    </cfRule>
    <cfRule type="cellIs" dxfId="11843" priority="2024" operator="equal">
      <formula>1</formula>
    </cfRule>
    <cfRule type="top10" dxfId="11842" priority="2023" rank="10"/>
    <cfRule type="cellIs" dxfId="11841" priority="2016" operator="equal">
      <formula>1</formula>
    </cfRule>
    <cfRule type="cellIs" dxfId="11840" priority="2025" operator="equal">
      <formula>4</formula>
    </cfRule>
    <cfRule type="cellIs" dxfId="11839" priority="2026" operator="equal">
      <formula>1</formula>
    </cfRule>
    <cfRule type="top10" dxfId="11838" priority="2029" rank="10"/>
    <cfRule type="cellIs" dxfId="11837" priority="2028" operator="equal">
      <formula>1</formula>
    </cfRule>
    <cfRule type="cellIs" dxfId="11836" priority="2027" operator="equal">
      <formula>4</formula>
    </cfRule>
  </conditionalFormatting>
  <conditionalFormatting sqref="Z53">
    <cfRule type="cellIs" dxfId="11835" priority="2004" operator="equal">
      <formula>4</formula>
    </cfRule>
    <cfRule type="cellIs" dxfId="11834" priority="2006" operator="equal">
      <formula>1</formula>
    </cfRule>
    <cfRule type="cellIs" dxfId="11833" priority="2007" operator="equal">
      <formula>4</formula>
    </cfRule>
    <cfRule type="cellIs" dxfId="11832" priority="2009" operator="equal">
      <formula>1</formula>
    </cfRule>
    <cfRule type="cellIs" dxfId="11831" priority="2010" operator="equal">
      <formula>4</formula>
    </cfRule>
    <cfRule type="cellIs" dxfId="11830" priority="2011" operator="equal">
      <formula>4</formula>
    </cfRule>
    <cfRule type="cellIs" dxfId="11829" priority="2012" operator="equal">
      <formula>1</formula>
    </cfRule>
    <cfRule type="top10" dxfId="11828" priority="2013" rank="10"/>
    <cfRule type="cellIs" dxfId="11827" priority="2014" operator="equal">
      <formula>3</formula>
    </cfRule>
    <cfRule type="cellIs" dxfId="11826" priority="2015" operator="equal">
      <formula>1</formula>
    </cfRule>
    <cfRule type="top10" dxfId="11825" priority="2005" rank="10"/>
    <cfRule type="cellIs" dxfId="11824" priority="1999" operator="equal">
      <formula>1</formula>
    </cfRule>
    <cfRule type="cellIs" dxfId="11823" priority="2008" operator="equal">
      <formula>2</formula>
    </cfRule>
    <cfRule type="cellIs" dxfId="11822" priority="2000" operator="equal">
      <formula>4</formula>
    </cfRule>
    <cfRule type="cellIs" dxfId="11821" priority="1998" operator="equal">
      <formula>1</formula>
    </cfRule>
    <cfRule type="cellIs" dxfId="11820" priority="2001" operator="equal">
      <formula>4</formula>
    </cfRule>
    <cfRule type="cellIs" dxfId="11819" priority="2002" operator="equal">
      <formula>4</formula>
    </cfRule>
    <cfRule type="cellIs" dxfId="11818" priority="2003" operator="equal">
      <formula>1</formula>
    </cfRule>
  </conditionalFormatting>
  <conditionalFormatting sqref="Z23:AA23">
    <cfRule type="cellIs" dxfId="11817" priority="1985" operator="equal">
      <formula>1</formula>
    </cfRule>
    <cfRule type="cellIs" dxfId="11816" priority="1984" operator="equal">
      <formula>1</formula>
    </cfRule>
    <cfRule type="cellIs" dxfId="11815" priority="1990" operator="equal">
      <formula>4</formula>
    </cfRule>
    <cfRule type="top10" dxfId="11814" priority="1991" rank="10"/>
    <cfRule type="cellIs" dxfId="11813" priority="1992" operator="equal">
      <formula>1</formula>
    </cfRule>
    <cfRule type="cellIs" dxfId="11812" priority="1993" operator="equal">
      <formula>4</formula>
    </cfRule>
    <cfRule type="cellIs" dxfId="11811" priority="1994" operator="equal">
      <formula>1</formula>
    </cfRule>
    <cfRule type="cellIs" dxfId="11810" priority="1995" operator="equal">
      <formula>4</formula>
    </cfRule>
    <cfRule type="cellIs" dxfId="11809" priority="1986" operator="equal">
      <formula>4</formula>
    </cfRule>
    <cfRule type="top10" dxfId="11808" priority="1997" rank="10"/>
    <cfRule type="cellIs" dxfId="11807" priority="1989" operator="equal">
      <formula>1</formula>
    </cfRule>
    <cfRule type="cellIs" dxfId="11806" priority="1988" operator="equal">
      <formula>4</formula>
    </cfRule>
    <cfRule type="cellIs" dxfId="11805" priority="1987" operator="equal">
      <formula>4</formula>
    </cfRule>
    <cfRule type="cellIs" dxfId="11804" priority="1996" operator="equal">
      <formula>1</formula>
    </cfRule>
  </conditionalFormatting>
  <conditionalFormatting sqref="Z48:AG48 U17:AF17 AG21:AH21 AG22 P18:Q48 Z18:AF47 E17:S17">
    <cfRule type="top10" dxfId="11803" priority="1983" rank="10"/>
  </conditionalFormatting>
  <conditionalFormatting sqref="Z48:AG48 U17:AF17 AG21:AH21 AG22 Z18:AF47">
    <cfRule type="top10" dxfId="11802" priority="1982" rank="10"/>
  </conditionalFormatting>
  <conditionalFormatting sqref="Z48:AG48 AP17:BB17 Q17:AG17 AG21:AH21 AG22 AQ18:BB48 AI17:AI48 Q18:Q48 Z18:AF47">
    <cfRule type="top10" dxfId="11801" priority="1980" rank="10"/>
  </conditionalFormatting>
  <conditionalFormatting sqref="AA30">
    <cfRule type="cellIs" dxfId="11800" priority="1969" operator="equal">
      <formula>4</formula>
    </cfRule>
    <cfRule type="cellIs" dxfId="11799" priority="1968" operator="equal">
      <formula>4</formula>
    </cfRule>
    <cfRule type="cellIs" dxfId="11798" priority="1966" operator="equal">
      <formula>1</formula>
    </cfRule>
    <cfRule type="cellIs" dxfId="11797" priority="1967" operator="equal">
      <formula>1</formula>
    </cfRule>
    <cfRule type="cellIs" dxfId="11796" priority="1970" operator="equal">
      <formula>4</formula>
    </cfRule>
    <cfRule type="cellIs" dxfId="11795" priority="1971" operator="equal">
      <formula>1</formula>
    </cfRule>
    <cfRule type="top10" dxfId="11794" priority="1973" rank="10"/>
    <cfRule type="cellIs" dxfId="11793" priority="1974" operator="equal">
      <formula>1</formula>
    </cfRule>
    <cfRule type="cellIs" dxfId="11792" priority="1975" operator="equal">
      <formula>4</formula>
    </cfRule>
    <cfRule type="cellIs" dxfId="11791" priority="1976" operator="equal">
      <formula>1</formula>
    </cfRule>
    <cfRule type="top10" dxfId="11790" priority="1979" rank="10"/>
    <cfRule type="cellIs" dxfId="11789" priority="1972" operator="equal">
      <formula>4</formula>
    </cfRule>
    <cfRule type="cellIs" dxfId="11788" priority="1978" operator="equal">
      <formula>1</formula>
    </cfRule>
    <cfRule type="cellIs" dxfId="11787" priority="1977" operator="equal">
      <formula>4</formula>
    </cfRule>
  </conditionalFormatting>
  <conditionalFormatting sqref="AA43">
    <cfRule type="cellIs" dxfId="11786" priority="1956" operator="equal">
      <formula>4</formula>
    </cfRule>
    <cfRule type="cellIs" dxfId="11785" priority="1957" operator="equal">
      <formula>1</formula>
    </cfRule>
    <cfRule type="cellIs" dxfId="11784" priority="1958" operator="equal">
      <formula>4</formula>
    </cfRule>
    <cfRule type="top10" dxfId="11783" priority="1959" rank="10"/>
    <cfRule type="cellIs" dxfId="11782" priority="1960" operator="equal">
      <formula>1</formula>
    </cfRule>
    <cfRule type="cellIs" dxfId="11781" priority="1961" operator="equal">
      <formula>4</formula>
    </cfRule>
    <cfRule type="cellIs" dxfId="11780" priority="1963" operator="equal">
      <formula>4</formula>
    </cfRule>
    <cfRule type="cellIs" dxfId="11779" priority="1964" operator="equal">
      <formula>1</formula>
    </cfRule>
    <cfRule type="top10" dxfId="11778" priority="1965" rank="10"/>
    <cfRule type="cellIs" dxfId="11777" priority="1962" operator="equal">
      <formula>1</formula>
    </cfRule>
    <cfRule type="cellIs" dxfId="11776" priority="1953" operator="equal">
      <formula>1</formula>
    </cfRule>
    <cfRule type="cellIs" dxfId="11775" priority="1954" operator="equal">
      <formula>4</formula>
    </cfRule>
    <cfRule type="cellIs" dxfId="11774" priority="1955" operator="equal">
      <formula>4</formula>
    </cfRule>
    <cfRule type="cellIs" dxfId="11773" priority="1952" operator="equal">
      <formula>1</formula>
    </cfRule>
  </conditionalFormatting>
  <conditionalFormatting sqref="AA45">
    <cfRule type="cellIs" dxfId="11772" priority="1939" operator="equal">
      <formula>1</formula>
    </cfRule>
    <cfRule type="cellIs" dxfId="11771" priority="1938" operator="equal">
      <formula>1</formula>
    </cfRule>
    <cfRule type="top10" dxfId="11770" priority="1951" rank="10"/>
    <cfRule type="cellIs" dxfId="11769" priority="1950" operator="equal">
      <formula>1</formula>
    </cfRule>
    <cfRule type="cellIs" dxfId="11768" priority="1949" operator="equal">
      <formula>4</formula>
    </cfRule>
    <cfRule type="cellIs" dxfId="11767" priority="1948" operator="equal">
      <formula>1</formula>
    </cfRule>
    <cfRule type="cellIs" dxfId="11766" priority="1947" operator="equal">
      <formula>4</formula>
    </cfRule>
    <cfRule type="cellIs" dxfId="11765" priority="1946" operator="equal">
      <formula>1</formula>
    </cfRule>
    <cfRule type="top10" dxfId="11764" priority="1945" rank="10"/>
    <cfRule type="cellIs" dxfId="11763" priority="1944" operator="equal">
      <formula>4</formula>
    </cfRule>
    <cfRule type="cellIs" dxfId="11762" priority="1943" operator="equal">
      <formula>1</formula>
    </cfRule>
    <cfRule type="cellIs" dxfId="11761" priority="1942" operator="equal">
      <formula>4</formula>
    </cfRule>
    <cfRule type="cellIs" dxfId="11760" priority="1941" operator="equal">
      <formula>4</formula>
    </cfRule>
    <cfRule type="cellIs" dxfId="11759" priority="1940" operator="equal">
      <formula>4</formula>
    </cfRule>
  </conditionalFormatting>
  <conditionalFormatting sqref="AB24">
    <cfRule type="cellIs" dxfId="11758" priority="1933" operator="equal">
      <formula>4</formula>
    </cfRule>
    <cfRule type="cellIs" dxfId="11757" priority="1924" operator="equal">
      <formula>1</formula>
    </cfRule>
    <cfRule type="cellIs" dxfId="11756" priority="1925" operator="equal">
      <formula>1</formula>
    </cfRule>
    <cfRule type="cellIs" dxfId="11755" priority="1926" operator="equal">
      <formula>4</formula>
    </cfRule>
    <cfRule type="cellIs" dxfId="11754" priority="1927" operator="equal">
      <formula>4</formula>
    </cfRule>
    <cfRule type="cellIs" dxfId="11753" priority="1928" operator="equal">
      <formula>4</formula>
    </cfRule>
    <cfRule type="cellIs" dxfId="11752" priority="1929" operator="equal">
      <formula>1</formula>
    </cfRule>
    <cfRule type="cellIs" dxfId="11751" priority="1930" operator="equal">
      <formula>4</formula>
    </cfRule>
    <cfRule type="top10" dxfId="11750" priority="1931" rank="10"/>
    <cfRule type="cellIs" dxfId="11749" priority="1932" operator="equal">
      <formula>1</formula>
    </cfRule>
    <cfRule type="top10" dxfId="11748" priority="1937" rank="10"/>
    <cfRule type="cellIs" dxfId="11747" priority="1936" operator="equal">
      <formula>1</formula>
    </cfRule>
    <cfRule type="cellIs" dxfId="11746" priority="1935" operator="equal">
      <formula>4</formula>
    </cfRule>
    <cfRule type="cellIs" dxfId="11745" priority="1934" operator="equal">
      <formula>1</formula>
    </cfRule>
  </conditionalFormatting>
  <conditionalFormatting sqref="AC19:AF19">
    <cfRule type="top10" dxfId="11744" priority="1917" rank="10"/>
    <cfRule type="cellIs" dxfId="11743" priority="1918" operator="equal">
      <formula>1</formula>
    </cfRule>
    <cfRule type="cellIs" dxfId="11742" priority="1920" operator="equal">
      <formula>1</formula>
    </cfRule>
    <cfRule type="cellIs" dxfId="11741" priority="1921" operator="equal">
      <formula>4</formula>
    </cfRule>
    <cfRule type="cellIs" dxfId="11740" priority="1922" operator="equal">
      <formula>1</formula>
    </cfRule>
    <cfRule type="top10" dxfId="11739" priority="1923" rank="10"/>
    <cfRule type="cellIs" dxfId="11738" priority="1919" operator="equal">
      <formula>4</formula>
    </cfRule>
    <cfRule type="cellIs" dxfId="11737" priority="1915" operator="equal">
      <formula>4</formula>
    </cfRule>
    <cfRule type="cellIs" dxfId="11736" priority="1912" operator="equal">
      <formula>1</formula>
    </cfRule>
    <cfRule type="cellIs" dxfId="11735" priority="1913" operator="equal">
      <formula>1</formula>
    </cfRule>
    <cfRule type="cellIs" dxfId="11734" priority="1914" operator="equal">
      <formula>4</formula>
    </cfRule>
    <cfRule type="cellIs" dxfId="11733" priority="1916" operator="equal">
      <formula>1</formula>
    </cfRule>
  </conditionalFormatting>
  <conditionalFormatting sqref="AC19:AH19">
    <cfRule type="cellIs" dxfId="11732" priority="1911" operator="equal">
      <formula>4</formula>
    </cfRule>
  </conditionalFormatting>
  <conditionalFormatting sqref="AE50">
    <cfRule type="cellIs" dxfId="11731" priority="1896" operator="equal">
      <formula>1</formula>
    </cfRule>
    <cfRule type="cellIs" dxfId="11730" priority="1906" operator="equal">
      <formula>1</formula>
    </cfRule>
    <cfRule type="cellIs" dxfId="11729" priority="1909" operator="equal">
      <formula>1</formula>
    </cfRule>
    <cfRule type="top10" dxfId="11728" priority="1910" rank="10"/>
    <cfRule type="cellIs" dxfId="11727" priority="1908" operator="equal">
      <formula>4</formula>
    </cfRule>
    <cfRule type="cellIs" dxfId="11726" priority="1907" operator="equal">
      <formula>4</formula>
    </cfRule>
    <cfRule type="cellIs" dxfId="11725" priority="1905" operator="equal">
      <formula>4</formula>
    </cfRule>
    <cfRule type="cellIs" dxfId="11724" priority="1904" operator="equal">
      <formula>1</formula>
    </cfRule>
    <cfRule type="top10" dxfId="11723" priority="1903" rank="10"/>
    <cfRule type="cellIs" dxfId="11722" priority="1902" operator="equal">
      <formula>4</formula>
    </cfRule>
    <cfRule type="cellIs" dxfId="11721" priority="1901" operator="equal">
      <formula>1</formula>
    </cfRule>
    <cfRule type="cellIs" dxfId="11720" priority="1900" operator="equal">
      <formula>4</formula>
    </cfRule>
    <cfRule type="cellIs" dxfId="11719" priority="1899" operator="equal">
      <formula>4</formula>
    </cfRule>
    <cfRule type="cellIs" dxfId="11718" priority="1898" operator="equal">
      <formula>4</formula>
    </cfRule>
    <cfRule type="cellIs" dxfId="11717" priority="1897" operator="equal">
      <formula>1</formula>
    </cfRule>
  </conditionalFormatting>
  <conditionalFormatting sqref="AE58:AE59">
    <cfRule type="cellIs" dxfId="11716" priority="1895" operator="equal">
      <formula>3</formula>
    </cfRule>
    <cfRule type="top10" dxfId="11715" priority="1894" rank="10"/>
    <cfRule type="cellIs" dxfId="11714" priority="1893" operator="equal">
      <formula>1</formula>
    </cfRule>
    <cfRule type="cellIs" dxfId="11713" priority="1892" operator="equal">
      <formula>4</formula>
    </cfRule>
    <cfRule type="cellIs" dxfId="11712" priority="1891" operator="equal">
      <formula>4</formula>
    </cfRule>
    <cfRule type="cellIs" dxfId="11711" priority="1890" operator="equal">
      <formula>1</formula>
    </cfRule>
    <cfRule type="cellIs" dxfId="11710" priority="1889" operator="equal">
      <formula>2</formula>
    </cfRule>
    <cfRule type="cellIs" dxfId="11709" priority="1888" operator="equal">
      <formula>4</formula>
    </cfRule>
    <cfRule type="cellIs" dxfId="11708" priority="1887" operator="equal">
      <formula>1</formula>
    </cfRule>
    <cfRule type="top10" dxfId="11707" priority="1886" rank="10"/>
    <cfRule type="cellIs" dxfId="11706" priority="1885" operator="equal">
      <formula>4</formula>
    </cfRule>
    <cfRule type="cellIs" dxfId="11705" priority="1884" operator="equal">
      <formula>1</formula>
    </cfRule>
    <cfRule type="cellIs" dxfId="11704" priority="1883" operator="equal">
      <formula>4</formula>
    </cfRule>
    <cfRule type="cellIs" dxfId="11703" priority="1882" operator="equal">
      <formula>4</formula>
    </cfRule>
    <cfRule type="cellIs" dxfId="11702" priority="1881" operator="equal">
      <formula>4</formula>
    </cfRule>
    <cfRule type="cellIs" dxfId="11701" priority="1880" operator="equal">
      <formula>1</formula>
    </cfRule>
    <cfRule type="cellIs" dxfId="11700" priority="1879" operator="equal">
      <formula>1</formula>
    </cfRule>
  </conditionalFormatting>
  <conditionalFormatting sqref="AE61">
    <cfRule type="cellIs" dxfId="11699" priority="1875" operator="equal">
      <formula>4</formula>
    </cfRule>
    <cfRule type="cellIs" dxfId="11698" priority="1878" operator="equal">
      <formula>3</formula>
    </cfRule>
    <cfRule type="top10" dxfId="11697" priority="1877" rank="10"/>
    <cfRule type="cellIs" dxfId="11696" priority="1876" operator="equal">
      <formula>1</formula>
    </cfRule>
    <cfRule type="cellIs" dxfId="11695" priority="1874" operator="equal">
      <formula>4</formula>
    </cfRule>
    <cfRule type="cellIs" dxfId="11694" priority="1873" operator="equal">
      <formula>1</formula>
    </cfRule>
    <cfRule type="cellIs" dxfId="11693" priority="1872" operator="equal">
      <formula>2</formula>
    </cfRule>
    <cfRule type="cellIs" dxfId="11692" priority="1871" operator="equal">
      <formula>4</formula>
    </cfRule>
    <cfRule type="cellIs" dxfId="11691" priority="1870" operator="equal">
      <formula>1</formula>
    </cfRule>
    <cfRule type="top10" dxfId="11690" priority="1869" rank="10"/>
    <cfRule type="cellIs" dxfId="11689" priority="1868" operator="equal">
      <formula>4</formula>
    </cfRule>
    <cfRule type="cellIs" dxfId="11688" priority="1867" operator="equal">
      <formula>1</formula>
    </cfRule>
    <cfRule type="cellIs" dxfId="11687" priority="1866" operator="equal">
      <formula>4</formula>
    </cfRule>
    <cfRule type="cellIs" dxfId="11686" priority="1865" operator="equal">
      <formula>4</formula>
    </cfRule>
    <cfRule type="cellIs" dxfId="11685" priority="1864" operator="equal">
      <formula>4</formula>
    </cfRule>
    <cfRule type="cellIs" dxfId="11684" priority="1863" operator="equal">
      <formula>1</formula>
    </cfRule>
    <cfRule type="cellIs" dxfId="11683" priority="1862" operator="equal">
      <formula>1</formula>
    </cfRule>
  </conditionalFormatting>
  <conditionalFormatting sqref="AE21:AF21">
    <cfRule type="cellIs" dxfId="11682" priority="1855" operator="equal">
      <formula>4</formula>
    </cfRule>
    <cfRule type="cellIs" dxfId="11681" priority="1856" operator="equal">
      <formula>1</formula>
    </cfRule>
    <cfRule type="cellIs" dxfId="11680" priority="1857" operator="equal">
      <formula>4</formula>
    </cfRule>
    <cfRule type="top10" dxfId="11679" priority="1858" rank="10"/>
    <cfRule type="cellIs" dxfId="11678" priority="1859" operator="equal">
      <formula>1</formula>
    </cfRule>
    <cfRule type="cellIs" dxfId="11677" priority="1861" operator="equal">
      <formula>4</formula>
    </cfRule>
    <cfRule type="cellIs" dxfId="11676" priority="1854" operator="equal">
      <formula>4</formula>
    </cfRule>
    <cfRule type="cellIs" dxfId="11675" priority="1860" operator="equal">
      <formula>4</formula>
    </cfRule>
    <cfRule type="cellIs" dxfId="11674" priority="1852" operator="equal">
      <formula>1</formula>
    </cfRule>
    <cfRule type="cellIs" dxfId="11673" priority="1853" operator="equal">
      <formula>4</formula>
    </cfRule>
  </conditionalFormatting>
  <conditionalFormatting sqref="AE21:AH21 AG22 Z48:AG48 E17:S17">
    <cfRule type="cellIs" dxfId="11672" priority="1851" operator="equal">
      <formula>1</formula>
    </cfRule>
  </conditionalFormatting>
  <conditionalFormatting sqref="AG21:AG22">
    <cfRule type="cellIs" dxfId="11671" priority="1850" operator="equal">
      <formula>4</formula>
    </cfRule>
  </conditionalFormatting>
  <conditionalFormatting sqref="AG22">
    <cfRule type="cellIs" dxfId="11670" priority="1842" operator="equal">
      <formula>4</formula>
    </cfRule>
    <cfRule type="cellIs" dxfId="11669" priority="1843" operator="equal">
      <formula>1</formula>
    </cfRule>
    <cfRule type="cellIs" dxfId="11668" priority="1844" operator="equal">
      <formula>4</formula>
    </cfRule>
    <cfRule type="cellIs" dxfId="11667" priority="1845" operator="equal">
      <formula>1</formula>
    </cfRule>
    <cfRule type="top10" dxfId="11666" priority="1846" rank="10"/>
    <cfRule type="cellIs" dxfId="11665" priority="1847" operator="equal">
      <formula>1</formula>
    </cfRule>
    <cfRule type="cellIs" dxfId="11664" priority="1849" operator="equal">
      <formula>4</formula>
    </cfRule>
    <cfRule type="cellIs" dxfId="11663" priority="1835" operator="equal">
      <formula>4</formula>
    </cfRule>
    <cfRule type="cellIs" dxfId="11662" priority="1836" operator="equal">
      <formula>4</formula>
    </cfRule>
    <cfRule type="cellIs" dxfId="11661" priority="1838" operator="equal">
      <formula>1</formula>
    </cfRule>
    <cfRule type="cellIs" dxfId="11660" priority="1839" operator="equal">
      <formula>4</formula>
    </cfRule>
    <cfRule type="top10" dxfId="11659" priority="1840" rank="10"/>
    <cfRule type="cellIs" dxfId="11658" priority="1841" operator="equal">
      <formula>1</formula>
    </cfRule>
    <cfRule type="cellIs" dxfId="11657" priority="1837" operator="equal">
      <formula>4</formula>
    </cfRule>
    <cfRule type="cellIs" dxfId="11656" priority="1848" operator="equal">
      <formula>4</formula>
    </cfRule>
    <cfRule type="cellIs" dxfId="11655" priority="1834" operator="equal">
      <formula>1</formula>
    </cfRule>
  </conditionalFormatting>
  <conditionalFormatting sqref="AG24">
    <cfRule type="cellIs" dxfId="11654" priority="1832" operator="equal">
      <formula>1</formula>
    </cfRule>
    <cfRule type="cellIs" dxfId="11653" priority="1833" operator="equal">
      <formula>4</formula>
    </cfRule>
  </conditionalFormatting>
  <conditionalFormatting sqref="AG25">
    <cfRule type="top10" dxfId="11652" priority="1831" rank="10"/>
  </conditionalFormatting>
  <conditionalFormatting sqref="AG27:AG28">
    <cfRule type="cellIs" dxfId="11651" priority="1828" operator="equal">
      <formula>4</formula>
    </cfRule>
    <cfRule type="cellIs" dxfId="11650" priority="1830" operator="equal">
      <formula>1</formula>
    </cfRule>
    <cfRule type="cellIs" dxfId="11649" priority="1829" operator="equal">
      <formula>4</formula>
    </cfRule>
  </conditionalFormatting>
  <conditionalFormatting sqref="AG37">
    <cfRule type="top10" dxfId="11648" priority="1826" rank="10"/>
    <cfRule type="cellIs" dxfId="11647" priority="1827" operator="equal">
      <formula>1</formula>
    </cfRule>
  </conditionalFormatting>
  <conditionalFormatting sqref="AG44:AG47">
    <cfRule type="cellIs" dxfId="11646" priority="1825" operator="equal">
      <formula>1</formula>
    </cfRule>
    <cfRule type="top10" dxfId="11645" priority="1824" rank="10"/>
  </conditionalFormatting>
  <conditionalFormatting sqref="AG50">
    <cfRule type="cellIs" dxfId="11644" priority="1810" operator="equal">
      <formula>1</formula>
    </cfRule>
    <cfRule type="cellIs" dxfId="11643" priority="1811" operator="equal">
      <formula>4</formula>
    </cfRule>
    <cfRule type="cellIs" dxfId="11642" priority="1812" operator="equal">
      <formula>4</formula>
    </cfRule>
    <cfRule type="cellIs" dxfId="11641" priority="1813" operator="equal">
      <formula>4</formula>
    </cfRule>
    <cfRule type="cellIs" dxfId="11640" priority="1814" operator="equal">
      <formula>1</formula>
    </cfRule>
    <cfRule type="cellIs" dxfId="11639" priority="1815" operator="equal">
      <formula>4</formula>
    </cfRule>
    <cfRule type="top10" dxfId="11638" priority="1816" rank="10"/>
    <cfRule type="cellIs" dxfId="11637" priority="1809" operator="equal">
      <formula>1</formula>
    </cfRule>
    <cfRule type="top10" dxfId="11636" priority="1823" rank="10"/>
    <cfRule type="cellIs" dxfId="11635" priority="1818" operator="equal">
      <formula>4</formula>
    </cfRule>
    <cfRule type="cellIs" dxfId="11634" priority="1822" operator="equal">
      <formula>1</formula>
    </cfRule>
    <cfRule type="cellIs" dxfId="11633" priority="1821" operator="equal">
      <formula>4</formula>
    </cfRule>
    <cfRule type="cellIs" dxfId="11632" priority="1820" operator="equal">
      <formula>4</formula>
    </cfRule>
    <cfRule type="cellIs" dxfId="11631" priority="1819" operator="equal">
      <formula>1</formula>
    </cfRule>
    <cfRule type="cellIs" dxfId="11630" priority="1817" operator="equal">
      <formula>1</formula>
    </cfRule>
  </conditionalFormatting>
  <conditionalFormatting sqref="AG58:AG59">
    <cfRule type="cellIs" dxfId="11629" priority="1802" operator="equal">
      <formula>2</formula>
    </cfRule>
    <cfRule type="cellIs" dxfId="11628" priority="1801" operator="equal">
      <formula>4</formula>
    </cfRule>
    <cfRule type="cellIs" dxfId="11627" priority="1800" operator="equal">
      <formula>1</formula>
    </cfRule>
    <cfRule type="top10" dxfId="11626" priority="1799" rank="10"/>
    <cfRule type="cellIs" dxfId="11625" priority="1798" operator="equal">
      <formula>4</formula>
    </cfRule>
    <cfRule type="cellIs" dxfId="11624" priority="1797" operator="equal">
      <formula>1</formula>
    </cfRule>
    <cfRule type="cellIs" dxfId="11623" priority="1796" operator="equal">
      <formula>4</formula>
    </cfRule>
    <cfRule type="cellIs" dxfId="11622" priority="1795" operator="equal">
      <formula>4</formula>
    </cfRule>
    <cfRule type="cellIs" dxfId="11621" priority="1794" operator="equal">
      <formula>4</formula>
    </cfRule>
    <cfRule type="cellIs" dxfId="11620" priority="1793" operator="equal">
      <formula>1</formula>
    </cfRule>
    <cfRule type="cellIs" dxfId="11619" priority="1792" operator="equal">
      <formula>1</formula>
    </cfRule>
    <cfRule type="cellIs" dxfId="11618" priority="1808" operator="equal">
      <formula>3</formula>
    </cfRule>
    <cfRule type="top10" dxfId="11617" priority="1807" rank="10"/>
    <cfRule type="cellIs" dxfId="11616" priority="1806" operator="equal">
      <formula>1</formula>
    </cfRule>
    <cfRule type="cellIs" dxfId="11615" priority="1805" operator="equal">
      <formula>4</formula>
    </cfRule>
    <cfRule type="cellIs" dxfId="11614" priority="1804" operator="equal">
      <formula>4</formula>
    </cfRule>
    <cfRule type="cellIs" dxfId="11613" priority="1803" operator="equal">
      <formula>1</formula>
    </cfRule>
  </conditionalFormatting>
  <conditionalFormatting sqref="AG61">
    <cfRule type="top10" dxfId="11612" priority="1790" rank="10"/>
    <cfRule type="cellIs" dxfId="11611" priority="1781" operator="equal">
      <formula>4</formula>
    </cfRule>
    <cfRule type="cellIs" dxfId="11610" priority="1780" operator="equal">
      <formula>1</formula>
    </cfRule>
    <cfRule type="cellIs" dxfId="11609" priority="1779" operator="equal">
      <formula>4</formula>
    </cfRule>
    <cfRule type="cellIs" dxfId="11608" priority="1778" operator="equal">
      <formula>4</formula>
    </cfRule>
    <cfRule type="cellIs" dxfId="11607" priority="1777" operator="equal">
      <formula>4</formula>
    </cfRule>
    <cfRule type="cellIs" dxfId="11606" priority="1776" operator="equal">
      <formula>1</formula>
    </cfRule>
    <cfRule type="cellIs" dxfId="11605" priority="1775" operator="equal">
      <formula>1</formula>
    </cfRule>
    <cfRule type="cellIs" dxfId="11604" priority="1783" operator="equal">
      <formula>1</formula>
    </cfRule>
    <cfRule type="top10" dxfId="11603" priority="1782" rank="10"/>
    <cfRule type="cellIs" dxfId="11602" priority="1788" operator="equal">
      <formula>4</formula>
    </cfRule>
    <cfRule type="cellIs" dxfId="11601" priority="1791" operator="equal">
      <formula>3</formula>
    </cfRule>
    <cfRule type="cellIs" dxfId="11600" priority="1789" operator="equal">
      <formula>1</formula>
    </cfRule>
    <cfRule type="cellIs" dxfId="11599" priority="1787" operator="equal">
      <formula>4</formula>
    </cfRule>
    <cfRule type="cellIs" dxfId="11598" priority="1786" operator="equal">
      <formula>1</formula>
    </cfRule>
    <cfRule type="cellIs" dxfId="11597" priority="1785" operator="equal">
      <formula>2</formula>
    </cfRule>
    <cfRule type="cellIs" dxfId="11596" priority="1784" operator="equal">
      <formula>4</formula>
    </cfRule>
  </conditionalFormatting>
  <conditionalFormatting sqref="AG18:AH19 AO19:AP19">
    <cfRule type="cellIs" dxfId="11595" priority="1773" operator="equal">
      <formula>4</formula>
    </cfRule>
    <cfRule type="cellIs" dxfId="11594" priority="1774" operator="equal">
      <formula>1</formula>
    </cfRule>
  </conditionalFormatting>
  <conditionalFormatting sqref="AG19:AH19 AO19:AP19">
    <cfRule type="top10" dxfId="11593" priority="1772" rank="10"/>
  </conditionalFormatting>
  <conditionalFormatting sqref="AG21:AH21 AG22 Z48:AG48">
    <cfRule type="cellIs" dxfId="11592" priority="1981" operator="equal">
      <formula>1</formula>
    </cfRule>
  </conditionalFormatting>
  <conditionalFormatting sqref="AG21:AH21">
    <cfRule type="cellIs" dxfId="11591" priority="1771" operator="equal">
      <formula>4</formula>
    </cfRule>
  </conditionalFormatting>
  <conditionalFormatting sqref="AG25:AH25">
    <cfRule type="cellIs" dxfId="11590" priority="1770" operator="equal">
      <formula>1</formula>
    </cfRule>
    <cfRule type="cellIs" dxfId="11589" priority="1769" operator="equal">
      <formula>4</formula>
    </cfRule>
    <cfRule type="cellIs" dxfId="11588" priority="1768" operator="equal">
      <formula>4</formula>
    </cfRule>
  </conditionalFormatting>
  <conditionalFormatting sqref="AG26:AH26">
    <cfRule type="cellIs" dxfId="11587" priority="1767" operator="equal">
      <formula>1</formula>
    </cfRule>
  </conditionalFormatting>
  <conditionalFormatting sqref="AG29:AH29 AO29">
    <cfRule type="cellIs" dxfId="11586" priority="1766" operator="equal">
      <formula>1</formula>
    </cfRule>
    <cfRule type="cellIs" dxfId="11585" priority="1765" operator="equal">
      <formula>4</formula>
    </cfRule>
    <cfRule type="cellIs" dxfId="11584" priority="1764" operator="equal">
      <formula>4</formula>
    </cfRule>
  </conditionalFormatting>
  <conditionalFormatting sqref="AG30:AH30 AG23:AH23">
    <cfRule type="top10" dxfId="11583" priority="1763" rank="10"/>
  </conditionalFormatting>
  <conditionalFormatting sqref="AG33:AH33">
    <cfRule type="top10" dxfId="11582" priority="1762" rank="10"/>
  </conditionalFormatting>
  <conditionalFormatting sqref="AG36:AH36">
    <cfRule type="cellIs" dxfId="11581" priority="1760" operator="equal">
      <formula>1</formula>
    </cfRule>
    <cfRule type="top10" dxfId="11580" priority="1759" rank="10"/>
  </conditionalFormatting>
  <conditionalFormatting sqref="AG36:AH37 AX56">
    <cfRule type="cellIs" dxfId="11579" priority="1758" operator="equal">
      <formula>4</formula>
    </cfRule>
  </conditionalFormatting>
  <conditionalFormatting sqref="AG43:AH43 AO43:AP43 BO43:BP43 BM43 BH43:BJ43 BC43:BE43">
    <cfRule type="top10" dxfId="11578" priority="1757" rank="10"/>
  </conditionalFormatting>
  <conditionalFormatting sqref="AG43:AH43">
    <cfRule type="cellIs" dxfId="11577" priority="1756" operator="equal">
      <formula>1</formula>
    </cfRule>
  </conditionalFormatting>
  <conditionalFormatting sqref="AG17:BB17 AI18:AN48 AQ18:BB48">
    <cfRule type="cellIs" dxfId="11576" priority="29" operator="equal">
      <formula>4</formula>
    </cfRule>
    <cfRule type="cellIs" dxfId="11575" priority="27" operator="equal">
      <formula>1</formula>
    </cfRule>
    <cfRule type="cellIs" dxfId="11574" priority="28" operator="equal">
      <formula>4</formula>
    </cfRule>
    <cfRule type="top10" dxfId="11573" priority="26" rank="10"/>
  </conditionalFormatting>
  <conditionalFormatting sqref="AH17">
    <cfRule type="top10" dxfId="11572" priority="1755" rank="10"/>
  </conditionalFormatting>
  <conditionalFormatting sqref="AH21">
    <cfRule type="cellIs" dxfId="11571" priority="1754" operator="equal">
      <formula>4</formula>
    </cfRule>
  </conditionalFormatting>
  <conditionalFormatting sqref="AH22">
    <cfRule type="top10" dxfId="11570" priority="1753" rank="10"/>
  </conditionalFormatting>
  <conditionalFormatting sqref="AH25">
    <cfRule type="top10" dxfId="11569" priority="1751" rank="10"/>
    <cfRule type="cellIs" dxfId="11568" priority="1752" operator="equal">
      <formula>1</formula>
    </cfRule>
  </conditionalFormatting>
  <conditionalFormatting sqref="AH37">
    <cfRule type="top10" dxfId="11567" priority="1749" rank="10"/>
    <cfRule type="cellIs" dxfId="11566" priority="1750" operator="equal">
      <formula>1</formula>
    </cfRule>
  </conditionalFormatting>
  <conditionalFormatting sqref="AH44:AH45">
    <cfRule type="cellIs" dxfId="11565" priority="1748" operator="equal">
      <formula>1</formula>
    </cfRule>
    <cfRule type="top10" dxfId="11564" priority="1747" rank="10"/>
  </conditionalFormatting>
  <conditionalFormatting sqref="AH44:AH47">
    <cfRule type="cellIs" dxfId="11563" priority="1746" operator="equal">
      <formula>4</formula>
    </cfRule>
  </conditionalFormatting>
  <conditionalFormatting sqref="AH46:AH47">
    <cfRule type="top10" dxfId="11562" priority="1744" rank="10"/>
    <cfRule type="cellIs" dxfId="11561" priority="1745" operator="equal">
      <formula>1</formula>
    </cfRule>
  </conditionalFormatting>
  <conditionalFormatting sqref="AI17:AN48">
    <cfRule type="top10" dxfId="11560" priority="25" rank="10"/>
  </conditionalFormatting>
  <conditionalFormatting sqref="AJ19">
    <cfRule type="top10" dxfId="11559" priority="1743" rank="10"/>
  </conditionalFormatting>
  <conditionalFormatting sqref="AJ17:AN48">
    <cfRule type="top10" dxfId="11558" priority="24" rank="10"/>
  </conditionalFormatting>
  <conditionalFormatting sqref="AK73">
    <cfRule type="cellIs" dxfId="11557" priority="1729" operator="equal">
      <formula>4</formula>
    </cfRule>
    <cfRule type="cellIs" dxfId="11556" priority="1728" operator="equal">
      <formula>4</formula>
    </cfRule>
    <cfRule type="cellIs" dxfId="11555" priority="1727" operator="equal">
      <formula>1</formula>
    </cfRule>
    <cfRule type="cellIs" dxfId="11554" priority="1726" operator="equal">
      <formula>1</formula>
    </cfRule>
    <cfRule type="cellIs" dxfId="11553" priority="1742" operator="equal">
      <formula>3</formula>
    </cfRule>
    <cfRule type="top10" dxfId="11552" priority="1741" rank="10"/>
    <cfRule type="cellIs" dxfId="11551" priority="1740" operator="equal">
      <formula>1</formula>
    </cfRule>
    <cfRule type="cellIs" dxfId="11550" priority="1739" operator="equal">
      <formula>4</formula>
    </cfRule>
    <cfRule type="cellIs" dxfId="11549" priority="1738" operator="equal">
      <formula>4</formula>
    </cfRule>
    <cfRule type="cellIs" dxfId="11548" priority="1737" operator="equal">
      <formula>1</formula>
    </cfRule>
    <cfRule type="cellIs" dxfId="11547" priority="1736" operator="equal">
      <formula>2</formula>
    </cfRule>
    <cfRule type="cellIs" dxfId="11546" priority="1735" operator="equal">
      <formula>4</formula>
    </cfRule>
    <cfRule type="cellIs" dxfId="11545" priority="1734" operator="equal">
      <formula>1</formula>
    </cfRule>
    <cfRule type="top10" dxfId="11544" priority="1733" rank="10"/>
    <cfRule type="cellIs" dxfId="11543" priority="1732" operator="equal">
      <formula>4</formula>
    </cfRule>
    <cfRule type="cellIs" dxfId="11542" priority="1731" operator="equal">
      <formula>1</formula>
    </cfRule>
    <cfRule type="cellIs" dxfId="11541" priority="1730" operator="equal">
      <formula>4</formula>
    </cfRule>
  </conditionalFormatting>
  <conditionalFormatting sqref="AK17:AN48 AQ17:BB48 BK17:BL48 BN17:BN48 BQ17:BQ48 BH18:BJ19 R18:T20 BF18:BG48 BT18:BV48 DR19:DT19 G19:G29 DT25:DT31 E19:E30 BR19:BS19 I18:I19 F19">
    <cfRule type="cellIs" dxfId="11540" priority="2988" operator="equal">
      <formula>4</formula>
    </cfRule>
  </conditionalFormatting>
  <conditionalFormatting sqref="AK17:AN48">
    <cfRule type="top10" dxfId="11539" priority="22" rank="10"/>
    <cfRule type="cellIs" dxfId="11538" priority="23" operator="equal">
      <formula>1</formula>
    </cfRule>
    <cfRule type="top10" dxfId="11537" priority="21" rank="10"/>
  </conditionalFormatting>
  <conditionalFormatting sqref="AM47">
    <cfRule type="cellIs" dxfId="11536" priority="1715" operator="equal">
      <formula>4</formula>
    </cfRule>
    <cfRule type="cellIs" dxfId="11535" priority="1719" operator="equal">
      <formula>3</formula>
    </cfRule>
    <cfRule type="top10" dxfId="11534" priority="1718" rank="10"/>
    <cfRule type="cellIs" dxfId="11533" priority="1717" operator="equal">
      <formula>1</formula>
    </cfRule>
    <cfRule type="cellIs" dxfId="11532" priority="1716" operator="equal">
      <formula>4</formula>
    </cfRule>
    <cfRule type="cellIs" dxfId="11531" priority="1725" operator="equal">
      <formula>1</formula>
    </cfRule>
    <cfRule type="cellIs" dxfId="11530" priority="1714" operator="equal">
      <formula>1</formula>
    </cfRule>
    <cfRule type="cellIs" dxfId="11529" priority="1713" operator="equal">
      <formula>2</formula>
    </cfRule>
    <cfRule type="cellIs" dxfId="11528" priority="1712" operator="equal">
      <formula>4</formula>
    </cfRule>
    <cfRule type="cellIs" dxfId="11527" priority="1709" operator="equal">
      <formula>4</formula>
    </cfRule>
    <cfRule type="cellIs" dxfId="11526" priority="1711" operator="equal">
      <formula>1</formula>
    </cfRule>
    <cfRule type="cellIs" dxfId="11525" priority="1703" operator="equal">
      <formula>1</formula>
    </cfRule>
    <cfRule type="cellIs" dxfId="11524" priority="1704" operator="equal">
      <formula>1</formula>
    </cfRule>
    <cfRule type="cellIs" dxfId="11523" priority="1705" operator="equal">
      <formula>4</formula>
    </cfRule>
    <cfRule type="top10" dxfId="11522" priority="1710" rank="10"/>
    <cfRule type="cellIs" dxfId="11521" priority="1706" operator="equal">
      <formula>4</formula>
    </cfRule>
    <cfRule type="cellIs" dxfId="11520" priority="1707" operator="equal">
      <formula>4</formula>
    </cfRule>
    <cfRule type="cellIs" dxfId="11519" priority="1708" operator="equal">
      <formula>1</formula>
    </cfRule>
    <cfRule type="cellIs" dxfId="11518" priority="1724" operator="equal">
      <formula>3</formula>
    </cfRule>
    <cfRule type="cellIs" dxfId="11517" priority="1723" operator="equal">
      <formula>4</formula>
    </cfRule>
    <cfRule type="top10" dxfId="11516" priority="1722" rank="10"/>
    <cfRule type="top10" dxfId="11515" priority="1721" rank="10"/>
    <cfRule type="top10" dxfId="11514" priority="1720" rank="10"/>
  </conditionalFormatting>
  <conditionalFormatting sqref="AM55">
    <cfRule type="cellIs" dxfId="11513" priority="1700" operator="equal">
      <formula>1</formula>
    </cfRule>
    <cfRule type="cellIs" dxfId="11512" priority="1687" operator="equal">
      <formula>1</formula>
    </cfRule>
    <cfRule type="cellIs" dxfId="11511" priority="1702" operator="equal">
      <formula>3</formula>
    </cfRule>
    <cfRule type="cellIs" dxfId="11510" priority="1688" operator="equal">
      <formula>4</formula>
    </cfRule>
    <cfRule type="cellIs" dxfId="11509" priority="1689" operator="equal">
      <formula>4</formula>
    </cfRule>
    <cfRule type="cellIs" dxfId="11508" priority="1690" operator="equal">
      <formula>4</formula>
    </cfRule>
    <cfRule type="cellIs" dxfId="11507" priority="1691" operator="equal">
      <formula>1</formula>
    </cfRule>
    <cfRule type="cellIs" dxfId="11506" priority="1692" operator="equal">
      <formula>4</formula>
    </cfRule>
    <cfRule type="top10" dxfId="11505" priority="1693" rank="10"/>
    <cfRule type="cellIs" dxfId="11504" priority="1694" operator="equal">
      <formula>1</formula>
    </cfRule>
    <cfRule type="cellIs" dxfId="11503" priority="1695" operator="equal">
      <formula>4</formula>
    </cfRule>
    <cfRule type="cellIs" dxfId="11502" priority="1696" operator="equal">
      <formula>2</formula>
    </cfRule>
    <cfRule type="top10" dxfId="11501" priority="1701" rank="10"/>
    <cfRule type="cellIs" dxfId="11500" priority="1697" operator="equal">
      <formula>1</formula>
    </cfRule>
    <cfRule type="cellIs" dxfId="11499" priority="1686" operator="equal">
      <formula>1</formula>
    </cfRule>
    <cfRule type="cellIs" dxfId="11498" priority="1698" operator="equal">
      <formula>4</formula>
    </cfRule>
    <cfRule type="cellIs" dxfId="11497" priority="1699" operator="equal">
      <formula>4</formula>
    </cfRule>
  </conditionalFormatting>
  <conditionalFormatting sqref="AM73">
    <cfRule type="cellIs" dxfId="11496" priority="1679" operator="equal">
      <formula>2</formula>
    </cfRule>
    <cfRule type="cellIs" dxfId="11495" priority="1680" operator="equal">
      <formula>1</formula>
    </cfRule>
    <cfRule type="cellIs" dxfId="11494" priority="1681" operator="equal">
      <formula>4</formula>
    </cfRule>
    <cfRule type="cellIs" dxfId="11493" priority="1682" operator="equal">
      <formula>4</formula>
    </cfRule>
    <cfRule type="cellIs" dxfId="11492" priority="1683" operator="equal">
      <formula>1</formula>
    </cfRule>
    <cfRule type="top10" dxfId="11491" priority="1684" rank="10"/>
    <cfRule type="cellIs" dxfId="11490" priority="1685" operator="equal">
      <formula>3</formula>
    </cfRule>
    <cfRule type="cellIs" dxfId="11489" priority="1678" operator="equal">
      <formula>4</formula>
    </cfRule>
    <cfRule type="cellIs" dxfId="11488" priority="1670" operator="equal">
      <formula>1</formula>
    </cfRule>
    <cfRule type="cellIs" dxfId="11487" priority="1669" operator="equal">
      <formula>1</formula>
    </cfRule>
    <cfRule type="cellIs" dxfId="11486" priority="1677" operator="equal">
      <formula>1</formula>
    </cfRule>
    <cfRule type="top10" dxfId="11485" priority="1676" rank="10"/>
    <cfRule type="cellIs" dxfId="11484" priority="1675" operator="equal">
      <formula>4</formula>
    </cfRule>
    <cfRule type="cellIs" dxfId="11483" priority="1674" operator="equal">
      <formula>1</formula>
    </cfRule>
    <cfRule type="cellIs" dxfId="11482" priority="1673" operator="equal">
      <formula>4</formula>
    </cfRule>
    <cfRule type="cellIs" dxfId="11481" priority="1672" operator="equal">
      <formula>4</formula>
    </cfRule>
    <cfRule type="cellIs" dxfId="11480" priority="1671" operator="equal">
      <formula>4</formula>
    </cfRule>
  </conditionalFormatting>
  <conditionalFormatting sqref="AO17 P18:Q48 E17:Q17">
    <cfRule type="top10" dxfId="11479" priority="20" rank="10"/>
  </conditionalFormatting>
  <conditionalFormatting sqref="AO20">
    <cfRule type="cellIs" dxfId="11478" priority="1668" operator="equal">
      <formula>1</formula>
    </cfRule>
    <cfRule type="cellIs" dxfId="11477" priority="1667" operator="equal">
      <formula>4</formula>
    </cfRule>
    <cfRule type="cellIs" dxfId="11476" priority="1666" operator="equal">
      <formula>4</formula>
    </cfRule>
  </conditionalFormatting>
  <conditionalFormatting sqref="AO22 BH22:BI23 BO22:BO23 E18:G18 E48:G48">
    <cfRule type="cellIs" dxfId="11475" priority="1665" operator="equal">
      <formula>4</formula>
    </cfRule>
  </conditionalFormatting>
  <conditionalFormatting sqref="AO22 BO22 BH22:BI22">
    <cfRule type="cellIs" dxfId="11474" priority="1664" operator="equal">
      <formula>4</formula>
    </cfRule>
  </conditionalFormatting>
  <conditionalFormatting sqref="AO22 BO22:BO23 BM22:BM24">
    <cfRule type="cellIs" dxfId="11473" priority="1663" operator="equal">
      <formula>1</formula>
    </cfRule>
  </conditionalFormatting>
  <conditionalFormatting sqref="AO22">
    <cfRule type="top10" dxfId="11472" priority="1662" rank="10"/>
  </conditionalFormatting>
  <conditionalFormatting sqref="AO22:AO23">
    <cfRule type="cellIs" dxfId="11471" priority="1661" operator="equal">
      <formula>1</formula>
    </cfRule>
  </conditionalFormatting>
  <conditionalFormatting sqref="AO23">
    <cfRule type="cellIs" dxfId="11470" priority="1660" operator="equal">
      <formula>3</formula>
    </cfRule>
    <cfRule type="cellIs" dxfId="11469" priority="1659" operator="equal">
      <formula>4</formula>
    </cfRule>
    <cfRule type="cellIs" dxfId="11468" priority="1658" operator="equal">
      <formula>1</formula>
    </cfRule>
    <cfRule type="cellIs" dxfId="11467" priority="1657" operator="equal">
      <formula>4</formula>
    </cfRule>
    <cfRule type="cellIs" dxfId="11466" priority="1656" operator="equal">
      <formula>4</formula>
    </cfRule>
    <cfRule type="cellIs" dxfId="11465" priority="1655" operator="equal">
      <formula>1</formula>
    </cfRule>
    <cfRule type="top10" dxfId="11464" priority="1654" rank="10"/>
    <cfRule type="cellIs" dxfId="11463" priority="1653" operator="equal">
      <formula>1</formula>
    </cfRule>
    <cfRule type="top10" dxfId="11462" priority="1652" rank="10"/>
    <cfRule type="top10" dxfId="11461" priority="1651" rank="10"/>
  </conditionalFormatting>
  <conditionalFormatting sqref="AO25">
    <cfRule type="top10" dxfId="11460" priority="1650" rank="10"/>
  </conditionalFormatting>
  <conditionalFormatting sqref="AO26">
    <cfRule type="cellIs" dxfId="11459" priority="1649" operator="equal">
      <formula>4</formula>
    </cfRule>
  </conditionalFormatting>
  <conditionalFormatting sqref="AO31 E31">
    <cfRule type="top10" dxfId="11458" priority="1648" rank="10"/>
  </conditionalFormatting>
  <conditionalFormatting sqref="AO37 E37">
    <cfRule type="top10" dxfId="11457" priority="1647" rank="10"/>
  </conditionalFormatting>
  <conditionalFormatting sqref="AO18:AP18 BR17:CE17 BW23:CE23 DA17:DC17 CD25 F23">
    <cfRule type="cellIs" dxfId="11456" priority="1646" operator="equal">
      <formula>4</formula>
    </cfRule>
  </conditionalFormatting>
  <conditionalFormatting sqref="AO21:AP21">
    <cfRule type="top10" dxfId="11455" priority="1637" rank="10"/>
    <cfRule type="cellIs" dxfId="11454" priority="1645" operator="equal">
      <formula>4</formula>
    </cfRule>
    <cfRule type="cellIs" dxfId="11453" priority="1644" operator="equal">
      <formula>1</formula>
    </cfRule>
    <cfRule type="cellIs" dxfId="11452" priority="1643" operator="equal">
      <formula>4</formula>
    </cfRule>
    <cfRule type="cellIs" dxfId="11451" priority="1642" operator="equal">
      <formula>4</formula>
    </cfRule>
    <cfRule type="cellIs" dxfId="11450" priority="1641" operator="equal">
      <formula>1</formula>
    </cfRule>
    <cfRule type="top10" dxfId="11449" priority="1640" rank="10"/>
    <cfRule type="cellIs" dxfId="11448" priority="1639" operator="equal">
      <formula>1</formula>
    </cfRule>
    <cfRule type="top10" dxfId="11447" priority="1638" rank="10"/>
  </conditionalFormatting>
  <conditionalFormatting sqref="AO22:AP22 AP23 DD24:DJ24 DD27:DQ29 DD43:DT43 DD25:DQ25">
    <cfRule type="cellIs" dxfId="11446" priority="1636" operator="equal">
      <formula>3</formula>
    </cfRule>
  </conditionalFormatting>
  <conditionalFormatting sqref="AO22:AP22 AP23">
    <cfRule type="cellIs" dxfId="11445" priority="1635" operator="equal">
      <formula>4</formula>
    </cfRule>
  </conditionalFormatting>
  <conditionalFormatting sqref="AO26:AP26 AO18:AP18">
    <cfRule type="cellIs" dxfId="11444" priority="1633" operator="equal">
      <formula>1</formula>
    </cfRule>
  </conditionalFormatting>
  <conditionalFormatting sqref="AO26:AP26">
    <cfRule type="cellIs" dxfId="11443" priority="1632" operator="equal">
      <formula>4</formula>
    </cfRule>
    <cfRule type="cellIs" dxfId="11442" priority="1631" operator="equal">
      <formula>1</formula>
    </cfRule>
  </conditionalFormatting>
  <conditionalFormatting sqref="AO28:AP28">
    <cfRule type="cellIs" dxfId="11441" priority="1630" operator="equal">
      <formula>1</formula>
    </cfRule>
    <cfRule type="cellIs" dxfId="11440" priority="1629" operator="equal">
      <formula>4</formula>
    </cfRule>
    <cfRule type="cellIs" dxfId="11439" priority="1628" operator="equal">
      <formula>4</formula>
    </cfRule>
  </conditionalFormatting>
  <conditionalFormatting sqref="AO36:AP36">
    <cfRule type="top10" dxfId="11438" priority="1627" rank="10"/>
  </conditionalFormatting>
  <conditionalFormatting sqref="AO37:AP37 R36:T37">
    <cfRule type="cellIs" dxfId="11437" priority="2196" operator="equal">
      <formula>1</formula>
    </cfRule>
  </conditionalFormatting>
  <conditionalFormatting sqref="AO44:AP45">
    <cfRule type="cellIs" dxfId="11436" priority="1626" operator="equal">
      <formula>1</formula>
    </cfRule>
    <cfRule type="top10" dxfId="11435" priority="1625" rank="10"/>
  </conditionalFormatting>
  <conditionalFormatting sqref="AO46:AP47">
    <cfRule type="top10" dxfId="11434" priority="1624" rank="10"/>
  </conditionalFormatting>
  <conditionalFormatting sqref="AO48:AP48 I48 R48:T48 AG48:AH48 BW48:CD48">
    <cfRule type="cellIs" dxfId="11433" priority="1623" operator="equal">
      <formula>4</formula>
    </cfRule>
  </conditionalFormatting>
  <conditionalFormatting sqref="AO48:AQ48">
    <cfRule type="cellIs" dxfId="11432" priority="1622" operator="equal">
      <formula>4</formula>
    </cfRule>
    <cfRule type="cellIs" dxfId="11431" priority="1621" operator="equal">
      <formula>1</formula>
    </cfRule>
  </conditionalFormatting>
  <conditionalFormatting sqref="AP22 R22:T22">
    <cfRule type="top10" dxfId="11430" priority="1620" rank="10"/>
  </conditionalFormatting>
  <conditionalFormatting sqref="AP22:AP23 AO30:AP30">
    <cfRule type="cellIs" dxfId="11429" priority="1619" operator="equal">
      <formula>1</formula>
    </cfRule>
  </conditionalFormatting>
  <conditionalFormatting sqref="AP23 BC23:BD23">
    <cfRule type="cellIs" dxfId="11428" priority="1618" operator="equal">
      <formula>4</formula>
    </cfRule>
  </conditionalFormatting>
  <conditionalFormatting sqref="AP23:AP26">
    <cfRule type="cellIs" dxfId="11427" priority="1614" operator="equal">
      <formula>4</formula>
    </cfRule>
  </conditionalFormatting>
  <conditionalFormatting sqref="AP24:AP26">
    <cfRule type="cellIs" dxfId="11426" priority="1612" operator="equal">
      <formula>4</formula>
    </cfRule>
  </conditionalFormatting>
  <conditionalFormatting sqref="AP25 R25:T25">
    <cfRule type="top10" dxfId="11425" priority="1615" rank="10"/>
  </conditionalFormatting>
  <conditionalFormatting sqref="AP25:AP26">
    <cfRule type="cellIs" dxfId="11424" priority="1613" operator="equal">
      <formula>1</formula>
    </cfRule>
  </conditionalFormatting>
  <conditionalFormatting sqref="AP26">
    <cfRule type="cellIs" dxfId="11423" priority="1607" operator="equal">
      <formula>4</formula>
    </cfRule>
    <cfRule type="top10" dxfId="11422" priority="1608" rank="10"/>
    <cfRule type="cellIs" dxfId="11421" priority="1609" operator="equal">
      <formula>1</formula>
    </cfRule>
    <cfRule type="cellIs" dxfId="11420" priority="1610" operator="equal">
      <formula>4</formula>
    </cfRule>
    <cfRule type="cellIs" dxfId="11419" priority="1611" operator="equal">
      <formula>3</formula>
    </cfRule>
  </conditionalFormatting>
  <conditionalFormatting sqref="AP30 AP23 R30:T30 R23:T23">
    <cfRule type="top10" dxfId="11418" priority="1606" rank="10"/>
  </conditionalFormatting>
  <conditionalFormatting sqref="AP31 R31:T31 AG31:AH31">
    <cfRule type="top10" dxfId="11417" priority="1605" rank="10"/>
  </conditionalFormatting>
  <conditionalFormatting sqref="AP35">
    <cfRule type="top10" dxfId="11416" priority="1589" rank="10"/>
    <cfRule type="cellIs" dxfId="11415" priority="1604" operator="equal">
      <formula>1</formula>
    </cfRule>
    <cfRule type="cellIs" dxfId="11414" priority="1603" operator="equal">
      <formula>3</formula>
    </cfRule>
    <cfRule type="cellIs" dxfId="11413" priority="1602" operator="equal">
      <formula>4</formula>
    </cfRule>
    <cfRule type="top10" dxfId="11412" priority="1601" rank="10"/>
    <cfRule type="top10" dxfId="11411" priority="1600" rank="10"/>
    <cfRule type="top10" dxfId="11410" priority="1599" rank="10"/>
    <cfRule type="cellIs" dxfId="11409" priority="1598" operator="equal">
      <formula>3</formula>
    </cfRule>
    <cfRule type="top10" dxfId="11408" priority="1597" rank="10"/>
    <cfRule type="cellIs" dxfId="11407" priority="1596" operator="equal">
      <formula>1</formula>
    </cfRule>
    <cfRule type="cellIs" dxfId="11406" priority="1595" operator="equal">
      <formula>4</formula>
    </cfRule>
    <cfRule type="cellIs" dxfId="11405" priority="1594" operator="equal">
      <formula>4</formula>
    </cfRule>
    <cfRule type="cellIs" dxfId="11404" priority="1593" operator="equal">
      <formula>1</formula>
    </cfRule>
    <cfRule type="cellIs" dxfId="11403" priority="1592" operator="equal">
      <formula>2</formula>
    </cfRule>
    <cfRule type="cellIs" dxfId="11402" priority="1591" operator="equal">
      <formula>4</formula>
    </cfRule>
    <cfRule type="cellIs" dxfId="11401" priority="1590" operator="equal">
      <formula>1</formula>
    </cfRule>
    <cfRule type="cellIs" dxfId="11400" priority="1588" operator="equal">
      <formula>4</formula>
    </cfRule>
    <cfRule type="cellIs" dxfId="11399" priority="1587" operator="equal">
      <formula>1</formula>
    </cfRule>
    <cfRule type="cellIs" dxfId="11398" priority="1586" operator="equal">
      <formula>4</formula>
    </cfRule>
    <cfRule type="cellIs" dxfId="11397" priority="1585" operator="equal">
      <formula>4</formula>
    </cfRule>
    <cfRule type="cellIs" dxfId="11396" priority="1584" operator="equal">
      <formula>4</formula>
    </cfRule>
    <cfRule type="cellIs" dxfId="11395" priority="1583" operator="equal">
      <formula>1</formula>
    </cfRule>
    <cfRule type="cellIs" dxfId="11394" priority="1582" operator="equal">
      <formula>1</formula>
    </cfRule>
  </conditionalFormatting>
  <conditionalFormatting sqref="AP37 R37:T37">
    <cfRule type="top10" dxfId="11393" priority="1581" rank="10"/>
  </conditionalFormatting>
  <conditionalFormatting sqref="AP42 AP39 AP18 AP26 AP35 R42:T42 R18:T18 R26:T26 R35:T35 R39:T39 AG39:AH39 AG26:AH26 AG18:AH18 AG42:AH42 AG35:AH35">
    <cfRule type="top10" dxfId="11392" priority="1580" rank="10"/>
  </conditionalFormatting>
  <conditionalFormatting sqref="AP17:BC17">
    <cfRule type="cellIs" dxfId="11391" priority="1579" operator="equal">
      <formula>1</formula>
    </cfRule>
  </conditionalFormatting>
  <conditionalFormatting sqref="AQ36">
    <cfRule type="cellIs" dxfId="11390" priority="1576" operator="equal">
      <formula>1</formula>
    </cfRule>
    <cfRule type="top10" dxfId="11389" priority="1556" rank="10"/>
    <cfRule type="cellIs" dxfId="11388" priority="1578" operator="equal">
      <formula>1</formula>
    </cfRule>
    <cfRule type="cellIs" dxfId="11387" priority="1549" operator="equal">
      <formula>1</formula>
    </cfRule>
    <cfRule type="cellIs" dxfId="11386" priority="1550" operator="equal">
      <formula>1</formula>
    </cfRule>
    <cfRule type="cellIs" dxfId="11385" priority="1552" operator="equal">
      <formula>4</formula>
    </cfRule>
    <cfRule type="cellIs" dxfId="11384" priority="1553" operator="equal">
      <formula>4</formula>
    </cfRule>
    <cfRule type="cellIs" dxfId="11383" priority="1554" operator="equal">
      <formula>1</formula>
    </cfRule>
    <cfRule type="cellIs" dxfId="11382" priority="1555" operator="equal">
      <formula>4</formula>
    </cfRule>
    <cfRule type="cellIs" dxfId="11381" priority="1557" operator="equal">
      <formula>1</formula>
    </cfRule>
    <cfRule type="cellIs" dxfId="11380" priority="1558" operator="equal">
      <formula>4</formula>
    </cfRule>
    <cfRule type="cellIs" dxfId="11379" priority="1559" operator="equal">
      <formula>2</formula>
    </cfRule>
    <cfRule type="cellIs" dxfId="11378" priority="1560" operator="equal">
      <formula>1</formula>
    </cfRule>
    <cfRule type="top10" dxfId="11377" priority="1575" rank="10"/>
    <cfRule type="cellIs" dxfId="11376" priority="1562" operator="equal">
      <formula>4</formula>
    </cfRule>
    <cfRule type="cellIs" dxfId="11375" priority="1563" operator="equal">
      <formula>1</formula>
    </cfRule>
    <cfRule type="top10" dxfId="11374" priority="1564" rank="10"/>
    <cfRule type="cellIs" dxfId="11373" priority="1565" operator="equal">
      <formula>3</formula>
    </cfRule>
    <cfRule type="top10" dxfId="11372" priority="1566" rank="10"/>
    <cfRule type="top10" dxfId="11371" priority="1567" rank="10"/>
    <cfRule type="cellIs" dxfId="11370" priority="1569" operator="equal">
      <formula>4</formula>
    </cfRule>
    <cfRule type="cellIs" dxfId="11369" priority="1551" operator="equal">
      <formula>4</formula>
    </cfRule>
    <cfRule type="top10" dxfId="11368" priority="1568" rank="10"/>
    <cfRule type="top10" dxfId="11367" priority="1577" rank="10"/>
    <cfRule type="cellIs" dxfId="11366" priority="1574" operator="equal">
      <formula>1</formula>
    </cfRule>
    <cfRule type="top10" dxfId="11365" priority="1573" rank="10"/>
    <cfRule type="cellIs" dxfId="11364" priority="1572" operator="equal">
      <formula>1</formula>
    </cfRule>
    <cfRule type="top10" dxfId="11363" priority="1571" rank="10"/>
    <cfRule type="cellIs" dxfId="11362" priority="1570" operator="equal">
      <formula>3</formula>
    </cfRule>
    <cfRule type="cellIs" dxfId="11361" priority="1561" operator="equal">
      <formula>4</formula>
    </cfRule>
  </conditionalFormatting>
  <conditionalFormatting sqref="AQ44">
    <cfRule type="cellIs" dxfId="11360" priority="1539" operator="equal">
      <formula>4</formula>
    </cfRule>
    <cfRule type="cellIs" dxfId="11359" priority="1540" operator="equal">
      <formula>1</formula>
    </cfRule>
    <cfRule type="top10" dxfId="11358" priority="1541" rank="10"/>
    <cfRule type="cellIs" dxfId="11357" priority="1542" operator="equal">
      <formula>3</formula>
    </cfRule>
    <cfRule type="top10" dxfId="11356" priority="1543" rank="10"/>
    <cfRule type="top10" dxfId="11355" priority="1544" rank="10"/>
    <cfRule type="top10" dxfId="11354" priority="1545" rank="10"/>
    <cfRule type="cellIs" dxfId="11353" priority="1546" operator="equal">
      <formula>4</formula>
    </cfRule>
    <cfRule type="cellIs" dxfId="11352" priority="1547" operator="equal">
      <formula>3</formula>
    </cfRule>
    <cfRule type="cellIs" dxfId="11351" priority="1548" operator="equal">
      <formula>1</formula>
    </cfRule>
    <cfRule type="cellIs" dxfId="11350" priority="1527" operator="equal">
      <formula>1</formula>
    </cfRule>
    <cfRule type="cellIs" dxfId="11349" priority="1528" operator="equal">
      <formula>1</formula>
    </cfRule>
    <cfRule type="cellIs" dxfId="11348" priority="1529" operator="equal">
      <formula>4</formula>
    </cfRule>
    <cfRule type="cellIs" dxfId="11347" priority="1530" operator="equal">
      <formula>4</formula>
    </cfRule>
    <cfRule type="cellIs" dxfId="11346" priority="1531" operator="equal">
      <formula>4</formula>
    </cfRule>
    <cfRule type="cellIs" dxfId="11345" priority="1532" operator="equal">
      <formula>1</formula>
    </cfRule>
    <cfRule type="cellIs" dxfId="11344" priority="1533" operator="equal">
      <formula>4</formula>
    </cfRule>
    <cfRule type="top10" dxfId="11343" priority="1534" rank="10"/>
    <cfRule type="cellIs" dxfId="11342" priority="1535" operator="equal">
      <formula>1</formula>
    </cfRule>
    <cfRule type="cellIs" dxfId="11341" priority="1536" operator="equal">
      <formula>4</formula>
    </cfRule>
    <cfRule type="cellIs" dxfId="11340" priority="1537" operator="equal">
      <formula>1</formula>
    </cfRule>
    <cfRule type="cellIs" dxfId="11339" priority="1538" operator="equal">
      <formula>4</formula>
    </cfRule>
  </conditionalFormatting>
  <conditionalFormatting sqref="AQ46">
    <cfRule type="cellIs" dxfId="11338" priority="1518" operator="equal">
      <formula>1</formula>
    </cfRule>
    <cfRule type="top10" dxfId="11337" priority="1511" rank="10"/>
    <cfRule type="cellIs" dxfId="11336" priority="1512" operator="equal">
      <formula>1</formula>
    </cfRule>
    <cfRule type="cellIs" dxfId="11335" priority="1513" operator="equal">
      <formula>4</formula>
    </cfRule>
    <cfRule type="cellIs" dxfId="11334" priority="1514" operator="equal">
      <formula>2</formula>
    </cfRule>
    <cfRule type="cellIs" dxfId="11333" priority="1515" operator="equal">
      <formula>1</formula>
    </cfRule>
    <cfRule type="cellIs" dxfId="11332" priority="1516" operator="equal">
      <formula>4</formula>
    </cfRule>
    <cfRule type="cellIs" dxfId="11331" priority="1505" operator="equal">
      <formula>1</formula>
    </cfRule>
    <cfRule type="cellIs" dxfId="11330" priority="1517" operator="equal">
      <formula>4</formula>
    </cfRule>
    <cfRule type="top10" dxfId="11329" priority="1519" rank="10"/>
    <cfRule type="cellIs" dxfId="11328" priority="1520" operator="equal">
      <formula>3</formula>
    </cfRule>
    <cfRule type="top10" dxfId="11327" priority="1522" rank="10"/>
    <cfRule type="top10" dxfId="11326" priority="1523" rank="10"/>
    <cfRule type="cellIs" dxfId="11325" priority="1524" operator="equal">
      <formula>4</formula>
    </cfRule>
    <cfRule type="cellIs" dxfId="11324" priority="1525" operator="equal">
      <formula>3</formula>
    </cfRule>
    <cfRule type="cellIs" dxfId="11323" priority="1526" operator="equal">
      <formula>1</formula>
    </cfRule>
    <cfRule type="top10" dxfId="11322" priority="1521" rank="10"/>
    <cfRule type="cellIs" dxfId="11321" priority="1510" operator="equal">
      <formula>4</formula>
    </cfRule>
    <cfRule type="cellIs" dxfId="11320" priority="1509" operator="equal">
      <formula>1</formula>
    </cfRule>
    <cfRule type="cellIs" dxfId="11319" priority="1508" operator="equal">
      <formula>4</formula>
    </cfRule>
    <cfRule type="cellIs" dxfId="11318" priority="1507" operator="equal">
      <formula>4</formula>
    </cfRule>
    <cfRule type="cellIs" dxfId="11317" priority="1506" operator="equal">
      <formula>4</formula>
    </cfRule>
    <cfRule type="cellIs" dxfId="11316" priority="1504" operator="equal">
      <formula>1</formula>
    </cfRule>
  </conditionalFormatting>
  <conditionalFormatting sqref="AQ48">
    <cfRule type="cellIs" dxfId="11315" priority="1490" operator="equal">
      <formula>4</formula>
    </cfRule>
    <cfRule type="cellIs" dxfId="11314" priority="1492" operator="equal">
      <formula>1</formula>
    </cfRule>
    <cfRule type="cellIs" dxfId="11313" priority="1493" operator="equal">
      <formula>4</formula>
    </cfRule>
    <cfRule type="cellIs" dxfId="11312" priority="1494" operator="equal">
      <formula>2</formula>
    </cfRule>
    <cfRule type="cellIs" dxfId="11311" priority="1495" operator="equal">
      <formula>4</formula>
    </cfRule>
    <cfRule type="top10" dxfId="11310" priority="1496" rank="10"/>
    <cfRule type="cellIs" dxfId="11309" priority="1497" operator="equal">
      <formula>3</formula>
    </cfRule>
    <cfRule type="top10" dxfId="11308" priority="1500" rank="10"/>
    <cfRule type="top10" dxfId="11307" priority="1499" rank="10"/>
    <cfRule type="top10" dxfId="11306" priority="1498" rank="10"/>
    <cfRule type="cellIs" dxfId="11305" priority="1484" operator="equal">
      <formula>1</formula>
    </cfRule>
    <cfRule type="cellIs" dxfId="11304" priority="1485" operator="equal">
      <formula>1</formula>
    </cfRule>
    <cfRule type="cellIs" dxfId="11303" priority="1486" operator="equal">
      <formula>4</formula>
    </cfRule>
    <cfRule type="cellIs" dxfId="11302" priority="1487" operator="equal">
      <formula>4</formula>
    </cfRule>
    <cfRule type="cellIs" dxfId="11301" priority="1488" operator="equal">
      <formula>4</formula>
    </cfRule>
    <cfRule type="top10" dxfId="11300" priority="1491" rank="10"/>
    <cfRule type="cellIs" dxfId="11299" priority="1489" operator="equal">
      <formula>1</formula>
    </cfRule>
    <cfRule type="cellIs" dxfId="11298" priority="1503" operator="equal">
      <formula>1</formula>
    </cfRule>
    <cfRule type="cellIs" dxfId="11297" priority="1502" operator="equal">
      <formula>3</formula>
    </cfRule>
    <cfRule type="cellIs" dxfId="11296" priority="1501" operator="equal">
      <formula>4</formula>
    </cfRule>
  </conditionalFormatting>
  <conditionalFormatting sqref="AQ53">
    <cfRule type="cellIs" dxfId="11295" priority="1474" operator="equal">
      <formula>1</formula>
    </cfRule>
    <cfRule type="top10" dxfId="11294" priority="1473" rank="10"/>
    <cfRule type="cellIs" dxfId="11293" priority="1472" operator="equal">
      <formula>4</formula>
    </cfRule>
    <cfRule type="cellIs" dxfId="11292" priority="1471" operator="equal">
      <formula>1</formula>
    </cfRule>
    <cfRule type="cellIs" dxfId="11291" priority="1470" operator="equal">
      <formula>4</formula>
    </cfRule>
    <cfRule type="cellIs" dxfId="11290" priority="1476" operator="equal">
      <formula>2</formula>
    </cfRule>
    <cfRule type="cellIs" dxfId="11289" priority="1482" operator="equal">
      <formula>3</formula>
    </cfRule>
    <cfRule type="top10" dxfId="11288" priority="1481" rank="10"/>
    <cfRule type="cellIs" dxfId="11287" priority="1480" operator="equal">
      <formula>1</formula>
    </cfRule>
    <cfRule type="cellIs" dxfId="11286" priority="1483" operator="equal">
      <formula>1</formula>
    </cfRule>
    <cfRule type="cellIs" dxfId="11285" priority="1479" operator="equal">
      <formula>4</formula>
    </cfRule>
    <cfRule type="cellIs" dxfId="11284" priority="1478" operator="equal">
      <formula>4</formula>
    </cfRule>
    <cfRule type="cellIs" dxfId="11283" priority="1466" operator="equal">
      <formula>1</formula>
    </cfRule>
    <cfRule type="cellIs" dxfId="11282" priority="1477" operator="equal">
      <formula>1</formula>
    </cfRule>
    <cfRule type="cellIs" dxfId="11281" priority="1475" operator="equal">
      <formula>4</formula>
    </cfRule>
    <cfRule type="cellIs" dxfId="11280" priority="1469" operator="equal">
      <formula>4</formula>
    </cfRule>
    <cfRule type="cellIs" dxfId="11279" priority="1468" operator="equal">
      <formula>4</formula>
    </cfRule>
    <cfRule type="cellIs" dxfId="11278" priority="1467" operator="equal">
      <formula>1</formula>
    </cfRule>
  </conditionalFormatting>
  <conditionalFormatting sqref="AQ76">
    <cfRule type="cellIs" dxfId="11277" priority="1457" operator="equal">
      <formula>1</formula>
    </cfRule>
    <cfRule type="cellIs" dxfId="11276" priority="1465" operator="equal">
      <formula>3</formula>
    </cfRule>
    <cfRule type="top10" dxfId="11275" priority="1464" rank="10"/>
    <cfRule type="cellIs" dxfId="11274" priority="1463" operator="equal">
      <formula>1</formula>
    </cfRule>
    <cfRule type="cellIs" dxfId="11273" priority="1462" operator="equal">
      <formula>4</formula>
    </cfRule>
    <cfRule type="cellIs" dxfId="11272" priority="1461" operator="equal">
      <formula>4</formula>
    </cfRule>
    <cfRule type="cellIs" dxfId="11271" priority="1460" operator="equal">
      <formula>1</formula>
    </cfRule>
    <cfRule type="cellIs" dxfId="11270" priority="1459" operator="equal">
      <formula>2</formula>
    </cfRule>
    <cfRule type="cellIs" dxfId="11269" priority="1458" operator="equal">
      <formula>4</formula>
    </cfRule>
    <cfRule type="top10" dxfId="11268" priority="1456" rank="10"/>
    <cfRule type="cellIs" dxfId="11267" priority="1455" operator="equal">
      <formula>4</formula>
    </cfRule>
    <cfRule type="cellIs" dxfId="11266" priority="1454" operator="equal">
      <formula>1</formula>
    </cfRule>
    <cfRule type="cellIs" dxfId="11265" priority="1453" operator="equal">
      <formula>4</formula>
    </cfRule>
    <cfRule type="cellIs" dxfId="11264" priority="1452" operator="equal">
      <formula>4</formula>
    </cfRule>
    <cfRule type="cellIs" dxfId="11263" priority="1451" operator="equal">
      <formula>4</formula>
    </cfRule>
    <cfRule type="cellIs" dxfId="11262" priority="1450" operator="equal">
      <formula>1</formula>
    </cfRule>
    <cfRule type="cellIs" dxfId="11261" priority="1449" operator="equal">
      <formula>1</formula>
    </cfRule>
  </conditionalFormatting>
  <conditionalFormatting sqref="AQ17:BB48">
    <cfRule type="cellIs" dxfId="11260" priority="19" operator="equal">
      <formula>1</formula>
    </cfRule>
    <cfRule type="top10" dxfId="11259" priority="18" rank="10"/>
  </conditionalFormatting>
  <conditionalFormatting sqref="AQ18:BB48 U18:Y48">
    <cfRule type="top10" dxfId="11258" priority="17" rank="10"/>
  </conditionalFormatting>
  <conditionalFormatting sqref="AR34">
    <cfRule type="cellIs" dxfId="11257" priority="1448" operator="equal">
      <formula>1</formula>
    </cfRule>
    <cfRule type="top10" dxfId="11256" priority="1447" rank="10"/>
  </conditionalFormatting>
  <conditionalFormatting sqref="AR35">
    <cfRule type="cellIs" dxfId="11255" priority="1440" operator="equal">
      <formula>1</formula>
    </cfRule>
    <cfRule type="top10" dxfId="11254" priority="1441" rank="10"/>
    <cfRule type="cellIs" dxfId="11253" priority="1442" operator="equal">
      <formula>1</formula>
    </cfRule>
    <cfRule type="top10" dxfId="11252" priority="1443" rank="10"/>
    <cfRule type="cellIs" dxfId="11251" priority="1437" operator="equal">
      <formula>4</formula>
    </cfRule>
    <cfRule type="cellIs" dxfId="11250" priority="1438" operator="equal">
      <formula>3</formula>
    </cfRule>
    <cfRule type="top10" dxfId="11249" priority="1439" rank="10"/>
    <cfRule type="cellIs" dxfId="11248" priority="1446" operator="equal">
      <formula>1</formula>
    </cfRule>
    <cfRule type="top10" dxfId="11247" priority="1445" rank="10"/>
    <cfRule type="cellIs" dxfId="11246" priority="1444" operator="equal">
      <formula>1</formula>
    </cfRule>
  </conditionalFormatting>
  <conditionalFormatting sqref="AR39">
    <cfRule type="cellIs" dxfId="11245" priority="1419" operator="equal">
      <formula>1</formula>
    </cfRule>
    <cfRule type="cellIs" dxfId="11244" priority="1420" operator="equal">
      <formula>4</formula>
    </cfRule>
    <cfRule type="top10" dxfId="11243" priority="1421" rank="10"/>
    <cfRule type="cellIs" dxfId="11242" priority="1422" operator="equal">
      <formula>1</formula>
    </cfRule>
    <cfRule type="cellIs" dxfId="11241" priority="1423" operator="equal">
      <formula>4</formula>
    </cfRule>
    <cfRule type="cellIs" dxfId="11240" priority="1424" operator="equal">
      <formula>2</formula>
    </cfRule>
    <cfRule type="cellIs" dxfId="11239" priority="1425" operator="equal">
      <formula>1</formula>
    </cfRule>
    <cfRule type="cellIs" dxfId="11238" priority="1426" operator="equal">
      <formula>4</formula>
    </cfRule>
    <cfRule type="cellIs" dxfId="11237" priority="1430" operator="equal">
      <formula>3</formula>
    </cfRule>
    <cfRule type="cellIs" dxfId="11236" priority="1427" operator="equal">
      <formula>4</formula>
    </cfRule>
    <cfRule type="cellIs" dxfId="11235" priority="1428" operator="equal">
      <formula>1</formula>
    </cfRule>
    <cfRule type="top10" dxfId="11234" priority="1429" rank="10"/>
    <cfRule type="top10" dxfId="11233" priority="1433" rank="10"/>
    <cfRule type="cellIs" dxfId="11232" priority="1434" operator="equal">
      <formula>4</formula>
    </cfRule>
    <cfRule type="cellIs" dxfId="11231" priority="1435" operator="equal">
      <formula>3</formula>
    </cfRule>
    <cfRule type="top10" dxfId="11230" priority="1431" rank="10"/>
    <cfRule type="top10" dxfId="11229" priority="1432" rank="10"/>
    <cfRule type="cellIs" dxfId="11228" priority="1436" operator="equal">
      <formula>1</formula>
    </cfRule>
    <cfRule type="cellIs" dxfId="11227" priority="1416" operator="equal">
      <formula>4</formula>
    </cfRule>
    <cfRule type="cellIs" dxfId="11226" priority="1417" operator="equal">
      <formula>4</formula>
    </cfRule>
    <cfRule type="cellIs" dxfId="11225" priority="1418" operator="equal">
      <formula>4</formula>
    </cfRule>
    <cfRule type="cellIs" dxfId="11224" priority="1415" operator="equal">
      <formula>1</formula>
    </cfRule>
    <cfRule type="cellIs" dxfId="11223" priority="1414" operator="equal">
      <formula>1</formula>
    </cfRule>
  </conditionalFormatting>
  <conditionalFormatting sqref="AR41">
    <cfRule type="cellIs" dxfId="11222" priority="1397" operator="equal">
      <formula>4</formula>
    </cfRule>
    <cfRule type="cellIs" dxfId="11221" priority="1396" operator="equal">
      <formula>1</formula>
    </cfRule>
    <cfRule type="cellIs" dxfId="11220" priority="1395" operator="equal">
      <formula>4</formula>
    </cfRule>
    <cfRule type="cellIs" dxfId="11219" priority="1394" operator="equal">
      <formula>4</formula>
    </cfRule>
    <cfRule type="cellIs" dxfId="11218" priority="1393" operator="equal">
      <formula>4</formula>
    </cfRule>
    <cfRule type="cellIs" dxfId="11217" priority="1392" operator="equal">
      <formula>1</formula>
    </cfRule>
    <cfRule type="cellIs" dxfId="11216" priority="1391" operator="equal">
      <formula>1</formula>
    </cfRule>
    <cfRule type="cellIs" dxfId="11215" priority="1413" operator="equal">
      <formula>1</formula>
    </cfRule>
    <cfRule type="cellIs" dxfId="11214" priority="1412" operator="equal">
      <formula>3</formula>
    </cfRule>
    <cfRule type="cellIs" dxfId="11213" priority="1411" operator="equal">
      <formula>4</formula>
    </cfRule>
    <cfRule type="top10" dxfId="11212" priority="1410" rank="10"/>
    <cfRule type="top10" dxfId="11211" priority="1409" rank="10"/>
    <cfRule type="top10" dxfId="11210" priority="1408" rank="10"/>
    <cfRule type="cellIs" dxfId="11209" priority="1407" operator="equal">
      <formula>3</formula>
    </cfRule>
    <cfRule type="top10" dxfId="11208" priority="1406" rank="10"/>
    <cfRule type="cellIs" dxfId="11207" priority="1405" operator="equal">
      <formula>1</formula>
    </cfRule>
    <cfRule type="cellIs" dxfId="11206" priority="1404" operator="equal">
      <formula>4</formula>
    </cfRule>
    <cfRule type="cellIs" dxfId="11205" priority="1403" operator="equal">
      <formula>4</formula>
    </cfRule>
    <cfRule type="cellIs" dxfId="11204" priority="1402" operator="equal">
      <formula>1</formula>
    </cfRule>
    <cfRule type="cellIs" dxfId="11203" priority="1401" operator="equal">
      <formula>2</formula>
    </cfRule>
    <cfRule type="cellIs" dxfId="11202" priority="1400" operator="equal">
      <formula>4</formula>
    </cfRule>
    <cfRule type="cellIs" dxfId="11201" priority="1399" operator="equal">
      <formula>1</formula>
    </cfRule>
    <cfRule type="top10" dxfId="11200" priority="1398" rank="10"/>
  </conditionalFormatting>
  <conditionalFormatting sqref="AR45">
    <cfRule type="cellIs" dxfId="11199" priority="1376" operator="equal">
      <formula>1</formula>
    </cfRule>
    <cfRule type="cellIs" dxfId="11198" priority="1370" operator="equal">
      <formula>4</formula>
    </cfRule>
    <cfRule type="top10" dxfId="11197" priority="1375" rank="10"/>
    <cfRule type="cellIs" dxfId="11196" priority="1374" operator="equal">
      <formula>4</formula>
    </cfRule>
    <cfRule type="cellIs" dxfId="11195" priority="1373" operator="equal">
      <formula>1</formula>
    </cfRule>
    <cfRule type="cellIs" dxfId="11194" priority="1378" operator="equal">
      <formula>2</formula>
    </cfRule>
    <cfRule type="cellIs" dxfId="11193" priority="1371" operator="equal">
      <formula>4</formula>
    </cfRule>
    <cfRule type="cellIs" dxfId="11192" priority="1377" operator="equal">
      <formula>4</formula>
    </cfRule>
    <cfRule type="cellIs" dxfId="11191" priority="1372" operator="equal">
      <formula>4</formula>
    </cfRule>
    <cfRule type="cellIs" dxfId="11190" priority="1368" operator="equal">
      <formula>1</formula>
    </cfRule>
    <cfRule type="cellIs" dxfId="11189" priority="1369" operator="equal">
      <formula>1</formula>
    </cfRule>
    <cfRule type="cellIs" dxfId="11188" priority="1390" operator="equal">
      <formula>1</formula>
    </cfRule>
    <cfRule type="cellIs" dxfId="11187" priority="1389" operator="equal">
      <formula>3</formula>
    </cfRule>
    <cfRule type="cellIs" dxfId="11186" priority="1388" operator="equal">
      <formula>4</formula>
    </cfRule>
    <cfRule type="top10" dxfId="11185" priority="1387" rank="10"/>
    <cfRule type="top10" dxfId="11184" priority="1386" rank="10"/>
    <cfRule type="top10" dxfId="11183" priority="1385" rank="10"/>
    <cfRule type="cellIs" dxfId="11182" priority="1384" operator="equal">
      <formula>3</formula>
    </cfRule>
    <cfRule type="top10" dxfId="11181" priority="1383" rank="10"/>
    <cfRule type="cellIs" dxfId="11180" priority="1382" operator="equal">
      <formula>1</formula>
    </cfRule>
    <cfRule type="cellIs" dxfId="11179" priority="1381" operator="equal">
      <formula>4</formula>
    </cfRule>
    <cfRule type="cellIs" dxfId="11178" priority="1380" operator="equal">
      <formula>4</formula>
    </cfRule>
    <cfRule type="cellIs" dxfId="11177" priority="1379" operator="equal">
      <formula>1</formula>
    </cfRule>
  </conditionalFormatting>
  <conditionalFormatting sqref="AR54">
    <cfRule type="cellIs" dxfId="11176" priority="1364" operator="equal">
      <formula>1</formula>
    </cfRule>
    <cfRule type="cellIs" dxfId="11175" priority="1367" operator="equal">
      <formula>1</formula>
    </cfRule>
    <cfRule type="cellIs" dxfId="11174" priority="1354" operator="equal">
      <formula>4</formula>
    </cfRule>
    <cfRule type="top10" dxfId="11173" priority="1365" rank="10"/>
    <cfRule type="cellIs" dxfId="11172" priority="1350" operator="equal">
      <formula>1</formula>
    </cfRule>
    <cfRule type="cellIs" dxfId="11171" priority="1351" operator="equal">
      <formula>1</formula>
    </cfRule>
    <cfRule type="cellIs" dxfId="11170" priority="1352" operator="equal">
      <formula>4</formula>
    </cfRule>
    <cfRule type="cellIs" dxfId="11169" priority="1353" operator="equal">
      <formula>4</formula>
    </cfRule>
    <cfRule type="cellIs" dxfId="11168" priority="1355" operator="equal">
      <formula>1</formula>
    </cfRule>
    <cfRule type="cellIs" dxfId="11167" priority="1356" operator="equal">
      <formula>4</formula>
    </cfRule>
    <cfRule type="top10" dxfId="11166" priority="1357" rank="10"/>
    <cfRule type="cellIs" dxfId="11165" priority="1358" operator="equal">
      <formula>1</formula>
    </cfRule>
    <cfRule type="cellIs" dxfId="11164" priority="1359" operator="equal">
      <formula>4</formula>
    </cfRule>
    <cfRule type="cellIs" dxfId="11163" priority="1360" operator="equal">
      <formula>2</formula>
    </cfRule>
    <cfRule type="cellIs" dxfId="11162" priority="1366" operator="equal">
      <formula>3</formula>
    </cfRule>
    <cfRule type="cellIs" dxfId="11161" priority="1361" operator="equal">
      <formula>1</formula>
    </cfRule>
    <cfRule type="cellIs" dxfId="11160" priority="1362" operator="equal">
      <formula>4</formula>
    </cfRule>
    <cfRule type="cellIs" dxfId="11159" priority="1363" operator="equal">
      <formula>4</formula>
    </cfRule>
  </conditionalFormatting>
  <conditionalFormatting sqref="AT36">
    <cfRule type="cellIs" dxfId="11158" priority="1349" operator="equal">
      <formula>1</formula>
    </cfRule>
    <cfRule type="top10" dxfId="11157" priority="1348" rank="10"/>
    <cfRule type="cellIs" dxfId="11156" priority="1347" operator="equal">
      <formula>1</formula>
    </cfRule>
    <cfRule type="top10" dxfId="11155" priority="1346" rank="10"/>
    <cfRule type="cellIs" dxfId="11154" priority="1345" operator="equal">
      <formula>1</formula>
    </cfRule>
    <cfRule type="top10" dxfId="11153" priority="1344" rank="10"/>
    <cfRule type="cellIs" dxfId="11152" priority="1343" operator="equal">
      <formula>1</formula>
    </cfRule>
    <cfRule type="top10" dxfId="11151" priority="1342" rank="10"/>
    <cfRule type="cellIs" dxfId="11150" priority="1341" operator="equal">
      <formula>3</formula>
    </cfRule>
    <cfRule type="cellIs" dxfId="11149" priority="1340" operator="equal">
      <formula>4</formula>
    </cfRule>
  </conditionalFormatting>
  <conditionalFormatting sqref="AT46">
    <cfRule type="cellIs" dxfId="11148" priority="1326" operator="equal">
      <formula>4</formula>
    </cfRule>
    <cfRule type="cellIs" dxfId="11147" priority="1327" operator="equal">
      <formula>2</formula>
    </cfRule>
    <cfRule type="cellIs" dxfId="11146" priority="1328" operator="equal">
      <formula>1</formula>
    </cfRule>
    <cfRule type="top10" dxfId="11145" priority="1324" rank="10"/>
    <cfRule type="cellIs" dxfId="11144" priority="1317" operator="equal">
      <formula>1</formula>
    </cfRule>
    <cfRule type="cellIs" dxfId="11143" priority="1318" operator="equal">
      <formula>1</formula>
    </cfRule>
    <cfRule type="cellIs" dxfId="11142" priority="1319" operator="equal">
      <formula>4</formula>
    </cfRule>
    <cfRule type="cellIs" dxfId="11141" priority="1320" operator="equal">
      <formula>4</formula>
    </cfRule>
    <cfRule type="cellIs" dxfId="11140" priority="1329" operator="equal">
      <formula>4</formula>
    </cfRule>
    <cfRule type="cellIs" dxfId="11139" priority="1321" operator="equal">
      <formula>4</formula>
    </cfRule>
    <cfRule type="cellIs" dxfId="11138" priority="1322" operator="equal">
      <formula>1</formula>
    </cfRule>
    <cfRule type="cellIs" dxfId="11137" priority="1323" operator="equal">
      <formula>4</formula>
    </cfRule>
    <cfRule type="cellIs" dxfId="11136" priority="1325" operator="equal">
      <formula>1</formula>
    </cfRule>
    <cfRule type="cellIs" dxfId="11135" priority="1339" operator="equal">
      <formula>1</formula>
    </cfRule>
    <cfRule type="cellIs" dxfId="11134" priority="1338" operator="equal">
      <formula>3</formula>
    </cfRule>
    <cfRule type="cellIs" dxfId="11133" priority="1337" operator="equal">
      <formula>4</formula>
    </cfRule>
    <cfRule type="top10" dxfId="11132" priority="1336" rank="10"/>
    <cfRule type="top10" dxfId="11131" priority="1335" rank="10"/>
    <cfRule type="top10" dxfId="11130" priority="1334" rank="10"/>
    <cfRule type="cellIs" dxfId="11129" priority="1333" operator="equal">
      <formula>3</formula>
    </cfRule>
    <cfRule type="top10" dxfId="11128" priority="1332" rank="10"/>
    <cfRule type="cellIs" dxfId="11127" priority="1331" operator="equal">
      <formula>1</formula>
    </cfRule>
    <cfRule type="cellIs" dxfId="11126" priority="1330" operator="equal">
      <formula>4</formula>
    </cfRule>
  </conditionalFormatting>
  <conditionalFormatting sqref="AT48">
    <cfRule type="cellIs" dxfId="11125" priority="1315" operator="equal">
      <formula>3</formula>
    </cfRule>
    <cfRule type="cellIs" dxfId="11124" priority="1314" operator="equal">
      <formula>4</formula>
    </cfRule>
    <cfRule type="top10" dxfId="11123" priority="1313" rank="10"/>
    <cfRule type="top10" dxfId="11122" priority="1311" rank="10"/>
    <cfRule type="cellIs" dxfId="11121" priority="1310" operator="equal">
      <formula>3</formula>
    </cfRule>
    <cfRule type="top10" dxfId="11120" priority="1309" rank="10"/>
    <cfRule type="cellIs" dxfId="11119" priority="1308" operator="equal">
      <formula>1</formula>
    </cfRule>
    <cfRule type="cellIs" dxfId="11118" priority="1307" operator="equal">
      <formula>4</formula>
    </cfRule>
    <cfRule type="cellIs" dxfId="11117" priority="1306" operator="equal">
      <formula>4</formula>
    </cfRule>
    <cfRule type="cellIs" dxfId="11116" priority="1305" operator="equal">
      <formula>1</formula>
    </cfRule>
    <cfRule type="cellIs" dxfId="11115" priority="1304" operator="equal">
      <formula>2</formula>
    </cfRule>
    <cfRule type="cellIs" dxfId="11114" priority="1303" operator="equal">
      <formula>4</formula>
    </cfRule>
    <cfRule type="cellIs" dxfId="11113" priority="1302" operator="equal">
      <formula>1</formula>
    </cfRule>
    <cfRule type="top10" dxfId="11112" priority="1301" rank="10"/>
    <cfRule type="cellIs" dxfId="11111" priority="1300" operator="equal">
      <formula>4</formula>
    </cfRule>
    <cfRule type="top10" dxfId="11110" priority="1312" rank="10"/>
    <cfRule type="cellIs" dxfId="11109" priority="1316" operator="equal">
      <formula>1</formula>
    </cfRule>
    <cfRule type="cellIs" dxfId="11108" priority="1299" operator="equal">
      <formula>1</formula>
    </cfRule>
    <cfRule type="cellIs" dxfId="11107" priority="1298" operator="equal">
      <formula>4</formula>
    </cfRule>
    <cfRule type="cellIs" dxfId="11106" priority="1297" operator="equal">
      <formula>4</formula>
    </cfRule>
    <cfRule type="cellIs" dxfId="11105" priority="1296" operator="equal">
      <formula>4</formula>
    </cfRule>
    <cfRule type="cellIs" dxfId="11104" priority="1295" operator="equal">
      <formula>1</formula>
    </cfRule>
    <cfRule type="cellIs" dxfId="11103" priority="1294" operator="equal">
      <formula>1</formula>
    </cfRule>
  </conditionalFormatting>
  <conditionalFormatting sqref="AU34">
    <cfRule type="cellIs" dxfId="11102" priority="1293" operator="equal">
      <formula>1</formula>
    </cfRule>
    <cfRule type="top10" dxfId="11101" priority="1292" rank="10"/>
  </conditionalFormatting>
  <conditionalFormatting sqref="AU35">
    <cfRule type="cellIs" dxfId="11100" priority="1291" operator="equal">
      <formula>1</formula>
    </cfRule>
    <cfRule type="top10" dxfId="11099" priority="1290" rank="10"/>
    <cfRule type="cellIs" dxfId="11098" priority="1289" operator="equal">
      <formula>1</formula>
    </cfRule>
    <cfRule type="top10" dxfId="11097" priority="1288" rank="10"/>
    <cfRule type="cellIs" dxfId="11096" priority="1287" operator="equal">
      <formula>1</formula>
    </cfRule>
    <cfRule type="top10" dxfId="11095" priority="1286" rank="10"/>
    <cfRule type="cellIs" dxfId="11094" priority="1285" operator="equal">
      <formula>1</formula>
    </cfRule>
    <cfRule type="top10" dxfId="11093" priority="1284" rank="10"/>
    <cfRule type="cellIs" dxfId="11092" priority="1283" operator="equal">
      <formula>3</formula>
    </cfRule>
    <cfRule type="cellIs" dxfId="11091" priority="1282" operator="equal">
      <formula>4</formula>
    </cfRule>
  </conditionalFormatting>
  <conditionalFormatting sqref="AU39">
    <cfRule type="cellIs" dxfId="11090" priority="1261" operator="equal">
      <formula>4</formula>
    </cfRule>
    <cfRule type="cellIs" dxfId="11089" priority="1281" operator="equal">
      <formula>1</formula>
    </cfRule>
    <cfRule type="cellIs" dxfId="11088" priority="1280" operator="equal">
      <formula>3</formula>
    </cfRule>
    <cfRule type="cellIs" dxfId="11087" priority="1279" operator="equal">
      <formula>4</formula>
    </cfRule>
    <cfRule type="top10" dxfId="11086" priority="1278" rank="10"/>
    <cfRule type="top10" dxfId="11085" priority="1277" rank="10"/>
    <cfRule type="top10" dxfId="11084" priority="1276" rank="10"/>
    <cfRule type="cellIs" dxfId="11083" priority="1275" operator="equal">
      <formula>3</formula>
    </cfRule>
    <cfRule type="top10" dxfId="11082" priority="1274" rank="10"/>
    <cfRule type="cellIs" dxfId="11081" priority="1273" operator="equal">
      <formula>1</formula>
    </cfRule>
    <cfRule type="cellIs" dxfId="11080" priority="1272" operator="equal">
      <formula>4</formula>
    </cfRule>
    <cfRule type="cellIs" dxfId="11079" priority="1271" operator="equal">
      <formula>4</formula>
    </cfRule>
    <cfRule type="cellIs" dxfId="11078" priority="1270" operator="equal">
      <formula>1</formula>
    </cfRule>
    <cfRule type="cellIs" dxfId="11077" priority="1269" operator="equal">
      <formula>2</formula>
    </cfRule>
    <cfRule type="cellIs" dxfId="11076" priority="1268" operator="equal">
      <formula>4</formula>
    </cfRule>
    <cfRule type="cellIs" dxfId="11075" priority="1267" operator="equal">
      <formula>1</formula>
    </cfRule>
    <cfRule type="top10" dxfId="11074" priority="1266" rank="10"/>
    <cfRule type="cellIs" dxfId="11073" priority="1265" operator="equal">
      <formula>4</formula>
    </cfRule>
    <cfRule type="cellIs" dxfId="11072" priority="1264" operator="equal">
      <formula>1</formula>
    </cfRule>
    <cfRule type="cellIs" dxfId="11071" priority="1263" operator="equal">
      <formula>4</formula>
    </cfRule>
    <cfRule type="cellIs" dxfId="11070" priority="1262" operator="equal">
      <formula>4</formula>
    </cfRule>
    <cfRule type="cellIs" dxfId="11069" priority="1260" operator="equal">
      <formula>1</formula>
    </cfRule>
    <cfRule type="cellIs" dxfId="11068" priority="1259" operator="equal">
      <formula>1</formula>
    </cfRule>
  </conditionalFormatting>
  <conditionalFormatting sqref="AU41">
    <cfRule type="cellIs" dxfId="11067" priority="1240" operator="equal">
      <formula>4</formula>
    </cfRule>
    <cfRule type="cellIs" dxfId="11066" priority="1239" operator="equal">
      <formula>4</formula>
    </cfRule>
    <cfRule type="cellIs" dxfId="11065" priority="1245" operator="equal">
      <formula>4</formula>
    </cfRule>
    <cfRule type="cellIs" dxfId="11064" priority="1238" operator="equal">
      <formula>4</formula>
    </cfRule>
    <cfRule type="cellIs" dxfId="11063" priority="1257" operator="equal">
      <formula>3</formula>
    </cfRule>
    <cfRule type="cellIs" dxfId="11062" priority="1256" operator="equal">
      <formula>4</formula>
    </cfRule>
    <cfRule type="cellIs" dxfId="11061" priority="1258" operator="equal">
      <formula>1</formula>
    </cfRule>
    <cfRule type="top10" dxfId="11060" priority="1255" rank="10"/>
    <cfRule type="top10" dxfId="11059" priority="1254" rank="10"/>
    <cfRule type="top10" dxfId="11058" priority="1253" rank="10"/>
    <cfRule type="cellIs" dxfId="11057" priority="1252" operator="equal">
      <formula>3</formula>
    </cfRule>
    <cfRule type="top10" dxfId="11056" priority="1251" rank="10"/>
    <cfRule type="cellIs" dxfId="11055" priority="1250" operator="equal">
      <formula>1</formula>
    </cfRule>
    <cfRule type="cellIs" dxfId="11054" priority="1249" operator="equal">
      <formula>4</formula>
    </cfRule>
    <cfRule type="cellIs" dxfId="11053" priority="1248" operator="equal">
      <formula>4</formula>
    </cfRule>
    <cfRule type="cellIs" dxfId="11052" priority="1247" operator="equal">
      <formula>1</formula>
    </cfRule>
    <cfRule type="cellIs" dxfId="11051" priority="1246" operator="equal">
      <formula>2</formula>
    </cfRule>
    <cfRule type="cellIs" dxfId="11050" priority="1244" operator="equal">
      <formula>1</formula>
    </cfRule>
    <cfRule type="cellIs" dxfId="11049" priority="1236" operator="equal">
      <formula>1</formula>
    </cfRule>
    <cfRule type="cellIs" dxfId="11048" priority="1237" operator="equal">
      <formula>1</formula>
    </cfRule>
    <cfRule type="top10" dxfId="11047" priority="1243" rank="10"/>
    <cfRule type="cellIs" dxfId="11046" priority="1242" operator="equal">
      <formula>4</formula>
    </cfRule>
    <cfRule type="cellIs" dxfId="11045" priority="1241" operator="equal">
      <formula>1</formula>
    </cfRule>
  </conditionalFormatting>
  <conditionalFormatting sqref="AU45">
    <cfRule type="cellIs" dxfId="11044" priority="1219" operator="equal">
      <formula>4</formula>
    </cfRule>
    <cfRule type="top10" dxfId="11043" priority="1220" rank="10"/>
    <cfRule type="cellIs" dxfId="11042" priority="1221" operator="equal">
      <formula>1</formula>
    </cfRule>
    <cfRule type="cellIs" dxfId="11041" priority="1222" operator="equal">
      <formula>4</formula>
    </cfRule>
    <cfRule type="cellIs" dxfId="11040" priority="1223" operator="equal">
      <formula>2</formula>
    </cfRule>
    <cfRule type="cellIs" dxfId="11039" priority="1225" operator="equal">
      <formula>4</formula>
    </cfRule>
    <cfRule type="cellIs" dxfId="11038" priority="1226" operator="equal">
      <formula>4</formula>
    </cfRule>
    <cfRule type="cellIs" dxfId="11037" priority="1227" operator="equal">
      <formula>1</formula>
    </cfRule>
    <cfRule type="top10" dxfId="11036" priority="1228" rank="10"/>
    <cfRule type="cellIs" dxfId="11035" priority="1229" operator="equal">
      <formula>3</formula>
    </cfRule>
    <cfRule type="top10" dxfId="11034" priority="1230" rank="10"/>
    <cfRule type="top10" dxfId="11033" priority="1231" rank="10"/>
    <cfRule type="top10" dxfId="11032" priority="1232" rank="10"/>
    <cfRule type="cellIs" dxfId="11031" priority="1233" operator="equal">
      <formula>4</formula>
    </cfRule>
    <cfRule type="cellIs" dxfId="11030" priority="1234" operator="equal">
      <formula>3</formula>
    </cfRule>
    <cfRule type="cellIs" dxfId="11029" priority="1235" operator="equal">
      <formula>1</formula>
    </cfRule>
    <cfRule type="cellIs" dxfId="11028" priority="1216" operator="equal">
      <formula>4</formula>
    </cfRule>
    <cfRule type="cellIs" dxfId="11027" priority="1217" operator="equal">
      <formula>4</formula>
    </cfRule>
    <cfRule type="cellIs" dxfId="11026" priority="1218" operator="equal">
      <formula>1</formula>
    </cfRule>
    <cfRule type="cellIs" dxfId="11025" priority="1213" operator="equal">
      <formula>1</formula>
    </cfRule>
    <cfRule type="cellIs" dxfId="11024" priority="1215" operator="equal">
      <formula>4</formula>
    </cfRule>
    <cfRule type="cellIs" dxfId="11023" priority="1214" operator="equal">
      <formula>1</formula>
    </cfRule>
    <cfRule type="cellIs" dxfId="11022" priority="1224" operator="equal">
      <formula>1</formula>
    </cfRule>
  </conditionalFormatting>
  <conditionalFormatting sqref="AW36">
    <cfRule type="cellIs" dxfId="11021" priority="1208" operator="equal">
      <formula>4</formula>
    </cfRule>
    <cfRule type="top10" dxfId="11020" priority="1209" rank="10"/>
    <cfRule type="cellIs" dxfId="11019" priority="1210" operator="equal">
      <formula>1</formula>
    </cfRule>
    <cfRule type="top10" dxfId="11018" priority="1211" rank="10"/>
    <cfRule type="cellIs" dxfId="11017" priority="1212" operator="equal">
      <formula>1</formula>
    </cfRule>
  </conditionalFormatting>
  <conditionalFormatting sqref="AW44">
    <cfRule type="cellIs" dxfId="11016" priority="1194" operator="equal">
      <formula>1</formula>
    </cfRule>
    <cfRule type="top10" dxfId="11015" priority="1193" rank="10"/>
    <cfRule type="cellIs" dxfId="11014" priority="1192" operator="equal">
      <formula>4</formula>
    </cfRule>
    <cfRule type="cellIs" dxfId="11013" priority="1191" operator="equal">
      <formula>1</formula>
    </cfRule>
    <cfRule type="cellIs" dxfId="11012" priority="1190" operator="equal">
      <formula>4</formula>
    </cfRule>
    <cfRule type="cellIs" dxfId="11011" priority="1189" operator="equal">
      <formula>4</formula>
    </cfRule>
    <cfRule type="cellIs" dxfId="11010" priority="1188" operator="equal">
      <formula>4</formula>
    </cfRule>
    <cfRule type="cellIs" dxfId="11009" priority="1187" operator="equal">
      <formula>1</formula>
    </cfRule>
    <cfRule type="cellIs" dxfId="11008" priority="1186" operator="equal">
      <formula>1</formula>
    </cfRule>
    <cfRule type="cellIs" dxfId="11007" priority="1207" operator="equal">
      <formula>1</formula>
    </cfRule>
    <cfRule type="cellIs" dxfId="11006" priority="1206" operator="equal">
      <formula>3</formula>
    </cfRule>
    <cfRule type="cellIs" dxfId="11005" priority="1205" operator="equal">
      <formula>4</formula>
    </cfRule>
    <cfRule type="top10" dxfId="11004" priority="1204" rank="10"/>
    <cfRule type="top10" dxfId="11003" priority="1203" rank="10"/>
    <cfRule type="top10" dxfId="11002" priority="1202" rank="10"/>
    <cfRule type="cellIs" dxfId="11001" priority="1201" operator="equal">
      <formula>3</formula>
    </cfRule>
    <cfRule type="top10" dxfId="11000" priority="1200" rank="10"/>
    <cfRule type="cellIs" dxfId="10999" priority="1199" operator="equal">
      <formula>1</formula>
    </cfRule>
    <cfRule type="cellIs" dxfId="10998" priority="1198" operator="equal">
      <formula>4</formula>
    </cfRule>
    <cfRule type="cellIs" dxfId="10997" priority="1197" operator="equal">
      <formula>4</formula>
    </cfRule>
    <cfRule type="cellIs" dxfId="10996" priority="1196" operator="equal">
      <formula>1</formula>
    </cfRule>
    <cfRule type="cellIs" dxfId="10995" priority="1195" operator="equal">
      <formula>4</formula>
    </cfRule>
  </conditionalFormatting>
  <conditionalFormatting sqref="AW46">
    <cfRule type="cellIs" dxfId="10994" priority="1168" operator="equal">
      <formula>1</formula>
    </cfRule>
    <cfRule type="top10" dxfId="10993" priority="1170" rank="10"/>
    <cfRule type="cellIs" dxfId="10992" priority="1171" operator="equal">
      <formula>1</formula>
    </cfRule>
    <cfRule type="cellIs" dxfId="10991" priority="1169" operator="equal">
      <formula>4</formula>
    </cfRule>
    <cfRule type="top10" dxfId="10990" priority="1178" rank="10"/>
    <cfRule type="cellIs" dxfId="10989" priority="1167" operator="equal">
      <formula>4</formula>
    </cfRule>
    <cfRule type="cellIs" dxfId="10988" priority="1166" operator="equal">
      <formula>4</formula>
    </cfRule>
    <cfRule type="cellIs" dxfId="10987" priority="1165" operator="equal">
      <formula>4</formula>
    </cfRule>
    <cfRule type="cellIs" dxfId="10986" priority="1164" operator="equal">
      <formula>1</formula>
    </cfRule>
    <cfRule type="cellIs" dxfId="10985" priority="1163" operator="equal">
      <formula>1</formula>
    </cfRule>
    <cfRule type="cellIs" dxfId="10984" priority="1185" operator="equal">
      <formula>1</formula>
    </cfRule>
    <cfRule type="cellIs" dxfId="10983" priority="1184" operator="equal">
      <formula>3</formula>
    </cfRule>
    <cfRule type="cellIs" dxfId="10982" priority="1183" operator="equal">
      <formula>4</formula>
    </cfRule>
    <cfRule type="top10" dxfId="10981" priority="1182" rank="10"/>
    <cfRule type="top10" dxfId="10980" priority="1181" rank="10"/>
    <cfRule type="top10" dxfId="10979" priority="1180" rank="10"/>
    <cfRule type="cellIs" dxfId="10978" priority="1179" operator="equal">
      <formula>3</formula>
    </cfRule>
    <cfRule type="cellIs" dxfId="10977" priority="1177" operator="equal">
      <formula>1</formula>
    </cfRule>
    <cfRule type="cellIs" dxfId="10976" priority="1175" operator="equal">
      <formula>4</formula>
    </cfRule>
    <cfRule type="cellIs" dxfId="10975" priority="1174" operator="equal">
      <formula>1</formula>
    </cfRule>
    <cfRule type="cellIs" dxfId="10974" priority="1176" operator="equal">
      <formula>4</formula>
    </cfRule>
    <cfRule type="cellIs" dxfId="10973" priority="1173" operator="equal">
      <formula>2</formula>
    </cfRule>
    <cfRule type="cellIs" dxfId="10972" priority="1172" operator="equal">
      <formula>4</formula>
    </cfRule>
  </conditionalFormatting>
  <conditionalFormatting sqref="AW48">
    <cfRule type="cellIs" dxfId="10971" priority="1146" operator="equal">
      <formula>4</formula>
    </cfRule>
    <cfRule type="cellIs" dxfId="10970" priority="1140" operator="equal">
      <formula>1</formula>
    </cfRule>
    <cfRule type="cellIs" dxfId="10969" priority="1162" operator="equal">
      <formula>1</formula>
    </cfRule>
    <cfRule type="cellIs" dxfId="10968" priority="1161" operator="equal">
      <formula>3</formula>
    </cfRule>
    <cfRule type="cellIs" dxfId="10967" priority="1160" operator="equal">
      <formula>4</formula>
    </cfRule>
    <cfRule type="top10" dxfId="10966" priority="1159" rank="10"/>
    <cfRule type="top10" dxfId="10965" priority="1158" rank="10"/>
    <cfRule type="top10" dxfId="10964" priority="1157" rank="10"/>
    <cfRule type="cellIs" dxfId="10963" priority="1156" operator="equal">
      <formula>3</formula>
    </cfRule>
    <cfRule type="top10" dxfId="10962" priority="1155" rank="10"/>
    <cfRule type="cellIs" dxfId="10961" priority="1154" operator="equal">
      <formula>1</formula>
    </cfRule>
    <cfRule type="cellIs" dxfId="10960" priority="1153" operator="equal">
      <formula>4</formula>
    </cfRule>
    <cfRule type="cellIs" dxfId="10959" priority="1152" operator="equal">
      <formula>4</formula>
    </cfRule>
    <cfRule type="cellIs" dxfId="10958" priority="1151" operator="equal">
      <formula>1</formula>
    </cfRule>
    <cfRule type="cellIs" dxfId="10957" priority="1148" operator="equal">
      <formula>1</formula>
    </cfRule>
    <cfRule type="cellIs" dxfId="10956" priority="1142" operator="equal">
      <formula>4</formula>
    </cfRule>
    <cfRule type="top10" dxfId="10955" priority="1147" rank="10"/>
    <cfRule type="cellIs" dxfId="10954" priority="1150" operator="equal">
      <formula>2</formula>
    </cfRule>
    <cfRule type="cellIs" dxfId="10953" priority="1145" operator="equal">
      <formula>1</formula>
    </cfRule>
    <cfRule type="cellIs" dxfId="10952" priority="1144" operator="equal">
      <formula>4</formula>
    </cfRule>
    <cfRule type="cellIs" dxfId="10951" priority="1149" operator="equal">
      <formula>4</formula>
    </cfRule>
    <cfRule type="cellIs" dxfId="10950" priority="1143" operator="equal">
      <formula>4</formula>
    </cfRule>
    <cfRule type="cellIs" dxfId="10949" priority="1141" operator="equal">
      <formula>1</formula>
    </cfRule>
  </conditionalFormatting>
  <conditionalFormatting sqref="AW76">
    <cfRule type="cellIs" dxfId="10948" priority="1136" operator="equal">
      <formula>4</formula>
    </cfRule>
    <cfRule type="cellIs" dxfId="10947" priority="1135" operator="equal">
      <formula>4</formula>
    </cfRule>
    <cfRule type="cellIs" dxfId="10946" priority="1134" operator="equal">
      <formula>1</formula>
    </cfRule>
    <cfRule type="cellIs" dxfId="10945" priority="1133" operator="equal">
      <formula>2</formula>
    </cfRule>
    <cfRule type="cellIs" dxfId="10944" priority="1132" operator="equal">
      <formula>4</formula>
    </cfRule>
    <cfRule type="cellIs" dxfId="10943" priority="1131" operator="equal">
      <formula>1</formula>
    </cfRule>
    <cfRule type="top10" dxfId="10942" priority="1130" rank="10"/>
    <cfRule type="cellIs" dxfId="10941" priority="1129" operator="equal">
      <formula>4</formula>
    </cfRule>
    <cfRule type="cellIs" dxfId="10940" priority="1128" operator="equal">
      <formula>1</formula>
    </cfRule>
    <cfRule type="cellIs" dxfId="10939" priority="1127" operator="equal">
      <formula>4</formula>
    </cfRule>
    <cfRule type="cellIs" dxfId="10938" priority="1126" operator="equal">
      <formula>4</formula>
    </cfRule>
    <cfRule type="cellIs" dxfId="10937" priority="1125" operator="equal">
      <formula>4</formula>
    </cfRule>
    <cfRule type="cellIs" dxfId="10936" priority="1124" operator="equal">
      <formula>1</formula>
    </cfRule>
    <cfRule type="cellIs" dxfId="10935" priority="1123" operator="equal">
      <formula>1</formula>
    </cfRule>
    <cfRule type="cellIs" dxfId="10934" priority="1139" operator="equal">
      <formula>3</formula>
    </cfRule>
    <cfRule type="top10" dxfId="10933" priority="1138" rank="10"/>
    <cfRule type="cellIs" dxfId="10932" priority="1137" operator="equal">
      <formula>1</formula>
    </cfRule>
  </conditionalFormatting>
  <conditionalFormatting sqref="AX34">
    <cfRule type="top10" dxfId="10931" priority="1119" rank="10"/>
    <cfRule type="top10" dxfId="10930" priority="1121" rank="10"/>
    <cfRule type="cellIs" dxfId="10929" priority="1122" operator="equal">
      <formula>1</formula>
    </cfRule>
    <cfRule type="cellIs" dxfId="10928" priority="1120" operator="equal">
      <formula>1</formula>
    </cfRule>
  </conditionalFormatting>
  <conditionalFormatting sqref="AX34:AX35">
    <cfRule type="cellIs" dxfId="10927" priority="1118" operator="equal">
      <formula>4</formula>
    </cfRule>
  </conditionalFormatting>
  <conditionalFormatting sqref="AX35">
    <cfRule type="cellIs" dxfId="10926" priority="1111" operator="equal">
      <formula>4</formula>
    </cfRule>
    <cfRule type="top10" dxfId="10925" priority="1110" rank="10"/>
    <cfRule type="top10" dxfId="10924" priority="1109" rank="10"/>
    <cfRule type="top10" dxfId="10923" priority="1108" rank="10"/>
    <cfRule type="cellIs" dxfId="10922" priority="1107" operator="equal">
      <formula>3</formula>
    </cfRule>
    <cfRule type="top10" dxfId="10921" priority="1106" rank="10"/>
    <cfRule type="cellIs" dxfId="10920" priority="1105" operator="equal">
      <formula>1</formula>
    </cfRule>
    <cfRule type="cellIs" dxfId="10919" priority="1104" operator="equal">
      <formula>4</formula>
    </cfRule>
    <cfRule type="cellIs" dxfId="10918" priority="1117" operator="equal">
      <formula>1</formula>
    </cfRule>
    <cfRule type="top10" dxfId="10917" priority="1116" rank="10"/>
    <cfRule type="cellIs" dxfId="10916" priority="1115" operator="equal">
      <formula>1</formula>
    </cfRule>
    <cfRule type="top10" dxfId="10915" priority="1114" rank="10"/>
    <cfRule type="cellIs" dxfId="10914" priority="1103" operator="equal">
      <formula>4</formula>
    </cfRule>
    <cfRule type="cellIs" dxfId="10913" priority="1113" operator="equal">
      <formula>1</formula>
    </cfRule>
    <cfRule type="cellIs" dxfId="10912" priority="1112" operator="equal">
      <formula>3</formula>
    </cfRule>
    <cfRule type="cellIs" dxfId="10911" priority="1091" operator="equal">
      <formula>1</formula>
    </cfRule>
    <cfRule type="cellIs" dxfId="10910" priority="1092" operator="equal">
      <formula>1</formula>
    </cfRule>
    <cfRule type="cellIs" dxfId="10909" priority="1094" operator="equal">
      <formula>4</formula>
    </cfRule>
    <cfRule type="cellIs" dxfId="10908" priority="1095" operator="equal">
      <formula>4</formula>
    </cfRule>
    <cfRule type="cellIs" dxfId="10907" priority="1096" operator="equal">
      <formula>1</formula>
    </cfRule>
    <cfRule type="cellIs" dxfId="10906" priority="1097" operator="equal">
      <formula>4</formula>
    </cfRule>
    <cfRule type="top10" dxfId="10905" priority="1098" rank="10"/>
    <cfRule type="cellIs" dxfId="10904" priority="1093" operator="equal">
      <formula>4</formula>
    </cfRule>
    <cfRule type="cellIs" dxfId="10903" priority="1100" operator="equal">
      <formula>4</formula>
    </cfRule>
    <cfRule type="cellIs" dxfId="10902" priority="1101" operator="equal">
      <formula>2</formula>
    </cfRule>
    <cfRule type="cellIs" dxfId="10901" priority="1099" operator="equal">
      <formula>1</formula>
    </cfRule>
    <cfRule type="cellIs" dxfId="10900" priority="1102" operator="equal">
      <formula>1</formula>
    </cfRule>
  </conditionalFormatting>
  <conditionalFormatting sqref="AX37">
    <cfRule type="cellIs" dxfId="10899" priority="1081" operator="equal">
      <formula>4</formula>
    </cfRule>
    <cfRule type="cellIs" dxfId="10898" priority="1082" operator="equal">
      <formula>1</formula>
    </cfRule>
    <cfRule type="top10" dxfId="10897" priority="1083" rank="10"/>
    <cfRule type="cellIs" dxfId="10896" priority="1084" operator="equal">
      <formula>3</formula>
    </cfRule>
    <cfRule type="top10" dxfId="10895" priority="1085" rank="10"/>
    <cfRule type="top10" dxfId="10894" priority="1086" rank="10"/>
    <cfRule type="top10" dxfId="10893" priority="1087" rank="10"/>
    <cfRule type="cellIs" dxfId="10892" priority="1089" operator="equal">
      <formula>3</formula>
    </cfRule>
    <cfRule type="cellIs" dxfId="10891" priority="1088" operator="equal">
      <formula>4</formula>
    </cfRule>
    <cfRule type="cellIs" dxfId="10890" priority="1090" operator="equal">
      <formula>1</formula>
    </cfRule>
    <cfRule type="cellIs" dxfId="10889" priority="1080" operator="equal">
      <formula>4</formula>
    </cfRule>
    <cfRule type="cellIs" dxfId="10888" priority="1079" operator="equal">
      <formula>1</formula>
    </cfRule>
    <cfRule type="cellIs" dxfId="10887" priority="1078" operator="equal">
      <formula>2</formula>
    </cfRule>
    <cfRule type="cellIs" dxfId="10886" priority="1077" operator="equal">
      <formula>4</formula>
    </cfRule>
    <cfRule type="cellIs" dxfId="10885" priority="1076" operator="equal">
      <formula>1</formula>
    </cfRule>
    <cfRule type="top10" dxfId="10884" priority="1075" rank="10"/>
    <cfRule type="cellIs" dxfId="10883" priority="1074" operator="equal">
      <formula>4</formula>
    </cfRule>
    <cfRule type="cellIs" dxfId="10882" priority="1073" operator="equal">
      <formula>1</formula>
    </cfRule>
    <cfRule type="cellIs" dxfId="10881" priority="1072" operator="equal">
      <formula>4</formula>
    </cfRule>
    <cfRule type="cellIs" dxfId="10880" priority="1071" operator="equal">
      <formula>4</formula>
    </cfRule>
    <cfRule type="cellIs" dxfId="10879" priority="1070" operator="equal">
      <formula>4</formula>
    </cfRule>
    <cfRule type="cellIs" dxfId="10878" priority="1069" operator="equal">
      <formula>1</formula>
    </cfRule>
    <cfRule type="cellIs" dxfId="10877" priority="1068" operator="equal">
      <formula>1</formula>
    </cfRule>
  </conditionalFormatting>
  <conditionalFormatting sqref="AX39">
    <cfRule type="cellIs" dxfId="10876" priority="1048" operator="equal">
      <formula>4</formula>
    </cfRule>
    <cfRule type="cellIs" dxfId="10875" priority="1047" operator="equal">
      <formula>4</formula>
    </cfRule>
    <cfRule type="cellIs" dxfId="10874" priority="1046" operator="equal">
      <formula>1</formula>
    </cfRule>
    <cfRule type="cellIs" dxfId="10873" priority="1045" operator="equal">
      <formula>1</formula>
    </cfRule>
    <cfRule type="cellIs" dxfId="10872" priority="1065" operator="equal">
      <formula>4</formula>
    </cfRule>
    <cfRule type="top10" dxfId="10871" priority="1052" rank="10"/>
    <cfRule type="cellIs" dxfId="10870" priority="1051" operator="equal">
      <formula>4</formula>
    </cfRule>
    <cfRule type="cellIs" dxfId="10869" priority="1050" operator="equal">
      <formula>1</formula>
    </cfRule>
    <cfRule type="cellIs" dxfId="10868" priority="1049" operator="equal">
      <formula>4</formula>
    </cfRule>
    <cfRule type="cellIs" dxfId="10867" priority="1067" operator="equal">
      <formula>1</formula>
    </cfRule>
    <cfRule type="cellIs" dxfId="10866" priority="1066" operator="equal">
      <formula>3</formula>
    </cfRule>
    <cfRule type="top10" dxfId="10865" priority="1064" rank="10"/>
    <cfRule type="top10" dxfId="10864" priority="1063" rank="10"/>
    <cfRule type="top10" dxfId="10863" priority="1062" rank="10"/>
    <cfRule type="cellIs" dxfId="10862" priority="1061" operator="equal">
      <formula>3</formula>
    </cfRule>
    <cfRule type="top10" dxfId="10861" priority="1060" rank="10"/>
    <cfRule type="cellIs" dxfId="10860" priority="1059" operator="equal">
      <formula>1</formula>
    </cfRule>
    <cfRule type="cellIs" dxfId="10859" priority="1058" operator="equal">
      <formula>4</formula>
    </cfRule>
    <cfRule type="cellIs" dxfId="10858" priority="1057" operator="equal">
      <formula>4</formula>
    </cfRule>
    <cfRule type="cellIs" dxfId="10857" priority="1056" operator="equal">
      <formula>1</formula>
    </cfRule>
    <cfRule type="cellIs" dxfId="10856" priority="1055" operator="equal">
      <formula>2</formula>
    </cfRule>
    <cfRule type="cellIs" dxfId="10855" priority="1054" operator="equal">
      <formula>4</formula>
    </cfRule>
    <cfRule type="cellIs" dxfId="10854" priority="1053" operator="equal">
      <formula>1</formula>
    </cfRule>
  </conditionalFormatting>
  <conditionalFormatting sqref="AX41">
    <cfRule type="cellIs" dxfId="10853" priority="1026" operator="equal">
      <formula>4</formula>
    </cfRule>
    <cfRule type="cellIs" dxfId="10852" priority="1027" operator="equal">
      <formula>1</formula>
    </cfRule>
    <cfRule type="cellIs" dxfId="10851" priority="1028" operator="equal">
      <formula>4</formula>
    </cfRule>
    <cfRule type="top10" dxfId="10850" priority="1029" rank="10"/>
    <cfRule type="cellIs" dxfId="10849" priority="1030" operator="equal">
      <formula>1</formula>
    </cfRule>
    <cfRule type="cellIs" dxfId="10848" priority="1031" operator="equal">
      <formula>4</formula>
    </cfRule>
    <cfRule type="cellIs" dxfId="10847" priority="1032" operator="equal">
      <formula>2</formula>
    </cfRule>
    <cfRule type="cellIs" dxfId="10846" priority="1034" operator="equal">
      <formula>4</formula>
    </cfRule>
    <cfRule type="cellIs" dxfId="10845" priority="1035" operator="equal">
      <formula>4</formula>
    </cfRule>
    <cfRule type="cellIs" dxfId="10844" priority="1036" operator="equal">
      <formula>1</formula>
    </cfRule>
    <cfRule type="top10" dxfId="10843" priority="1040" rank="10"/>
    <cfRule type="top10" dxfId="10842" priority="1037" rank="10"/>
    <cfRule type="cellIs" dxfId="10841" priority="1038" operator="equal">
      <formula>3</formula>
    </cfRule>
    <cfRule type="top10" dxfId="10840" priority="1039" rank="10"/>
    <cfRule type="top10" dxfId="10839" priority="1041" rank="10"/>
    <cfRule type="cellIs" dxfId="10838" priority="1042" operator="equal">
      <formula>4</formula>
    </cfRule>
    <cfRule type="cellIs" dxfId="10837" priority="1043" operator="equal">
      <formula>3</formula>
    </cfRule>
    <cfRule type="cellIs" dxfId="10836" priority="1044" operator="equal">
      <formula>1</formula>
    </cfRule>
    <cfRule type="cellIs" dxfId="10835" priority="1022" operator="equal">
      <formula>1</formula>
    </cfRule>
    <cfRule type="cellIs" dxfId="10834" priority="1033" operator="equal">
      <formula>1</formula>
    </cfRule>
    <cfRule type="cellIs" dxfId="10833" priority="1023" operator="equal">
      <formula>1</formula>
    </cfRule>
    <cfRule type="cellIs" dxfId="10832" priority="1024" operator="equal">
      <formula>4</formula>
    </cfRule>
    <cfRule type="cellIs" dxfId="10831" priority="1025" operator="equal">
      <formula>4</formula>
    </cfRule>
  </conditionalFormatting>
  <conditionalFormatting sqref="AX45">
    <cfRule type="top10" dxfId="10830" priority="1006" rank="10"/>
    <cfRule type="cellIs" dxfId="10829" priority="1005" operator="equal">
      <formula>4</formula>
    </cfRule>
    <cfRule type="cellIs" dxfId="10828" priority="1004" operator="equal">
      <formula>1</formula>
    </cfRule>
    <cfRule type="cellIs" dxfId="10827" priority="1003" operator="equal">
      <formula>4</formula>
    </cfRule>
    <cfRule type="cellIs" dxfId="10826" priority="1002" operator="equal">
      <formula>4</formula>
    </cfRule>
    <cfRule type="cellIs" dxfId="10825" priority="1001" operator="equal">
      <formula>4</formula>
    </cfRule>
    <cfRule type="cellIs" dxfId="10824" priority="1000" operator="equal">
      <formula>1</formula>
    </cfRule>
    <cfRule type="cellIs" dxfId="10823" priority="999" operator="equal">
      <formula>1</formula>
    </cfRule>
    <cfRule type="cellIs" dxfId="10822" priority="1021" operator="equal">
      <formula>1</formula>
    </cfRule>
    <cfRule type="cellIs" dxfId="10821" priority="1020" operator="equal">
      <formula>3</formula>
    </cfRule>
    <cfRule type="cellIs" dxfId="10820" priority="1019" operator="equal">
      <formula>4</formula>
    </cfRule>
    <cfRule type="top10" dxfId="10819" priority="1018" rank="10"/>
    <cfRule type="top10" dxfId="10818" priority="1017" rank="10"/>
    <cfRule type="top10" dxfId="10817" priority="1016" rank="10"/>
    <cfRule type="cellIs" dxfId="10816" priority="1015" operator="equal">
      <formula>3</formula>
    </cfRule>
    <cfRule type="top10" dxfId="10815" priority="1014" rank="10"/>
    <cfRule type="cellIs" dxfId="10814" priority="1013" operator="equal">
      <formula>1</formula>
    </cfRule>
    <cfRule type="cellIs" dxfId="10813" priority="1012" operator="equal">
      <formula>4</formula>
    </cfRule>
    <cfRule type="cellIs" dxfId="10812" priority="1011" operator="equal">
      <formula>4</formula>
    </cfRule>
    <cfRule type="cellIs" dxfId="10811" priority="1010" operator="equal">
      <formula>1</formula>
    </cfRule>
    <cfRule type="cellIs" dxfId="10810" priority="1009" operator="equal">
      <formula>2</formula>
    </cfRule>
    <cfRule type="cellIs" dxfId="10809" priority="1008" operator="equal">
      <formula>4</formula>
    </cfRule>
    <cfRule type="cellIs" dxfId="10808" priority="1007" operator="equal">
      <formula>1</formula>
    </cfRule>
  </conditionalFormatting>
  <conditionalFormatting sqref="AX54">
    <cfRule type="cellIs" dxfId="10807" priority="991" operator="equal">
      <formula>2</formula>
    </cfRule>
    <cfRule type="cellIs" dxfId="10806" priority="992" operator="equal">
      <formula>1</formula>
    </cfRule>
    <cfRule type="cellIs" dxfId="10805" priority="995" operator="equal">
      <formula>1</formula>
    </cfRule>
    <cfRule type="cellIs" dxfId="10804" priority="994" operator="equal">
      <formula>4</formula>
    </cfRule>
    <cfRule type="cellIs" dxfId="10803" priority="986" operator="equal">
      <formula>1</formula>
    </cfRule>
    <cfRule type="cellIs" dxfId="10802" priority="993" operator="equal">
      <formula>4</formula>
    </cfRule>
    <cfRule type="cellIs" dxfId="10801" priority="998" operator="equal">
      <formula>1</formula>
    </cfRule>
    <cfRule type="cellIs" dxfId="10800" priority="997" operator="equal">
      <formula>3</formula>
    </cfRule>
    <cfRule type="top10" dxfId="10799" priority="996" rank="10"/>
    <cfRule type="cellIs" dxfId="10798" priority="981" operator="equal">
      <formula>1</formula>
    </cfRule>
    <cfRule type="cellIs" dxfId="10797" priority="982" operator="equal">
      <formula>1</formula>
    </cfRule>
    <cfRule type="cellIs" dxfId="10796" priority="983" operator="equal">
      <formula>4</formula>
    </cfRule>
    <cfRule type="cellIs" dxfId="10795" priority="984" operator="equal">
      <formula>4</formula>
    </cfRule>
    <cfRule type="cellIs" dxfId="10794" priority="985" operator="equal">
      <formula>4</formula>
    </cfRule>
    <cfRule type="cellIs" dxfId="10793" priority="987" operator="equal">
      <formula>4</formula>
    </cfRule>
    <cfRule type="top10" dxfId="10792" priority="988" rank="10"/>
    <cfRule type="cellIs" dxfId="10791" priority="989" operator="equal">
      <formula>1</formula>
    </cfRule>
    <cfRule type="cellIs" dxfId="10790" priority="990" operator="equal">
      <formula>4</formula>
    </cfRule>
  </conditionalFormatting>
  <conditionalFormatting sqref="AX56 CO17:CR119">
    <cfRule type="top10" dxfId="10789" priority="60" rank="10"/>
    <cfRule type="top10" dxfId="10788" priority="62" rank="10"/>
    <cfRule type="top10" dxfId="10787" priority="61" rank="10"/>
  </conditionalFormatting>
  <conditionalFormatting sqref="AX56 CO43:CR119">
    <cfRule type="top10" dxfId="10786" priority="59" rank="10"/>
  </conditionalFormatting>
  <conditionalFormatting sqref="AX56">
    <cfRule type="cellIs" dxfId="10785" priority="1761" operator="equal">
      <formula>3</formula>
    </cfRule>
  </conditionalFormatting>
  <conditionalFormatting sqref="BA41">
    <cfRule type="cellIs" dxfId="10784" priority="959" operator="equal">
      <formula>1</formula>
    </cfRule>
    <cfRule type="cellIs" dxfId="10783" priority="958" operator="equal">
      <formula>1</formula>
    </cfRule>
    <cfRule type="cellIs" dxfId="10782" priority="969" operator="equal">
      <formula>1</formula>
    </cfRule>
    <cfRule type="cellIs" dxfId="10781" priority="967" operator="equal">
      <formula>4</formula>
    </cfRule>
    <cfRule type="cellIs" dxfId="10780" priority="966" operator="equal">
      <formula>1</formula>
    </cfRule>
    <cfRule type="top10" dxfId="10779" priority="965" rank="10"/>
    <cfRule type="cellIs" dxfId="10778" priority="964" operator="equal">
      <formula>4</formula>
    </cfRule>
    <cfRule type="cellIs" dxfId="10777" priority="963" operator="equal">
      <formula>1</formula>
    </cfRule>
    <cfRule type="cellIs" dxfId="10776" priority="962" operator="equal">
      <formula>4</formula>
    </cfRule>
    <cfRule type="cellIs" dxfId="10775" priority="961" operator="equal">
      <formula>4</formula>
    </cfRule>
    <cfRule type="cellIs" dxfId="10774" priority="960" operator="equal">
      <formula>4</formula>
    </cfRule>
    <cfRule type="top10" dxfId="10773" priority="977" rank="10"/>
    <cfRule type="cellIs" dxfId="10772" priority="968" operator="equal">
      <formula>2</formula>
    </cfRule>
    <cfRule type="cellIs" dxfId="10771" priority="980" operator="equal">
      <formula>1</formula>
    </cfRule>
    <cfRule type="cellIs" dxfId="10770" priority="979" operator="equal">
      <formula>3</formula>
    </cfRule>
    <cfRule type="cellIs" dxfId="10769" priority="978" operator="equal">
      <formula>4</formula>
    </cfRule>
    <cfRule type="top10" dxfId="10768" priority="976" rank="10"/>
    <cfRule type="top10" dxfId="10767" priority="975" rank="10"/>
    <cfRule type="cellIs" dxfId="10766" priority="974" operator="equal">
      <formula>3</formula>
    </cfRule>
    <cfRule type="top10" dxfId="10765" priority="973" rank="10"/>
    <cfRule type="cellIs" dxfId="10764" priority="972" operator="equal">
      <formula>1</formula>
    </cfRule>
    <cfRule type="cellIs" dxfId="10763" priority="971" operator="equal">
      <formula>4</formula>
    </cfRule>
    <cfRule type="cellIs" dxfId="10762" priority="970" operator="equal">
      <formula>4</formula>
    </cfRule>
  </conditionalFormatting>
  <conditionalFormatting sqref="BC17 BE17:BG17">
    <cfRule type="cellIs" dxfId="10761" priority="957" operator="equal">
      <formula>4</formula>
    </cfRule>
  </conditionalFormatting>
  <conditionalFormatting sqref="BC17 BO17">
    <cfRule type="top10" dxfId="10760" priority="956" rank="10"/>
  </conditionalFormatting>
  <conditionalFormatting sqref="BC18 BO18 BO35 BO39">
    <cfRule type="cellIs" dxfId="10759" priority="955" operator="equal">
      <formula>1</formula>
    </cfRule>
  </conditionalFormatting>
  <conditionalFormatting sqref="BC20">
    <cfRule type="cellIs" dxfId="10758" priority="954" operator="equal">
      <formula>1</formula>
    </cfRule>
    <cfRule type="cellIs" dxfId="10757" priority="953" operator="equal">
      <formula>4</formula>
    </cfRule>
    <cfRule type="cellIs" dxfId="10756" priority="952" operator="equal">
      <formula>4</formula>
    </cfRule>
  </conditionalFormatting>
  <conditionalFormatting sqref="BC21">
    <cfRule type="cellIs" dxfId="10755" priority="951" operator="equal">
      <formula>4</formula>
    </cfRule>
  </conditionalFormatting>
  <conditionalFormatting sqref="BC22 BO22">
    <cfRule type="top10" dxfId="10754" priority="950" rank="10"/>
  </conditionalFormatting>
  <conditionalFormatting sqref="BC22:BC23 BC42:BE42 BO42">
    <cfRule type="cellIs" dxfId="10753" priority="949" operator="equal">
      <formula>1</formula>
    </cfRule>
  </conditionalFormatting>
  <conditionalFormatting sqref="BC25 BO25">
    <cfRule type="top10" dxfId="10752" priority="948" rank="10"/>
  </conditionalFormatting>
  <conditionalFormatting sqref="BC25:BC26">
    <cfRule type="cellIs" dxfId="10751" priority="947" operator="equal">
      <formula>1</formula>
    </cfRule>
  </conditionalFormatting>
  <conditionalFormatting sqref="BC26:BC27">
    <cfRule type="cellIs" dxfId="10750" priority="946" operator="equal">
      <formula>4</formula>
    </cfRule>
  </conditionalFormatting>
  <conditionalFormatting sqref="BC27">
    <cfRule type="cellIs" dxfId="10749" priority="944" operator="equal">
      <formula>4</formula>
    </cfRule>
    <cfRule type="cellIs" dxfId="10748" priority="945" operator="equal">
      <formula>1</formula>
    </cfRule>
  </conditionalFormatting>
  <conditionalFormatting sqref="BC29 BE29 BO29:BP29 BM29 BH29:BJ29">
    <cfRule type="top10" dxfId="10747" priority="943" rank="10"/>
  </conditionalFormatting>
  <conditionalFormatting sqref="BC29">
    <cfRule type="cellIs" dxfId="10746" priority="940" operator="equal">
      <formula>4</formula>
    </cfRule>
    <cfRule type="cellIs" dxfId="10745" priority="941" operator="equal">
      <formula>4</formula>
    </cfRule>
    <cfRule type="cellIs" dxfId="10744" priority="942" operator="equal">
      <formula>1</formula>
    </cfRule>
  </conditionalFormatting>
  <conditionalFormatting sqref="BC30 BC23 BO23 BO30">
    <cfRule type="top10" dxfId="10743" priority="939" rank="10"/>
  </conditionalFormatting>
  <conditionalFormatting sqref="BC31 BO31">
    <cfRule type="top10" dxfId="10742" priority="938" rank="10"/>
  </conditionalFormatting>
  <conditionalFormatting sqref="BC33 BP33">
    <cfRule type="cellIs" dxfId="10741" priority="936" operator="equal">
      <formula>4</formula>
    </cfRule>
    <cfRule type="top10" dxfId="10740" priority="937" rank="10"/>
  </conditionalFormatting>
  <conditionalFormatting sqref="BC33">
    <cfRule type="cellIs" dxfId="10739" priority="935" operator="equal">
      <formula>3</formula>
    </cfRule>
  </conditionalFormatting>
  <conditionalFormatting sqref="BC35:BC36">
    <cfRule type="cellIs" dxfId="10738" priority="934" operator="equal">
      <formula>1</formula>
    </cfRule>
  </conditionalFormatting>
  <conditionalFormatting sqref="BC36">
    <cfRule type="cellIs" dxfId="10737" priority="917" operator="equal">
      <formula>4</formula>
    </cfRule>
    <cfRule type="cellIs" dxfId="10736" priority="916" operator="equal">
      <formula>4</formula>
    </cfRule>
    <cfRule type="cellIs" dxfId="10735" priority="915" operator="equal">
      <formula>4</formula>
    </cfRule>
    <cfRule type="cellIs" dxfId="10734" priority="914" operator="equal">
      <formula>1</formula>
    </cfRule>
    <cfRule type="cellIs" dxfId="10733" priority="913" operator="equal">
      <formula>1</formula>
    </cfRule>
    <cfRule type="cellIs" dxfId="10732" priority="933" operator="equal">
      <formula>3</formula>
    </cfRule>
    <cfRule type="cellIs" dxfId="10731" priority="932" operator="equal">
      <formula>4</formula>
    </cfRule>
    <cfRule type="top10" dxfId="10730" priority="931" rank="10"/>
    <cfRule type="top10" dxfId="10729" priority="930" rank="10"/>
    <cfRule type="top10" dxfId="10728" priority="929" rank="10"/>
    <cfRule type="cellIs" dxfId="10727" priority="928" operator="equal">
      <formula>3</formula>
    </cfRule>
    <cfRule type="top10" dxfId="10726" priority="927" rank="10"/>
    <cfRule type="cellIs" dxfId="10725" priority="926" operator="equal">
      <formula>4</formula>
    </cfRule>
    <cfRule type="cellIs" dxfId="10724" priority="925" operator="equal">
      <formula>4</formula>
    </cfRule>
    <cfRule type="cellIs" dxfId="10723" priority="924" operator="equal">
      <formula>1</formula>
    </cfRule>
    <cfRule type="cellIs" dxfId="10722" priority="923" operator="equal">
      <formula>2</formula>
    </cfRule>
    <cfRule type="cellIs" dxfId="10721" priority="922" operator="equal">
      <formula>4</formula>
    </cfRule>
    <cfRule type="cellIs" dxfId="10720" priority="921" operator="equal">
      <formula>1</formula>
    </cfRule>
    <cfRule type="top10" dxfId="10719" priority="920" rank="10"/>
    <cfRule type="cellIs" dxfId="10718" priority="919" operator="equal">
      <formula>4</formula>
    </cfRule>
    <cfRule type="cellIs" dxfId="10717" priority="918" operator="equal">
      <formula>1</formula>
    </cfRule>
  </conditionalFormatting>
  <conditionalFormatting sqref="BC37 BO37">
    <cfRule type="cellIs" dxfId="10716" priority="912" operator="equal">
      <formula>1</formula>
    </cfRule>
    <cfRule type="top10" dxfId="10715" priority="911" rank="10"/>
  </conditionalFormatting>
  <conditionalFormatting sqref="BC42 BC18 BC26 BC35 BC39 BO18 BO26 BO35 BO39 BO42">
    <cfRule type="top10" dxfId="10714" priority="910" rank="10"/>
  </conditionalFormatting>
  <conditionalFormatting sqref="BC44 BC40:BE40 BC32:BE34 BC21:BE21 BC28:BE28 BD29 BC38:BE38 BO28:BP28 BO21:BP21 BO38:BP38 BO32:BP34 BO40:BP40 BM28 BM21 BM38 BM32:BM34 BM40 BH28:BJ28 BH21:BJ21 BH38:BJ38 BH40:BJ40 BH32:BJ34">
    <cfRule type="top10" dxfId="10713" priority="909" rank="10"/>
  </conditionalFormatting>
  <conditionalFormatting sqref="BC45:BC47">
    <cfRule type="cellIs" dxfId="10712" priority="908" operator="equal">
      <formula>1</formula>
    </cfRule>
    <cfRule type="top10" dxfId="10711" priority="907" rank="10"/>
  </conditionalFormatting>
  <conditionalFormatting sqref="BC76">
    <cfRule type="cellIs" dxfId="10710" priority="899" operator="equal">
      <formula>4</formula>
    </cfRule>
    <cfRule type="cellIs" dxfId="10709" priority="901" operator="equal">
      <formula>1</formula>
    </cfRule>
    <cfRule type="cellIs" dxfId="10708" priority="906" operator="equal">
      <formula>3</formula>
    </cfRule>
    <cfRule type="cellIs" dxfId="10707" priority="900" operator="equal">
      <formula>2</formula>
    </cfRule>
    <cfRule type="top10" dxfId="10706" priority="905" rank="10"/>
    <cfRule type="cellIs" dxfId="10705" priority="904" operator="equal">
      <formula>1</formula>
    </cfRule>
    <cfRule type="cellIs" dxfId="10704" priority="903" operator="equal">
      <formula>4</formula>
    </cfRule>
    <cfRule type="cellIs" dxfId="10703" priority="902" operator="equal">
      <formula>4</formula>
    </cfRule>
    <cfRule type="cellIs" dxfId="10702" priority="890" operator="equal">
      <formula>1</formula>
    </cfRule>
    <cfRule type="cellIs" dxfId="10701" priority="898" operator="equal">
      <formula>1</formula>
    </cfRule>
    <cfRule type="top10" dxfId="10700" priority="897" rank="10"/>
    <cfRule type="cellIs" dxfId="10699" priority="896" operator="equal">
      <formula>4</formula>
    </cfRule>
    <cfRule type="cellIs" dxfId="10698" priority="895" operator="equal">
      <formula>1</formula>
    </cfRule>
    <cfRule type="cellIs" dxfId="10697" priority="894" operator="equal">
      <formula>4</formula>
    </cfRule>
    <cfRule type="cellIs" dxfId="10696" priority="893" operator="equal">
      <formula>4</formula>
    </cfRule>
    <cfRule type="cellIs" dxfId="10695" priority="892" operator="equal">
      <formula>4</formula>
    </cfRule>
    <cfRule type="cellIs" dxfId="10694" priority="891" operator="equal">
      <formula>1</formula>
    </cfRule>
  </conditionalFormatting>
  <conditionalFormatting sqref="BC23:BD23">
    <cfRule type="cellIs" dxfId="10693" priority="889" operator="equal">
      <formula>1</formula>
    </cfRule>
  </conditionalFormatting>
  <conditionalFormatting sqref="BC26:BD26">
    <cfRule type="cellIs" dxfId="10692" priority="888" operator="equal">
      <formula>1</formula>
    </cfRule>
    <cfRule type="cellIs" dxfId="10691" priority="887" operator="equal">
      <formula>4</formula>
    </cfRule>
  </conditionalFormatting>
  <conditionalFormatting sqref="BC34:BD34">
    <cfRule type="cellIs" dxfId="10690" priority="886" operator="equal">
      <formula>1</formula>
    </cfRule>
    <cfRule type="top10" dxfId="10689" priority="885" rank="10"/>
    <cfRule type="cellIs" dxfId="10688" priority="884" operator="equal">
      <formula>1</formula>
    </cfRule>
    <cfRule type="top10" dxfId="10687" priority="883" rank="10"/>
    <cfRule type="cellIs" dxfId="10686" priority="882" operator="equal">
      <formula>4</formula>
    </cfRule>
  </conditionalFormatting>
  <conditionalFormatting sqref="BC40:BD40">
    <cfRule type="cellIs" dxfId="10685" priority="881" operator="equal">
      <formula>1</formula>
    </cfRule>
    <cfRule type="top10" dxfId="10684" priority="880" rank="10"/>
  </conditionalFormatting>
  <conditionalFormatting sqref="BC40:BD41">
    <cfRule type="cellIs" dxfId="10683" priority="879" operator="equal">
      <formula>4</formula>
    </cfRule>
  </conditionalFormatting>
  <conditionalFormatting sqref="BC41:BD41">
    <cfRule type="cellIs" dxfId="10682" priority="875" operator="equal">
      <formula>4</formula>
    </cfRule>
    <cfRule type="cellIs" dxfId="10681" priority="876" operator="equal">
      <formula>3</formula>
    </cfRule>
    <cfRule type="cellIs" dxfId="10680" priority="877" operator="equal">
      <formula>1</formula>
    </cfRule>
    <cfRule type="top10" dxfId="10679" priority="878" rank="10"/>
    <cfRule type="top10" dxfId="10678" priority="862" rank="10"/>
    <cfRule type="cellIs" dxfId="10677" priority="855" operator="equal">
      <formula>1</formula>
    </cfRule>
    <cfRule type="cellIs" dxfId="10676" priority="856" operator="equal">
      <formula>1</formula>
    </cfRule>
    <cfRule type="cellIs" dxfId="10675" priority="857" operator="equal">
      <formula>4</formula>
    </cfRule>
    <cfRule type="cellIs" dxfId="10674" priority="858" operator="equal">
      <formula>4</formula>
    </cfRule>
    <cfRule type="cellIs" dxfId="10673" priority="859" operator="equal">
      <formula>4</formula>
    </cfRule>
    <cfRule type="cellIs" dxfId="10672" priority="860" operator="equal">
      <formula>1</formula>
    </cfRule>
    <cfRule type="cellIs" dxfId="10671" priority="861" operator="equal">
      <formula>4</formula>
    </cfRule>
    <cfRule type="cellIs" dxfId="10670" priority="863" operator="equal">
      <formula>1</formula>
    </cfRule>
    <cfRule type="cellIs" dxfId="10669" priority="864" operator="equal">
      <formula>4</formula>
    </cfRule>
    <cfRule type="cellIs" dxfId="10668" priority="865" operator="equal">
      <formula>2</formula>
    </cfRule>
    <cfRule type="cellIs" dxfId="10667" priority="866" operator="equal">
      <formula>1</formula>
    </cfRule>
    <cfRule type="cellIs" dxfId="10666" priority="867" operator="equal">
      <formula>4</formula>
    </cfRule>
    <cfRule type="cellIs" dxfId="10665" priority="868" operator="equal">
      <formula>4</formula>
    </cfRule>
    <cfRule type="cellIs" dxfId="10664" priority="869" operator="equal">
      <formula>1</formula>
    </cfRule>
    <cfRule type="top10" dxfId="10663" priority="870" rank="10"/>
    <cfRule type="cellIs" dxfId="10662" priority="871" operator="equal">
      <formula>3</formula>
    </cfRule>
    <cfRule type="top10" dxfId="10661" priority="872" rank="10"/>
    <cfRule type="top10" dxfId="10660" priority="873" rank="10"/>
    <cfRule type="top10" dxfId="10659" priority="874" rank="10"/>
  </conditionalFormatting>
  <conditionalFormatting sqref="BC18:BE19 BM18:BM19 BO18:BO19">
    <cfRule type="cellIs" dxfId="10658" priority="854" operator="equal">
      <formula>4</formula>
    </cfRule>
  </conditionalFormatting>
  <conditionalFormatting sqref="BC18:BE19 BM18:BM19">
    <cfRule type="cellIs" dxfId="10657" priority="853" operator="equal">
      <formula>1</formula>
    </cfRule>
  </conditionalFormatting>
  <conditionalFormatting sqref="BC19:BE19">
    <cfRule type="top10" dxfId="10656" priority="852" rank="10"/>
  </conditionalFormatting>
  <conditionalFormatting sqref="BC20:BE20 BO20:BP20 BM20 BH20:BJ20">
    <cfRule type="top10" dxfId="10655" priority="851" rank="10"/>
  </conditionalFormatting>
  <conditionalFormatting sqref="BC20:BE21 BC40:BE41 BH40:BJ41 BO40:BP41 BC44">
    <cfRule type="cellIs" dxfId="10654" priority="849" operator="equal">
      <formula>1</formula>
    </cfRule>
  </conditionalFormatting>
  <conditionalFormatting sqref="BC21:BE22 BH21:BI21">
    <cfRule type="cellIs" dxfId="10653" priority="848" operator="equal">
      <formula>4</formula>
    </cfRule>
  </conditionalFormatting>
  <conditionalFormatting sqref="BC21:BE22 BH21:BI23">
    <cfRule type="cellIs" dxfId="10652" priority="847" operator="equal">
      <formula>1</formula>
    </cfRule>
  </conditionalFormatting>
  <conditionalFormatting sqref="BC22:BE22">
    <cfRule type="cellIs" dxfId="10651" priority="846" operator="equal">
      <formula>4</formula>
    </cfRule>
  </conditionalFormatting>
  <conditionalFormatting sqref="BC24:BE24 BH24:BJ24 BM24">
    <cfRule type="cellIs" dxfId="10650" priority="845" operator="equal">
      <formula>4</formula>
    </cfRule>
  </conditionalFormatting>
  <conditionalFormatting sqref="BC24:BE24 BH24:BJ24">
    <cfRule type="cellIs" dxfId="10649" priority="844" operator="equal">
      <formula>1</formula>
    </cfRule>
  </conditionalFormatting>
  <conditionalFormatting sqref="BC24:BE24 BO24:BP24 BM24 BH24:BJ24">
    <cfRule type="top10" dxfId="10648" priority="843" rank="10"/>
  </conditionalFormatting>
  <conditionalFormatting sqref="BC24:BE24">
    <cfRule type="cellIs" dxfId="10647" priority="546" operator="equal">
      <formula>1</formula>
    </cfRule>
  </conditionalFormatting>
  <conditionalFormatting sqref="BC25:BE25 BH25:BJ25 BO25:BP25 BM25">
    <cfRule type="cellIs" dxfId="10646" priority="842" operator="equal">
      <formula>3</formula>
    </cfRule>
  </conditionalFormatting>
  <conditionalFormatting sqref="BC25:BE25">
    <cfRule type="cellIs" dxfId="10645" priority="841" operator="equal">
      <formula>4</formula>
    </cfRule>
    <cfRule type="cellIs" dxfId="10644" priority="840" operator="equal">
      <formula>4</formula>
    </cfRule>
  </conditionalFormatting>
  <conditionalFormatting sqref="BC26:BE26 BC18:BE18 BH18:BJ18 BM18 BH26:BJ26 BM26">
    <cfRule type="cellIs" dxfId="10643" priority="839" operator="equal">
      <formula>4</formula>
    </cfRule>
  </conditionalFormatting>
  <conditionalFormatting sqref="BC27:BE27 BO27:BP27 BM27 BH27:BJ27">
    <cfRule type="top10" dxfId="10642" priority="838" rank="10"/>
  </conditionalFormatting>
  <conditionalFormatting sqref="BC36:BE36 BO36:BP36 BM36 BH36:BJ36">
    <cfRule type="top10" dxfId="10641" priority="837" rank="10"/>
  </conditionalFormatting>
  <conditionalFormatting sqref="BC41:BE41 BO41:BP41 BM41 BH41:BJ41">
    <cfRule type="top10" dxfId="10640" priority="836" rank="10"/>
  </conditionalFormatting>
  <conditionalFormatting sqref="BC42:BE42">
    <cfRule type="cellIs" dxfId="10639" priority="835" operator="equal">
      <formula>4</formula>
    </cfRule>
  </conditionalFormatting>
  <conditionalFormatting sqref="BC43:BE43 BH43:BJ43 BM43 BO43:BP43">
    <cfRule type="cellIs" dxfId="10638" priority="834" operator="equal">
      <formula>3</formula>
    </cfRule>
  </conditionalFormatting>
  <conditionalFormatting sqref="BC48:BE48 BI48:BJ48 BM48 BO48">
    <cfRule type="cellIs" dxfId="10637" priority="833" operator="equal">
      <formula>1</formula>
    </cfRule>
    <cfRule type="cellIs" dxfId="10636" priority="832" operator="equal">
      <formula>4</formula>
    </cfRule>
    <cfRule type="cellIs" dxfId="10635" priority="831" operator="equal">
      <formula>4</formula>
    </cfRule>
  </conditionalFormatting>
  <conditionalFormatting sqref="BC48:BE48 BO48:BP48 BM48 BH48:BJ48">
    <cfRule type="top10" dxfId="10634" priority="830" rank="10"/>
  </conditionalFormatting>
  <conditionalFormatting sqref="BC48:BE48">
    <cfRule type="cellIs" dxfId="10633" priority="829" operator="equal">
      <formula>1</formula>
    </cfRule>
  </conditionalFormatting>
  <conditionalFormatting sqref="BC17:BG17">
    <cfRule type="cellIs" dxfId="10632" priority="828" operator="equal">
      <formula>1</formula>
    </cfRule>
    <cfRule type="cellIs" dxfId="10631" priority="827" operator="equal">
      <formula>4</formula>
    </cfRule>
  </conditionalFormatting>
  <conditionalFormatting sqref="BD17">
    <cfRule type="cellIs" dxfId="10630" priority="826" operator="equal">
      <formula>4</formula>
    </cfRule>
  </conditionalFormatting>
  <conditionalFormatting sqref="BD26">
    <cfRule type="cellIs" dxfId="10629" priority="825" operator="equal">
      <formula>4</formula>
    </cfRule>
  </conditionalFormatting>
  <conditionalFormatting sqref="BD28:BD29">
    <cfRule type="cellIs" dxfId="10628" priority="824" operator="equal">
      <formula>1</formula>
    </cfRule>
    <cfRule type="cellIs" dxfId="10627" priority="823" operator="equal">
      <formula>4</formula>
    </cfRule>
    <cfRule type="cellIs" dxfId="10626" priority="822" operator="equal">
      <formula>4</formula>
    </cfRule>
  </conditionalFormatting>
  <conditionalFormatting sqref="BD35">
    <cfRule type="cellIs" dxfId="10625" priority="821" operator="equal">
      <formula>1</formula>
    </cfRule>
    <cfRule type="top10" dxfId="10624" priority="820" rank="10"/>
    <cfRule type="cellIs" dxfId="10623" priority="819" operator="equal">
      <formula>1</formula>
    </cfRule>
    <cfRule type="top10" dxfId="10622" priority="818" rank="10"/>
  </conditionalFormatting>
  <conditionalFormatting sqref="BD39">
    <cfRule type="top10" dxfId="10621" priority="802" rank="10"/>
    <cfRule type="cellIs" dxfId="10620" priority="803" operator="equal">
      <formula>1</formula>
    </cfRule>
    <cfRule type="cellIs" dxfId="10619" priority="805" operator="equal">
      <formula>2</formula>
    </cfRule>
    <cfRule type="cellIs" dxfId="10618" priority="811" operator="equal">
      <formula>3</formula>
    </cfRule>
    <cfRule type="cellIs" dxfId="10617" priority="807" operator="equal">
      <formula>4</formula>
    </cfRule>
    <cfRule type="cellIs" dxfId="10616" priority="808" operator="equal">
      <formula>4</formula>
    </cfRule>
    <cfRule type="cellIs" dxfId="10615" priority="809" operator="equal">
      <formula>1</formula>
    </cfRule>
    <cfRule type="top10" dxfId="10614" priority="810" rank="10"/>
    <cfRule type="top10" dxfId="10613" priority="812" rank="10"/>
    <cfRule type="top10" dxfId="10612" priority="813" rank="10"/>
    <cfRule type="top10" dxfId="10611" priority="814" rank="10"/>
    <cfRule type="cellIs" dxfId="10610" priority="815" operator="equal">
      <formula>4</formula>
    </cfRule>
    <cfRule type="cellIs" dxfId="10609" priority="816" operator="equal">
      <formula>3</formula>
    </cfRule>
    <cfRule type="cellIs" dxfId="10608" priority="817" operator="equal">
      <formula>1</formula>
    </cfRule>
    <cfRule type="cellIs" dxfId="10607" priority="804" operator="equal">
      <formula>4</formula>
    </cfRule>
    <cfRule type="cellIs" dxfId="10606" priority="795" operator="equal">
      <formula>1</formula>
    </cfRule>
    <cfRule type="cellIs" dxfId="10605" priority="796" operator="equal">
      <formula>1</formula>
    </cfRule>
    <cfRule type="cellIs" dxfId="10604" priority="797" operator="equal">
      <formula>4</formula>
    </cfRule>
    <cfRule type="cellIs" dxfId="10603" priority="798" operator="equal">
      <formula>4</formula>
    </cfRule>
    <cfRule type="cellIs" dxfId="10602" priority="799" operator="equal">
      <formula>4</formula>
    </cfRule>
    <cfRule type="cellIs" dxfId="10601" priority="800" operator="equal">
      <formula>1</formula>
    </cfRule>
    <cfRule type="cellIs" dxfId="10600" priority="801" operator="equal">
      <formula>4</formula>
    </cfRule>
    <cfRule type="cellIs" dxfId="10599" priority="806" operator="equal">
      <formula>1</formula>
    </cfRule>
  </conditionalFormatting>
  <conditionalFormatting sqref="BD42">
    <cfRule type="cellIs" dxfId="10598" priority="778" operator="equal">
      <formula>4</formula>
    </cfRule>
    <cfRule type="cellIs" dxfId="10597" priority="777" operator="equal">
      <formula>4</formula>
    </cfRule>
    <cfRule type="cellIs" dxfId="10596" priority="776" operator="equal">
      <formula>4</formula>
    </cfRule>
    <cfRule type="cellIs" dxfId="10595" priority="775" operator="equal">
      <formula>1</formula>
    </cfRule>
    <cfRule type="cellIs" dxfId="10594" priority="774" operator="equal">
      <formula>1</formula>
    </cfRule>
    <cfRule type="cellIs" dxfId="10593" priority="794" operator="equal">
      <formula>1</formula>
    </cfRule>
    <cfRule type="cellIs" dxfId="10592" priority="793" operator="equal">
      <formula>3</formula>
    </cfRule>
    <cfRule type="top10" dxfId="10591" priority="792" rank="10"/>
    <cfRule type="top10" dxfId="10590" priority="791" rank="10"/>
    <cfRule type="top10" dxfId="10589" priority="790" rank="10"/>
    <cfRule type="cellIs" dxfId="10588" priority="789" operator="equal">
      <formula>3</formula>
    </cfRule>
    <cfRule type="top10" dxfId="10587" priority="788" rank="10"/>
    <cfRule type="cellIs" dxfId="10586" priority="787" operator="equal">
      <formula>1</formula>
    </cfRule>
    <cfRule type="cellIs" dxfId="10585" priority="786" operator="equal">
      <formula>4</formula>
    </cfRule>
    <cfRule type="cellIs" dxfId="10584" priority="785" operator="equal">
      <formula>4</formula>
    </cfRule>
    <cfRule type="cellIs" dxfId="10583" priority="784" operator="equal">
      <formula>1</formula>
    </cfRule>
    <cfRule type="cellIs" dxfId="10582" priority="783" operator="equal">
      <formula>4</formula>
    </cfRule>
    <cfRule type="cellIs" dxfId="10581" priority="782" operator="equal">
      <formula>1</formula>
    </cfRule>
    <cfRule type="top10" dxfId="10580" priority="781" rank="10"/>
    <cfRule type="cellIs" dxfId="10579" priority="780" operator="equal">
      <formula>4</formula>
    </cfRule>
    <cfRule type="cellIs" dxfId="10578" priority="779" operator="equal">
      <formula>1</formula>
    </cfRule>
  </conditionalFormatting>
  <conditionalFormatting sqref="BD18:BE18 BP18 BH26:BJ26 BM26 BP35 BD39:BE39 BH39:BJ39 BP39 BH42:BM42 BP42">
    <cfRule type="cellIs" dxfId="10577" priority="773" operator="equal">
      <formula>1</formula>
    </cfRule>
  </conditionalFormatting>
  <conditionalFormatting sqref="BD21:BE21">
    <cfRule type="cellIs" dxfId="10576" priority="772" operator="equal">
      <formula>4</formula>
    </cfRule>
  </conditionalFormatting>
  <conditionalFormatting sqref="BD22:BE22 BH22:BJ22">
    <cfRule type="cellIs" dxfId="10575" priority="771" operator="equal">
      <formula>1</formula>
    </cfRule>
  </conditionalFormatting>
  <conditionalFormatting sqref="BD22:BE22 BP22 BH22:BJ22">
    <cfRule type="top10" dxfId="10574" priority="770" rank="10"/>
  </conditionalFormatting>
  <conditionalFormatting sqref="BD25:BE25 BP25 BH25:BJ25">
    <cfRule type="top10" dxfId="10573" priority="768" rank="10"/>
  </conditionalFormatting>
  <conditionalFormatting sqref="BD25:BE26 BD23:BE23 BH30:BI30 BP26">
    <cfRule type="cellIs" dxfId="10572" priority="769" operator="equal">
      <formula>1</formula>
    </cfRule>
  </conditionalFormatting>
  <conditionalFormatting sqref="BD30:BE30 BD23:BE23 BP23 BP30 BH30:BI30 BH23:BI23">
    <cfRule type="top10" dxfId="10571" priority="767" rank="10"/>
  </conditionalFormatting>
  <conditionalFormatting sqref="BD31:BE31 BP31 BM31 BH31:BJ31">
    <cfRule type="top10" dxfId="10570" priority="766" rank="10"/>
  </conditionalFormatting>
  <conditionalFormatting sqref="BD35:BE35">
    <cfRule type="cellIs" dxfId="10569" priority="757" operator="equal">
      <formula>1</formula>
    </cfRule>
    <cfRule type="cellIs" dxfId="10568" priority="756" operator="equal">
      <formula>4</formula>
    </cfRule>
    <cfRule type="cellIs" dxfId="10567" priority="754" operator="equal">
      <formula>1</formula>
    </cfRule>
    <cfRule type="cellIs" dxfId="10566" priority="753" operator="equal">
      <formula>2</formula>
    </cfRule>
    <cfRule type="cellIs" dxfId="10565" priority="752" operator="equal">
      <formula>4</formula>
    </cfRule>
    <cfRule type="top10" dxfId="10564" priority="750" rank="10"/>
    <cfRule type="cellIs" dxfId="10563" priority="749" operator="equal">
      <formula>4</formula>
    </cfRule>
    <cfRule type="cellIs" dxfId="10562" priority="748" operator="equal">
      <formula>1</formula>
    </cfRule>
    <cfRule type="cellIs" dxfId="10561" priority="747" operator="equal">
      <formula>4</formula>
    </cfRule>
    <cfRule type="cellIs" dxfId="10560" priority="746" operator="equal">
      <formula>4</formula>
    </cfRule>
    <cfRule type="cellIs" dxfId="10559" priority="745" operator="equal">
      <formula>4</formula>
    </cfRule>
    <cfRule type="cellIs" dxfId="10558" priority="744" operator="equal">
      <formula>1</formula>
    </cfRule>
    <cfRule type="cellIs" dxfId="10557" priority="765" operator="equal">
      <formula>1</formula>
    </cfRule>
    <cfRule type="cellIs" dxfId="10556" priority="743" operator="equal">
      <formula>1</formula>
    </cfRule>
    <cfRule type="cellIs" dxfId="10555" priority="755" operator="equal">
      <formula>4</formula>
    </cfRule>
    <cfRule type="cellIs" dxfId="10554" priority="751" operator="equal">
      <formula>1</formula>
    </cfRule>
    <cfRule type="cellIs" dxfId="10553" priority="764" operator="equal">
      <formula>3</formula>
    </cfRule>
    <cfRule type="cellIs" dxfId="10552" priority="763" operator="equal">
      <formula>4</formula>
    </cfRule>
    <cfRule type="top10" dxfId="10551" priority="762" rank="10"/>
    <cfRule type="top10" dxfId="10550" priority="761" rank="10"/>
    <cfRule type="top10" dxfId="10549" priority="760" rank="10"/>
    <cfRule type="cellIs" dxfId="10548" priority="759" operator="equal">
      <formula>3</formula>
    </cfRule>
    <cfRule type="top10" dxfId="10547" priority="758" rank="10"/>
  </conditionalFormatting>
  <conditionalFormatting sqref="BD37:BE37 BP37 BH37:BJ37">
    <cfRule type="top10" dxfId="10546" priority="742" rank="10"/>
  </conditionalFormatting>
  <conditionalFormatting sqref="BD37:BE37">
    <cfRule type="cellIs" dxfId="10545" priority="741" operator="equal">
      <formula>1</formula>
    </cfRule>
  </conditionalFormatting>
  <conditionalFormatting sqref="BD42:BE42 BD18:BE18 BD26:BE26 BD35:BE35 BD39:BE39 BP18 BP26 BP35 BP39 BP42 BM39 BM26 BM18 BM42 BH39:BJ39 BH35:BJ35 BH26:BJ26 BH18:BJ18 BH42:BJ42">
    <cfRule type="top10" dxfId="10544" priority="740" rank="10"/>
  </conditionalFormatting>
  <conditionalFormatting sqref="BD44:BE45 BO44:BP45 BM44:BM45 BH44:BJ45">
    <cfRule type="top10" dxfId="10543" priority="739" rank="10"/>
  </conditionalFormatting>
  <conditionalFormatting sqref="BD17:BL17 BP17 BK18:BL48">
    <cfRule type="top10" dxfId="10542" priority="16" rank="10"/>
  </conditionalFormatting>
  <conditionalFormatting sqref="BD17:BL17">
    <cfRule type="cellIs" dxfId="10541" priority="738" operator="equal">
      <formula>1</formula>
    </cfRule>
  </conditionalFormatting>
  <conditionalFormatting sqref="BD42:BV42">
    <cfRule type="cellIs" dxfId="10540" priority="737" operator="equal">
      <formula>2</formula>
    </cfRule>
  </conditionalFormatting>
  <conditionalFormatting sqref="BE35">
    <cfRule type="top10" dxfId="10539" priority="733" rank="10"/>
    <cfRule type="cellIs" dxfId="10538" priority="734" operator="equal">
      <formula>1</formula>
    </cfRule>
    <cfRule type="top10" dxfId="10537" priority="735" rank="10"/>
    <cfRule type="cellIs" dxfId="10536" priority="736" operator="equal">
      <formula>1</formula>
    </cfRule>
  </conditionalFormatting>
  <conditionalFormatting sqref="BE42">
    <cfRule type="cellIs" dxfId="10535" priority="713" operator="equal">
      <formula>4</formula>
    </cfRule>
    <cfRule type="cellIs" dxfId="10534" priority="712" operator="equal">
      <formula>1</formula>
    </cfRule>
    <cfRule type="cellIs" dxfId="10533" priority="711" operator="equal">
      <formula>1</formula>
    </cfRule>
    <cfRule type="cellIs" dxfId="10532" priority="732" operator="equal">
      <formula>1</formula>
    </cfRule>
    <cfRule type="cellIs" dxfId="10531" priority="731" operator="equal">
      <formula>3</formula>
    </cfRule>
    <cfRule type="cellIs" dxfId="10530" priority="730" operator="equal">
      <formula>4</formula>
    </cfRule>
    <cfRule type="top10" dxfId="10529" priority="729" rank="10"/>
    <cfRule type="top10" dxfId="10528" priority="728" rank="10"/>
    <cfRule type="top10" dxfId="10527" priority="727" rank="10"/>
    <cfRule type="cellIs" dxfId="10526" priority="726" operator="equal">
      <formula>3</formula>
    </cfRule>
    <cfRule type="top10" dxfId="10525" priority="725" rank="10"/>
    <cfRule type="cellIs" dxfId="10524" priority="724" operator="equal">
      <formula>1</formula>
    </cfRule>
    <cfRule type="cellIs" dxfId="10523" priority="723" operator="equal">
      <formula>4</formula>
    </cfRule>
    <cfRule type="cellIs" dxfId="10522" priority="722" operator="equal">
      <formula>4</formula>
    </cfRule>
    <cfRule type="cellIs" dxfId="10521" priority="721" operator="equal">
      <formula>1</formula>
    </cfRule>
    <cfRule type="cellIs" dxfId="10520" priority="720" operator="equal">
      <formula>4</formula>
    </cfRule>
    <cfRule type="cellIs" dxfId="10519" priority="719" operator="equal">
      <formula>1</formula>
    </cfRule>
    <cfRule type="top10" dxfId="10518" priority="718" rank="10"/>
    <cfRule type="cellIs" dxfId="10517" priority="717" operator="equal">
      <formula>4</formula>
    </cfRule>
    <cfRule type="cellIs" dxfId="10516" priority="716" operator="equal">
      <formula>1</formula>
    </cfRule>
    <cfRule type="cellIs" dxfId="10515" priority="715" operator="equal">
      <formula>4</formula>
    </cfRule>
    <cfRule type="cellIs" dxfId="10514" priority="714" operator="equal">
      <formula>4</formula>
    </cfRule>
  </conditionalFormatting>
  <conditionalFormatting sqref="BF17:BG17">
    <cfRule type="cellIs" dxfId="10513" priority="710" operator="equal">
      <formula>4</formula>
    </cfRule>
    <cfRule type="cellIs" dxfId="10512" priority="709" operator="equal">
      <formula>4</formula>
    </cfRule>
    <cfRule type="top10" dxfId="10511" priority="708" rank="10"/>
  </conditionalFormatting>
  <conditionalFormatting sqref="BF18:BG48">
    <cfRule type="top10" dxfId="10510" priority="14" rank="10"/>
    <cfRule type="cellIs" dxfId="10509" priority="15" operator="equal">
      <formula>1</formula>
    </cfRule>
  </conditionalFormatting>
  <conditionalFormatting sqref="BH23 BC23:BD23 BC18:BE18 BO18 BM18 DR18:DT18 CA26:CC26 DR21:DR23">
    <cfRule type="cellIs" dxfId="10508" priority="2815" operator="equal">
      <formula>4</formula>
    </cfRule>
  </conditionalFormatting>
  <conditionalFormatting sqref="BH31">
    <cfRule type="cellIs" dxfId="10507" priority="702" operator="equal">
      <formula>3</formula>
    </cfRule>
    <cfRule type="cellIs" dxfId="10506" priority="701" operator="equal">
      <formula>4</formula>
    </cfRule>
    <cfRule type="top10" dxfId="10505" priority="703" rank="10"/>
    <cfRule type="cellIs" dxfId="10504" priority="707" operator="equal">
      <formula>1</formula>
    </cfRule>
    <cfRule type="cellIs" dxfId="10503" priority="706" operator="equal">
      <formula>4</formula>
    </cfRule>
    <cfRule type="cellIs" dxfId="10502" priority="705" operator="equal">
      <formula>4</formula>
    </cfRule>
    <cfRule type="cellIs" dxfId="10501" priority="704" operator="equal">
      <formula>1</formula>
    </cfRule>
  </conditionalFormatting>
  <conditionalFormatting sqref="BH21:BI21">
    <cfRule type="cellIs" dxfId="10500" priority="700" operator="equal">
      <formula>4</formula>
    </cfRule>
  </conditionalFormatting>
  <conditionalFormatting sqref="BH23:BJ23 BM23 BO23:BP23 BC23:BE23">
    <cfRule type="cellIs" dxfId="10499" priority="699" operator="equal">
      <formula>4</formula>
    </cfRule>
  </conditionalFormatting>
  <conditionalFormatting sqref="BH29:BJ29 BC28:BE30 BO29:BP29">
    <cfRule type="cellIs" dxfId="10498" priority="697" operator="equal">
      <formula>1</formula>
    </cfRule>
  </conditionalFormatting>
  <conditionalFormatting sqref="BH46:BJ47 BM46:BM47 BO46:BP47 BD46:BE47">
    <cfRule type="top10" dxfId="10497" priority="696" rank="10"/>
  </conditionalFormatting>
  <conditionalFormatting sqref="BI23">
    <cfRule type="cellIs" dxfId="10496" priority="695" operator="equal">
      <formula>4</formula>
    </cfRule>
  </conditionalFormatting>
  <conditionalFormatting sqref="BI38">
    <cfRule type="cellIs" dxfId="10495" priority="694" operator="equal">
      <formula>1</formula>
    </cfRule>
    <cfRule type="cellIs" dxfId="10494" priority="693" operator="equal">
      <formula>3</formula>
    </cfRule>
    <cfRule type="cellIs" dxfId="10493" priority="692" operator="equal">
      <formula>4</formula>
    </cfRule>
    <cfRule type="top10" dxfId="10492" priority="691" rank="10"/>
    <cfRule type="top10" dxfId="10491" priority="690" rank="10"/>
    <cfRule type="top10" dxfId="10490" priority="689" rank="10"/>
    <cfRule type="cellIs" dxfId="10489" priority="688" operator="equal">
      <formula>3</formula>
    </cfRule>
    <cfRule type="top10" dxfId="10488" priority="687" rank="10"/>
    <cfRule type="cellIs" dxfId="10487" priority="686" operator="equal">
      <formula>1</formula>
    </cfRule>
    <cfRule type="cellIs" dxfId="10486" priority="685" operator="equal">
      <formula>4</formula>
    </cfRule>
    <cfRule type="cellIs" dxfId="10485" priority="684" operator="equal">
      <formula>4</formula>
    </cfRule>
    <cfRule type="top10" dxfId="10484" priority="679" rank="10"/>
    <cfRule type="cellIs" dxfId="10483" priority="683" operator="equal">
      <formula>1</formula>
    </cfRule>
    <cfRule type="cellIs" dxfId="10482" priority="682" operator="equal">
      <formula>2</formula>
    </cfRule>
    <cfRule type="cellIs" dxfId="10481" priority="672" operator="equal">
      <formula>1</formula>
    </cfRule>
    <cfRule type="cellIs" dxfId="10480" priority="673" operator="equal">
      <formula>1</formula>
    </cfRule>
    <cfRule type="cellIs" dxfId="10479" priority="674" operator="equal">
      <formula>4</formula>
    </cfRule>
    <cfRule type="cellIs" dxfId="10478" priority="681" operator="equal">
      <formula>4</formula>
    </cfRule>
    <cfRule type="cellIs" dxfId="10477" priority="675" operator="equal">
      <formula>4</formula>
    </cfRule>
    <cfRule type="cellIs" dxfId="10476" priority="676" operator="equal">
      <formula>4</formula>
    </cfRule>
    <cfRule type="cellIs" dxfId="10475" priority="677" operator="equal">
      <formula>1</formula>
    </cfRule>
    <cfRule type="cellIs" dxfId="10474" priority="678" operator="equal">
      <formula>4</formula>
    </cfRule>
    <cfRule type="cellIs" dxfId="10473" priority="680" operator="equal">
      <formula>1</formula>
    </cfRule>
  </conditionalFormatting>
  <conditionalFormatting sqref="BI17:BL17 BI29:BI30">
    <cfRule type="cellIs" dxfId="10472" priority="671" operator="equal">
      <formula>4</formula>
    </cfRule>
  </conditionalFormatting>
  <conditionalFormatting sqref="BI17:BN17 BI29:BI30">
    <cfRule type="cellIs" dxfId="10471" priority="669" operator="equal">
      <formula>4</formula>
    </cfRule>
    <cfRule type="cellIs" dxfId="10470" priority="670" operator="equal">
      <formula>1</formula>
    </cfRule>
  </conditionalFormatting>
  <conditionalFormatting sqref="BJ26">
    <cfRule type="cellIs" dxfId="10469" priority="666" operator="equal">
      <formula>4</formula>
    </cfRule>
    <cfRule type="cellIs" dxfId="10468" priority="667" operator="equal">
      <formula>4</formula>
    </cfRule>
    <cfRule type="cellIs" dxfId="10467" priority="668" operator="equal">
      <formula>1</formula>
    </cfRule>
  </conditionalFormatting>
  <conditionalFormatting sqref="BJ30 BJ23 BM30 BM23">
    <cfRule type="top10" dxfId="10466" priority="665" rank="10"/>
  </conditionalFormatting>
  <conditionalFormatting sqref="BJ30">
    <cfRule type="cellIs" dxfId="10465" priority="698" operator="equal">
      <formula>1</formula>
    </cfRule>
  </conditionalFormatting>
  <conditionalFormatting sqref="BK17:BL48">
    <cfRule type="top10" dxfId="10464" priority="12" rank="10"/>
    <cfRule type="cellIs" dxfId="10463" priority="13" operator="equal">
      <formula>1</formula>
    </cfRule>
  </conditionalFormatting>
  <conditionalFormatting sqref="BM21 BO21">
    <cfRule type="cellIs" dxfId="10462" priority="664" operator="equal">
      <formula>1</formula>
    </cfRule>
  </conditionalFormatting>
  <conditionalFormatting sqref="BM21:BM25 BC24:BE24 BH24:BJ24">
    <cfRule type="cellIs" dxfId="10461" priority="661" operator="equal">
      <formula>4</formula>
    </cfRule>
  </conditionalFormatting>
  <conditionalFormatting sqref="BM22">
    <cfRule type="top10" dxfId="10460" priority="662" rank="10"/>
  </conditionalFormatting>
  <conditionalFormatting sqref="BM25 CD25">
    <cfRule type="cellIs" dxfId="10459" priority="660" operator="equal">
      <formula>1</formula>
    </cfRule>
  </conditionalFormatting>
  <conditionalFormatting sqref="BM25">
    <cfRule type="top10" dxfId="10458" priority="658" rank="10"/>
    <cfRule type="cellIs" dxfId="10457" priority="659" operator="equal">
      <formula>4</formula>
    </cfRule>
  </conditionalFormatting>
  <conditionalFormatting sqref="BM27:BM32 DD17:DJ18 BO24:BP24 E27 G27:G28 BH27:BJ28 BO27:BP28 DB27:DC29">
    <cfRule type="cellIs" dxfId="10456" priority="1634" operator="equal">
      <formula>1</formula>
    </cfRule>
  </conditionalFormatting>
  <conditionalFormatting sqref="BM29">
    <cfRule type="cellIs" dxfId="10455" priority="657" operator="equal">
      <formula>1</formula>
    </cfRule>
    <cfRule type="cellIs" dxfId="10454" priority="656" operator="equal">
      <formula>4</formula>
    </cfRule>
    <cfRule type="cellIs" dxfId="10453" priority="655" operator="equal">
      <formula>4</formula>
    </cfRule>
  </conditionalFormatting>
  <conditionalFormatting sqref="BM35">
    <cfRule type="cellIs" dxfId="10452" priority="654" operator="equal">
      <formula>4</formula>
    </cfRule>
    <cfRule type="cellIs" dxfId="10451" priority="653" operator="equal">
      <formula>4</formula>
    </cfRule>
    <cfRule type="cellIs" dxfId="10450" priority="652" operator="equal">
      <formula>1</formula>
    </cfRule>
    <cfRule type="cellIs" dxfId="10449" priority="651" operator="equal">
      <formula>4</formula>
    </cfRule>
    <cfRule type="cellIs" dxfId="10448" priority="650" operator="equal">
      <formula>4</formula>
    </cfRule>
    <cfRule type="cellIs" dxfId="10447" priority="649" operator="equal">
      <formula>1</formula>
    </cfRule>
    <cfRule type="cellIs" dxfId="10446" priority="648" operator="equal">
      <formula>4</formula>
    </cfRule>
    <cfRule type="cellIs" dxfId="10445" priority="647" operator="equal">
      <formula>3</formula>
    </cfRule>
    <cfRule type="top10" dxfId="10444" priority="646" rank="10"/>
    <cfRule type="cellIs" dxfId="10443" priority="645" operator="equal">
      <formula>1</formula>
    </cfRule>
    <cfRule type="top10" dxfId="10442" priority="644" rank="10"/>
  </conditionalFormatting>
  <conditionalFormatting sqref="BM37">
    <cfRule type="cellIs" dxfId="10441" priority="643" operator="equal">
      <formula>1</formula>
    </cfRule>
    <cfRule type="top10" dxfId="10440" priority="642" rank="10"/>
  </conditionalFormatting>
  <conditionalFormatting sqref="BM40:BM41">
    <cfRule type="cellIs" dxfId="10439" priority="641" operator="equal">
      <formula>1</formula>
    </cfRule>
  </conditionalFormatting>
  <conditionalFormatting sqref="BM17:BN17 BN18:BN48">
    <cfRule type="top10" dxfId="10438" priority="11" rank="10"/>
  </conditionalFormatting>
  <conditionalFormatting sqref="BM17:BN17">
    <cfRule type="cellIs" dxfId="10437" priority="640" operator="equal">
      <formula>4</formula>
    </cfRule>
  </conditionalFormatting>
  <conditionalFormatting sqref="BM17:BW17">
    <cfRule type="cellIs" dxfId="10436" priority="639" operator="equal">
      <formula>1</formula>
    </cfRule>
  </conditionalFormatting>
  <conditionalFormatting sqref="BN17:BN42 R18:T19 DR18:DS19 F18:G26 BR18:BS36 BK18:BL41 BQ18:BQ42 U18:AF43 J18:Q47 AI18:AN48 AQ18:BB48 BT18:BV48 BW19:CI19 H19:I20 BH43:BQ48 I48:AH48 E18:E27 E29:E37 E38:G48 F30:F36 I30:I36 AO31:AP36 G33:H36 AO38:AP43 E55:CI58 E59:DT119 AG18:AH24 R21:T26 R29:T35 AG29:AH35 AG38:AH42 R38:T43 I38:I45 AO46:AP48 CJ18:CR58 DR24:DS31 CU27:CV58 CS30:CT58 BC33:BE34 BM33:BM34 BO33:BP34 BW33:CI34 DA33:DS34 CW33:CZ35 BH33:BJ38 DA35 CW37:CY41 CZ37:DA46 BM38:BM39 BW38:CI41 DR38:DS41 BR38:BS43 BC39 BR46:BS48 CW49:DS58 DT52:DT58 CU17:CV24 BH18:BJ21 CS18:CT24 BM18:BM25 BC19:BE19 AO19:AP21 BO19:BP21 CZ21:DA30 BH23:BJ25 H24:H25 AO24:AP25 AG25 CF25:CI26 CS25:CV26">
    <cfRule type="cellIs" dxfId="10435" priority="2990" operator="equal">
      <formula>1</formula>
    </cfRule>
  </conditionalFormatting>
  <conditionalFormatting sqref="BN17:BN48">
    <cfRule type="top10" dxfId="10434" priority="10" rank="10"/>
  </conditionalFormatting>
  <conditionalFormatting sqref="BO21 BM21:BM23">
    <cfRule type="cellIs" dxfId="10433" priority="638" operator="equal">
      <formula>4</formula>
    </cfRule>
  </conditionalFormatting>
  <conditionalFormatting sqref="BO21">
    <cfRule type="cellIs" dxfId="10432" priority="663" operator="equal">
      <formula>4</formula>
    </cfRule>
  </conditionalFormatting>
  <conditionalFormatting sqref="BO22">
    <cfRule type="cellIs" dxfId="10431" priority="637" operator="equal">
      <formula>2</formula>
    </cfRule>
  </conditionalFormatting>
  <conditionalFormatting sqref="BO23">
    <cfRule type="cellIs" dxfId="10430" priority="636" operator="equal">
      <formula>4</formula>
    </cfRule>
  </conditionalFormatting>
  <conditionalFormatting sqref="BO19:BP19 BM19 BH19:BJ19">
    <cfRule type="top10" dxfId="10429" priority="635" rank="10"/>
  </conditionalFormatting>
  <conditionalFormatting sqref="BO22:BP23">
    <cfRule type="cellIs" dxfId="10428" priority="634" operator="equal">
      <formula>1</formula>
    </cfRule>
  </conditionalFormatting>
  <conditionalFormatting sqref="BO25:BP26">
    <cfRule type="cellIs" dxfId="10427" priority="631" operator="equal">
      <formula>1</formula>
    </cfRule>
  </conditionalFormatting>
  <conditionalFormatting sqref="BO26:BP26">
    <cfRule type="cellIs" dxfId="10426" priority="632" operator="equal">
      <formula>4</formula>
    </cfRule>
  </conditionalFormatting>
  <conditionalFormatting sqref="BP17">
    <cfRule type="cellIs" dxfId="10425" priority="630" operator="equal">
      <formula>4</formula>
    </cfRule>
    <cfRule type="cellIs" dxfId="10424" priority="629" operator="equal">
      <formula>1</formula>
    </cfRule>
    <cfRule type="cellIs" dxfId="10423" priority="628" operator="equal">
      <formula>4</formula>
    </cfRule>
  </conditionalFormatting>
  <conditionalFormatting sqref="BP18">
    <cfRule type="cellIs" dxfId="10422" priority="627" operator="equal">
      <formula>1</formula>
    </cfRule>
    <cfRule type="top10" dxfId="10421" priority="626" rank="10"/>
  </conditionalFormatting>
  <conditionalFormatting sqref="BP19">
    <cfRule type="cellIs" dxfId="10420" priority="625" operator="equal">
      <formula>4</formula>
    </cfRule>
    <cfRule type="top10" dxfId="10419" priority="624" rank="10"/>
  </conditionalFormatting>
  <conditionalFormatting sqref="BP19:BP21">
    <cfRule type="cellIs" dxfId="10418" priority="623" operator="equal">
      <formula>3</formula>
    </cfRule>
  </conditionalFormatting>
  <conditionalFormatting sqref="BP20">
    <cfRule type="top10" dxfId="10417" priority="621" rank="10"/>
    <cfRule type="cellIs" dxfId="10416" priority="622" operator="equal">
      <formula>1</formula>
    </cfRule>
  </conditionalFormatting>
  <conditionalFormatting sqref="BP21">
    <cfRule type="top10" dxfId="10415" priority="619" rank="10"/>
    <cfRule type="cellIs" dxfId="10414" priority="620" operator="equal">
      <formula>1</formula>
    </cfRule>
  </conditionalFormatting>
  <conditionalFormatting sqref="BP22">
    <cfRule type="top10" dxfId="10413" priority="618" rank="10"/>
  </conditionalFormatting>
  <conditionalFormatting sqref="BP22:BP23">
    <cfRule type="cellIs" dxfId="10412" priority="617" operator="equal">
      <formula>4</formula>
    </cfRule>
  </conditionalFormatting>
  <conditionalFormatting sqref="BP23">
    <cfRule type="top10" dxfId="10411" priority="49" rank="10"/>
    <cfRule type="cellIs" dxfId="10410" priority="616" operator="equal">
      <formula>1</formula>
    </cfRule>
  </conditionalFormatting>
  <conditionalFormatting sqref="BP24">
    <cfRule type="cellIs" dxfId="10409" priority="613" operator="equal">
      <formula>4</formula>
    </cfRule>
    <cfRule type="cellIs" dxfId="10408" priority="614" operator="equal">
      <formula>4</formula>
    </cfRule>
    <cfRule type="cellIs" dxfId="10407" priority="615" operator="equal">
      <formula>1</formula>
    </cfRule>
  </conditionalFormatting>
  <conditionalFormatting sqref="BP25">
    <cfRule type="cellIs" dxfId="10406" priority="611" operator="equal">
      <formula>3</formula>
    </cfRule>
    <cfRule type="top10" dxfId="10405" priority="612" rank="10"/>
  </conditionalFormatting>
  <conditionalFormatting sqref="BP26">
    <cfRule type="top10" dxfId="10404" priority="610" rank="10"/>
  </conditionalFormatting>
  <conditionalFormatting sqref="BP33">
    <cfRule type="cellIs" dxfId="10403" priority="609" operator="equal">
      <formula>1</formula>
    </cfRule>
  </conditionalFormatting>
  <conditionalFormatting sqref="BP47">
    <cfRule type="top10" dxfId="10402" priority="607" rank="10"/>
    <cfRule type="cellIs" dxfId="10401" priority="608" operator="equal">
      <formula>1</formula>
    </cfRule>
  </conditionalFormatting>
  <conditionalFormatting sqref="BP48">
    <cfRule type="cellIs" dxfId="10400" priority="603" operator="equal">
      <formula>1</formula>
    </cfRule>
    <cfRule type="top10" dxfId="10399" priority="602" rank="10"/>
    <cfRule type="cellIs" dxfId="10398" priority="606" operator="equal">
      <formula>1</formula>
    </cfRule>
    <cfRule type="cellIs" dxfId="10397" priority="601" operator="equal">
      <formula>4</formula>
    </cfRule>
    <cfRule type="top10" dxfId="10396" priority="605" rank="10"/>
    <cfRule type="cellIs" dxfId="10395" priority="604" operator="equal">
      <formula>3</formula>
    </cfRule>
  </conditionalFormatting>
  <conditionalFormatting sqref="BP37:BS37">
    <cfRule type="cellIs" dxfId="10394" priority="600" operator="equal">
      <formula>1</formula>
    </cfRule>
  </conditionalFormatting>
  <conditionalFormatting sqref="BR17:BS17">
    <cfRule type="cellIs" dxfId="10393" priority="599" operator="equal">
      <formula>1</formula>
    </cfRule>
  </conditionalFormatting>
  <conditionalFormatting sqref="BR18:BS18 DR18:DT18">
    <cfRule type="cellIs" dxfId="10392" priority="598" operator="equal">
      <formula>4</formula>
    </cfRule>
  </conditionalFormatting>
  <conditionalFormatting sqref="BR18:BS18">
    <cfRule type="cellIs" dxfId="10391" priority="597" operator="equal">
      <formula>1</formula>
    </cfRule>
  </conditionalFormatting>
  <conditionalFormatting sqref="BR18:BS19">
    <cfRule type="cellIs" dxfId="10390" priority="596" operator="equal">
      <formula>4</formula>
    </cfRule>
  </conditionalFormatting>
  <conditionalFormatting sqref="BR19:BS19">
    <cfRule type="top10" dxfId="10389" priority="595" rank="10"/>
  </conditionalFormatting>
  <conditionalFormatting sqref="BR44:BS45">
    <cfRule type="top10" dxfId="10388" priority="593" rank="10"/>
    <cfRule type="cellIs" dxfId="10387" priority="594" operator="equal">
      <formula>1</formula>
    </cfRule>
  </conditionalFormatting>
  <conditionalFormatting sqref="BR46:BS47">
    <cfRule type="top10" dxfId="10386" priority="592" rank="10"/>
  </conditionalFormatting>
  <conditionalFormatting sqref="BR47:BS47">
    <cfRule type="top10" dxfId="10385" priority="590" rank="10"/>
    <cfRule type="cellIs" dxfId="10384" priority="591" operator="equal">
      <formula>1</formula>
    </cfRule>
  </conditionalFormatting>
  <conditionalFormatting sqref="BR48:BS48 BW48:CE48 I48 R48:T48 AG48:AH48">
    <cfRule type="cellIs" dxfId="10383" priority="589" operator="equal">
      <formula>1</formula>
    </cfRule>
    <cfRule type="cellIs" dxfId="10382" priority="588" operator="equal">
      <formula>4</formula>
    </cfRule>
  </conditionalFormatting>
  <conditionalFormatting sqref="BR48:BS48 CD48:CE48">
    <cfRule type="cellIs" dxfId="10381" priority="587" operator="equal">
      <formula>4</formula>
    </cfRule>
  </conditionalFormatting>
  <conditionalFormatting sqref="BR18:CI18 BO18:BP18 BP26">
    <cfRule type="cellIs" dxfId="10380" priority="586" operator="equal">
      <formula>4</formula>
    </cfRule>
  </conditionalFormatting>
  <conditionalFormatting sqref="BS22">
    <cfRule type="cellIs" dxfId="10379" priority="584" operator="equal">
      <formula>4</formula>
    </cfRule>
    <cfRule type="cellIs" dxfId="10378" priority="583" operator="equal">
      <formula>4</formula>
    </cfRule>
    <cfRule type="cellIs" dxfId="10377" priority="585" operator="equal">
      <formula>1</formula>
    </cfRule>
  </conditionalFormatting>
  <conditionalFormatting sqref="BT18:BU48 BR17:BW17">
    <cfRule type="top10" dxfId="10376" priority="9" rank="10"/>
  </conditionalFormatting>
  <conditionalFormatting sqref="BV18:BV48">
    <cfRule type="top10" dxfId="10375" priority="8" rank="10"/>
  </conditionalFormatting>
  <conditionalFormatting sqref="BW17">
    <cfRule type="top10" dxfId="10374" priority="582" rank="10"/>
    <cfRule type="top10" dxfId="10373" priority="581" rank="10"/>
  </conditionalFormatting>
  <conditionalFormatting sqref="BW20">
    <cfRule type="cellIs" dxfId="10372" priority="580" operator="equal">
      <formula>1</formula>
    </cfRule>
    <cfRule type="cellIs" dxfId="10371" priority="579" operator="equal">
      <formula>4</formula>
    </cfRule>
    <cfRule type="cellIs" dxfId="10370" priority="578" operator="equal">
      <formula>4</formula>
    </cfRule>
  </conditionalFormatting>
  <conditionalFormatting sqref="BW22">
    <cfRule type="top10" dxfId="10369" priority="577" rank="10"/>
  </conditionalFormatting>
  <conditionalFormatting sqref="BW25">
    <cfRule type="top10" dxfId="10368" priority="576" rank="10"/>
  </conditionalFormatting>
  <conditionalFormatting sqref="BW29">
    <cfRule type="cellIs" dxfId="10367" priority="575" operator="equal">
      <formula>1</formula>
    </cfRule>
  </conditionalFormatting>
  <conditionalFormatting sqref="BW30 BW23 CE23 CE30">
    <cfRule type="top10" dxfId="10366" priority="574" rank="10"/>
  </conditionalFormatting>
  <conditionalFormatting sqref="BW37">
    <cfRule type="top10" dxfId="10365" priority="573" rank="10"/>
  </conditionalFormatting>
  <conditionalFormatting sqref="BW22:BX23">
    <cfRule type="cellIs" dxfId="10364" priority="572" operator="equal">
      <formula>4</formula>
    </cfRule>
  </conditionalFormatting>
  <conditionalFormatting sqref="BW33:BX33">
    <cfRule type="cellIs" dxfId="10363" priority="568" operator="equal">
      <formula>4</formula>
    </cfRule>
    <cfRule type="cellIs" dxfId="10362" priority="571" operator="equal">
      <formula>1</formula>
    </cfRule>
    <cfRule type="top10" dxfId="10361" priority="570" rank="10"/>
    <cfRule type="cellIs" dxfId="10360" priority="569" operator="equal">
      <formula>3</formula>
    </cfRule>
  </conditionalFormatting>
  <conditionalFormatting sqref="BW25:BY26 DD26:DE26 DF35:DQ35">
    <cfRule type="cellIs" dxfId="10359" priority="567" operator="equal">
      <formula>4</formula>
    </cfRule>
  </conditionalFormatting>
  <conditionalFormatting sqref="BW22:BZ22">
    <cfRule type="cellIs" dxfId="10358" priority="566" operator="equal">
      <formula>4</formula>
    </cfRule>
  </conditionalFormatting>
  <conditionalFormatting sqref="BW22:CC22">
    <cfRule type="cellIs" dxfId="10357" priority="564" operator="equal">
      <formula>4</formula>
    </cfRule>
  </conditionalFormatting>
  <conditionalFormatting sqref="BW24:CC24">
    <cfRule type="cellIs" dxfId="10356" priority="563" operator="equal">
      <formula>4</formula>
    </cfRule>
    <cfRule type="cellIs" dxfId="10355" priority="565" operator="equal">
      <formula>4</formula>
    </cfRule>
  </conditionalFormatting>
  <conditionalFormatting sqref="BW18:CE19">
    <cfRule type="cellIs" dxfId="10354" priority="560" operator="equal">
      <formula>4</formula>
    </cfRule>
  </conditionalFormatting>
  <conditionalFormatting sqref="BW19:CE19">
    <cfRule type="top10" dxfId="10353" priority="561" rank="10"/>
    <cfRule type="cellIs" dxfId="10352" priority="559" operator="equal">
      <formula>4</formula>
    </cfRule>
  </conditionalFormatting>
  <conditionalFormatting sqref="BW20:CE20 BR20:BS20">
    <cfRule type="top10" dxfId="10351" priority="558" rank="10"/>
  </conditionalFormatting>
  <conditionalFormatting sqref="BW22:CE22">
    <cfRule type="cellIs" dxfId="10350" priority="557" operator="equal">
      <formula>1</formula>
    </cfRule>
  </conditionalFormatting>
  <conditionalFormatting sqref="BW23:CE23 BR17:CE17 DA17:DC17 R18:T18 AG18:AH18 AO18:AP18">
    <cfRule type="cellIs" dxfId="10349" priority="562" operator="equal">
      <formula>4</formula>
    </cfRule>
  </conditionalFormatting>
  <conditionalFormatting sqref="BW24:CE24 BR24:BS24">
    <cfRule type="top10" dxfId="10348" priority="556" rank="10"/>
  </conditionalFormatting>
  <conditionalFormatting sqref="BW26:CE26 BW42:CI42">
    <cfRule type="cellIs" dxfId="10347" priority="555" operator="equal">
      <formula>1</formula>
    </cfRule>
  </conditionalFormatting>
  <conditionalFormatting sqref="BW27:CE27 BR27:BS27">
    <cfRule type="top10" dxfId="10346" priority="554" rank="10"/>
  </conditionalFormatting>
  <conditionalFormatting sqref="BW29:CE29 BR29:BS29">
    <cfRule type="top10" dxfId="10345" priority="553" rank="10"/>
  </conditionalFormatting>
  <conditionalFormatting sqref="BW36:CE36 BR36:BS36">
    <cfRule type="top10" dxfId="10344" priority="552" rank="10"/>
  </conditionalFormatting>
  <conditionalFormatting sqref="BW37:CE37">
    <cfRule type="cellIs" dxfId="10343" priority="551" operator="equal">
      <formula>1</formula>
    </cfRule>
  </conditionalFormatting>
  <conditionalFormatting sqref="BW41:CE41 BR41:BS41">
    <cfRule type="top10" dxfId="10342" priority="550" rank="10"/>
  </conditionalFormatting>
  <conditionalFormatting sqref="BW17:CF17">
    <cfRule type="cellIs" dxfId="10341" priority="549" operator="equal">
      <formula>1</formula>
    </cfRule>
  </conditionalFormatting>
  <conditionalFormatting sqref="BW23:CF23">
    <cfRule type="cellIs" dxfId="10340" priority="548" operator="equal">
      <formula>1</formula>
    </cfRule>
  </conditionalFormatting>
  <conditionalFormatting sqref="BW18:CI18">
    <cfRule type="cellIs" dxfId="10339" priority="547" operator="equal">
      <formula>1</formula>
    </cfRule>
  </conditionalFormatting>
  <conditionalFormatting sqref="BW20:CI20 R20:T20">
    <cfRule type="cellIs" dxfId="10338" priority="850" operator="equal">
      <formula>1</formula>
    </cfRule>
  </conditionalFormatting>
  <conditionalFormatting sqref="BW21:CI21">
    <cfRule type="cellIs" dxfId="10337" priority="470" operator="equal">
      <formula>4</formula>
    </cfRule>
  </conditionalFormatting>
  <conditionalFormatting sqref="BW24:CI25">
    <cfRule type="cellIs" dxfId="10336" priority="545" operator="equal">
      <formula>1</formula>
    </cfRule>
  </conditionalFormatting>
  <conditionalFormatting sqref="BW30:CI32">
    <cfRule type="cellIs" dxfId="10335" priority="544" operator="equal">
      <formula>1</formula>
    </cfRule>
  </conditionalFormatting>
  <conditionalFormatting sqref="BW35:CI36">
    <cfRule type="cellIs" dxfId="10334" priority="543" operator="equal">
      <formula>1</formula>
    </cfRule>
  </conditionalFormatting>
  <conditionalFormatting sqref="BW43:CI43">
    <cfRule type="cellIs" dxfId="10333" priority="469" operator="equal">
      <formula>1</formula>
    </cfRule>
  </conditionalFormatting>
  <conditionalFormatting sqref="BW44:CI45">
    <cfRule type="cellIs" dxfId="10332" priority="542" operator="equal">
      <formula>1</formula>
    </cfRule>
    <cfRule type="top10" dxfId="10331" priority="541" rank="10"/>
  </conditionalFormatting>
  <conditionalFormatting sqref="BW46:CI47">
    <cfRule type="cellIs" dxfId="10330" priority="540" operator="equal">
      <formula>1</formula>
    </cfRule>
    <cfRule type="top10" dxfId="10329" priority="539" rank="10"/>
  </conditionalFormatting>
  <conditionalFormatting sqref="BX47:CC47">
    <cfRule type="cellIs" dxfId="10328" priority="538" operator="equal">
      <formula>1</formula>
    </cfRule>
    <cfRule type="top10" dxfId="10327" priority="537" rank="10"/>
  </conditionalFormatting>
  <conditionalFormatting sqref="BX47:CI47">
    <cfRule type="cellIs" dxfId="10326" priority="536" operator="equal">
      <formula>2</formula>
    </cfRule>
    <cfRule type="cellIs" dxfId="10325" priority="535" operator="equal">
      <formula>4</formula>
    </cfRule>
  </conditionalFormatting>
  <conditionalFormatting sqref="BY17 BR17:BS17 BT17:BV48 CA17:CE17">
    <cfRule type="top10" dxfId="10324" priority="7" rank="10"/>
  </conditionalFormatting>
  <conditionalFormatting sqref="BY22:BY23">
    <cfRule type="cellIs" dxfId="10323" priority="534" operator="equal">
      <formula>4</formula>
    </cfRule>
  </conditionalFormatting>
  <conditionalFormatting sqref="BY26">
    <cfRule type="cellIs" dxfId="10322" priority="531" operator="equal">
      <formula>4</formula>
    </cfRule>
    <cfRule type="cellIs" dxfId="10321" priority="533" operator="equal">
      <formula>1</formula>
    </cfRule>
    <cfRule type="cellIs" dxfId="10320" priority="532" operator="equal">
      <formula>4</formula>
    </cfRule>
  </conditionalFormatting>
  <conditionalFormatting sqref="BZ17 BX17 BQ17:BQ48">
    <cfRule type="top10" dxfId="10319" priority="6" rank="10"/>
  </conditionalFormatting>
  <conditionalFormatting sqref="BZ17">
    <cfRule type="cellIs" dxfId="10318" priority="530" operator="equal">
      <formula>4</formula>
    </cfRule>
    <cfRule type="cellIs" dxfId="10317" priority="529" operator="equal">
      <formula>4</formula>
    </cfRule>
    <cfRule type="cellIs" dxfId="10316" priority="528" operator="equal">
      <formula>4</formula>
    </cfRule>
    <cfRule type="cellIs" dxfId="10315" priority="527" operator="equal">
      <formula>1</formula>
    </cfRule>
    <cfRule type="top10" dxfId="10314" priority="526" rank="10"/>
  </conditionalFormatting>
  <conditionalFormatting sqref="BZ22 BX22">
    <cfRule type="top10" dxfId="10313" priority="525" rank="10"/>
  </conditionalFormatting>
  <conditionalFormatting sqref="BZ25 BX25">
    <cfRule type="top10" dxfId="10312" priority="524" rank="10"/>
  </conditionalFormatting>
  <conditionalFormatting sqref="BZ25">
    <cfRule type="cellIs" dxfId="10311" priority="522" operator="equal">
      <formula>4</formula>
    </cfRule>
    <cfRule type="cellIs" dxfId="10310" priority="523" operator="equal">
      <formula>1</formula>
    </cfRule>
  </conditionalFormatting>
  <conditionalFormatting sqref="BZ25:BZ26">
    <cfRule type="cellIs" dxfId="10309" priority="521" operator="equal">
      <formula>4</formula>
    </cfRule>
  </conditionalFormatting>
  <conditionalFormatting sqref="BZ30 BZ23 BX23 BX30">
    <cfRule type="top10" dxfId="10308" priority="520" rank="10"/>
  </conditionalFormatting>
  <conditionalFormatting sqref="BZ31 BX31">
    <cfRule type="top10" dxfId="10307" priority="519" rank="10"/>
  </conditionalFormatting>
  <conditionalFormatting sqref="BZ37 BX37">
    <cfRule type="top10" dxfId="10306" priority="518" rank="10"/>
  </conditionalFormatting>
  <conditionalFormatting sqref="BZ42 BZ39 BZ18 BZ26 BZ35 BX18 BX26 BX35 BX39 BX42">
    <cfRule type="top10" dxfId="10305" priority="517" rank="10"/>
  </conditionalFormatting>
  <conditionalFormatting sqref="BZ25:CD25">
    <cfRule type="cellIs" dxfId="10304" priority="516" operator="equal">
      <formula>4</formula>
    </cfRule>
  </conditionalFormatting>
  <conditionalFormatting sqref="BZ22:CI22">
    <cfRule type="cellIs" dxfId="10303" priority="515" operator="equal">
      <formula>4</formula>
    </cfRule>
  </conditionalFormatting>
  <conditionalFormatting sqref="BZ23:CI23">
    <cfRule type="cellIs" dxfId="10302" priority="514" operator="equal">
      <formula>4</formula>
    </cfRule>
  </conditionalFormatting>
  <conditionalFormatting sqref="CA22:CC22">
    <cfRule type="cellIs" dxfId="10301" priority="513" operator="equal">
      <formula>4</formula>
    </cfRule>
  </conditionalFormatting>
  <conditionalFormatting sqref="CA25:CC26">
    <cfRule type="cellIs" dxfId="10300" priority="511" operator="equal">
      <formula>1</formula>
    </cfRule>
    <cfRule type="cellIs" dxfId="10299" priority="512" operator="equal">
      <formula>4</formula>
    </cfRule>
  </conditionalFormatting>
  <conditionalFormatting sqref="CA30:CD30 CA23:CD23 BY23 BY30 BR30:BS30 BR23:BS23">
    <cfRule type="top10" dxfId="10298" priority="510" rank="10"/>
  </conditionalFormatting>
  <conditionalFormatting sqref="CA22:CE22 BY22 BR22:BS22">
    <cfRule type="top10" dxfId="10297" priority="509" rank="10"/>
  </conditionalFormatting>
  <conditionalFormatting sqref="CA25:CE25 BY25 BR25:BS25">
    <cfRule type="top10" dxfId="10296" priority="508" rank="10"/>
  </conditionalFormatting>
  <conditionalFormatting sqref="CA31:CE31 BY31 BW31 BR31:BS31">
    <cfRule type="top10" dxfId="10295" priority="507" rank="10"/>
  </conditionalFormatting>
  <conditionalFormatting sqref="CA37:CE37 BY37 BQ37:BS37">
    <cfRule type="top10" dxfId="10294" priority="506" rank="10"/>
  </conditionalFormatting>
  <conditionalFormatting sqref="CA42:CE42 CA39:CE39 CA18:CE18 CA26:CE26 BY18 BY26 BY35 BY39 BY42 BW39 BW35 BW26 BW18 BW42 BR39:BS39 BR35:BS35 BR26:BS26 BR18:BS18 BR42:BS42 CA35:CE35">
    <cfRule type="top10" dxfId="10293" priority="505" rank="10"/>
  </conditionalFormatting>
  <conditionalFormatting sqref="CA17:CI17 BR17:BS17">
    <cfRule type="cellIs" dxfId="10292" priority="504" operator="equal">
      <formula>4</formula>
    </cfRule>
  </conditionalFormatting>
  <conditionalFormatting sqref="CA25:CI26">
    <cfRule type="cellIs" dxfId="10291" priority="503" operator="equal">
      <formula>4</formula>
    </cfRule>
  </conditionalFormatting>
  <conditionalFormatting sqref="CC33:CD33">
    <cfRule type="cellIs" dxfId="10290" priority="501" operator="equal">
      <formula>1</formula>
    </cfRule>
    <cfRule type="top10" dxfId="10289" priority="500" rank="10"/>
    <cfRule type="cellIs" dxfId="10288" priority="499" operator="equal">
      <formula>3</formula>
    </cfRule>
    <cfRule type="cellIs" dxfId="10287" priority="498" operator="equal">
      <formula>4</formula>
    </cfRule>
    <cfRule type="cellIs" dxfId="10286" priority="502" operator="equal">
      <formula>2</formula>
    </cfRule>
  </conditionalFormatting>
  <conditionalFormatting sqref="CD22:CE22">
    <cfRule type="cellIs" dxfId="10285" priority="497" operator="equal">
      <formula>4</formula>
    </cfRule>
    <cfRule type="cellIs" dxfId="10284" priority="496" operator="equal">
      <formula>4</formula>
    </cfRule>
  </conditionalFormatting>
  <conditionalFormatting sqref="CD24:CE24">
    <cfRule type="cellIs" dxfId="10283" priority="495" operator="equal">
      <formula>4</formula>
    </cfRule>
    <cfRule type="cellIs" dxfId="10282" priority="494" operator="equal">
      <formula>4</formula>
    </cfRule>
  </conditionalFormatting>
  <conditionalFormatting sqref="CD47:CE47">
    <cfRule type="cellIs" dxfId="10281" priority="493" operator="equal">
      <formula>1</formula>
    </cfRule>
    <cfRule type="top10" dxfId="10280" priority="492" rank="10"/>
  </conditionalFormatting>
  <conditionalFormatting sqref="CF17">
    <cfRule type="top10" dxfId="10279" priority="491" rank="10"/>
  </conditionalFormatting>
  <conditionalFormatting sqref="CF22">
    <cfRule type="top10" dxfId="10278" priority="490" rank="10"/>
  </conditionalFormatting>
  <conditionalFormatting sqref="CF25">
    <cfRule type="top10" dxfId="10277" priority="489" rank="10"/>
  </conditionalFormatting>
  <conditionalFormatting sqref="CF25:CF26">
    <cfRule type="cellIs" dxfId="10276" priority="488" operator="equal">
      <formula>2</formula>
    </cfRule>
  </conditionalFormatting>
  <conditionalFormatting sqref="CF30 CF23">
    <cfRule type="top10" dxfId="10275" priority="487" rank="10"/>
  </conditionalFormatting>
  <conditionalFormatting sqref="CF31">
    <cfRule type="top10" dxfId="10274" priority="486" rank="10"/>
  </conditionalFormatting>
  <conditionalFormatting sqref="CF37">
    <cfRule type="top10" dxfId="10273" priority="485" rank="10"/>
  </conditionalFormatting>
  <conditionalFormatting sqref="CF42 CF18 CF26 CF35 CF39">
    <cfRule type="top10" dxfId="10272" priority="484" rank="10"/>
  </conditionalFormatting>
  <conditionalFormatting sqref="CF19:CG19">
    <cfRule type="top10" dxfId="10271" priority="483" rank="10"/>
  </conditionalFormatting>
  <conditionalFormatting sqref="CF22:CG22">
    <cfRule type="top10" dxfId="10270" priority="482" rank="10"/>
  </conditionalFormatting>
  <conditionalFormatting sqref="CF22:CG24">
    <cfRule type="cellIs" dxfId="10269" priority="481" operator="equal">
      <formula>2</formula>
    </cfRule>
  </conditionalFormatting>
  <conditionalFormatting sqref="CF24:CG24">
    <cfRule type="top10" dxfId="10268" priority="480" rank="10"/>
  </conditionalFormatting>
  <conditionalFormatting sqref="CF25:CG25">
    <cfRule type="top10" dxfId="10267" priority="479" rank="10"/>
  </conditionalFormatting>
  <conditionalFormatting sqref="CF26:CG26 CF23:CG23 CF17:CH17 CF18:CG18">
    <cfRule type="top10" dxfId="10266" priority="478" rank="10"/>
  </conditionalFormatting>
  <conditionalFormatting sqref="CF48:CG48">
    <cfRule type="top10" dxfId="10265" priority="477" rank="10"/>
  </conditionalFormatting>
  <conditionalFormatting sqref="CF19:CI19">
    <cfRule type="top10" dxfId="10264" priority="475" rank="10"/>
  </conditionalFormatting>
  <conditionalFormatting sqref="CF23:CI23">
    <cfRule type="cellIs" dxfId="10263" priority="473" operator="equal">
      <formula>3</formula>
    </cfRule>
    <cfRule type="cellIs" dxfId="10262" priority="474" operator="equal">
      <formula>1</formula>
    </cfRule>
  </conditionalFormatting>
  <conditionalFormatting sqref="CF33:CI33">
    <cfRule type="cellIs" dxfId="10261" priority="472" operator="equal">
      <formula>2</formula>
    </cfRule>
    <cfRule type="cellIs" dxfId="10260" priority="471" operator="equal">
      <formula>3</formula>
    </cfRule>
  </conditionalFormatting>
  <conditionalFormatting sqref="CF39:CI39">
    <cfRule type="cellIs" dxfId="10259" priority="468" operator="equal">
      <formula>3</formula>
    </cfRule>
  </conditionalFormatting>
  <conditionalFormatting sqref="CF39:CI40">
    <cfRule type="cellIs" dxfId="10258" priority="467" operator="equal">
      <formula>1</formula>
    </cfRule>
  </conditionalFormatting>
  <conditionalFormatting sqref="CF47:CI47">
    <cfRule type="cellIs" dxfId="10257" priority="466" operator="equal">
      <formula>1</formula>
    </cfRule>
    <cfRule type="top10" dxfId="10256" priority="465" rank="10"/>
  </conditionalFormatting>
  <conditionalFormatting sqref="CF48:CI48">
    <cfRule type="cellIs" dxfId="10255" priority="464" operator="equal">
      <formula>1</formula>
    </cfRule>
  </conditionalFormatting>
  <conditionalFormatting sqref="CF37:CN37">
    <cfRule type="cellIs" dxfId="10254" priority="463" operator="equal">
      <formula>1</formula>
    </cfRule>
  </conditionalFormatting>
  <conditionalFormatting sqref="CF17:CT17">
    <cfRule type="cellIs" dxfId="10253" priority="476" operator="equal">
      <formula>1</formula>
    </cfRule>
  </conditionalFormatting>
  <conditionalFormatting sqref="CG30:CI30 CS23:CV23 CG23:CI23 CS30:CV30">
    <cfRule type="top10" dxfId="10252" priority="462" rank="10"/>
  </conditionalFormatting>
  <conditionalFormatting sqref="CG42:CI42 CS18:CV18 CG18:CI18 CG26:CI26 CG35:CI35 CG39:CI39 CS26:CV26 CS35:CV35 CS39:CV39 CS42:CV42">
    <cfRule type="top10" dxfId="10251" priority="461" rank="10"/>
  </conditionalFormatting>
  <conditionalFormatting sqref="CH30">
    <cfRule type="top10" dxfId="10250" priority="460" rank="10"/>
    <cfRule type="cellIs" dxfId="10249" priority="458" operator="equal">
      <formula>3</formula>
    </cfRule>
    <cfRule type="cellIs" dxfId="10248" priority="459" operator="equal">
      <formula>4</formula>
    </cfRule>
  </conditionalFormatting>
  <conditionalFormatting sqref="CH32">
    <cfRule type="cellIs" dxfId="10247" priority="457" operator="equal">
      <formula>1</formula>
    </cfRule>
    <cfRule type="cellIs" dxfId="10246" priority="456" operator="equal">
      <formula>4</formula>
    </cfRule>
    <cfRule type="cellIs" dxfId="10245" priority="455" operator="equal">
      <formula>4</formula>
    </cfRule>
  </conditionalFormatting>
  <conditionalFormatting sqref="CH19:CI19">
    <cfRule type="top10" dxfId="10244" priority="454" rank="10"/>
  </conditionalFormatting>
  <conditionalFormatting sqref="CH20:CI20">
    <cfRule type="top10" dxfId="10243" priority="453" rank="10"/>
  </conditionalFormatting>
  <conditionalFormatting sqref="CH21:CI22 BP21:BP23">
    <cfRule type="cellIs" dxfId="10242" priority="452" operator="equal">
      <formula>2</formula>
    </cfRule>
  </conditionalFormatting>
  <conditionalFormatting sqref="CH22:CI22">
    <cfRule type="top10" dxfId="10241" priority="451" rank="10"/>
  </conditionalFormatting>
  <conditionalFormatting sqref="CH24:CI24">
    <cfRule type="top10" dxfId="10240" priority="450" rank="10"/>
  </conditionalFormatting>
  <conditionalFormatting sqref="CH25:CI25">
    <cfRule type="top10" dxfId="10239" priority="449" rank="10"/>
  </conditionalFormatting>
  <conditionalFormatting sqref="CH27:CI27">
    <cfRule type="top10" dxfId="10238" priority="448" rank="10"/>
  </conditionalFormatting>
  <conditionalFormatting sqref="CH28:CI28 CI17 CH21:CI21 CH23:CI23 CH26:CI26 CH18:CI18">
    <cfRule type="top10" dxfId="10237" priority="447" rank="10"/>
  </conditionalFormatting>
  <conditionalFormatting sqref="CH29:CI29">
    <cfRule type="top10" dxfId="10236" priority="446" rank="10"/>
  </conditionalFormatting>
  <conditionalFormatting sqref="CH34:CI34">
    <cfRule type="cellIs" dxfId="10235" priority="441" operator="equal">
      <formula>3</formula>
    </cfRule>
    <cfRule type="cellIs" dxfId="10234" priority="442" operator="equal">
      <formula>2</formula>
    </cfRule>
    <cfRule type="cellIs" dxfId="10233" priority="444" operator="equal">
      <formula>4</formula>
    </cfRule>
    <cfRule type="cellIs" dxfId="10232" priority="445" operator="equal">
      <formula>1</formula>
    </cfRule>
    <cfRule type="top10" dxfId="10231" priority="443" rank="10"/>
  </conditionalFormatting>
  <conditionalFormatting sqref="CH48:CI48">
    <cfRule type="top10" dxfId="10230" priority="439" rank="10"/>
    <cfRule type="cellIs" dxfId="10229" priority="440" operator="equal">
      <formula>4</formula>
    </cfRule>
  </conditionalFormatting>
  <conditionalFormatting sqref="CI48">
    <cfRule type="top10" dxfId="10228" priority="438" rank="10"/>
  </conditionalFormatting>
  <conditionalFormatting sqref="CJ19">
    <cfRule type="top10" dxfId="10227" priority="437" rank="10"/>
  </conditionalFormatting>
  <conditionalFormatting sqref="CJ37">
    <cfRule type="cellIs" dxfId="10226" priority="436" operator="equal">
      <formula>4</formula>
    </cfRule>
    <cfRule type="cellIs" dxfId="10225" priority="435" operator="equal">
      <formula>3</formula>
    </cfRule>
    <cfRule type="top10" dxfId="10224" priority="434" rank="10"/>
  </conditionalFormatting>
  <conditionalFormatting sqref="CJ35:CM35">
    <cfRule type="cellIs" dxfId="10223" priority="433" operator="equal">
      <formula>1</formula>
    </cfRule>
    <cfRule type="top10" dxfId="10222" priority="432" rank="10"/>
    <cfRule type="cellIs" dxfId="10221" priority="431" operator="equal">
      <formula>1</formula>
    </cfRule>
    <cfRule type="top10" dxfId="10220" priority="430" rank="10"/>
  </conditionalFormatting>
  <conditionalFormatting sqref="CJ17:CN119">
    <cfRule type="top10" dxfId="10219" priority="3" rank="10"/>
    <cfRule type="top10" dxfId="10218" priority="2" rank="10"/>
    <cfRule type="top10" dxfId="10217" priority="4" rank="10"/>
  </conditionalFormatting>
  <conditionalFormatting sqref="CJ22:CN22">
    <cfRule type="top10" dxfId="10216" priority="429" rank="10"/>
    <cfRule type="top10" dxfId="10215" priority="428" rank="10"/>
  </conditionalFormatting>
  <conditionalFormatting sqref="CJ37:CN37">
    <cfRule type="top10" dxfId="10214" priority="427" rank="10"/>
    <cfRule type="cellIs" dxfId="10213" priority="426" operator="equal">
      <formula>1</formula>
    </cfRule>
    <cfRule type="top10" dxfId="10212" priority="425" rank="10"/>
  </conditionalFormatting>
  <conditionalFormatting sqref="CJ42:CN42">
    <cfRule type="top10" dxfId="10211" priority="424" rank="10"/>
    <cfRule type="cellIs" dxfId="10210" priority="423" operator="equal">
      <formula>3</formula>
    </cfRule>
    <cfRule type="cellIs" dxfId="10209" priority="422" operator="equal">
      <formula>4</formula>
    </cfRule>
    <cfRule type="top10" dxfId="10208" priority="421" rank="10"/>
    <cfRule type="top10" dxfId="10207" priority="420" rank="10"/>
    <cfRule type="cellIs" dxfId="10206" priority="419" operator="equal">
      <formula>4</formula>
    </cfRule>
    <cfRule type="cellIs" dxfId="10205" priority="418" operator="equal">
      <formula>1</formula>
    </cfRule>
  </conditionalFormatting>
  <conditionalFormatting sqref="CJ43:CN119">
    <cfRule type="top10" dxfId="10204" priority="55" rank="10"/>
  </conditionalFormatting>
  <conditionalFormatting sqref="CJ120:CN125">
    <cfRule type="top10" dxfId="10203" priority="320818" rank="10"/>
    <cfRule type="top10" dxfId="10202" priority="320820" rank="10"/>
    <cfRule type="top10" dxfId="10201" priority="320821" rank="10"/>
    <cfRule type="top10" dxfId="10200" priority="320822" rank="10"/>
  </conditionalFormatting>
  <conditionalFormatting sqref="CJ17:CR58 J18:T25 AG18:AH37 U18:AF43 AI18:AN43 AQ18:BB48 BF18:BG48 BK18:BL48 BN18:BN48 E19:G29 BQ19:BS43 BT19:CI48 DR21:DS42 AO24:AP43 DJ25:DJ26 J26:Q35 R26:T42 BC26:BE42 BH26:BJ42 BM26:BM42 BO26:BP42 CS30:DQ36 H31:I35 E31:G40 E44:AP47 BC44:BE47 CS49:DT58 E59:DT119">
    <cfRule type="cellIs" dxfId="10199" priority="2835" operator="equal">
      <formula>3</formula>
    </cfRule>
  </conditionalFormatting>
  <conditionalFormatting sqref="CK36:CM36">
    <cfRule type="cellIs" dxfId="10198" priority="417" operator="equal">
      <formula>1</formula>
    </cfRule>
    <cfRule type="top10" dxfId="10197" priority="416" rank="10"/>
    <cfRule type="cellIs" dxfId="10196" priority="415" operator="equal">
      <formula>1</formula>
    </cfRule>
    <cfRule type="top10" dxfId="10195" priority="414" rank="10"/>
  </conditionalFormatting>
  <conditionalFormatting sqref="CK135:CO138">
    <cfRule type="top10" dxfId="10194" priority="3463" rank="10"/>
    <cfRule type="cellIs" dxfId="10193" priority="3464" operator="equal">
      <formula>4</formula>
    </cfRule>
    <cfRule type="cellIs" dxfId="10192" priority="3465" operator="equal">
      <formula>3</formula>
    </cfRule>
    <cfRule type="cellIs" dxfId="10191" priority="3466" operator="equal">
      <formula>1</formula>
    </cfRule>
  </conditionalFormatting>
  <conditionalFormatting sqref="CL21">
    <cfRule type="top10" dxfId="10190" priority="413" rank="10"/>
    <cfRule type="top10" dxfId="10189" priority="412" rank="10"/>
  </conditionalFormatting>
  <conditionalFormatting sqref="CL28:CM28">
    <cfRule type="cellIs" dxfId="10188" priority="409" operator="equal">
      <formula>3</formula>
    </cfRule>
    <cfRule type="cellIs" dxfId="10187" priority="408" operator="equal">
      <formula>4</formula>
    </cfRule>
    <cfRule type="top10" dxfId="10186" priority="410" rank="10"/>
    <cfRule type="cellIs" dxfId="10185" priority="411" operator="equal">
      <formula>1</formula>
    </cfRule>
  </conditionalFormatting>
  <conditionalFormatting sqref="CL44:CM44">
    <cfRule type="top10" dxfId="10184" priority="407" rank="10"/>
    <cfRule type="cellIs" dxfId="10183" priority="406" operator="equal">
      <formula>3</formula>
    </cfRule>
    <cfRule type="top10" dxfId="10182" priority="405" rank="10"/>
    <cfRule type="top10" dxfId="10181" priority="404" rank="10"/>
    <cfRule type="cellIs" dxfId="10180" priority="403" operator="equal">
      <formula>4</formula>
    </cfRule>
    <cfRule type="cellIs" dxfId="10179" priority="402" operator="equal">
      <formula>1</formula>
    </cfRule>
  </conditionalFormatting>
  <conditionalFormatting sqref="CL46:CM46">
    <cfRule type="top10" dxfId="10178" priority="401" rank="10"/>
    <cfRule type="cellIs" dxfId="10177" priority="400" operator="equal">
      <formula>3</formula>
    </cfRule>
    <cfRule type="cellIs" dxfId="10176" priority="399" operator="equal">
      <formula>4</formula>
    </cfRule>
    <cfRule type="top10" dxfId="10175" priority="398" rank="10"/>
    <cfRule type="top10" dxfId="10174" priority="397" rank="10"/>
  </conditionalFormatting>
  <conditionalFormatting sqref="CL46:CM47">
    <cfRule type="cellIs" dxfId="10173" priority="396" operator="equal">
      <formula>4</formula>
    </cfRule>
    <cfRule type="cellIs" dxfId="10172" priority="395" operator="equal">
      <formula>1</formula>
    </cfRule>
  </conditionalFormatting>
  <conditionalFormatting sqref="CL47:CM47">
    <cfRule type="top10" dxfId="10171" priority="394" rank="10"/>
    <cfRule type="cellIs" dxfId="10170" priority="393" operator="equal">
      <formula>3</formula>
    </cfRule>
    <cfRule type="top10" dxfId="10169" priority="392" rank="10"/>
    <cfRule type="top10" dxfId="10168" priority="391" rank="10"/>
    <cfRule type="cellIs" dxfId="10167" priority="390" operator="equal">
      <formula>4</formula>
    </cfRule>
  </conditionalFormatting>
  <conditionalFormatting sqref="CM32 CM38">
    <cfRule type="cellIs" dxfId="10166" priority="388" operator="equal">
      <formula>4</formula>
    </cfRule>
    <cfRule type="cellIs" dxfId="10165" priority="387" operator="equal">
      <formula>1</formula>
    </cfRule>
    <cfRule type="cellIs" dxfId="10164" priority="389" operator="equal">
      <formula>3</formula>
    </cfRule>
  </conditionalFormatting>
  <conditionalFormatting sqref="CM38 CM32">
    <cfRule type="top10" dxfId="10163" priority="386" rank="10"/>
  </conditionalFormatting>
  <conditionalFormatting sqref="CM39">
    <cfRule type="cellIs" dxfId="10162" priority="385" operator="equal">
      <formula>3</formula>
    </cfRule>
    <cfRule type="cellIs" dxfId="10161" priority="384" operator="equal">
      <formula>4</formula>
    </cfRule>
    <cfRule type="top10" dxfId="10160" priority="382" rank="10"/>
    <cfRule type="cellIs" dxfId="10159" priority="383" operator="equal">
      <formula>1</formula>
    </cfRule>
  </conditionalFormatting>
  <conditionalFormatting sqref="CN35">
    <cfRule type="cellIs" dxfId="10158" priority="381" operator="equal">
      <formula>1</formula>
    </cfRule>
    <cfRule type="top10" dxfId="10157" priority="380" rank="10"/>
    <cfRule type="top10" dxfId="10156" priority="379" rank="10"/>
  </conditionalFormatting>
  <conditionalFormatting sqref="CN37">
    <cfRule type="cellIs" dxfId="10155" priority="378" operator="equal">
      <formula>4</formula>
    </cfRule>
    <cfRule type="cellIs" dxfId="10154" priority="377" operator="equal">
      <formula>3</formula>
    </cfRule>
    <cfRule type="top10" dxfId="10153" priority="376" rank="10"/>
  </conditionalFormatting>
  <conditionalFormatting sqref="CN38">
    <cfRule type="cellIs" dxfId="10152" priority="375" operator="equal">
      <formula>4</formula>
    </cfRule>
    <cfRule type="cellIs" dxfId="10151" priority="374" operator="equal">
      <formula>3</formula>
    </cfRule>
    <cfRule type="top10" dxfId="10150" priority="373" rank="10"/>
  </conditionalFormatting>
  <conditionalFormatting sqref="CO19">
    <cfRule type="top10" dxfId="10149" priority="372" rank="10"/>
  </conditionalFormatting>
  <conditionalFormatting sqref="CO37">
    <cfRule type="cellIs" dxfId="10148" priority="371" operator="equal">
      <formula>4</formula>
    </cfRule>
    <cfRule type="cellIs" dxfId="10147" priority="370" operator="equal">
      <formula>3</formula>
    </cfRule>
    <cfRule type="top10" dxfId="10146" priority="369" rank="10"/>
  </conditionalFormatting>
  <conditionalFormatting sqref="CO35:CQ35">
    <cfRule type="top10" dxfId="10145" priority="367" rank="10"/>
    <cfRule type="cellIs" dxfId="10144" priority="366" operator="equal">
      <formula>1</formula>
    </cfRule>
    <cfRule type="top10" dxfId="10143" priority="365" rank="10"/>
    <cfRule type="cellIs" dxfId="10142" priority="368" operator="equal">
      <formula>1</formula>
    </cfRule>
  </conditionalFormatting>
  <conditionalFormatting sqref="CO22:CR22">
    <cfRule type="top10" dxfId="10141" priority="364" rank="10"/>
    <cfRule type="top10" dxfId="10140" priority="363" rank="10"/>
  </conditionalFormatting>
  <conditionalFormatting sqref="CO37:CR37">
    <cfRule type="cellIs" dxfId="10139" priority="360" operator="equal">
      <formula>1</formula>
    </cfRule>
    <cfRule type="top10" dxfId="10138" priority="359" rank="10"/>
    <cfRule type="cellIs" dxfId="10137" priority="362" operator="equal">
      <formula>1</formula>
    </cfRule>
    <cfRule type="top10" dxfId="10136" priority="361" rank="10"/>
  </conditionalFormatting>
  <conditionalFormatting sqref="CO120:CR125">
    <cfRule type="top10" dxfId="10135" priority="320776" rank="10"/>
    <cfRule type="top10" dxfId="10134" priority="320769" rank="10"/>
    <cfRule type="top10" dxfId="10133" priority="320768" rank="10"/>
    <cfRule type="top10" dxfId="10132" priority="320767" rank="10"/>
  </conditionalFormatting>
  <conditionalFormatting sqref="CP30">
    <cfRule type="top10" dxfId="10131" priority="358" rank="10"/>
  </conditionalFormatting>
  <conditionalFormatting sqref="CP35">
    <cfRule type="top10" dxfId="10130" priority="357" rank="10"/>
  </conditionalFormatting>
  <conditionalFormatting sqref="CP38">
    <cfRule type="cellIs" dxfId="10129" priority="356" operator="equal">
      <formula>1</formula>
    </cfRule>
    <cfRule type="top10" dxfId="10128" priority="355" rank="10"/>
  </conditionalFormatting>
  <conditionalFormatting sqref="CP28:CQ28">
    <cfRule type="cellIs" dxfId="10127" priority="354" operator="equal">
      <formula>1</formula>
    </cfRule>
    <cfRule type="top10" dxfId="10126" priority="353" rank="10"/>
    <cfRule type="cellIs" dxfId="10125" priority="352" operator="equal">
      <formula>3</formula>
    </cfRule>
    <cfRule type="cellIs" dxfId="10124" priority="351" operator="equal">
      <formula>4</formula>
    </cfRule>
  </conditionalFormatting>
  <conditionalFormatting sqref="CP31:CQ31">
    <cfRule type="cellIs" dxfId="10123" priority="350" operator="equal">
      <formula>3</formula>
    </cfRule>
    <cfRule type="cellIs" dxfId="10122" priority="349" operator="equal">
      <formula>4</formula>
    </cfRule>
  </conditionalFormatting>
  <conditionalFormatting sqref="CP35:CQ35">
    <cfRule type="top10" dxfId="10121" priority="348" rank="10"/>
  </conditionalFormatting>
  <conditionalFormatting sqref="CP36:CQ36">
    <cfRule type="cellIs" dxfId="10120" priority="347" operator="equal">
      <formula>1</formula>
    </cfRule>
    <cfRule type="top10" dxfId="10119" priority="346" rank="10"/>
    <cfRule type="cellIs" dxfId="10118" priority="345" operator="equal">
      <formula>1</formula>
    </cfRule>
    <cfRule type="top10" dxfId="10117" priority="344" rank="10"/>
  </conditionalFormatting>
  <conditionalFormatting sqref="CP135:CS138">
    <cfRule type="cellIs" dxfId="10116" priority="3386" operator="equal">
      <formula>1</formula>
    </cfRule>
    <cfRule type="cellIs" dxfId="10115" priority="3385" operator="equal">
      <formula>3</formula>
    </cfRule>
    <cfRule type="cellIs" dxfId="10114" priority="3384" operator="equal">
      <formula>4</formula>
    </cfRule>
    <cfRule type="top10" dxfId="10113" priority="3383" rank="10"/>
  </conditionalFormatting>
  <conditionalFormatting sqref="CQ28">
    <cfRule type="top10" dxfId="10112" priority="343" rank="10"/>
  </conditionalFormatting>
  <conditionalFormatting sqref="CQ30">
    <cfRule type="top10" dxfId="10111" priority="342" rank="10"/>
  </conditionalFormatting>
  <conditionalFormatting sqref="CQ38">
    <cfRule type="cellIs" dxfId="10110" priority="341" operator="equal">
      <formula>1</formula>
    </cfRule>
    <cfRule type="top10" dxfId="10109" priority="340" rank="10"/>
  </conditionalFormatting>
  <conditionalFormatting sqref="CR35">
    <cfRule type="top10" dxfId="10108" priority="338" rank="10"/>
    <cfRule type="top10" dxfId="10107" priority="337" rank="10"/>
    <cfRule type="cellIs" dxfId="10106" priority="339" operator="equal">
      <formula>1</formula>
    </cfRule>
  </conditionalFormatting>
  <conditionalFormatting sqref="CR37">
    <cfRule type="cellIs" dxfId="10105" priority="336" operator="equal">
      <formula>4</formula>
    </cfRule>
    <cfRule type="cellIs" dxfId="10104" priority="335" operator="equal">
      <formula>3</formula>
    </cfRule>
    <cfRule type="top10" dxfId="10103" priority="334" rank="10"/>
  </conditionalFormatting>
  <conditionalFormatting sqref="CR38">
    <cfRule type="cellIs" dxfId="10102" priority="333" operator="equal">
      <formula>4</formula>
    </cfRule>
    <cfRule type="cellIs" dxfId="10101" priority="332" operator="equal">
      <formula>3</formula>
    </cfRule>
    <cfRule type="top10" dxfId="10100" priority="331" rank="10"/>
  </conditionalFormatting>
  <conditionalFormatting sqref="CS19">
    <cfRule type="top10" dxfId="10099" priority="330" rank="10"/>
  </conditionalFormatting>
  <conditionalFormatting sqref="CS20">
    <cfRule type="top10" dxfId="10098" priority="329" rank="10"/>
    <cfRule type="cellIs" dxfId="10097" priority="328" operator="equal">
      <formula>3</formula>
    </cfRule>
  </conditionalFormatting>
  <conditionalFormatting sqref="CS20:CS23">
    <cfRule type="cellIs" dxfId="10096" priority="327" operator="equal">
      <formula>1</formula>
    </cfRule>
  </conditionalFormatting>
  <conditionalFormatting sqref="CS22">
    <cfRule type="cellIs" dxfId="10095" priority="325" operator="equal">
      <formula>3</formula>
    </cfRule>
    <cfRule type="top10" dxfId="10094" priority="326" rank="10"/>
  </conditionalFormatting>
  <conditionalFormatting sqref="CS24">
    <cfRule type="top10" dxfId="10093" priority="324" rank="10"/>
  </conditionalFormatting>
  <conditionalFormatting sqref="CS25">
    <cfRule type="top10" dxfId="10092" priority="323" rank="10"/>
  </conditionalFormatting>
  <conditionalFormatting sqref="CS27">
    <cfRule type="cellIs" dxfId="10091" priority="321" operator="equal">
      <formula>3</formula>
    </cfRule>
    <cfRule type="top10" dxfId="10090" priority="322" rank="10"/>
  </conditionalFormatting>
  <conditionalFormatting sqref="CS28 CS26 CS21 CS23 CS17:CS18">
    <cfRule type="top10" dxfId="10089" priority="320" rank="10"/>
  </conditionalFormatting>
  <conditionalFormatting sqref="CS29">
    <cfRule type="cellIs" dxfId="10088" priority="317" operator="equal">
      <formula>3</formula>
    </cfRule>
    <cfRule type="top10" dxfId="10087" priority="318" rank="10"/>
    <cfRule type="cellIs" dxfId="10086" priority="319" operator="equal">
      <formula>1</formula>
    </cfRule>
  </conditionalFormatting>
  <conditionalFormatting sqref="CS33">
    <cfRule type="top10" dxfId="10085" priority="45" rank="10"/>
    <cfRule type="cellIs" dxfId="10084" priority="47" operator="equal">
      <formula>4</formula>
    </cfRule>
    <cfRule type="cellIs" dxfId="10083" priority="46" operator="equal">
      <formula>3</formula>
    </cfRule>
    <cfRule type="cellIs" dxfId="10082" priority="48" operator="equal">
      <formula>1</formula>
    </cfRule>
  </conditionalFormatting>
  <conditionalFormatting sqref="CS39:CS40 CF42:CI42 CF39:CI40 CS42">
    <cfRule type="top10" dxfId="10081" priority="316" rank="10"/>
  </conditionalFormatting>
  <conditionalFormatting sqref="CS41 CF41:CI41">
    <cfRule type="top10" dxfId="10080" priority="315" rank="10"/>
  </conditionalFormatting>
  <conditionalFormatting sqref="CS48">
    <cfRule type="cellIs" dxfId="10079" priority="314" operator="equal">
      <formula>1</formula>
    </cfRule>
    <cfRule type="top10" dxfId="10078" priority="313" rank="10"/>
  </conditionalFormatting>
  <conditionalFormatting sqref="CS17:CV17 CG17:CI17">
    <cfRule type="top10" dxfId="10077" priority="312" rank="10"/>
  </conditionalFormatting>
  <conditionalFormatting sqref="CS19:CV19">
    <cfRule type="top10" dxfId="10076" priority="311" rank="10"/>
  </conditionalFormatting>
  <conditionalFormatting sqref="CS20:CV20 CF20:CI20">
    <cfRule type="top10" dxfId="10075" priority="310" rank="10"/>
  </conditionalFormatting>
  <conditionalFormatting sqref="CS21:CV24">
    <cfRule type="cellIs" dxfId="10074" priority="309" operator="equal">
      <formula>2</formula>
    </cfRule>
  </conditionalFormatting>
  <conditionalFormatting sqref="CS22:CV22 CG22:CI22">
    <cfRule type="top10" dxfId="10073" priority="308" rank="10"/>
  </conditionalFormatting>
  <conditionalFormatting sqref="CS24:CV24 CF24:CI24">
    <cfRule type="top10" dxfId="10072" priority="307" rank="10"/>
  </conditionalFormatting>
  <conditionalFormatting sqref="CS24:CV24">
    <cfRule type="cellIs" dxfId="10071" priority="306" operator="equal">
      <formula>3</formula>
    </cfRule>
  </conditionalFormatting>
  <conditionalFormatting sqref="CS25:CV25 CG25:CI25">
    <cfRule type="top10" dxfId="10070" priority="305" rank="10"/>
  </conditionalFormatting>
  <conditionalFormatting sqref="CS27:CV27 CF27:CI27">
    <cfRule type="top10" dxfId="10069" priority="304" rank="10"/>
  </conditionalFormatting>
  <conditionalFormatting sqref="CS29:CV29 CF29:CI29">
    <cfRule type="top10" dxfId="10068" priority="303" rank="10"/>
  </conditionalFormatting>
  <conditionalFormatting sqref="CS31:CV31 CG31:CI31">
    <cfRule type="top10" dxfId="10067" priority="302" rank="10"/>
  </conditionalFormatting>
  <conditionalFormatting sqref="CS33:CV33 CF33:CI33">
    <cfRule type="top10" dxfId="10066" priority="44" rank="10"/>
    <cfRule type="top10" dxfId="10065" priority="43" rank="10"/>
  </conditionalFormatting>
  <conditionalFormatting sqref="CS33:CV33">
    <cfRule type="top10" dxfId="10064" priority="42" rank="10"/>
  </conditionalFormatting>
  <conditionalFormatting sqref="CS36:CV36 CF36:CI36">
    <cfRule type="top10" dxfId="10063" priority="301" rank="10"/>
  </conditionalFormatting>
  <conditionalFormatting sqref="CS37:CV37 CG37:CI37">
    <cfRule type="top10" dxfId="10062" priority="300" rank="10"/>
  </conditionalFormatting>
  <conditionalFormatting sqref="CS41:CV41 CF41:CI41">
    <cfRule type="top10" dxfId="10061" priority="299" rank="10"/>
  </conditionalFormatting>
  <conditionalFormatting sqref="CS44:CV45 CF40:CI40 CF21:CI21 CF28:CI28 CF32:CI34 CF38:CI38 CS28:CV28 CS21:CV21 CS38:CV38 CS32:CV34 CS40:CV40">
    <cfRule type="top10" dxfId="10060" priority="298" rank="10"/>
  </conditionalFormatting>
  <conditionalFormatting sqref="CS46:CV47">
    <cfRule type="cellIs" dxfId="10059" priority="297" operator="equal">
      <formula>1</formula>
    </cfRule>
    <cfRule type="top10" dxfId="10058" priority="296" rank="10"/>
  </conditionalFormatting>
  <conditionalFormatting sqref="CS48:CV48 CF48:CI48">
    <cfRule type="top10" dxfId="10057" priority="295" rank="10"/>
  </conditionalFormatting>
  <conditionalFormatting sqref="CS47:CY47">
    <cfRule type="top10" dxfId="10056" priority="293" rank="10"/>
  </conditionalFormatting>
  <conditionalFormatting sqref="CS44:DA45 DR36:DS36 CW40:DA40 CW32:DA34 DR27:DS29 DR40:DS41 DK17:DQ18 CW21:DA21 DK23:DQ23 DK26:DQ26 CW28:DA28 DK30:DQ30 DK35:DQ35 CW38:DA38 DK39:DQ40 DK42:DQ42 DD44:DT45 DD28:DQ28 DD21:DS21 DD38:DS38 DD32:DS34 DD40:DJ40 DR24:DS24 DS22 DR19:DS19">
    <cfRule type="top10" dxfId="10055" priority="292" rank="10"/>
  </conditionalFormatting>
  <conditionalFormatting sqref="CS47:DA47">
    <cfRule type="cellIs" dxfId="10054" priority="294" operator="equal">
      <formula>1</formula>
    </cfRule>
  </conditionalFormatting>
  <conditionalFormatting sqref="CS17:DS20 AO18:AP21 BC18:BE24 BH18:BJ24 BM18:BM24 H19:I24 BO19:BP24 H36:H42 I36:Q43 DD37:DQ42 CS37:DC43 AG38:AH43 E42:G43 BH44:BJ48 BM44:BM48 BO44:BS48">
    <cfRule type="cellIs" dxfId="10053" priority="291" operator="equal">
      <formula>3</formula>
    </cfRule>
  </conditionalFormatting>
  <conditionalFormatting sqref="CS43:DT43">
    <cfRule type="cellIs" dxfId="10052" priority="290" operator="equal">
      <formula>4</formula>
    </cfRule>
  </conditionalFormatting>
  <conditionalFormatting sqref="CT17:CV17">
    <cfRule type="cellIs" dxfId="10051" priority="289" operator="equal">
      <formula>1</formula>
    </cfRule>
    <cfRule type="top10" dxfId="10050" priority="288" rank="10"/>
  </conditionalFormatting>
  <conditionalFormatting sqref="CT18:CV18 BW21:CI21 BW27:CI28">
    <cfRule type="cellIs" dxfId="10049" priority="287" operator="equal">
      <formula>1</formula>
    </cfRule>
  </conditionalFormatting>
  <conditionalFormatting sqref="CT19:CV19">
    <cfRule type="top10" dxfId="10048" priority="286" rank="10"/>
  </conditionalFormatting>
  <conditionalFormatting sqref="CT20:CV20">
    <cfRule type="top10" dxfId="10047" priority="285" rank="10"/>
  </conditionalFormatting>
  <conditionalFormatting sqref="CT22:CV22">
    <cfRule type="top10" dxfId="10046" priority="284" rank="10"/>
  </conditionalFormatting>
  <conditionalFormatting sqref="CT24:CV24">
    <cfRule type="top10" dxfId="10045" priority="283" rank="10"/>
  </conditionalFormatting>
  <conditionalFormatting sqref="CT25:CV25">
    <cfRule type="top10" dxfId="10044" priority="282" rank="10"/>
  </conditionalFormatting>
  <conditionalFormatting sqref="CT27:CV27">
    <cfRule type="top10" dxfId="10043" priority="281" rank="10"/>
  </conditionalFormatting>
  <conditionalFormatting sqref="CT28:CV28 CT26:CV26 CT21:CV21 CT23:CV23 CT18:CV18">
    <cfRule type="top10" dxfId="10042" priority="280" rank="10"/>
  </conditionalFormatting>
  <conditionalFormatting sqref="CT29:CV29">
    <cfRule type="top10" dxfId="10041" priority="279" rank="10"/>
  </conditionalFormatting>
  <conditionalFormatting sqref="CT48:CV48">
    <cfRule type="top10" dxfId="10040" priority="277" rank="10"/>
  </conditionalFormatting>
  <conditionalFormatting sqref="CT48:DC48">
    <cfRule type="cellIs" dxfId="10039" priority="278" operator="equal">
      <formula>1</formula>
    </cfRule>
  </conditionalFormatting>
  <conditionalFormatting sqref="CU17:CV119">
    <cfRule type="top10" dxfId="10038" priority="1" rank="10"/>
  </conditionalFormatting>
  <conditionalFormatting sqref="CU120:CV125">
    <cfRule type="top10" dxfId="10037" priority="320826" rank="10"/>
  </conditionalFormatting>
  <conditionalFormatting sqref="CW30 CW23 DD23:DE23 DD30:DE30 DR23 DR30">
    <cfRule type="top10" dxfId="10036" priority="276" rank="10"/>
  </conditionalFormatting>
  <conditionalFormatting sqref="CW42 CW39 DG18 CW18 CW26 CW35 CY18:DA18 CY26:DA26 CY35:DA35 CY39:DA39 CY42:DA42 DG26 DG35 DG39 DG42 DI18:DJ18 DI26:DJ26 DI35:DJ35 DI39:DJ39 DI42:DJ42 DR42:DS42 DR39:DS39 DR35:DS35 DR31:DS31 DR26:DS26 DR18:DS18 DD42:DE42 DD39:DE39 DD35:DE35 DD26:DE26 DD18:DE18">
    <cfRule type="top10" dxfId="10035" priority="275" rank="10"/>
  </conditionalFormatting>
  <conditionalFormatting sqref="CW24:CY25">
    <cfRule type="cellIs" dxfId="10034" priority="274" operator="equal">
      <formula>1</formula>
    </cfRule>
  </conditionalFormatting>
  <conditionalFormatting sqref="CW17:DA17 DD17:DS17">
    <cfRule type="cellIs" dxfId="10033" priority="273" operator="equal">
      <formula>1</formula>
    </cfRule>
  </conditionalFormatting>
  <conditionalFormatting sqref="CW19:DA19">
    <cfRule type="top10" dxfId="10032" priority="272" rank="10"/>
  </conditionalFormatting>
  <conditionalFormatting sqref="CW41:DA41 DD41:DQ41">
    <cfRule type="top10" dxfId="10031" priority="271" rank="10"/>
  </conditionalFormatting>
  <conditionalFormatting sqref="CW48:DA48 DD48:DS48">
    <cfRule type="top10" dxfId="10030" priority="270" rank="10"/>
  </conditionalFormatting>
  <conditionalFormatting sqref="CX23:CY23 CX30:CY30">
    <cfRule type="cellIs" dxfId="10029" priority="269" operator="equal">
      <formula>1</formula>
    </cfRule>
  </conditionalFormatting>
  <conditionalFormatting sqref="CX25:CY25">
    <cfRule type="cellIs" dxfId="10028" priority="268" operator="equal">
      <formula>4</formula>
    </cfRule>
  </conditionalFormatting>
  <conditionalFormatting sqref="CY30:DA30 CY23:DA23 DG23 DG30 DS23 DS30 DI30:DJ30 DI23:DJ23">
    <cfRule type="top10" dxfId="10027" priority="267" rank="10"/>
  </conditionalFormatting>
  <conditionalFormatting sqref="CZ33">
    <cfRule type="cellIs" dxfId="10026" priority="265" operator="equal">
      <formula>4</formula>
    </cfRule>
    <cfRule type="cellIs" dxfId="10025" priority="264" operator="equal">
      <formula>4</formula>
    </cfRule>
    <cfRule type="cellIs" dxfId="10024" priority="266" operator="equal">
      <formula>1</formula>
    </cfRule>
  </conditionalFormatting>
  <conditionalFormatting sqref="CZ47">
    <cfRule type="top10" dxfId="10023" priority="263" rank="10"/>
    <cfRule type="cellIs" dxfId="10022" priority="262" operator="equal">
      <formula>4</formula>
    </cfRule>
  </conditionalFormatting>
  <conditionalFormatting sqref="CZ19:DA19">
    <cfRule type="top10" dxfId="10021" priority="261" rank="10"/>
  </conditionalFormatting>
  <conditionalFormatting sqref="CZ20:DA20 DD20:DJ20">
    <cfRule type="top10" dxfId="10020" priority="260" rank="10"/>
  </conditionalFormatting>
  <conditionalFormatting sqref="CZ22:DA22 DD22:DJ22">
    <cfRule type="top10" dxfId="10019" priority="259" rank="10"/>
  </conditionalFormatting>
  <conditionalFormatting sqref="CZ24:DA24 CH24:CI24">
    <cfRule type="cellIs" dxfId="10018" priority="258" operator="equal">
      <formula>3</formula>
    </cfRule>
  </conditionalFormatting>
  <conditionalFormatting sqref="CZ24:DA24 DD24:DJ24">
    <cfRule type="top10" dxfId="10017" priority="257" rank="10"/>
  </conditionalFormatting>
  <conditionalFormatting sqref="CZ25:DA25">
    <cfRule type="top10" dxfId="10016" priority="256" rank="10"/>
  </conditionalFormatting>
  <conditionalFormatting sqref="CZ27:DA27 DD27:DI27">
    <cfRule type="top10" dxfId="10015" priority="255" rank="10"/>
  </conditionalFormatting>
  <conditionalFormatting sqref="CZ28:DA28 DR17 CZ21:DA21 CZ23:DA23 CZ26:DA26 DD28:DI28 DD26:DI26 DD21:DJ21 DD17:DJ17 DD18:DI18 CZ17:DA18 DD23:DJ23">
    <cfRule type="top10" dxfId="10014" priority="254" rank="10"/>
  </conditionalFormatting>
  <conditionalFormatting sqref="CZ29:DA29 DH29:DI29 DD29:DF29">
    <cfRule type="top10" dxfId="10013" priority="253" rank="10"/>
  </conditionalFormatting>
  <conditionalFormatting sqref="CZ29:DA29">
    <cfRule type="cellIs" dxfId="10012" priority="252" operator="equal">
      <formula>1</formula>
    </cfRule>
  </conditionalFormatting>
  <conditionalFormatting sqref="CZ31:DA31">
    <cfRule type="cellIs" dxfId="10011" priority="251" operator="equal">
      <formula>1</formula>
    </cfRule>
    <cfRule type="cellIs" dxfId="10010" priority="250" operator="equal">
      <formula>4</formula>
    </cfRule>
    <cfRule type="cellIs" dxfId="10009" priority="249" operator="equal">
      <formula>4</formula>
    </cfRule>
  </conditionalFormatting>
  <conditionalFormatting sqref="CZ42:DA46">
    <cfRule type="cellIs" dxfId="10008" priority="248" operator="equal">
      <formula>2</formula>
    </cfRule>
  </conditionalFormatting>
  <conditionalFormatting sqref="CZ48:DA48 DD48:DI48">
    <cfRule type="top10" dxfId="10007" priority="247" rank="10"/>
  </conditionalFormatting>
  <conditionalFormatting sqref="CZ18:DB18 DB35 DB39 DB42">
    <cfRule type="cellIs" dxfId="10006" priority="246" operator="equal">
      <formula>1</formula>
    </cfRule>
  </conditionalFormatting>
  <conditionalFormatting sqref="DA17">
    <cfRule type="cellIs" dxfId="10005" priority="245" operator="equal">
      <formula>1</formula>
    </cfRule>
    <cfRule type="top10" dxfId="10004" priority="244" rank="10"/>
  </conditionalFormatting>
  <conditionalFormatting sqref="DA33:DA34 CW33:CY33 DD34:DF34 DD33:DE33">
    <cfRule type="top10" dxfId="10003" priority="39" rank="10"/>
    <cfRule type="top10" dxfId="10002" priority="40" rank="10"/>
    <cfRule type="top10" dxfId="10001" priority="41" rank="10"/>
  </conditionalFormatting>
  <conditionalFormatting sqref="DA47 DD47:DT47">
    <cfRule type="top10" dxfId="10000" priority="243" rank="10"/>
  </conditionalFormatting>
  <conditionalFormatting sqref="DA17:DC17 BR17:CE17 BH18:BJ19 BO18:BO19 AP23:AP24 BW23:CE24 F25 H25:I25 R23:R25 BC25:BE25">
    <cfRule type="cellIs" dxfId="9999" priority="242" operator="equal">
      <formula>1</formula>
    </cfRule>
  </conditionalFormatting>
  <conditionalFormatting sqref="DB17">
    <cfRule type="cellIs" dxfId="9998" priority="240" operator="equal">
      <formula>1</formula>
    </cfRule>
    <cfRule type="top10" dxfId="9997" priority="241" rank="10"/>
  </conditionalFormatting>
  <conditionalFormatting sqref="DB18">
    <cfRule type="cellIs" dxfId="9996" priority="239" operator="equal">
      <formula>3</formula>
    </cfRule>
    <cfRule type="cellIs" dxfId="9995" priority="238" operator="equal">
      <formula>4</formula>
    </cfRule>
  </conditionalFormatting>
  <conditionalFormatting sqref="DB22">
    <cfRule type="top10" dxfId="9994" priority="237" rank="10"/>
  </conditionalFormatting>
  <conditionalFormatting sqref="DB24">
    <cfRule type="cellIs" dxfId="9993" priority="236" operator="equal">
      <formula>1</formula>
    </cfRule>
    <cfRule type="cellIs" dxfId="9992" priority="235" operator="equal">
      <formula>4</formula>
    </cfRule>
    <cfRule type="cellIs" dxfId="9991" priority="234" operator="equal">
      <formula>4</formula>
    </cfRule>
  </conditionalFormatting>
  <conditionalFormatting sqref="DB25">
    <cfRule type="top10" dxfId="9990" priority="233" rank="10"/>
  </conditionalFormatting>
  <conditionalFormatting sqref="DB26 DB23">
    <cfRule type="cellIs" dxfId="9989" priority="232" operator="equal">
      <formula>1</formula>
    </cfRule>
  </conditionalFormatting>
  <conditionalFormatting sqref="DB26">
    <cfRule type="cellIs" dxfId="9988" priority="231" operator="equal">
      <formula>4</formula>
    </cfRule>
    <cfRule type="cellIs" dxfId="9987" priority="230" operator="equal">
      <formula>1</formula>
    </cfRule>
    <cfRule type="cellIs" dxfId="9986" priority="229" operator="equal">
      <formula>4</formula>
    </cfRule>
    <cfRule type="cellIs" dxfId="9985" priority="228" operator="equal">
      <formula>4</formula>
    </cfRule>
  </conditionalFormatting>
  <conditionalFormatting sqref="DB30 DB23">
    <cfRule type="top10" dxfId="9984" priority="227" rank="10"/>
  </conditionalFormatting>
  <conditionalFormatting sqref="DB31">
    <cfRule type="top10" dxfId="9983" priority="226" rank="10"/>
  </conditionalFormatting>
  <conditionalFormatting sqref="DB37">
    <cfRule type="cellIs" dxfId="9982" priority="225" operator="equal">
      <formula>1</formula>
    </cfRule>
    <cfRule type="top10" dxfId="9981" priority="224" rank="10"/>
  </conditionalFormatting>
  <conditionalFormatting sqref="DB42 DB39 DB18 DB26 DB35">
    <cfRule type="top10" dxfId="9980" priority="223" rank="10"/>
  </conditionalFormatting>
  <conditionalFormatting sqref="DB19:DC19">
    <cfRule type="top10" dxfId="9979" priority="222" rank="10"/>
    <cfRule type="top10" dxfId="9978" priority="221" rank="10"/>
  </conditionalFormatting>
  <conditionalFormatting sqref="DB20:DC20">
    <cfRule type="top10" dxfId="9977" priority="220" rank="10"/>
  </conditionalFormatting>
  <conditionalFormatting sqref="DB21:DC23">
    <cfRule type="cellIs" dxfId="9976" priority="219" operator="equal">
      <formula>1</formula>
    </cfRule>
  </conditionalFormatting>
  <conditionalFormatting sqref="DB22:DC22">
    <cfRule type="top10" dxfId="9975" priority="218" rank="10"/>
    <cfRule type="cellIs" dxfId="9974" priority="217" operator="equal">
      <formula>1</formula>
    </cfRule>
  </conditionalFormatting>
  <conditionalFormatting sqref="DB23:DC23 DB18:DC18">
    <cfRule type="top10" dxfId="9973" priority="216" rank="10"/>
  </conditionalFormatting>
  <conditionalFormatting sqref="DB23:DC23">
    <cfRule type="cellIs" dxfId="9972" priority="215" operator="equal">
      <formula>4</formula>
    </cfRule>
  </conditionalFormatting>
  <conditionalFormatting sqref="DB24:DC24">
    <cfRule type="top10" dxfId="9971" priority="214" rank="10"/>
  </conditionalFormatting>
  <conditionalFormatting sqref="DB25:DC25">
    <cfRule type="cellIs" dxfId="9970" priority="213" operator="equal">
      <formula>4</formula>
    </cfRule>
  </conditionalFormatting>
  <conditionalFormatting sqref="DB27:DC27">
    <cfRule type="top10" dxfId="9969" priority="212" rank="10"/>
  </conditionalFormatting>
  <conditionalFormatting sqref="DB29:DC29">
    <cfRule type="top10" dxfId="9968" priority="211" rank="10"/>
  </conditionalFormatting>
  <conditionalFormatting sqref="DB36:DC36">
    <cfRule type="top10" dxfId="9967" priority="210" rank="10"/>
  </conditionalFormatting>
  <conditionalFormatting sqref="DB40:DC40 DB32:DC34 DB21:DC21 DB28:DC28 DB38:DC38 BW43:CI43 BW28:CE28 BW21:CE21 BW38:CE38 BW32:CE34 BW40:CE40 BR43:BS43 BR28:BS28 BR21:BS21 BR38:BS38 BR32:BS34 BR40:BS40 CS43:DT43">
    <cfRule type="top10" dxfId="9966" priority="209" rank="10"/>
  </conditionalFormatting>
  <conditionalFormatting sqref="DB40:DC41">
    <cfRule type="cellIs" dxfId="9965" priority="208" operator="equal">
      <formula>1</formula>
    </cfRule>
  </conditionalFormatting>
  <conditionalFormatting sqref="DB41:DC41">
    <cfRule type="top10" dxfId="9964" priority="207" rank="10"/>
  </conditionalFormatting>
  <conditionalFormatting sqref="DB44:DC45">
    <cfRule type="top10" dxfId="9963" priority="206" rank="10"/>
  </conditionalFormatting>
  <conditionalFormatting sqref="DB46:DC47">
    <cfRule type="cellIs" dxfId="9962" priority="205" operator="equal">
      <formula>1</formula>
    </cfRule>
    <cfRule type="top10" dxfId="9961" priority="204" rank="10"/>
  </conditionalFormatting>
  <conditionalFormatting sqref="DB47:DC47">
    <cfRule type="cellIs" dxfId="9960" priority="203" operator="equal">
      <formula>1</formula>
    </cfRule>
    <cfRule type="top10" dxfId="9959" priority="202" rank="10"/>
  </conditionalFormatting>
  <conditionalFormatting sqref="DB47:DC48">
    <cfRule type="cellIs" dxfId="9958" priority="201" operator="equal">
      <formula>4</formula>
    </cfRule>
  </conditionalFormatting>
  <conditionalFormatting sqref="DB48:DC48 BR48:BS48 BW48:CE48">
    <cfRule type="top10" dxfId="9957" priority="200" rank="10"/>
  </conditionalFormatting>
  <conditionalFormatting sqref="DB48:DC48">
    <cfRule type="cellIs" dxfId="9956" priority="199" operator="equal">
      <formula>1</formula>
    </cfRule>
    <cfRule type="top10" dxfId="9955" priority="197" rank="10"/>
    <cfRule type="cellIs" dxfId="9954" priority="198" operator="equal">
      <formula>4</formula>
    </cfRule>
  </conditionalFormatting>
  <conditionalFormatting sqref="DB25:DJ25">
    <cfRule type="cellIs" dxfId="9953" priority="196" operator="equal">
      <formula>1</formula>
    </cfRule>
  </conditionalFormatting>
  <conditionalFormatting sqref="DB30:DJ30 DC26 DC42">
    <cfRule type="cellIs" dxfId="9952" priority="195" operator="equal">
      <formula>1</formula>
    </cfRule>
  </conditionalFormatting>
  <conditionalFormatting sqref="DB31:DJ31">
    <cfRule type="cellIs" dxfId="9951" priority="194" operator="equal">
      <formula>4</formula>
    </cfRule>
  </conditionalFormatting>
  <conditionalFormatting sqref="DB23:DQ24">
    <cfRule type="cellIs" dxfId="9950" priority="193" operator="equal">
      <formula>4</formula>
    </cfRule>
  </conditionalFormatting>
  <conditionalFormatting sqref="DB24:DQ24">
    <cfRule type="cellIs" dxfId="9949" priority="192" operator="equal">
      <formula>1</formula>
    </cfRule>
  </conditionalFormatting>
  <conditionalFormatting sqref="DC17">
    <cfRule type="top10" dxfId="9948" priority="191" rank="10"/>
  </conditionalFormatting>
  <conditionalFormatting sqref="DC17:DC18 DC35 DC39">
    <cfRule type="cellIs" dxfId="9947" priority="190" operator="equal">
      <formula>1</formula>
    </cfRule>
  </conditionalFormatting>
  <conditionalFormatting sqref="DC18 DB42:DC42">
    <cfRule type="cellIs" dxfId="9946" priority="189" operator="equal">
      <formula>4</formula>
    </cfRule>
  </conditionalFormatting>
  <conditionalFormatting sqref="DC22">
    <cfRule type="top10" dxfId="9945" priority="188" rank="10"/>
  </conditionalFormatting>
  <conditionalFormatting sqref="DC24">
    <cfRule type="top10" dxfId="9944" priority="187" rank="10"/>
  </conditionalFormatting>
  <conditionalFormatting sqref="DC25">
    <cfRule type="top10" dxfId="9943" priority="186" rank="10"/>
  </conditionalFormatting>
  <conditionalFormatting sqref="DC26">
    <cfRule type="cellIs" dxfId="9942" priority="185" operator="equal">
      <formula>4</formula>
    </cfRule>
  </conditionalFormatting>
  <conditionalFormatting sqref="DC30 DC23">
    <cfRule type="top10" dxfId="9941" priority="184" rank="10"/>
  </conditionalFormatting>
  <conditionalFormatting sqref="DC31">
    <cfRule type="top10" dxfId="9940" priority="183" rank="10"/>
  </conditionalFormatting>
  <conditionalFormatting sqref="DC37">
    <cfRule type="top10" dxfId="9939" priority="182" rank="10"/>
  </conditionalFormatting>
  <conditionalFormatting sqref="DC42 DC39 DC18 DC26 DC35">
    <cfRule type="top10" dxfId="9938" priority="181" rank="10"/>
  </conditionalFormatting>
  <conditionalFormatting sqref="DC37:DQ37">
    <cfRule type="cellIs" dxfId="9937" priority="180" operator="equal">
      <formula>1</formula>
    </cfRule>
  </conditionalFormatting>
  <conditionalFormatting sqref="DC23:DS23">
    <cfRule type="cellIs" dxfId="9936" priority="179" operator="equal">
      <formula>1</formula>
    </cfRule>
  </conditionalFormatting>
  <conditionalFormatting sqref="DD33:DE33 DA33:DA34 DD34:DF34">
    <cfRule type="cellIs" dxfId="9935" priority="177" operator="equal">
      <formula>2</formula>
    </cfRule>
    <cfRule type="cellIs" dxfId="9934" priority="178" operator="equal">
      <formula>4</formula>
    </cfRule>
  </conditionalFormatting>
  <conditionalFormatting sqref="DD33:DE33 DD34:DF34">
    <cfRule type="cellIs" dxfId="9933" priority="175" operator="equal">
      <formula>3</formula>
    </cfRule>
  </conditionalFormatting>
  <conditionalFormatting sqref="DD33:DE33">
    <cfRule type="cellIs" dxfId="9932" priority="176" operator="equal">
      <formula>1</formula>
    </cfRule>
  </conditionalFormatting>
  <conditionalFormatting sqref="DD35:DE35">
    <cfRule type="cellIs" dxfId="9931" priority="174" operator="equal">
      <formula>4</formula>
    </cfRule>
  </conditionalFormatting>
  <conditionalFormatting sqref="DD26:DH26 CT42:CY42">
    <cfRule type="cellIs" dxfId="9930" priority="173" operator="equal">
      <formula>2</formula>
    </cfRule>
  </conditionalFormatting>
  <conditionalFormatting sqref="DD21:DI22">
    <cfRule type="cellIs" dxfId="9929" priority="172" operator="equal">
      <formula>2</formula>
    </cfRule>
  </conditionalFormatting>
  <conditionalFormatting sqref="DD25:DI25">
    <cfRule type="top10" dxfId="9928" priority="171" rank="10"/>
  </conditionalFormatting>
  <conditionalFormatting sqref="DD26:DI26">
    <cfRule type="cellIs" dxfId="9927" priority="170" operator="equal">
      <formula>3</formula>
    </cfRule>
  </conditionalFormatting>
  <conditionalFormatting sqref="DD19:DJ19">
    <cfRule type="top10" dxfId="9926" priority="169" rank="10"/>
  </conditionalFormatting>
  <conditionalFormatting sqref="DD25:DJ25">
    <cfRule type="cellIs" dxfId="9925" priority="168" operator="equal">
      <formula>4</formula>
    </cfRule>
  </conditionalFormatting>
  <conditionalFormatting sqref="DD26:DJ27">
    <cfRule type="cellIs" dxfId="9924" priority="167" operator="equal">
      <formula>1</formula>
    </cfRule>
  </conditionalFormatting>
  <conditionalFormatting sqref="DD29:DJ29">
    <cfRule type="cellIs" dxfId="9923" priority="166" operator="equal">
      <formula>1</formula>
    </cfRule>
  </conditionalFormatting>
  <conditionalFormatting sqref="DD18:DQ18 DD17:DS17 CZ17:DA17">
    <cfRule type="cellIs" dxfId="9922" priority="165" operator="equal">
      <formula>4</formula>
    </cfRule>
  </conditionalFormatting>
  <conditionalFormatting sqref="DD18:DQ19">
    <cfRule type="cellIs" dxfId="9921" priority="163" operator="equal">
      <formula>1</formula>
    </cfRule>
  </conditionalFormatting>
  <conditionalFormatting sqref="DD19:DQ19">
    <cfRule type="top10" dxfId="9920" priority="162" rank="10"/>
  </conditionalFormatting>
  <conditionalFormatting sqref="DD24:DQ24 CW24:DA24">
    <cfRule type="top10" dxfId="9919" priority="161" rank="10"/>
  </conditionalFormatting>
  <conditionalFormatting sqref="DD27:DQ27 CW27:DA27">
    <cfRule type="top10" dxfId="9918" priority="160" rank="10"/>
  </conditionalFormatting>
  <conditionalFormatting sqref="DD27:DQ29 CH26:CI26">
    <cfRule type="cellIs" dxfId="9917" priority="159" operator="equal">
      <formula>4</formula>
    </cfRule>
  </conditionalFormatting>
  <conditionalFormatting sqref="DD29:DQ29 CW29:DA29">
    <cfRule type="top10" dxfId="9916" priority="158" rank="10"/>
  </conditionalFormatting>
  <conditionalFormatting sqref="DD36:DQ36 CW36:DA36">
    <cfRule type="top10" dxfId="9915" priority="157" rank="10"/>
  </conditionalFormatting>
  <conditionalFormatting sqref="DD48:DQ48">
    <cfRule type="cellIs" dxfId="9914" priority="156" operator="equal">
      <formula>3</formula>
    </cfRule>
    <cfRule type="cellIs" dxfId="9913" priority="155" operator="equal">
      <formula>4</formula>
    </cfRule>
  </conditionalFormatting>
  <conditionalFormatting sqref="DD20:DS20 CW20:DA20">
    <cfRule type="top10" dxfId="9912" priority="154" rank="10"/>
  </conditionalFormatting>
  <conditionalFormatting sqref="DD21:DS21 DS22:DS23">
    <cfRule type="cellIs" dxfId="9911" priority="153" operator="equal">
      <formula>2</formula>
    </cfRule>
  </conditionalFormatting>
  <conditionalFormatting sqref="DD21:DS22">
    <cfRule type="cellIs" dxfId="9910" priority="152" operator="equal">
      <formula>1</formula>
    </cfRule>
  </conditionalFormatting>
  <conditionalFormatting sqref="DD35:DS35">
    <cfRule type="cellIs" dxfId="9909" priority="151" operator="equal">
      <formula>1</formula>
    </cfRule>
  </conditionalFormatting>
  <conditionalFormatting sqref="DD48:DS48">
    <cfRule type="cellIs" dxfId="9908" priority="150" operator="equal">
      <formula>1</formula>
    </cfRule>
  </conditionalFormatting>
  <conditionalFormatting sqref="DD43:DT43">
    <cfRule type="cellIs" dxfId="9907" priority="148" operator="equal">
      <formula>1</formula>
    </cfRule>
    <cfRule type="cellIs" dxfId="9906" priority="149" operator="equal">
      <formula>2</formula>
    </cfRule>
  </conditionalFormatting>
  <conditionalFormatting sqref="DD46:DT46 CS46:DA46 CS47:CZ47">
    <cfRule type="top10" dxfId="9905" priority="147" rank="10"/>
  </conditionalFormatting>
  <conditionalFormatting sqref="DE22 CW22">
    <cfRule type="top10" dxfId="9904" priority="146" rank="10"/>
  </conditionalFormatting>
  <conditionalFormatting sqref="DE25 CW25">
    <cfRule type="top10" dxfId="9903" priority="145" rank="10"/>
  </conditionalFormatting>
  <conditionalFormatting sqref="DE37 CW37">
    <cfRule type="top10" dxfId="9902" priority="144" rank="10"/>
  </conditionalFormatting>
  <conditionalFormatting sqref="DF18">
    <cfRule type="top10" dxfId="9901" priority="143" rank="10"/>
  </conditionalFormatting>
  <conditionalFormatting sqref="DF33">
    <cfRule type="cellIs" dxfId="9900" priority="142" operator="equal">
      <formula>1</formula>
    </cfRule>
    <cfRule type="cellIs" dxfId="9899" priority="141" operator="equal">
      <formula>4</formula>
    </cfRule>
    <cfRule type="cellIs" dxfId="9898" priority="140" operator="equal">
      <formula>4</formula>
    </cfRule>
  </conditionalFormatting>
  <conditionalFormatting sqref="DF48">
    <cfRule type="top10" dxfId="9897" priority="139" rank="10"/>
  </conditionalFormatting>
  <conditionalFormatting sqref="DF29:DG29">
    <cfRule type="top10" dxfId="9896" priority="138" rank="10"/>
  </conditionalFormatting>
  <conditionalFormatting sqref="DF29:DH29">
    <cfRule type="cellIs" dxfId="9895" priority="137" operator="equal">
      <formula>3</formula>
    </cfRule>
  </conditionalFormatting>
  <conditionalFormatting sqref="DF18:DI18 DD17:DJ17 CZ17:DA17">
    <cfRule type="cellIs" dxfId="9894" priority="136" operator="equal">
      <formula>3</formula>
    </cfRule>
  </conditionalFormatting>
  <conditionalFormatting sqref="DF29:DI29">
    <cfRule type="cellIs" dxfId="9893" priority="135" operator="equal">
      <formula>1</formula>
    </cfRule>
  </conditionalFormatting>
  <conditionalFormatting sqref="DF25:DJ25">
    <cfRule type="cellIs" dxfId="9892" priority="134" operator="equal">
      <formula>4</formula>
    </cfRule>
  </conditionalFormatting>
  <conditionalFormatting sqref="DG22 CY22:DA22 DI22:DJ22 DD22">
    <cfRule type="top10" dxfId="9891" priority="133" rank="10"/>
  </conditionalFormatting>
  <conditionalFormatting sqref="DG22">
    <cfRule type="cellIs" dxfId="9890" priority="132" operator="equal">
      <formula>4</formula>
    </cfRule>
  </conditionalFormatting>
  <conditionalFormatting sqref="DG25 CY25:DA25 DI25:DJ25 DD25">
    <cfRule type="top10" dxfId="9889" priority="131" rank="10"/>
  </conditionalFormatting>
  <conditionalFormatting sqref="DG26">
    <cfRule type="cellIs" dxfId="9888" priority="130" operator="equal">
      <formula>4</formula>
    </cfRule>
  </conditionalFormatting>
  <conditionalFormatting sqref="DG31 CW31 CY31:DA31 DI31:DJ31 DD31:DE31">
    <cfRule type="top10" dxfId="9887" priority="129" rank="10"/>
  </conditionalFormatting>
  <conditionalFormatting sqref="DG37 CY37:DA37 DI37:DJ37 DD37">
    <cfRule type="top10" dxfId="9886" priority="128" rank="10"/>
  </conditionalFormatting>
  <conditionalFormatting sqref="DH17 CX17 DF17">
    <cfRule type="top10" dxfId="9885" priority="127" rank="10"/>
  </conditionalFormatting>
  <conditionalFormatting sqref="DH22 CX22 DF22">
    <cfRule type="top10" dxfId="9884" priority="126" rank="10"/>
  </conditionalFormatting>
  <conditionalFormatting sqref="DH25 CX25 DF25">
    <cfRule type="top10" dxfId="9883" priority="125" rank="10"/>
  </conditionalFormatting>
  <conditionalFormatting sqref="DH30 DH23 CX23 CX30 DF23 DF30">
    <cfRule type="top10" dxfId="9882" priority="124" rank="10"/>
  </conditionalFormatting>
  <conditionalFormatting sqref="DH31 CX31 DF31">
    <cfRule type="top10" dxfId="9881" priority="123" rank="10"/>
  </conditionalFormatting>
  <conditionalFormatting sqref="DH37 CX37 DF37">
    <cfRule type="top10" dxfId="9880" priority="122" rank="10"/>
  </conditionalFormatting>
  <conditionalFormatting sqref="DH42 DH39 DH18 DH26 DH35 CX18 CX26 CX35 CX39 CX42 DF18 DF26 DF35 DF39 DF42 CZ35">
    <cfRule type="top10" dxfId="9879" priority="121" rank="10"/>
  </conditionalFormatting>
  <conditionalFormatting sqref="DH29:DI29">
    <cfRule type="top10" dxfId="9878" priority="120" rank="10"/>
  </conditionalFormatting>
  <conditionalFormatting sqref="DI25">
    <cfRule type="top10" dxfId="9877" priority="119" rank="10"/>
  </conditionalFormatting>
  <conditionalFormatting sqref="DI27">
    <cfRule type="top10" dxfId="9876" priority="118" rank="10"/>
  </conditionalFormatting>
  <conditionalFormatting sqref="DI28 DI26">
    <cfRule type="top10" dxfId="9875" priority="117" rank="10"/>
  </conditionalFormatting>
  <conditionalFormatting sqref="DI22:DJ22">
    <cfRule type="cellIs" dxfId="9874" priority="116" operator="equal">
      <formula>4</formula>
    </cfRule>
  </conditionalFormatting>
  <conditionalFormatting sqref="DI26:DJ26">
    <cfRule type="cellIs" dxfId="9873" priority="115" operator="equal">
      <formula>4</formula>
    </cfRule>
  </conditionalFormatting>
  <conditionalFormatting sqref="DI26:DQ26">
    <cfRule type="cellIs" dxfId="9872" priority="114" operator="equal">
      <formula>3</formula>
    </cfRule>
  </conditionalFormatting>
  <conditionalFormatting sqref="DI29:DQ29">
    <cfRule type="cellIs" dxfId="9871" priority="113" operator="equal">
      <formula>1</formula>
    </cfRule>
  </conditionalFormatting>
  <conditionalFormatting sqref="DJ18">
    <cfRule type="cellIs" dxfId="9870" priority="112" operator="equal">
      <formula>3</formula>
    </cfRule>
  </conditionalFormatting>
  <conditionalFormatting sqref="DJ25">
    <cfRule type="top10" dxfId="9869" priority="111" rank="10"/>
  </conditionalFormatting>
  <conditionalFormatting sqref="DJ27">
    <cfRule type="top10" dxfId="9868" priority="110" rank="10"/>
  </conditionalFormatting>
  <conditionalFormatting sqref="DJ27:DJ28">
    <cfRule type="cellIs" dxfId="9867" priority="109" operator="equal">
      <formula>3</formula>
    </cfRule>
  </conditionalFormatting>
  <conditionalFormatting sqref="DJ28 DJ26 DJ18">
    <cfRule type="top10" dxfId="9866" priority="108" rank="10"/>
  </conditionalFormatting>
  <conditionalFormatting sqref="DJ29">
    <cfRule type="top10" dxfId="9865" priority="105" rank="10"/>
    <cfRule type="cellIs" dxfId="9864" priority="106" operator="equal">
      <formula>4</formula>
    </cfRule>
    <cfRule type="cellIs" dxfId="9863" priority="107" operator="equal">
      <formula>3</formula>
    </cfRule>
  </conditionalFormatting>
  <conditionalFormatting sqref="DJ48">
    <cfRule type="cellIs" dxfId="9862" priority="104" operator="equal">
      <formula>4</formula>
    </cfRule>
    <cfRule type="top10" dxfId="9861" priority="102" rank="10"/>
    <cfRule type="cellIs" dxfId="9860" priority="103" operator="equal">
      <formula>3</formula>
    </cfRule>
  </conditionalFormatting>
  <conditionalFormatting sqref="DJ22:DR22">
    <cfRule type="cellIs" dxfId="9859" priority="101" operator="equal">
      <formula>2</formula>
    </cfRule>
  </conditionalFormatting>
  <conditionalFormatting sqref="DK22:DQ22">
    <cfRule type="top10" dxfId="9858" priority="100" rank="10"/>
  </conditionalFormatting>
  <conditionalFormatting sqref="DK25:DQ25">
    <cfRule type="top10" dxfId="9857" priority="99" rank="10"/>
  </conditionalFormatting>
  <conditionalFormatting sqref="DK25:DQ26">
    <cfRule type="cellIs" dxfId="9856" priority="98" operator="equal">
      <formula>4</formula>
    </cfRule>
  </conditionalFormatting>
  <conditionalFormatting sqref="DK31:DQ31">
    <cfRule type="top10" dxfId="9855" priority="97" rank="10"/>
  </conditionalFormatting>
  <conditionalFormatting sqref="DK37:DQ37">
    <cfRule type="top10" dxfId="9854" priority="96" rank="10"/>
  </conditionalFormatting>
  <conditionalFormatting sqref="DQ58">
    <cfRule type="cellIs" dxfId="9853" priority="94" operator="equal">
      <formula>2</formula>
    </cfRule>
    <cfRule type="cellIs" dxfId="9852" priority="95" operator="equal">
      <formula>3</formula>
    </cfRule>
  </conditionalFormatting>
  <conditionalFormatting sqref="DR18">
    <cfRule type="top10" dxfId="9851" priority="93" rank="10"/>
  </conditionalFormatting>
  <conditionalFormatting sqref="DR19">
    <cfRule type="cellIs" dxfId="9850" priority="91" operator="equal">
      <formula>3</formula>
    </cfRule>
    <cfRule type="top10" dxfId="9849" priority="92" rank="10"/>
    <cfRule type="cellIs" dxfId="9848" priority="90" operator="equal">
      <formula>4</formula>
    </cfRule>
  </conditionalFormatting>
  <conditionalFormatting sqref="DR21:DR24">
    <cfRule type="cellIs" dxfId="9847" priority="89" operator="equal">
      <formula>1</formula>
    </cfRule>
    <cfRule type="cellIs" dxfId="9846" priority="88" operator="equal">
      <formula>4</formula>
    </cfRule>
  </conditionalFormatting>
  <conditionalFormatting sqref="DR24">
    <cfRule type="cellIs" dxfId="9845" priority="87" operator="equal">
      <formula>1</formula>
    </cfRule>
    <cfRule type="cellIs" dxfId="9844" priority="86" operator="equal">
      <formula>2</formula>
    </cfRule>
    <cfRule type="cellIs" dxfId="9843" priority="85" operator="equal">
      <formula>1</formula>
    </cfRule>
    <cfRule type="cellIs" dxfId="9842" priority="84" operator="equal">
      <formula>4</formula>
    </cfRule>
  </conditionalFormatting>
  <conditionalFormatting sqref="DR26">
    <cfRule type="cellIs" dxfId="9841" priority="81" operator="equal">
      <formula>4</formula>
    </cfRule>
    <cfRule type="cellIs" dxfId="9840" priority="83" operator="equal">
      <formula>1</formula>
    </cfRule>
    <cfRule type="cellIs" dxfId="9839" priority="82" operator="equal">
      <formula>4</formula>
    </cfRule>
  </conditionalFormatting>
  <conditionalFormatting sqref="DR37 DR17 CW17 DE17 DR22 DR25">
    <cfRule type="top10" dxfId="9838" priority="80" rank="10"/>
  </conditionalFormatting>
  <conditionalFormatting sqref="DR43">
    <cfRule type="top10" dxfId="9837" priority="79" rank="10"/>
  </conditionalFormatting>
  <conditionalFormatting sqref="DR48">
    <cfRule type="cellIs" dxfId="9836" priority="78" operator="equal">
      <formula>4</formula>
    </cfRule>
  </conditionalFormatting>
  <conditionalFormatting sqref="DR21:DS22">
    <cfRule type="cellIs" dxfId="9835" priority="77" operator="equal">
      <formula>4</formula>
    </cfRule>
  </conditionalFormatting>
  <conditionalFormatting sqref="DR22:DS22 DR37:DS37">
    <cfRule type="cellIs" dxfId="9834" priority="76" operator="equal">
      <formula>1</formula>
    </cfRule>
  </conditionalFormatting>
  <conditionalFormatting sqref="DR48:DS48">
    <cfRule type="cellIs" dxfId="9833" priority="74" operator="equal">
      <formula>3</formula>
    </cfRule>
    <cfRule type="cellIs" dxfId="9832" priority="75" operator="equal">
      <formula>4</formula>
    </cfRule>
  </conditionalFormatting>
  <conditionalFormatting sqref="DR48:DT48">
    <cfRule type="cellIs" dxfId="9831" priority="72" operator="equal">
      <formula>4</formula>
    </cfRule>
    <cfRule type="cellIs" dxfId="9830" priority="73" operator="equal">
      <formula>1</formula>
    </cfRule>
  </conditionalFormatting>
  <conditionalFormatting sqref="DS17">
    <cfRule type="cellIs" dxfId="9829" priority="71" operator="equal">
      <formula>4</formula>
    </cfRule>
  </conditionalFormatting>
  <conditionalFormatting sqref="DS37 DS17 CY17:DA17 DG17 DS25 DI17:DJ17 DD17 DR22:DS22">
    <cfRule type="top10" dxfId="9828" priority="70" rank="10"/>
  </conditionalFormatting>
  <conditionalFormatting sqref="DS17:DT17 E18:G18">
    <cfRule type="cellIs" dxfId="9827" priority="69" operator="equal">
      <formula>1</formula>
    </cfRule>
  </conditionalFormatting>
  <conditionalFormatting sqref="DS17:DT17">
    <cfRule type="cellIs" dxfId="9826" priority="68" operator="equal">
      <formula>4</formula>
    </cfRule>
  </conditionalFormatting>
  <conditionalFormatting sqref="DS48:DT48">
    <cfRule type="cellIs" dxfId="9825" priority="67" operator="equal">
      <formula>4</formula>
    </cfRule>
  </conditionalFormatting>
  <conditionalFormatting sqref="DT20:DT24">
    <cfRule type="cellIs" dxfId="9824" priority="66" operator="equal">
      <formula>4</formula>
    </cfRule>
  </conditionalFormatting>
  <conditionalFormatting sqref="DT33:DT36">
    <cfRule type="cellIs" dxfId="9823" priority="38" operator="equal">
      <formula>4</formula>
    </cfRule>
    <cfRule type="cellIs" dxfId="9822" priority="37" operator="equal">
      <formula>2</formula>
    </cfRule>
    <cfRule type="cellIs" dxfId="9821" priority="36" operator="equal">
      <formula>3</formula>
    </cfRule>
    <cfRule type="cellIs" dxfId="9820" priority="35" operator="equal">
      <formula>1</formula>
    </cfRule>
    <cfRule type="top10" dxfId="9819" priority="34" rank="10"/>
  </conditionalFormatting>
  <conditionalFormatting sqref="DT49:DT119">
    <cfRule type="top10" dxfId="9818" priority="53" rank="10"/>
    <cfRule type="top10" dxfId="9817" priority="50" rank="10"/>
    <cfRule type="cellIs" dxfId="9816" priority="54" operator="equal">
      <formula>1</formula>
    </cfRule>
    <cfRule type="cellIs" dxfId="9815" priority="51" operator="equal">
      <formula>1</formula>
    </cfRule>
    <cfRule type="cellIs" dxfId="9814" priority="52" operator="equal">
      <formula>4</formula>
    </cfRule>
  </conditionalFormatting>
  <conditionalFormatting sqref="DT120:DT125">
    <cfRule type="top10" dxfId="9813" priority="320808" rank="10"/>
    <cfRule type="cellIs" dxfId="9812" priority="320809" operator="equal">
      <formula>1</formula>
    </cfRule>
    <cfRule type="cellIs" dxfId="9811" priority="320810" operator="equal">
      <formula>4</formula>
    </cfRule>
    <cfRule type="top10" dxfId="9810" priority="320811" rank="10"/>
    <cfRule type="cellIs" dxfId="9809" priority="320812" operator="equal">
      <formula>1</formula>
    </cfRule>
  </conditionalFormatting>
  <conditionalFormatting sqref="DU17:DU125 DU128:DU129">
    <cfRule type="cellIs" dxfId="9808" priority="3055" operator="equal">
      <formula>3</formula>
    </cfRule>
    <cfRule type="cellIs" dxfId="9807" priority="3054" operator="equal">
      <formula>2</formula>
    </cfRule>
    <cfRule type="cellIs" dxfId="9806" priority="3053" operator="equal">
      <formula>4</formula>
    </cfRule>
    <cfRule type="cellIs" dxfId="9805" priority="3056" operator="equal">
      <formula>1</formula>
    </cfRule>
  </conditionalFormatting>
  <hyperlinks>
    <hyperlink ref="B63" r:id="rId1" display="https://enterprisedirectory.connect.te.com/Profile/UserProfile/TE607123" xr:uid="{978CCDB2-6448-44D8-A394-EB904AD9BF71}"/>
    <hyperlink ref="B64" r:id="rId2" display="https://enterprisedirectory.connect.te.com/Profile/UserProfile/TE607126" xr:uid="{C60076B9-BE2C-4313-A2E8-150EC3DC2B4B}"/>
    <hyperlink ref="B104" r:id="rId3" tooltip="https://enterprisedirectory.connect.te.com/profile/userprofile/te641898" display="https://enterprisedirectory.connect.te.com/Profile/UserProfile/TE641898" xr:uid="{6A8862CC-468D-47E3-AF24-00513455DA3E}"/>
    <hyperlink ref="B103" r:id="rId4" tooltip="https://enterprisedirectory.connect.te.com/profile/userprofile/te641896" display="https://enterprisedirectory.connect.te.com/Profile/UserProfile/TE641896" xr:uid="{3BD40975-1EA0-4462-A961-232250838352}"/>
    <hyperlink ref="B102" r:id="rId5" tooltip="https://enterprisedirectory.connect.te.com/profile/userprofile/te641894" display="https://enterprisedirectory.connect.te.com/Profile/UserProfile/TE641894" xr:uid="{1EC98EF1-AFA9-4F0A-9362-CFEB70741AB2}"/>
    <hyperlink ref="B115" r:id="rId6" display="https://enterprisedirectory.connect.te.com/Profile/UserProfile/TE647799" xr:uid="{7A602C67-D3A5-4769-9B38-DAD223174206}"/>
    <hyperlink ref="B113" r:id="rId7" display="https://enterprisedirectory.connect.te.com/Profile/UserProfile/TE647789" xr:uid="{03636995-D96B-461B-BE13-AE2F6224C89E}"/>
  </hyperlinks>
  <printOptions horizontalCentered="1"/>
  <pageMargins left="0" right="0" top="0" bottom="0" header="0" footer="0"/>
  <pageSetup paperSize="8" scale="10" orientation="landscape" horizontalDpi="1200" verticalDpi="1200" r:id="rId8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854E-6C35-4D64-87BE-A170E061E993}">
  <dimension ref="A1:EA622"/>
  <sheetViews>
    <sheetView tabSelected="1" view="pageBreakPreview" zoomScale="50" zoomScaleNormal="50" zoomScaleSheetLayoutView="50" workbookViewId="0">
      <pane ySplit="1" topLeftCell="A17" activePane="bottomLeft" state="frozen"/>
      <selection pane="bottomLeft" activeCell="B18" sqref="B18"/>
    </sheetView>
  </sheetViews>
  <sheetFormatPr defaultColWidth="13.6640625" defaultRowHeight="17.399999999999999"/>
  <cols>
    <col min="1" max="1" width="43.44140625" style="147" customWidth="1"/>
    <col min="2" max="2" width="45.33203125" style="147" customWidth="1"/>
    <col min="3" max="3" width="27.109375" style="147" customWidth="1"/>
    <col min="4" max="4" width="22.109375" style="147" customWidth="1"/>
    <col min="5" max="5" width="13.88671875" style="147" customWidth="1"/>
    <col min="6" max="8" width="12.33203125" style="30" bestFit="1" customWidth="1"/>
    <col min="9" max="9" width="12.33203125" style="30" customWidth="1"/>
    <col min="10" max="10" width="12.33203125" style="30" bestFit="1" customWidth="1"/>
    <col min="11" max="14" width="12.33203125" style="30" customWidth="1"/>
    <col min="15" max="16" width="12.33203125" style="30" bestFit="1" customWidth="1"/>
    <col min="17" max="18" width="12.33203125" style="30" customWidth="1"/>
    <col min="19" max="20" width="19.6640625" style="30" customWidth="1"/>
    <col min="21" max="21" width="12.33203125" style="30" customWidth="1"/>
    <col min="22" max="22" width="19.6640625" style="30" customWidth="1"/>
    <col min="23" max="23" width="12.33203125" style="30" customWidth="1"/>
    <col min="24" max="24" width="19.6640625" style="30" customWidth="1"/>
    <col min="25" max="26" width="12.33203125" style="30" customWidth="1"/>
    <col min="27" max="27" width="12.33203125" style="103" customWidth="1"/>
    <col min="28" max="28" width="19.6640625" style="103" customWidth="1"/>
    <col min="29" max="29" width="12.33203125" style="103" customWidth="1"/>
    <col min="30" max="43" width="12.33203125" style="30" customWidth="1"/>
    <col min="44" max="52" width="12.33203125" style="30" bestFit="1" customWidth="1"/>
    <col min="53" max="55" width="12.33203125" style="30" customWidth="1"/>
    <col min="56" max="58" width="12.33203125" style="30" bestFit="1" customWidth="1"/>
    <col min="59" max="69" width="19.6640625" style="30" customWidth="1"/>
    <col min="70" max="71" width="12.33203125" style="30" bestFit="1" customWidth="1"/>
    <col min="72" max="76" width="12.33203125" style="30" customWidth="1"/>
    <col min="77" max="77" width="19.6640625" style="30" customWidth="1"/>
    <col min="78" max="78" width="28.5546875" style="30" customWidth="1"/>
    <col min="79" max="79" width="19.6640625" style="30" customWidth="1"/>
    <col min="80" max="81" width="12.33203125" style="30" customWidth="1"/>
    <col min="82" max="82" width="19.6640625" style="30" customWidth="1"/>
    <col min="83" max="86" width="12.33203125" style="30" customWidth="1"/>
    <col min="87" max="88" width="28.5546875" style="30" customWidth="1"/>
    <col min="89" max="90" width="28.5546875" style="30" bestFit="1" customWidth="1"/>
    <col min="91" max="92" width="19.6640625" style="30" customWidth="1"/>
    <col min="93" max="93" width="17.44140625" style="30" customWidth="1"/>
    <col min="94" max="94" width="19.6640625" style="30" customWidth="1"/>
    <col min="95" max="95" width="12.33203125" style="30" customWidth="1"/>
    <col min="96" max="96" width="26.5546875" style="30" customWidth="1"/>
    <col min="97" max="97" width="29.109375" style="30" customWidth="1"/>
    <col min="98" max="98" width="25.6640625" style="30" customWidth="1"/>
    <col min="99" max="103" width="12.33203125" style="30" customWidth="1"/>
    <col min="104" max="104" width="19.6640625" style="30" customWidth="1"/>
    <col min="105" max="105" width="12.33203125" style="30" customWidth="1"/>
    <col min="106" max="106" width="19.6640625" style="30" customWidth="1"/>
    <col min="107" max="110" width="12.33203125" style="30" customWidth="1"/>
    <col min="111" max="111" width="19" style="30" customWidth="1"/>
    <col min="112" max="112" width="19.6640625" style="30" customWidth="1"/>
    <col min="113" max="114" width="12.33203125" style="30" customWidth="1"/>
    <col min="115" max="116" width="19.6640625" style="30" customWidth="1"/>
    <col min="117" max="120" width="12.33203125" style="30" customWidth="1"/>
    <col min="121" max="123" width="18" customWidth="1"/>
    <col min="124" max="124" width="25.5546875" customWidth="1"/>
    <col min="125" max="127" width="18" customWidth="1"/>
    <col min="128" max="128" width="15" customWidth="1"/>
    <col min="129" max="129" width="16.6640625" customWidth="1"/>
    <col min="130" max="130" width="34.33203125" customWidth="1"/>
    <col min="131" max="131" width="58" customWidth="1"/>
  </cols>
  <sheetData>
    <row r="1" spans="1:130" s="421" customFormat="1" ht="160.5" customHeight="1" thickBot="1">
      <c r="A1" s="524"/>
      <c r="B1" s="525"/>
      <c r="C1" s="526"/>
      <c r="D1" s="530" t="s">
        <v>29</v>
      </c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  <c r="AN1" s="531"/>
      <c r="AO1" s="531"/>
      <c r="AP1" s="531"/>
      <c r="AQ1" s="531"/>
      <c r="AR1" s="531"/>
      <c r="AS1" s="531"/>
      <c r="AT1" s="531"/>
      <c r="AU1" s="531"/>
      <c r="AV1" s="531"/>
      <c r="AW1" s="531"/>
      <c r="AX1" s="531"/>
      <c r="AY1" s="531"/>
      <c r="AZ1" s="531"/>
      <c r="BA1" s="531"/>
      <c r="BB1" s="531"/>
      <c r="BC1" s="531"/>
      <c r="BD1" s="531"/>
      <c r="BE1" s="531"/>
      <c r="BF1" s="531"/>
      <c r="BG1" s="531"/>
      <c r="BH1" s="531"/>
      <c r="BI1" s="531"/>
      <c r="BJ1" s="531"/>
      <c r="BK1" s="531"/>
      <c r="BL1" s="531"/>
      <c r="BM1" s="531"/>
      <c r="BN1" s="531"/>
      <c r="BO1" s="531"/>
      <c r="BP1" s="531"/>
      <c r="BQ1" s="531"/>
      <c r="BR1" s="531"/>
      <c r="BS1" s="531"/>
      <c r="BT1" s="531"/>
      <c r="BU1" s="531"/>
      <c r="BV1" s="531"/>
      <c r="BW1" s="531"/>
      <c r="BX1" s="531"/>
      <c r="BY1" s="531"/>
      <c r="BZ1" s="531"/>
      <c r="CA1" s="531"/>
      <c r="CB1" s="531"/>
      <c r="CC1" s="531"/>
      <c r="CD1" s="531"/>
      <c r="CE1" s="531"/>
      <c r="CF1" s="531"/>
      <c r="CG1" s="531"/>
      <c r="CH1" s="531"/>
      <c r="CI1" s="531"/>
      <c r="CJ1" s="531"/>
      <c r="CK1" s="531"/>
      <c r="CL1" s="531"/>
      <c r="CM1" s="531"/>
      <c r="CN1" s="531"/>
      <c r="CO1" s="531"/>
      <c r="CP1" s="531"/>
      <c r="CQ1" s="531"/>
      <c r="CR1" s="531"/>
      <c r="CS1" s="531"/>
      <c r="CT1" s="531"/>
      <c r="CU1" s="531"/>
      <c r="CV1" s="531"/>
      <c r="CW1" s="531"/>
      <c r="CX1" s="531"/>
      <c r="CY1" s="531"/>
      <c r="CZ1" s="531"/>
      <c r="DA1" s="531"/>
      <c r="DB1" s="531"/>
      <c r="DC1" s="531"/>
      <c r="DD1" s="531"/>
      <c r="DE1" s="531"/>
      <c r="DF1" s="531"/>
      <c r="DG1" s="531"/>
      <c r="DH1" s="531"/>
      <c r="DI1" s="531"/>
      <c r="DJ1" s="531"/>
      <c r="DK1" s="531"/>
      <c r="DL1" s="531"/>
      <c r="DM1" s="531"/>
      <c r="DN1" s="531"/>
      <c r="DO1" s="531"/>
      <c r="DP1" s="531"/>
      <c r="DQ1" s="531" t="s">
        <v>0</v>
      </c>
      <c r="DR1" s="531"/>
      <c r="DS1" s="531"/>
      <c r="DT1" s="531" t="s">
        <v>20</v>
      </c>
      <c r="DU1" s="531"/>
      <c r="DV1" s="531"/>
      <c r="DW1" s="531"/>
      <c r="DX1" s="531"/>
      <c r="DY1" s="531"/>
      <c r="DZ1" s="531"/>
    </row>
    <row r="2" spans="1:130" s="421" customFormat="1" ht="160.5" customHeight="1" thickBot="1">
      <c r="A2" s="527"/>
      <c r="B2" s="528"/>
      <c r="C2" s="529"/>
      <c r="D2" s="530" t="s">
        <v>30</v>
      </c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  <c r="AM2" s="531"/>
      <c r="AN2" s="531"/>
      <c r="AO2" s="531"/>
      <c r="AP2" s="531"/>
      <c r="AQ2" s="531"/>
      <c r="AR2" s="531"/>
      <c r="AS2" s="531"/>
      <c r="AT2" s="531"/>
      <c r="AU2" s="531"/>
      <c r="AV2" s="531"/>
      <c r="AW2" s="531"/>
      <c r="AX2" s="531"/>
      <c r="AY2" s="531"/>
      <c r="AZ2" s="531"/>
      <c r="BA2" s="531"/>
      <c r="BB2" s="531"/>
      <c r="BC2" s="531"/>
      <c r="BD2" s="531"/>
      <c r="BE2" s="531"/>
      <c r="BF2" s="531"/>
      <c r="BG2" s="531"/>
      <c r="BH2" s="531"/>
      <c r="BI2" s="531"/>
      <c r="BJ2" s="531"/>
      <c r="BK2" s="531"/>
      <c r="BL2" s="531"/>
      <c r="BM2" s="531"/>
      <c r="BN2" s="531"/>
      <c r="BO2" s="531"/>
      <c r="BP2" s="531"/>
      <c r="BQ2" s="531"/>
      <c r="BR2" s="531"/>
      <c r="BS2" s="531"/>
      <c r="BT2" s="531"/>
      <c r="BU2" s="531"/>
      <c r="BV2" s="531"/>
      <c r="BW2" s="531"/>
      <c r="BX2" s="531"/>
      <c r="BY2" s="531"/>
      <c r="BZ2" s="531"/>
      <c r="CA2" s="531"/>
      <c r="CB2" s="531"/>
      <c r="CC2" s="531"/>
      <c r="CD2" s="531"/>
      <c r="CE2" s="531"/>
      <c r="CF2" s="531"/>
      <c r="CG2" s="531"/>
      <c r="CH2" s="531"/>
      <c r="CI2" s="531"/>
      <c r="CJ2" s="531"/>
      <c r="CK2" s="531"/>
      <c r="CL2" s="531"/>
      <c r="CM2" s="531"/>
      <c r="CN2" s="531"/>
      <c r="CO2" s="531"/>
      <c r="CP2" s="531"/>
      <c r="CQ2" s="531"/>
      <c r="CR2" s="531"/>
      <c r="CS2" s="531"/>
      <c r="CT2" s="531"/>
      <c r="CU2" s="531"/>
      <c r="CV2" s="531"/>
      <c r="CW2" s="531"/>
      <c r="CX2" s="531"/>
      <c r="CY2" s="531"/>
      <c r="CZ2" s="531"/>
      <c r="DA2" s="531"/>
      <c r="DB2" s="531"/>
      <c r="DC2" s="531"/>
      <c r="DD2" s="531"/>
      <c r="DE2" s="531"/>
      <c r="DF2" s="531"/>
      <c r="DG2" s="531"/>
      <c r="DH2" s="531"/>
      <c r="DI2" s="531"/>
      <c r="DJ2" s="531"/>
      <c r="DK2" s="531"/>
      <c r="DL2" s="531"/>
      <c r="DM2" s="531"/>
      <c r="DN2" s="531"/>
      <c r="DO2" s="531"/>
      <c r="DP2" s="531"/>
      <c r="DQ2" s="531" t="s">
        <v>1</v>
      </c>
      <c r="DR2" s="531"/>
      <c r="DS2" s="531"/>
      <c r="DT2" s="532">
        <v>45358</v>
      </c>
      <c r="DU2" s="532"/>
      <c r="DV2" s="532"/>
      <c r="DW2" s="532"/>
      <c r="DX2" s="532"/>
      <c r="DY2" s="532"/>
      <c r="DZ2" s="532"/>
    </row>
    <row r="3" spans="1:130" s="2" customFormat="1" ht="22.5" customHeight="1">
      <c r="A3" s="141"/>
      <c r="B3" s="142"/>
      <c r="D3" s="141"/>
      <c r="E3" s="14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3"/>
      <c r="DR3" s="3"/>
      <c r="DS3" s="3"/>
      <c r="DT3" s="3"/>
      <c r="DU3" s="3"/>
      <c r="DV3" s="533" t="s">
        <v>518</v>
      </c>
      <c r="DW3" s="533"/>
      <c r="DX3" s="533"/>
      <c r="DY3" s="534">
        <f>+AVERAGE(DY18:DY120)</f>
        <v>0.2234550778240097</v>
      </c>
      <c r="DZ3" s="534">
        <f>+AVERAGE(DZ18:DZ120)</f>
        <v>0.91673190358222889</v>
      </c>
    </row>
    <row r="4" spans="1:130" s="2" customFormat="1" ht="65.25" customHeight="1">
      <c r="A4" s="142"/>
      <c r="B4" s="372" t="s">
        <v>4</v>
      </c>
      <c r="C4" s="365"/>
      <c r="D4" s="372"/>
      <c r="E4" s="36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97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V4" s="533"/>
      <c r="DW4" s="533"/>
      <c r="DX4" s="533"/>
      <c r="DY4" s="535"/>
      <c r="DZ4" s="535"/>
    </row>
    <row r="5" spans="1:130" s="6" customFormat="1" ht="65.25" customHeight="1">
      <c r="A5" s="142"/>
      <c r="B5" s="372" t="s">
        <v>5</v>
      </c>
      <c r="C5" s="365"/>
      <c r="D5" s="372"/>
      <c r="E5" s="365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97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7"/>
      <c r="DR5" s="7"/>
      <c r="DS5" s="7"/>
      <c r="DT5" s="7"/>
      <c r="DU5" s="7"/>
      <c r="DV5" s="533"/>
      <c r="DW5" s="533"/>
      <c r="DX5" s="533"/>
      <c r="DY5" s="535"/>
      <c r="DZ5" s="535"/>
    </row>
    <row r="6" spans="1:130" s="6" customFormat="1" ht="65.25" customHeight="1">
      <c r="A6" s="142"/>
      <c r="B6" s="372" t="s">
        <v>6</v>
      </c>
      <c r="C6" s="365"/>
      <c r="D6" s="372"/>
      <c r="E6" s="365"/>
      <c r="F6" s="27" t="s">
        <v>213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7"/>
      <c r="DR6" s="7"/>
      <c r="DS6" s="7"/>
      <c r="DT6" s="7"/>
      <c r="DU6" s="7"/>
      <c r="DV6" s="533"/>
      <c r="DW6" s="533"/>
      <c r="DX6" s="533"/>
      <c r="DY6" s="535"/>
      <c r="DZ6" s="535"/>
    </row>
    <row r="7" spans="1:130" s="6" customFormat="1" ht="65.25" customHeight="1">
      <c r="A7" s="142"/>
      <c r="B7" s="372" t="s">
        <v>7</v>
      </c>
      <c r="C7" s="366"/>
      <c r="D7" s="372"/>
      <c r="E7" s="366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97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9"/>
      <c r="DN7" s="9"/>
      <c r="DO7" s="9"/>
      <c r="DP7" s="9"/>
      <c r="DV7" s="533"/>
      <c r="DW7" s="533"/>
      <c r="DX7" s="533"/>
      <c r="DY7" s="535"/>
      <c r="DZ7" s="535"/>
    </row>
    <row r="8" spans="1:130" s="6" customFormat="1" ht="65.25" customHeight="1">
      <c r="A8" s="142"/>
      <c r="B8" s="372"/>
      <c r="C8" s="365"/>
      <c r="D8" s="372"/>
      <c r="E8" s="365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V8" s="533"/>
      <c r="DW8" s="533"/>
      <c r="DX8" s="533"/>
      <c r="DY8" s="535"/>
      <c r="DZ8" s="535"/>
    </row>
    <row r="9" spans="1:130" s="2" customFormat="1" ht="65.25" customHeight="1">
      <c r="A9" s="144"/>
      <c r="B9" s="372"/>
      <c r="C9" s="365"/>
      <c r="D9" s="372"/>
      <c r="E9" s="365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5"/>
      <c r="DR9" s="5"/>
      <c r="DS9" s="5"/>
      <c r="DT9" s="5"/>
      <c r="DU9" s="5"/>
      <c r="DV9" s="533"/>
      <c r="DW9" s="533"/>
      <c r="DX9" s="533"/>
      <c r="DY9" s="535"/>
      <c r="DZ9" s="535"/>
    </row>
    <row r="10" spans="1:130" s="2" customFormat="1" ht="16.5" customHeight="1">
      <c r="A10" s="144"/>
      <c r="B10" s="143"/>
      <c r="C10" s="144"/>
      <c r="D10" s="144"/>
      <c r="E10" s="14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5"/>
      <c r="DR10" s="5"/>
      <c r="DS10" s="5"/>
      <c r="DT10" s="5"/>
      <c r="DU10" s="5"/>
      <c r="DV10" s="533"/>
      <c r="DW10" s="533"/>
      <c r="DX10" s="533"/>
      <c r="DY10" s="536"/>
      <c r="DZ10" s="536"/>
    </row>
    <row r="11" spans="1:130" ht="71.25" customHeight="1" thickBot="1">
      <c r="A11" s="145"/>
      <c r="B11" s="298"/>
      <c r="C11" s="145"/>
      <c r="D11" s="144"/>
      <c r="E11" s="144"/>
      <c r="F11" s="537"/>
      <c r="G11" s="538"/>
      <c r="H11" s="538"/>
      <c r="I11" s="538"/>
      <c r="J11" s="538"/>
      <c r="K11" s="538"/>
      <c r="L11" s="538"/>
      <c r="M11" s="538"/>
      <c r="N11" s="538"/>
      <c r="O11" s="538"/>
      <c r="P11" s="538"/>
      <c r="Q11" s="538"/>
      <c r="R11" s="538"/>
      <c r="S11" s="538"/>
      <c r="T11" s="538"/>
      <c r="U11" s="538"/>
      <c r="V11" s="538"/>
      <c r="W11" s="538"/>
      <c r="X11" s="538"/>
      <c r="Y11" s="538"/>
      <c r="Z11" s="538"/>
      <c r="AA11" s="538"/>
      <c r="AB11" s="538"/>
      <c r="AC11" s="538"/>
      <c r="AD11" s="538"/>
      <c r="AE11" s="538"/>
      <c r="AF11" s="538"/>
      <c r="AG11" s="538"/>
      <c r="AH11" s="538"/>
      <c r="AI11" s="538"/>
      <c r="AJ11" s="538"/>
      <c r="AK11" s="538"/>
      <c r="AL11" s="538"/>
      <c r="AM11" s="538"/>
      <c r="AN11" s="538"/>
      <c r="AO11" s="538"/>
      <c r="AP11" s="538"/>
      <c r="AQ11" s="538"/>
      <c r="AR11" s="538"/>
      <c r="AS11" s="538"/>
      <c r="AT11" s="538"/>
      <c r="AU11" s="538"/>
      <c r="AV11" s="538"/>
      <c r="AW11" s="538"/>
      <c r="AX11" s="538"/>
      <c r="AY11" s="538"/>
      <c r="AZ11" s="538"/>
      <c r="BA11" s="538"/>
      <c r="BB11" s="538"/>
      <c r="BC11" s="538"/>
      <c r="BD11" s="538"/>
      <c r="BE11" s="538"/>
      <c r="BF11" s="538"/>
      <c r="BG11" s="538"/>
      <c r="BH11" s="538"/>
      <c r="BI11" s="538"/>
      <c r="BJ11" s="538"/>
      <c r="BK11" s="538"/>
      <c r="BL11" s="538"/>
      <c r="BM11" s="538"/>
      <c r="BN11" s="538"/>
      <c r="BO11" s="538"/>
      <c r="BP11" s="538"/>
      <c r="BQ11" s="538"/>
      <c r="BR11" s="538"/>
      <c r="BS11" s="538"/>
      <c r="BT11" s="538"/>
      <c r="BU11" s="538"/>
      <c r="BV11" s="538"/>
      <c r="BW11" s="538"/>
      <c r="BX11" s="538"/>
      <c r="BY11" s="538"/>
      <c r="BZ11" s="538"/>
      <c r="CA11" s="538"/>
      <c r="CB11" s="538"/>
      <c r="CC11" s="538"/>
      <c r="CD11" s="538"/>
      <c r="CE11" s="538"/>
      <c r="CF11" s="538"/>
      <c r="CG11" s="538"/>
      <c r="CH11" s="538"/>
      <c r="CI11" s="538"/>
      <c r="CJ11" s="538"/>
      <c r="CK11" s="538"/>
      <c r="CL11" s="538"/>
      <c r="CM11" s="538"/>
      <c r="CN11" s="538"/>
      <c r="CO11" s="538"/>
      <c r="CP11" s="538"/>
      <c r="CQ11" s="538"/>
      <c r="CR11" s="538"/>
      <c r="CS11" s="538"/>
      <c r="CT11" s="538"/>
      <c r="CU11" s="538"/>
      <c r="CV11" s="538"/>
      <c r="CW11" s="538"/>
      <c r="CX11" s="538"/>
      <c r="CY11" s="538"/>
      <c r="CZ11" s="538"/>
      <c r="DA11" s="538"/>
      <c r="DB11" s="538"/>
      <c r="DC11" s="538"/>
      <c r="DD11" s="538"/>
      <c r="DE11" s="538"/>
      <c r="DF11" s="538"/>
      <c r="DG11" s="538"/>
      <c r="DH11" s="538"/>
      <c r="DI11" s="538"/>
      <c r="DJ11" s="538"/>
      <c r="DK11" s="538"/>
      <c r="DL11" s="538"/>
      <c r="DM11" s="538"/>
      <c r="DN11" s="538"/>
      <c r="DO11" s="538"/>
      <c r="DP11" s="538"/>
      <c r="DQ11" s="538"/>
      <c r="DR11" s="538"/>
      <c r="DS11" s="538"/>
      <c r="DT11" s="538"/>
      <c r="DU11" s="538"/>
      <c r="DV11" s="538"/>
      <c r="DW11" s="538"/>
      <c r="DX11" s="538"/>
      <c r="DY11" s="538"/>
      <c r="DZ11" s="539"/>
    </row>
    <row r="12" spans="1:130" ht="409.5" hidden="1" customHeight="1" thickBot="1">
      <c r="A12" s="145"/>
      <c r="B12" s="298"/>
      <c r="C12" s="145"/>
      <c r="D12" s="144"/>
      <c r="E12" s="144"/>
      <c r="F12" s="540" t="s">
        <v>487</v>
      </c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 t="s">
        <v>486</v>
      </c>
      <c r="T12" s="540"/>
      <c r="U12" s="540"/>
      <c r="V12" s="540"/>
      <c r="W12" s="540"/>
      <c r="X12" s="540"/>
      <c r="Y12" s="540"/>
      <c r="Z12" s="540"/>
      <c r="AA12" s="540"/>
      <c r="AB12" s="540"/>
      <c r="AC12" s="540"/>
      <c r="AD12" s="540" t="s">
        <v>479</v>
      </c>
      <c r="AE12" s="540"/>
      <c r="AF12" s="540"/>
      <c r="AG12" s="540"/>
      <c r="AH12" s="540"/>
      <c r="AI12" s="540"/>
      <c r="AJ12" s="540"/>
      <c r="AK12" s="540"/>
      <c r="AL12" s="540" t="s">
        <v>480</v>
      </c>
      <c r="AM12" s="540"/>
      <c r="AN12" s="540"/>
      <c r="AO12" s="540"/>
      <c r="AP12" s="540"/>
      <c r="AQ12" s="540"/>
      <c r="AR12" s="541" t="s">
        <v>442</v>
      </c>
      <c r="AS12" s="541"/>
      <c r="AT12" s="541"/>
      <c r="AU12" s="541"/>
      <c r="AV12" s="541"/>
      <c r="AW12" s="541"/>
      <c r="AX12" s="541"/>
      <c r="AY12" s="541"/>
      <c r="AZ12" s="541"/>
      <c r="BA12" s="541"/>
      <c r="BB12" s="541"/>
      <c r="BC12" s="541"/>
      <c r="BD12" s="541"/>
      <c r="BE12" s="541"/>
      <c r="BF12" s="541"/>
      <c r="BG12" s="542" t="s">
        <v>442</v>
      </c>
      <c r="BH12" s="542"/>
      <c r="BI12" s="542"/>
      <c r="BJ12" s="544" t="s">
        <v>1162</v>
      </c>
      <c r="BK12" s="544" t="s">
        <v>1184</v>
      </c>
      <c r="BL12" s="542" t="s">
        <v>443</v>
      </c>
      <c r="BM12" s="542"/>
      <c r="BN12" s="542"/>
      <c r="BO12" s="544" t="s">
        <v>442</v>
      </c>
      <c r="BP12" s="544"/>
      <c r="BQ12" s="544"/>
      <c r="BR12" s="544" t="s">
        <v>440</v>
      </c>
      <c r="BS12" s="544"/>
      <c r="BT12" s="545" t="s">
        <v>444</v>
      </c>
      <c r="BU12" s="545"/>
      <c r="BV12" s="545"/>
      <c r="BW12" s="545"/>
      <c r="BX12" s="545"/>
      <c r="BY12" s="544" t="s">
        <v>445</v>
      </c>
      <c r="BZ12" s="544"/>
      <c r="CA12" s="544" t="s">
        <v>478</v>
      </c>
      <c r="CB12" s="544"/>
      <c r="CC12" s="544"/>
      <c r="CD12" s="543" t="s">
        <v>1185</v>
      </c>
      <c r="CE12" s="544" t="s">
        <v>477</v>
      </c>
      <c r="CF12" s="544"/>
      <c r="CG12" s="544"/>
      <c r="CH12" s="544"/>
      <c r="CI12" s="544" t="s">
        <v>442</v>
      </c>
      <c r="CJ12" s="544"/>
      <c r="CK12" s="544" t="s">
        <v>442</v>
      </c>
      <c r="CL12" s="544"/>
      <c r="CM12" s="544" t="s">
        <v>447</v>
      </c>
      <c r="CN12" s="544"/>
      <c r="CO12" s="544"/>
      <c r="CP12" s="544"/>
      <c r="CQ12" s="544"/>
      <c r="CR12" s="544" t="s">
        <v>447</v>
      </c>
      <c r="CS12" s="544"/>
      <c r="CT12" s="544"/>
      <c r="CU12" s="544"/>
      <c r="CV12" s="544" t="s">
        <v>447</v>
      </c>
      <c r="CW12" s="544"/>
      <c r="CX12" s="544"/>
      <c r="CY12" s="544"/>
      <c r="CZ12" s="544" t="s">
        <v>457</v>
      </c>
      <c r="DA12" s="544"/>
      <c r="DB12" s="544" t="s">
        <v>495</v>
      </c>
      <c r="DC12" s="544" t="s">
        <v>489</v>
      </c>
      <c r="DD12" s="544"/>
      <c r="DE12" s="544"/>
      <c r="DF12" s="544"/>
      <c r="DG12" s="544"/>
      <c r="DH12" s="544"/>
      <c r="DI12" s="544" t="s">
        <v>446</v>
      </c>
      <c r="DJ12" s="544"/>
      <c r="DK12" s="544" t="s">
        <v>443</v>
      </c>
      <c r="DL12" s="544" t="s">
        <v>443</v>
      </c>
      <c r="DM12" s="544" t="s">
        <v>475</v>
      </c>
      <c r="DN12" s="544"/>
      <c r="DO12" s="544"/>
      <c r="DP12" s="544" t="s">
        <v>442</v>
      </c>
      <c r="DQ12" s="544"/>
      <c r="DR12" s="544"/>
      <c r="DS12" s="544"/>
      <c r="DT12" s="548" t="s">
        <v>795</v>
      </c>
      <c r="DU12" s="518"/>
      <c r="DV12" s="546" t="s">
        <v>66</v>
      </c>
      <c r="DW12" s="546" t="s">
        <v>67</v>
      </c>
      <c r="DX12" s="546" t="s">
        <v>68</v>
      </c>
      <c r="DY12" s="547" t="s">
        <v>11</v>
      </c>
      <c r="DZ12" s="547" t="s">
        <v>517</v>
      </c>
    </row>
    <row r="13" spans="1:130" ht="409.5" hidden="1" customHeight="1" thickBot="1">
      <c r="A13" s="549" t="s">
        <v>2</v>
      </c>
      <c r="B13" s="549" t="s">
        <v>3</v>
      </c>
      <c r="C13" s="549" t="s">
        <v>611</v>
      </c>
      <c r="D13" s="549" t="s">
        <v>9</v>
      </c>
      <c r="E13" s="549" t="s">
        <v>901</v>
      </c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0"/>
      <c r="AE13" s="540"/>
      <c r="AF13" s="540"/>
      <c r="AG13" s="540"/>
      <c r="AH13" s="540"/>
      <c r="AI13" s="540"/>
      <c r="AJ13" s="540"/>
      <c r="AK13" s="540"/>
      <c r="AL13" s="540"/>
      <c r="AM13" s="540"/>
      <c r="AN13" s="540"/>
      <c r="AO13" s="540"/>
      <c r="AP13" s="540"/>
      <c r="AQ13" s="540"/>
      <c r="AR13" s="541"/>
      <c r="AS13" s="541"/>
      <c r="AT13" s="541"/>
      <c r="AU13" s="541"/>
      <c r="AV13" s="541"/>
      <c r="AW13" s="541"/>
      <c r="AX13" s="541"/>
      <c r="AY13" s="541"/>
      <c r="AZ13" s="541"/>
      <c r="BA13" s="541"/>
      <c r="BB13" s="541"/>
      <c r="BC13" s="541"/>
      <c r="BD13" s="541"/>
      <c r="BE13" s="541"/>
      <c r="BF13" s="541"/>
      <c r="BG13" s="542"/>
      <c r="BH13" s="542"/>
      <c r="BI13" s="542"/>
      <c r="BJ13" s="544"/>
      <c r="BK13" s="544"/>
      <c r="BL13" s="542"/>
      <c r="BM13" s="542"/>
      <c r="BN13" s="542"/>
      <c r="BO13" s="544"/>
      <c r="BP13" s="544"/>
      <c r="BQ13" s="544"/>
      <c r="BR13" s="544"/>
      <c r="BS13" s="544"/>
      <c r="BT13" s="545"/>
      <c r="BU13" s="545"/>
      <c r="BV13" s="545"/>
      <c r="BW13" s="545"/>
      <c r="BX13" s="545"/>
      <c r="BY13" s="544"/>
      <c r="BZ13" s="544"/>
      <c r="CA13" s="544"/>
      <c r="CB13" s="544"/>
      <c r="CC13" s="544"/>
      <c r="CD13" s="543"/>
      <c r="CE13" s="544"/>
      <c r="CF13" s="544"/>
      <c r="CG13" s="544"/>
      <c r="CH13" s="544"/>
      <c r="CI13" s="544"/>
      <c r="CJ13" s="544"/>
      <c r="CK13" s="544"/>
      <c r="CL13" s="544"/>
      <c r="CM13" s="544"/>
      <c r="CN13" s="544"/>
      <c r="CO13" s="544"/>
      <c r="CP13" s="544"/>
      <c r="CQ13" s="544"/>
      <c r="CR13" s="544"/>
      <c r="CS13" s="544"/>
      <c r="CT13" s="544"/>
      <c r="CU13" s="544"/>
      <c r="CV13" s="544"/>
      <c r="CW13" s="544"/>
      <c r="CX13" s="544"/>
      <c r="CY13" s="544"/>
      <c r="CZ13" s="544"/>
      <c r="DA13" s="544"/>
      <c r="DB13" s="544"/>
      <c r="DC13" s="544"/>
      <c r="DD13" s="544"/>
      <c r="DE13" s="544"/>
      <c r="DF13" s="544"/>
      <c r="DG13" s="544"/>
      <c r="DH13" s="544"/>
      <c r="DI13" s="544"/>
      <c r="DJ13" s="544"/>
      <c r="DK13" s="544"/>
      <c r="DL13" s="544"/>
      <c r="DM13" s="544"/>
      <c r="DN13" s="544"/>
      <c r="DO13" s="544"/>
      <c r="DP13" s="544"/>
      <c r="DQ13" s="544"/>
      <c r="DR13" s="544"/>
      <c r="DS13" s="544"/>
      <c r="DT13" s="548"/>
      <c r="DU13" s="518"/>
      <c r="DV13" s="546"/>
      <c r="DW13" s="546"/>
      <c r="DX13" s="546"/>
      <c r="DY13" s="547"/>
      <c r="DZ13" s="547"/>
    </row>
    <row r="14" spans="1:130" ht="324.75" customHeight="1" thickBot="1">
      <c r="A14" s="550"/>
      <c r="B14" s="550"/>
      <c r="C14" s="550"/>
      <c r="D14" s="550"/>
      <c r="E14" s="550"/>
      <c r="F14" s="553" t="s">
        <v>1173</v>
      </c>
      <c r="G14" s="553"/>
      <c r="H14" s="545" t="s">
        <v>618</v>
      </c>
      <c r="I14" s="545"/>
      <c r="J14" s="545"/>
      <c r="K14" s="545" t="s">
        <v>523</v>
      </c>
      <c r="L14" s="545"/>
      <c r="M14" s="545" t="s">
        <v>524</v>
      </c>
      <c r="N14" s="545"/>
      <c r="O14" s="545" t="s">
        <v>526</v>
      </c>
      <c r="P14" s="545"/>
      <c r="Q14" s="545" t="s">
        <v>525</v>
      </c>
      <c r="R14" s="545"/>
      <c r="S14" s="552" t="s">
        <v>1179</v>
      </c>
      <c r="T14" s="552"/>
      <c r="U14" s="552"/>
      <c r="V14" s="545" t="s">
        <v>528</v>
      </c>
      <c r="W14" s="545"/>
      <c r="X14" s="545" t="s">
        <v>527</v>
      </c>
      <c r="Y14" s="545"/>
      <c r="Z14" s="545"/>
      <c r="AA14" s="545" t="s">
        <v>529</v>
      </c>
      <c r="AB14" s="545"/>
      <c r="AC14" s="545"/>
      <c r="AD14" s="545" t="s">
        <v>533</v>
      </c>
      <c r="AE14" s="545"/>
      <c r="AF14" s="553" t="s">
        <v>532</v>
      </c>
      <c r="AG14" s="553"/>
      <c r="AH14" s="553" t="s">
        <v>531</v>
      </c>
      <c r="AI14" s="553"/>
      <c r="AJ14" s="545" t="s">
        <v>1178</v>
      </c>
      <c r="AK14" s="545"/>
      <c r="AL14" s="545" t="s">
        <v>569</v>
      </c>
      <c r="AM14" s="545"/>
      <c r="AN14" s="553" t="s">
        <v>584</v>
      </c>
      <c r="AO14" s="553"/>
      <c r="AP14" s="545" t="s">
        <v>570</v>
      </c>
      <c r="AQ14" s="545"/>
      <c r="AR14" s="545" t="s">
        <v>574</v>
      </c>
      <c r="AS14" s="545"/>
      <c r="AT14" s="545"/>
      <c r="AU14" s="545" t="s">
        <v>573</v>
      </c>
      <c r="AV14" s="545"/>
      <c r="AW14" s="545"/>
      <c r="AX14" s="545" t="s">
        <v>572</v>
      </c>
      <c r="AY14" s="545"/>
      <c r="AZ14" s="545"/>
      <c r="BA14" s="545" t="s">
        <v>571</v>
      </c>
      <c r="BB14" s="545"/>
      <c r="BC14" s="545"/>
      <c r="BD14" s="553" t="s">
        <v>575</v>
      </c>
      <c r="BE14" s="553"/>
      <c r="BF14" s="553"/>
      <c r="BG14" s="554" t="s">
        <v>576</v>
      </c>
      <c r="BH14" s="554" t="s">
        <v>577</v>
      </c>
      <c r="BI14" s="554" t="s">
        <v>578</v>
      </c>
      <c r="BJ14" s="554" t="s">
        <v>796</v>
      </c>
      <c r="BK14" s="554" t="s">
        <v>183</v>
      </c>
      <c r="BL14" s="554" t="s">
        <v>579</v>
      </c>
      <c r="BM14" s="554" t="s">
        <v>580</v>
      </c>
      <c r="BN14" s="554" t="s">
        <v>1177</v>
      </c>
      <c r="BO14" s="554" t="s">
        <v>582</v>
      </c>
      <c r="BP14" s="554" t="s">
        <v>1176</v>
      </c>
      <c r="BQ14" s="554" t="s">
        <v>449</v>
      </c>
      <c r="BR14" s="553" t="s">
        <v>186</v>
      </c>
      <c r="BS14" s="553"/>
      <c r="BT14" s="545" t="s">
        <v>675</v>
      </c>
      <c r="BU14" s="545"/>
      <c r="BV14" s="545"/>
      <c r="BW14" s="556" t="s">
        <v>189</v>
      </c>
      <c r="BX14" s="556"/>
      <c r="BY14" s="555" t="s">
        <v>1174</v>
      </c>
      <c r="BZ14" s="555" t="s">
        <v>1175</v>
      </c>
      <c r="CA14" s="544" t="s">
        <v>190</v>
      </c>
      <c r="CB14" s="544"/>
      <c r="CC14" s="544"/>
      <c r="CD14" s="553" t="s">
        <v>192</v>
      </c>
      <c r="CE14" s="553" t="s">
        <v>1180</v>
      </c>
      <c r="CF14" s="553"/>
      <c r="CG14" s="544" t="s">
        <v>194</v>
      </c>
      <c r="CH14" s="544"/>
      <c r="CI14" s="545" t="s">
        <v>498</v>
      </c>
      <c r="CJ14" s="545"/>
      <c r="CK14" s="545" t="s">
        <v>274</v>
      </c>
      <c r="CL14" s="545"/>
      <c r="CM14" s="545" t="s">
        <v>678</v>
      </c>
      <c r="CN14" s="545"/>
      <c r="CO14" s="545"/>
      <c r="CP14" s="545"/>
      <c r="CQ14" s="545"/>
      <c r="CR14" s="557" t="s">
        <v>1181</v>
      </c>
      <c r="CS14" s="557"/>
      <c r="CT14" s="557"/>
      <c r="CU14" s="557"/>
      <c r="CV14" s="554" t="s">
        <v>1182</v>
      </c>
      <c r="CW14" s="554"/>
      <c r="CX14" s="544" t="s">
        <v>1110</v>
      </c>
      <c r="CY14" s="544"/>
      <c r="CZ14" s="544" t="s">
        <v>453</v>
      </c>
      <c r="DA14" s="544"/>
      <c r="DB14" s="544" t="s">
        <v>472</v>
      </c>
      <c r="DC14" s="544" t="s">
        <v>595</v>
      </c>
      <c r="DD14" s="544"/>
      <c r="DE14" s="554" t="s">
        <v>596</v>
      </c>
      <c r="DF14" s="554"/>
      <c r="DG14" s="544" t="s">
        <v>1295</v>
      </c>
      <c r="DH14" s="544" t="s">
        <v>463</v>
      </c>
      <c r="DI14" s="544" t="s">
        <v>455</v>
      </c>
      <c r="DJ14" s="544"/>
      <c r="DK14" s="544" t="s">
        <v>209</v>
      </c>
      <c r="DL14" s="544" t="s">
        <v>456</v>
      </c>
      <c r="DM14" s="544" t="s">
        <v>461</v>
      </c>
      <c r="DN14" s="544"/>
      <c r="DO14" s="544"/>
      <c r="DP14" s="544" t="s">
        <v>466</v>
      </c>
      <c r="DQ14" s="544"/>
      <c r="DR14" s="544" t="s">
        <v>460</v>
      </c>
      <c r="DS14" s="544"/>
      <c r="DT14" s="544" t="s">
        <v>797</v>
      </c>
      <c r="DU14" s="544">
        <v>580</v>
      </c>
      <c r="DV14" s="546"/>
      <c r="DW14" s="546"/>
      <c r="DX14" s="546"/>
      <c r="DY14" s="547"/>
      <c r="DZ14" s="547"/>
    </row>
    <row r="15" spans="1:130" ht="107.25" customHeight="1" thickBot="1">
      <c r="A15" s="550"/>
      <c r="B15" s="550"/>
      <c r="C15" s="550"/>
      <c r="D15" s="550"/>
      <c r="E15" s="550"/>
      <c r="F15" s="553"/>
      <c r="G15" s="553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52"/>
      <c r="T15" s="552"/>
      <c r="U15" s="552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53"/>
      <c r="AG15" s="553"/>
      <c r="AH15" s="553"/>
      <c r="AI15" s="553"/>
      <c r="AJ15" s="545"/>
      <c r="AK15" s="545"/>
      <c r="AL15" s="545"/>
      <c r="AM15" s="545"/>
      <c r="AN15" s="553"/>
      <c r="AO15" s="553"/>
      <c r="AP15" s="545"/>
      <c r="AQ15" s="545"/>
      <c r="AR15" s="545"/>
      <c r="AS15" s="545"/>
      <c r="AT15" s="545"/>
      <c r="AU15" s="545"/>
      <c r="AV15" s="545"/>
      <c r="AW15" s="545"/>
      <c r="AX15" s="545"/>
      <c r="AY15" s="545"/>
      <c r="AZ15" s="545"/>
      <c r="BA15" s="545"/>
      <c r="BB15" s="545"/>
      <c r="BC15" s="545"/>
      <c r="BD15" s="553"/>
      <c r="BE15" s="553"/>
      <c r="BF15" s="553"/>
      <c r="BG15" s="554"/>
      <c r="BH15" s="554"/>
      <c r="BI15" s="554"/>
      <c r="BJ15" s="554"/>
      <c r="BK15" s="554"/>
      <c r="BL15" s="554"/>
      <c r="BM15" s="554"/>
      <c r="BN15" s="554"/>
      <c r="BO15" s="554"/>
      <c r="BP15" s="554"/>
      <c r="BQ15" s="554"/>
      <c r="BR15" s="553"/>
      <c r="BS15" s="553"/>
      <c r="BT15" s="545"/>
      <c r="BU15" s="545"/>
      <c r="BV15" s="545"/>
      <c r="BW15" s="556"/>
      <c r="BX15" s="556"/>
      <c r="BY15" s="555"/>
      <c r="BZ15" s="555"/>
      <c r="CA15" s="544"/>
      <c r="CB15" s="544"/>
      <c r="CC15" s="544"/>
      <c r="CD15" s="553"/>
      <c r="CE15" s="553"/>
      <c r="CF15" s="553"/>
      <c r="CG15" s="544"/>
      <c r="CH15" s="544"/>
      <c r="CI15" s="545"/>
      <c r="CJ15" s="545"/>
      <c r="CK15" s="545"/>
      <c r="CL15" s="545"/>
      <c r="CM15" s="545"/>
      <c r="CN15" s="545"/>
      <c r="CO15" s="545"/>
      <c r="CP15" s="545"/>
      <c r="CQ15" s="545"/>
      <c r="CR15" s="557"/>
      <c r="CS15" s="557"/>
      <c r="CT15" s="557"/>
      <c r="CU15" s="557"/>
      <c r="CV15" s="554"/>
      <c r="CW15" s="554"/>
      <c r="CX15" s="544"/>
      <c r="CY15" s="544"/>
      <c r="CZ15" s="544"/>
      <c r="DA15" s="544"/>
      <c r="DB15" s="544"/>
      <c r="DC15" s="544"/>
      <c r="DD15" s="544"/>
      <c r="DE15" s="554"/>
      <c r="DF15" s="554"/>
      <c r="DG15" s="544"/>
      <c r="DH15" s="544"/>
      <c r="DI15" s="544"/>
      <c r="DJ15" s="544"/>
      <c r="DK15" s="544"/>
      <c r="DL15" s="544"/>
      <c r="DM15" s="544"/>
      <c r="DN15" s="544"/>
      <c r="DO15" s="544"/>
      <c r="DP15" s="544"/>
      <c r="DQ15" s="544"/>
      <c r="DR15" s="544"/>
      <c r="DS15" s="544"/>
      <c r="DT15" s="544"/>
      <c r="DU15" s="544"/>
      <c r="DV15" s="546"/>
      <c r="DW15" s="546"/>
      <c r="DX15" s="546"/>
      <c r="DY15" s="547"/>
      <c r="DZ15" s="547"/>
    </row>
    <row r="16" spans="1:130" s="217" customFormat="1" ht="317.25" customHeight="1" thickBot="1">
      <c r="A16" s="550"/>
      <c r="B16" s="550"/>
      <c r="C16" s="550"/>
      <c r="D16" s="550"/>
      <c r="E16" s="550"/>
      <c r="F16" s="558" t="s">
        <v>175</v>
      </c>
      <c r="G16" s="558" t="s">
        <v>64</v>
      </c>
      <c r="H16" s="558" t="s">
        <v>175</v>
      </c>
      <c r="I16" s="558" t="s">
        <v>179</v>
      </c>
      <c r="J16" s="558" t="s">
        <v>64</v>
      </c>
      <c r="K16" s="558" t="s">
        <v>175</v>
      </c>
      <c r="L16" s="558" t="s">
        <v>64</v>
      </c>
      <c r="M16" s="558" t="s">
        <v>175</v>
      </c>
      <c r="N16" s="558" t="s">
        <v>64</v>
      </c>
      <c r="O16" s="558" t="s">
        <v>175</v>
      </c>
      <c r="P16" s="558" t="s">
        <v>64</v>
      </c>
      <c r="Q16" s="558" t="s">
        <v>175</v>
      </c>
      <c r="R16" s="558" t="s">
        <v>64</v>
      </c>
      <c r="S16" s="558" t="s">
        <v>177</v>
      </c>
      <c r="T16" s="558" t="s">
        <v>912</v>
      </c>
      <c r="U16" s="558" t="s">
        <v>64</v>
      </c>
      <c r="V16" s="558" t="s">
        <v>177</v>
      </c>
      <c r="W16" s="558" t="s">
        <v>64</v>
      </c>
      <c r="X16" s="558" t="s">
        <v>177</v>
      </c>
      <c r="Y16" s="558" t="s">
        <v>175</v>
      </c>
      <c r="Z16" s="558" t="s">
        <v>64</v>
      </c>
      <c r="AA16" s="558" t="s">
        <v>175</v>
      </c>
      <c r="AB16" s="558" t="s">
        <v>177</v>
      </c>
      <c r="AC16" s="558" t="s">
        <v>64</v>
      </c>
      <c r="AD16" s="558" t="s">
        <v>175</v>
      </c>
      <c r="AE16" s="558" t="s">
        <v>64</v>
      </c>
      <c r="AF16" s="558" t="s">
        <v>175</v>
      </c>
      <c r="AG16" s="558" t="s">
        <v>64</v>
      </c>
      <c r="AH16" s="558" t="s">
        <v>175</v>
      </c>
      <c r="AI16" s="558" t="s">
        <v>64</v>
      </c>
      <c r="AJ16" s="558" t="s">
        <v>175</v>
      </c>
      <c r="AK16" s="558" t="s">
        <v>64</v>
      </c>
      <c r="AL16" s="558" t="s">
        <v>175</v>
      </c>
      <c r="AM16" s="558" t="s">
        <v>64</v>
      </c>
      <c r="AN16" s="558" t="s">
        <v>175</v>
      </c>
      <c r="AO16" s="558" t="s">
        <v>64</v>
      </c>
      <c r="AP16" s="558" t="s">
        <v>175</v>
      </c>
      <c r="AQ16" s="558" t="s">
        <v>64</v>
      </c>
      <c r="AR16" s="558" t="s">
        <v>175</v>
      </c>
      <c r="AS16" s="558" t="s">
        <v>179</v>
      </c>
      <c r="AT16" s="558" t="s">
        <v>180</v>
      </c>
      <c r="AU16" s="558" t="s">
        <v>175</v>
      </c>
      <c r="AV16" s="558" t="s">
        <v>179</v>
      </c>
      <c r="AW16" s="558" t="s">
        <v>180</v>
      </c>
      <c r="AX16" s="558" t="s">
        <v>175</v>
      </c>
      <c r="AY16" s="558" t="s">
        <v>179</v>
      </c>
      <c r="AZ16" s="558" t="s">
        <v>180</v>
      </c>
      <c r="BA16" s="558" t="s">
        <v>175</v>
      </c>
      <c r="BB16" s="558" t="s">
        <v>179</v>
      </c>
      <c r="BC16" s="558" t="s">
        <v>180</v>
      </c>
      <c r="BD16" s="558" t="s">
        <v>175</v>
      </c>
      <c r="BE16" s="558" t="s">
        <v>179</v>
      </c>
      <c r="BF16" s="558" t="s">
        <v>180</v>
      </c>
      <c r="BG16" s="558" t="s">
        <v>458</v>
      </c>
      <c r="BH16" s="558" t="s">
        <v>458</v>
      </c>
      <c r="BI16" s="558" t="s">
        <v>458</v>
      </c>
      <c r="BJ16" s="558" t="s">
        <v>471</v>
      </c>
      <c r="BK16" s="558" t="s">
        <v>471</v>
      </c>
      <c r="BL16" s="558" t="s">
        <v>458</v>
      </c>
      <c r="BM16" s="558" t="s">
        <v>458</v>
      </c>
      <c r="BN16" s="558" t="s">
        <v>458</v>
      </c>
      <c r="BO16" s="558" t="s">
        <v>471</v>
      </c>
      <c r="BP16" s="558" t="s">
        <v>471</v>
      </c>
      <c r="BQ16" s="558" t="s">
        <v>471</v>
      </c>
      <c r="BR16" s="558" t="s">
        <v>175</v>
      </c>
      <c r="BS16" s="558" t="s">
        <v>64</v>
      </c>
      <c r="BT16" s="558" t="s">
        <v>187</v>
      </c>
      <c r="BU16" s="558" t="s">
        <v>60</v>
      </c>
      <c r="BV16" s="558" t="s">
        <v>188</v>
      </c>
      <c r="BW16" s="558" t="s">
        <v>60</v>
      </c>
      <c r="BX16" s="558" t="s">
        <v>188</v>
      </c>
      <c r="BY16" s="558" t="s">
        <v>471</v>
      </c>
      <c r="BZ16" s="558" t="s">
        <v>471</v>
      </c>
      <c r="CA16" s="558" t="s">
        <v>177</v>
      </c>
      <c r="CB16" s="558" t="s">
        <v>191</v>
      </c>
      <c r="CC16" s="558" t="s">
        <v>64</v>
      </c>
      <c r="CD16" s="558" t="s">
        <v>64</v>
      </c>
      <c r="CE16" s="558" t="s">
        <v>195</v>
      </c>
      <c r="CF16" s="558" t="s">
        <v>64</v>
      </c>
      <c r="CG16" s="558" t="s">
        <v>175</v>
      </c>
      <c r="CH16" s="558" t="s">
        <v>64</v>
      </c>
      <c r="CI16" s="558" t="s">
        <v>197</v>
      </c>
      <c r="CJ16" s="558" t="s">
        <v>198</v>
      </c>
      <c r="CK16" s="558" t="s">
        <v>197</v>
      </c>
      <c r="CL16" s="558" t="s">
        <v>198</v>
      </c>
      <c r="CM16" s="558" t="s">
        <v>199</v>
      </c>
      <c r="CN16" s="558" t="s">
        <v>200</v>
      </c>
      <c r="CO16" s="558" t="s">
        <v>677</v>
      </c>
      <c r="CP16" s="558" t="s">
        <v>204</v>
      </c>
      <c r="CQ16" s="558" t="s">
        <v>64</v>
      </c>
      <c r="CR16" s="558" t="s">
        <v>680</v>
      </c>
      <c r="CS16" s="558" t="s">
        <v>681</v>
      </c>
      <c r="CT16" s="558" t="s">
        <v>682</v>
      </c>
      <c r="CU16" s="558" t="s">
        <v>64</v>
      </c>
      <c r="CV16" s="558" t="s">
        <v>208</v>
      </c>
      <c r="CW16" s="558" t="s">
        <v>64</v>
      </c>
      <c r="CX16" s="558" t="s">
        <v>208</v>
      </c>
      <c r="CY16" s="558" t="s">
        <v>64</v>
      </c>
      <c r="CZ16" s="558" t="s">
        <v>205</v>
      </c>
      <c r="DA16" s="558" t="s">
        <v>206</v>
      </c>
      <c r="DB16" s="558" t="s">
        <v>471</v>
      </c>
      <c r="DC16" s="558" t="s">
        <v>175</v>
      </c>
      <c r="DD16" s="558" t="s">
        <v>64</v>
      </c>
      <c r="DE16" s="558" t="s">
        <v>175</v>
      </c>
      <c r="DF16" s="558" t="s">
        <v>64</v>
      </c>
      <c r="DG16" s="558" t="s">
        <v>485</v>
      </c>
      <c r="DH16" s="558" t="s">
        <v>206</v>
      </c>
      <c r="DI16" s="558" t="s">
        <v>175</v>
      </c>
      <c r="DJ16" s="558" t="s">
        <v>64</v>
      </c>
      <c r="DK16" s="558" t="s">
        <v>64</v>
      </c>
      <c r="DL16" s="558" t="s">
        <v>485</v>
      </c>
      <c r="DM16" s="558" t="s">
        <v>175</v>
      </c>
      <c r="DN16" s="558" t="s">
        <v>462</v>
      </c>
      <c r="DO16" s="558" t="s">
        <v>206</v>
      </c>
      <c r="DP16" s="558" t="s">
        <v>175</v>
      </c>
      <c r="DQ16" s="558" t="s">
        <v>206</v>
      </c>
      <c r="DR16" s="558" t="s">
        <v>175</v>
      </c>
      <c r="DS16" s="558" t="s">
        <v>798</v>
      </c>
      <c r="DT16" s="558" t="s">
        <v>799</v>
      </c>
      <c r="DU16" s="558" t="s">
        <v>799</v>
      </c>
      <c r="DV16" s="546"/>
      <c r="DW16" s="546"/>
      <c r="DX16" s="546"/>
      <c r="DY16" s="547"/>
      <c r="DZ16" s="547"/>
    </row>
    <row r="17" spans="1:131" s="217" customFormat="1" ht="297.75" customHeight="1" thickBot="1">
      <c r="A17" s="551"/>
      <c r="B17" s="551"/>
      <c r="C17" s="551"/>
      <c r="D17" s="551"/>
      <c r="E17" s="551"/>
      <c r="F17" s="558"/>
      <c r="G17" s="558"/>
      <c r="H17" s="558"/>
      <c r="I17" s="558"/>
      <c r="J17" s="558"/>
      <c r="K17" s="558"/>
      <c r="L17" s="558"/>
      <c r="M17" s="558"/>
      <c r="N17" s="558"/>
      <c r="O17" s="558"/>
      <c r="P17" s="558"/>
      <c r="Q17" s="558"/>
      <c r="R17" s="558"/>
      <c r="S17" s="558"/>
      <c r="T17" s="558"/>
      <c r="U17" s="558"/>
      <c r="V17" s="558"/>
      <c r="W17" s="558"/>
      <c r="X17" s="558"/>
      <c r="Y17" s="558"/>
      <c r="Z17" s="558"/>
      <c r="AA17" s="558"/>
      <c r="AB17" s="558"/>
      <c r="AC17" s="558"/>
      <c r="AD17" s="558"/>
      <c r="AE17" s="558"/>
      <c r="AF17" s="558"/>
      <c r="AG17" s="558"/>
      <c r="AH17" s="558"/>
      <c r="AI17" s="558"/>
      <c r="AJ17" s="558"/>
      <c r="AK17" s="558"/>
      <c r="AL17" s="558"/>
      <c r="AM17" s="558"/>
      <c r="AN17" s="558"/>
      <c r="AO17" s="558"/>
      <c r="AP17" s="558"/>
      <c r="AQ17" s="558"/>
      <c r="AR17" s="558"/>
      <c r="AS17" s="558"/>
      <c r="AT17" s="558"/>
      <c r="AU17" s="558"/>
      <c r="AV17" s="558"/>
      <c r="AW17" s="558"/>
      <c r="AX17" s="558"/>
      <c r="AY17" s="558"/>
      <c r="AZ17" s="558"/>
      <c r="BA17" s="558"/>
      <c r="BB17" s="558"/>
      <c r="BC17" s="558"/>
      <c r="BD17" s="558"/>
      <c r="BE17" s="558"/>
      <c r="BF17" s="558"/>
      <c r="BG17" s="558"/>
      <c r="BH17" s="558"/>
      <c r="BI17" s="558"/>
      <c r="BJ17" s="558"/>
      <c r="BK17" s="558"/>
      <c r="BL17" s="558"/>
      <c r="BM17" s="558"/>
      <c r="BN17" s="558"/>
      <c r="BO17" s="558"/>
      <c r="BP17" s="558"/>
      <c r="BQ17" s="558"/>
      <c r="BR17" s="558"/>
      <c r="BS17" s="558"/>
      <c r="BT17" s="558"/>
      <c r="BU17" s="558"/>
      <c r="BV17" s="558"/>
      <c r="BW17" s="558"/>
      <c r="BX17" s="558"/>
      <c r="BY17" s="558"/>
      <c r="BZ17" s="558"/>
      <c r="CA17" s="558"/>
      <c r="CB17" s="558"/>
      <c r="CC17" s="558"/>
      <c r="CD17" s="558"/>
      <c r="CE17" s="558"/>
      <c r="CF17" s="558"/>
      <c r="CG17" s="558"/>
      <c r="CH17" s="558"/>
      <c r="CI17" s="558"/>
      <c r="CJ17" s="558"/>
      <c r="CK17" s="558"/>
      <c r="CL17" s="558"/>
      <c r="CM17" s="558"/>
      <c r="CN17" s="558"/>
      <c r="CO17" s="558"/>
      <c r="CP17" s="558"/>
      <c r="CQ17" s="558"/>
      <c r="CR17" s="558"/>
      <c r="CS17" s="558"/>
      <c r="CT17" s="558"/>
      <c r="CU17" s="558"/>
      <c r="CV17" s="558"/>
      <c r="CW17" s="558"/>
      <c r="CX17" s="558"/>
      <c r="CY17" s="558"/>
      <c r="CZ17" s="558"/>
      <c r="DA17" s="558"/>
      <c r="DB17" s="558"/>
      <c r="DC17" s="558"/>
      <c r="DD17" s="558"/>
      <c r="DE17" s="558"/>
      <c r="DF17" s="558"/>
      <c r="DG17" s="558"/>
      <c r="DH17" s="558"/>
      <c r="DI17" s="558"/>
      <c r="DJ17" s="558"/>
      <c r="DK17" s="558"/>
      <c r="DL17" s="558"/>
      <c r="DM17" s="558"/>
      <c r="DN17" s="558"/>
      <c r="DO17" s="558"/>
      <c r="DP17" s="558"/>
      <c r="DQ17" s="558"/>
      <c r="DR17" s="558"/>
      <c r="DS17" s="558"/>
      <c r="DT17" s="558"/>
      <c r="DU17" s="558"/>
      <c r="DV17" s="546"/>
      <c r="DW17" s="546"/>
      <c r="DX17" s="546"/>
      <c r="DY17" s="547"/>
      <c r="DZ17" s="547"/>
    </row>
    <row r="18" spans="1:131" s="18" customFormat="1" ht="79.5" customHeight="1" thickBot="1">
      <c r="A18" s="420" t="s">
        <v>281</v>
      </c>
      <c r="B18" s="414" t="s">
        <v>282</v>
      </c>
      <c r="C18" s="419">
        <v>43621</v>
      </c>
      <c r="D18" s="418" t="s">
        <v>1183</v>
      </c>
      <c r="E18" s="429" t="s">
        <v>897</v>
      </c>
      <c r="F18" s="422">
        <v>4</v>
      </c>
      <c r="G18" s="422">
        <v>4</v>
      </c>
      <c r="H18" s="422">
        <v>4</v>
      </c>
      <c r="I18" s="422" t="s">
        <v>69</v>
      </c>
      <c r="J18" s="422">
        <v>4</v>
      </c>
      <c r="K18" s="422" t="s">
        <v>69</v>
      </c>
      <c r="L18" s="422" t="s">
        <v>69</v>
      </c>
      <c r="M18" s="422" t="s">
        <v>69</v>
      </c>
      <c r="N18" s="422" t="s">
        <v>69</v>
      </c>
      <c r="O18" s="422">
        <v>4</v>
      </c>
      <c r="P18" s="422">
        <v>4</v>
      </c>
      <c r="Q18" s="422" t="s">
        <v>69</v>
      </c>
      <c r="R18" s="422">
        <v>4</v>
      </c>
      <c r="S18" s="422" t="s">
        <v>69</v>
      </c>
      <c r="T18" s="422" t="s">
        <v>69</v>
      </c>
      <c r="U18" s="422" t="s">
        <v>69</v>
      </c>
      <c r="V18" s="422" t="s">
        <v>69</v>
      </c>
      <c r="W18" s="422" t="s">
        <v>69</v>
      </c>
      <c r="X18" s="422" t="s">
        <v>69</v>
      </c>
      <c r="Y18" s="422" t="s">
        <v>69</v>
      </c>
      <c r="Z18" s="422" t="s">
        <v>69</v>
      </c>
      <c r="AA18" s="422">
        <v>4</v>
      </c>
      <c r="AB18" s="422" t="s">
        <v>69</v>
      </c>
      <c r="AC18" s="422">
        <v>4</v>
      </c>
      <c r="AD18" s="422" t="s">
        <v>69</v>
      </c>
      <c r="AE18" s="422" t="s">
        <v>69</v>
      </c>
      <c r="AF18" s="422">
        <v>3</v>
      </c>
      <c r="AG18" s="422">
        <v>3</v>
      </c>
      <c r="AH18" s="422">
        <v>3</v>
      </c>
      <c r="AI18" s="422">
        <v>3</v>
      </c>
      <c r="AJ18" s="422" t="s">
        <v>69</v>
      </c>
      <c r="AK18" s="422" t="s">
        <v>69</v>
      </c>
      <c r="AL18" s="422" t="s">
        <v>69</v>
      </c>
      <c r="AM18" s="422" t="s">
        <v>69</v>
      </c>
      <c r="AN18" s="422" t="s">
        <v>69</v>
      </c>
      <c r="AO18" s="422" t="s">
        <v>69</v>
      </c>
      <c r="AP18" s="422" t="s">
        <v>69</v>
      </c>
      <c r="AQ18" s="422">
        <v>4</v>
      </c>
      <c r="AR18" s="422">
        <v>4</v>
      </c>
      <c r="AS18" s="422" t="s">
        <v>69</v>
      </c>
      <c r="AT18" s="422">
        <v>4</v>
      </c>
      <c r="AU18" s="422">
        <v>4</v>
      </c>
      <c r="AV18" s="422" t="s">
        <v>69</v>
      </c>
      <c r="AW18" s="422" t="s">
        <v>69</v>
      </c>
      <c r="AX18" s="422">
        <v>4</v>
      </c>
      <c r="AY18" s="422" t="s">
        <v>69</v>
      </c>
      <c r="AZ18" s="422">
        <v>4</v>
      </c>
      <c r="BA18" s="422" t="s">
        <v>69</v>
      </c>
      <c r="BB18" s="422" t="s">
        <v>69</v>
      </c>
      <c r="BC18" s="422" t="s">
        <v>69</v>
      </c>
      <c r="BD18" s="422" t="s">
        <v>69</v>
      </c>
      <c r="BE18" s="422" t="s">
        <v>69</v>
      </c>
      <c r="BF18" s="422" t="s">
        <v>69</v>
      </c>
      <c r="BG18" s="422" t="s">
        <v>69</v>
      </c>
      <c r="BH18" s="422" t="s">
        <v>69</v>
      </c>
      <c r="BI18" s="422" t="s">
        <v>69</v>
      </c>
      <c r="BJ18" s="422" t="s">
        <v>69</v>
      </c>
      <c r="BK18" s="422" t="s">
        <v>69</v>
      </c>
      <c r="BL18" s="422" t="s">
        <v>69</v>
      </c>
      <c r="BM18" s="422" t="s">
        <v>69</v>
      </c>
      <c r="BN18" s="422" t="s">
        <v>69</v>
      </c>
      <c r="BO18" s="422" t="s">
        <v>69</v>
      </c>
      <c r="BP18" s="422" t="s">
        <v>69</v>
      </c>
      <c r="BQ18" s="422" t="s">
        <v>69</v>
      </c>
      <c r="BR18" s="422">
        <v>4</v>
      </c>
      <c r="BS18" s="422" t="s">
        <v>69</v>
      </c>
      <c r="BT18" s="422" t="s">
        <v>69</v>
      </c>
      <c r="BU18" s="422">
        <v>3</v>
      </c>
      <c r="BV18" s="422">
        <v>3</v>
      </c>
      <c r="BW18" s="422" t="s">
        <v>69</v>
      </c>
      <c r="BX18" s="422" t="s">
        <v>69</v>
      </c>
      <c r="BY18" s="422">
        <v>4</v>
      </c>
      <c r="BZ18" s="422" t="s">
        <v>69</v>
      </c>
      <c r="CA18" s="422" t="s">
        <v>69</v>
      </c>
      <c r="CB18" s="422" t="s">
        <v>69</v>
      </c>
      <c r="CC18" s="422" t="s">
        <v>69</v>
      </c>
      <c r="CD18" s="422" t="s">
        <v>69</v>
      </c>
      <c r="CE18" s="422" t="s">
        <v>69</v>
      </c>
      <c r="CF18" s="422" t="s">
        <v>69</v>
      </c>
      <c r="CG18" s="422">
        <v>4</v>
      </c>
      <c r="CH18" s="422" t="s">
        <v>69</v>
      </c>
      <c r="CI18" s="422" t="s">
        <v>69</v>
      </c>
      <c r="CJ18" s="422" t="s">
        <v>69</v>
      </c>
      <c r="CK18" s="422" t="s">
        <v>69</v>
      </c>
      <c r="CL18" s="422" t="s">
        <v>69</v>
      </c>
      <c r="CM18" s="422" t="s">
        <v>69</v>
      </c>
      <c r="CN18" s="422" t="s">
        <v>69</v>
      </c>
      <c r="CO18" s="422" t="s">
        <v>69</v>
      </c>
      <c r="CP18" s="422" t="s">
        <v>69</v>
      </c>
      <c r="CQ18" s="422" t="s">
        <v>69</v>
      </c>
      <c r="CR18" s="422" t="s">
        <v>69</v>
      </c>
      <c r="CS18" s="422" t="s">
        <v>69</v>
      </c>
      <c r="CT18" s="422" t="s">
        <v>69</v>
      </c>
      <c r="CU18" s="422" t="s">
        <v>69</v>
      </c>
      <c r="CV18" s="422" t="s">
        <v>69</v>
      </c>
      <c r="CW18" s="422" t="s">
        <v>69</v>
      </c>
      <c r="CX18" s="422" t="s">
        <v>69</v>
      </c>
      <c r="CY18" s="422" t="s">
        <v>69</v>
      </c>
      <c r="CZ18" s="422" t="s">
        <v>69</v>
      </c>
      <c r="DA18" s="422" t="s">
        <v>69</v>
      </c>
      <c r="DB18" s="422" t="s">
        <v>69</v>
      </c>
      <c r="DC18" s="422">
        <v>4</v>
      </c>
      <c r="DD18" s="422">
        <v>4</v>
      </c>
      <c r="DE18" s="422">
        <v>4</v>
      </c>
      <c r="DF18" s="422">
        <v>4</v>
      </c>
      <c r="DG18" s="422" t="s">
        <v>69</v>
      </c>
      <c r="DH18" s="422" t="s">
        <v>69</v>
      </c>
      <c r="DI18" s="422" t="s">
        <v>69</v>
      </c>
      <c r="DJ18" s="422" t="s">
        <v>69</v>
      </c>
      <c r="DK18" s="422">
        <v>3</v>
      </c>
      <c r="DL18" s="422" t="s">
        <v>69</v>
      </c>
      <c r="DM18" s="422" t="s">
        <v>69</v>
      </c>
      <c r="DN18" s="422" t="s">
        <v>69</v>
      </c>
      <c r="DO18" s="422" t="s">
        <v>69</v>
      </c>
      <c r="DP18" s="422" t="s">
        <v>69</v>
      </c>
      <c r="DQ18" s="422" t="s">
        <v>69</v>
      </c>
      <c r="DR18" s="422" t="s">
        <v>69</v>
      </c>
      <c r="DS18" s="422" t="s">
        <v>69</v>
      </c>
      <c r="DT18" s="422" t="s">
        <v>69</v>
      </c>
      <c r="DU18" s="422" t="s">
        <v>69</v>
      </c>
      <c r="DV18" s="422" t="s">
        <v>69</v>
      </c>
      <c r="DW18" s="422" t="s">
        <v>69</v>
      </c>
      <c r="DX18" s="422">
        <v>4</v>
      </c>
      <c r="DY18" s="423">
        <f t="shared" ref="DY18:DY46" si="0">COUNTIF(F18:DX18,"&gt;0")/63</f>
        <v>0.47619047619047616</v>
      </c>
      <c r="DZ18" s="424">
        <f t="shared" ref="DZ18:DZ46" si="1">+COUNTIF(F18:DX18,"&gt;2")/COUNTIF(F18:DX18,"&gt;1")</f>
        <v>1</v>
      </c>
      <c r="EA18" s="519"/>
    </row>
    <row r="19" spans="1:131" s="18" customFormat="1" ht="66.599999999999994" thickBot="1">
      <c r="A19" s="420" t="s">
        <v>283</v>
      </c>
      <c r="B19" s="414" t="s">
        <v>284</v>
      </c>
      <c r="C19" s="419">
        <v>44077</v>
      </c>
      <c r="D19" s="418" t="s">
        <v>1183</v>
      </c>
      <c r="E19" s="429" t="s">
        <v>897</v>
      </c>
      <c r="F19" s="425">
        <v>4</v>
      </c>
      <c r="G19" s="425">
        <v>4</v>
      </c>
      <c r="H19" s="425">
        <v>4</v>
      </c>
      <c r="I19" s="425" t="s">
        <v>69</v>
      </c>
      <c r="J19" s="425" t="s">
        <v>69</v>
      </c>
      <c r="K19" s="425" t="s">
        <v>69</v>
      </c>
      <c r="L19" s="425" t="s">
        <v>69</v>
      </c>
      <c r="M19" s="425" t="s">
        <v>69</v>
      </c>
      <c r="N19" s="425" t="s">
        <v>69</v>
      </c>
      <c r="O19" s="425">
        <v>4</v>
      </c>
      <c r="P19" s="425">
        <v>4</v>
      </c>
      <c r="Q19" s="425" t="s">
        <v>69</v>
      </c>
      <c r="R19" s="425">
        <v>4</v>
      </c>
      <c r="S19" s="425" t="s">
        <v>69</v>
      </c>
      <c r="T19" s="425" t="s">
        <v>69</v>
      </c>
      <c r="U19" s="425" t="s">
        <v>69</v>
      </c>
      <c r="V19" s="425" t="s">
        <v>69</v>
      </c>
      <c r="W19" s="425" t="s">
        <v>69</v>
      </c>
      <c r="X19" s="425" t="s">
        <v>69</v>
      </c>
      <c r="Y19" s="425" t="s">
        <v>69</v>
      </c>
      <c r="Z19" s="425" t="s">
        <v>69</v>
      </c>
      <c r="AA19" s="425">
        <v>4</v>
      </c>
      <c r="AB19" s="425" t="s">
        <v>69</v>
      </c>
      <c r="AC19" s="425">
        <v>4</v>
      </c>
      <c r="AD19" s="425" t="s">
        <v>69</v>
      </c>
      <c r="AE19" s="425" t="s">
        <v>69</v>
      </c>
      <c r="AF19" s="425" t="s">
        <v>69</v>
      </c>
      <c r="AG19" s="425" t="s">
        <v>69</v>
      </c>
      <c r="AH19" s="425" t="s">
        <v>69</v>
      </c>
      <c r="AI19" s="425" t="s">
        <v>69</v>
      </c>
      <c r="AJ19" s="425" t="s">
        <v>69</v>
      </c>
      <c r="AK19" s="425" t="s">
        <v>69</v>
      </c>
      <c r="AL19" s="425">
        <v>3</v>
      </c>
      <c r="AM19" s="425">
        <v>4</v>
      </c>
      <c r="AN19" s="425">
        <v>4</v>
      </c>
      <c r="AO19" s="425">
        <v>4</v>
      </c>
      <c r="AP19" s="425">
        <v>4</v>
      </c>
      <c r="AQ19" s="425">
        <v>4</v>
      </c>
      <c r="AR19" s="425">
        <v>4</v>
      </c>
      <c r="AS19" s="425">
        <v>4</v>
      </c>
      <c r="AT19" s="425">
        <v>4</v>
      </c>
      <c r="AU19" s="425">
        <v>4</v>
      </c>
      <c r="AV19" s="425" t="s">
        <v>69</v>
      </c>
      <c r="AW19" s="425" t="s">
        <v>69</v>
      </c>
      <c r="AX19" s="425">
        <v>4</v>
      </c>
      <c r="AY19" s="425">
        <v>4</v>
      </c>
      <c r="AZ19" s="425">
        <v>3</v>
      </c>
      <c r="BA19" s="425" t="s">
        <v>69</v>
      </c>
      <c r="BB19" s="425" t="s">
        <v>69</v>
      </c>
      <c r="BC19" s="425">
        <v>4</v>
      </c>
      <c r="BD19" s="425" t="s">
        <v>69</v>
      </c>
      <c r="BE19" s="425" t="s">
        <v>69</v>
      </c>
      <c r="BF19" s="425" t="s">
        <v>69</v>
      </c>
      <c r="BG19" s="425" t="s">
        <v>69</v>
      </c>
      <c r="BH19" s="425" t="s">
        <v>69</v>
      </c>
      <c r="BI19" s="425" t="s">
        <v>69</v>
      </c>
      <c r="BJ19" s="425">
        <v>4</v>
      </c>
      <c r="BK19" s="425" t="s">
        <v>69</v>
      </c>
      <c r="BL19" s="425">
        <v>4</v>
      </c>
      <c r="BM19" s="425">
        <v>4</v>
      </c>
      <c r="BN19" s="425">
        <v>4</v>
      </c>
      <c r="BO19" s="425" t="s">
        <v>69</v>
      </c>
      <c r="BP19" s="425" t="s">
        <v>69</v>
      </c>
      <c r="BQ19" s="425" t="s">
        <v>69</v>
      </c>
      <c r="BR19" s="425">
        <v>4</v>
      </c>
      <c r="BS19" s="425" t="s">
        <v>69</v>
      </c>
      <c r="BT19" s="425" t="s">
        <v>69</v>
      </c>
      <c r="BU19" s="425" t="s">
        <v>69</v>
      </c>
      <c r="BV19" s="425" t="s">
        <v>69</v>
      </c>
      <c r="BW19" s="425" t="s">
        <v>69</v>
      </c>
      <c r="BX19" s="425" t="s">
        <v>69</v>
      </c>
      <c r="BY19" s="425">
        <v>4</v>
      </c>
      <c r="BZ19" s="425" t="s">
        <v>69</v>
      </c>
      <c r="CA19" s="425" t="s">
        <v>69</v>
      </c>
      <c r="CB19" s="425" t="s">
        <v>69</v>
      </c>
      <c r="CC19" s="425" t="s">
        <v>69</v>
      </c>
      <c r="CD19" s="425" t="s">
        <v>69</v>
      </c>
      <c r="CE19" s="425" t="s">
        <v>69</v>
      </c>
      <c r="CF19" s="425" t="s">
        <v>69</v>
      </c>
      <c r="CG19" s="425">
        <v>4</v>
      </c>
      <c r="CH19" s="425" t="s">
        <v>69</v>
      </c>
      <c r="CI19" s="425" t="s">
        <v>69</v>
      </c>
      <c r="CJ19" s="425" t="s">
        <v>69</v>
      </c>
      <c r="CK19" s="425" t="s">
        <v>69</v>
      </c>
      <c r="CL19" s="425" t="s">
        <v>69</v>
      </c>
      <c r="CM19" s="425" t="s">
        <v>69</v>
      </c>
      <c r="CN19" s="425" t="s">
        <v>69</v>
      </c>
      <c r="CO19" s="425" t="s">
        <v>69</v>
      </c>
      <c r="CP19" s="425" t="s">
        <v>69</v>
      </c>
      <c r="CQ19" s="425" t="s">
        <v>69</v>
      </c>
      <c r="CR19" s="425" t="s">
        <v>69</v>
      </c>
      <c r="CS19" s="425" t="s">
        <v>69</v>
      </c>
      <c r="CT19" s="425" t="s">
        <v>69</v>
      </c>
      <c r="CU19" s="425" t="s">
        <v>69</v>
      </c>
      <c r="CV19" s="425">
        <v>4</v>
      </c>
      <c r="CW19" s="425">
        <v>4</v>
      </c>
      <c r="CX19" s="425">
        <v>4</v>
      </c>
      <c r="CY19" s="425">
        <v>2</v>
      </c>
      <c r="CZ19" s="425" t="s">
        <v>69</v>
      </c>
      <c r="DA19" s="425" t="s">
        <v>69</v>
      </c>
      <c r="DB19" s="425" t="s">
        <v>69</v>
      </c>
      <c r="DC19" s="425" t="s">
        <v>69</v>
      </c>
      <c r="DD19" s="425" t="s">
        <v>69</v>
      </c>
      <c r="DE19" s="425" t="s">
        <v>69</v>
      </c>
      <c r="DF19" s="425" t="s">
        <v>69</v>
      </c>
      <c r="DG19" s="425" t="s">
        <v>69</v>
      </c>
      <c r="DH19" s="425" t="s">
        <v>69</v>
      </c>
      <c r="DI19" s="425" t="s">
        <v>69</v>
      </c>
      <c r="DJ19" s="425" t="s">
        <v>69</v>
      </c>
      <c r="DK19" s="425" t="s">
        <v>69</v>
      </c>
      <c r="DL19" s="425" t="s">
        <v>69</v>
      </c>
      <c r="DM19" s="425" t="s">
        <v>69</v>
      </c>
      <c r="DN19" s="425" t="s">
        <v>69</v>
      </c>
      <c r="DO19" s="425" t="s">
        <v>69</v>
      </c>
      <c r="DP19" s="425" t="s">
        <v>69</v>
      </c>
      <c r="DQ19" s="425" t="s">
        <v>69</v>
      </c>
      <c r="DR19" s="425" t="s">
        <v>69</v>
      </c>
      <c r="DS19" s="425" t="s">
        <v>69</v>
      </c>
      <c r="DT19" s="425" t="s">
        <v>69</v>
      </c>
      <c r="DU19" s="422" t="s">
        <v>69</v>
      </c>
      <c r="DV19" s="425">
        <v>2</v>
      </c>
      <c r="DW19" s="425" t="s">
        <v>69</v>
      </c>
      <c r="DX19" s="425">
        <v>4</v>
      </c>
      <c r="DY19" s="423">
        <f t="shared" si="0"/>
        <v>0.55555555555555558</v>
      </c>
      <c r="DZ19" s="424">
        <f t="shared" si="1"/>
        <v>0.94285714285714284</v>
      </c>
      <c r="EA19" s="519"/>
    </row>
    <row r="20" spans="1:131" s="18" customFormat="1" ht="66.599999999999994" thickBot="1">
      <c r="A20" s="420" t="s">
        <v>289</v>
      </c>
      <c r="B20" s="414" t="s">
        <v>290</v>
      </c>
      <c r="C20" s="419">
        <v>44175</v>
      </c>
      <c r="D20" s="418" t="s">
        <v>1183</v>
      </c>
      <c r="E20" s="429" t="s">
        <v>897</v>
      </c>
      <c r="F20" s="425" t="s">
        <v>69</v>
      </c>
      <c r="G20" s="425" t="s">
        <v>69</v>
      </c>
      <c r="H20" s="425" t="s">
        <v>69</v>
      </c>
      <c r="I20" s="425" t="s">
        <v>69</v>
      </c>
      <c r="J20" s="425" t="s">
        <v>69</v>
      </c>
      <c r="K20" s="425" t="s">
        <v>69</v>
      </c>
      <c r="L20" s="425" t="s">
        <v>69</v>
      </c>
      <c r="M20" s="425" t="s">
        <v>69</v>
      </c>
      <c r="N20" s="425" t="s">
        <v>69</v>
      </c>
      <c r="O20" s="425">
        <v>4</v>
      </c>
      <c r="P20" s="425" t="s">
        <v>69</v>
      </c>
      <c r="Q20" s="425" t="s">
        <v>69</v>
      </c>
      <c r="R20" s="425" t="s">
        <v>69</v>
      </c>
      <c r="S20" s="425">
        <v>3</v>
      </c>
      <c r="T20" s="425" t="s">
        <v>69</v>
      </c>
      <c r="U20" s="425" t="s">
        <v>69</v>
      </c>
      <c r="V20" s="425" t="s">
        <v>69</v>
      </c>
      <c r="W20" s="425" t="s">
        <v>69</v>
      </c>
      <c r="X20" s="425" t="s">
        <v>69</v>
      </c>
      <c r="Y20" s="425" t="s">
        <v>69</v>
      </c>
      <c r="Z20" s="425" t="s">
        <v>69</v>
      </c>
      <c r="AA20" s="425">
        <v>4</v>
      </c>
      <c r="AB20" s="425" t="s">
        <v>69</v>
      </c>
      <c r="AC20" s="425" t="s">
        <v>69</v>
      </c>
      <c r="AD20" s="425" t="s">
        <v>69</v>
      </c>
      <c r="AE20" s="425" t="s">
        <v>69</v>
      </c>
      <c r="AF20" s="425" t="s">
        <v>69</v>
      </c>
      <c r="AG20" s="425" t="s">
        <v>69</v>
      </c>
      <c r="AH20" s="425" t="s">
        <v>69</v>
      </c>
      <c r="AI20" s="425" t="s">
        <v>69</v>
      </c>
      <c r="AJ20" s="425" t="s">
        <v>69</v>
      </c>
      <c r="AK20" s="425" t="s">
        <v>69</v>
      </c>
      <c r="AL20" s="425" t="s">
        <v>69</v>
      </c>
      <c r="AM20" s="425" t="s">
        <v>69</v>
      </c>
      <c r="AN20" s="425" t="s">
        <v>69</v>
      </c>
      <c r="AO20" s="425" t="s">
        <v>69</v>
      </c>
      <c r="AP20" s="425" t="s">
        <v>69</v>
      </c>
      <c r="AQ20" s="425" t="s">
        <v>69</v>
      </c>
      <c r="AR20" s="425" t="s">
        <v>69</v>
      </c>
      <c r="AS20" s="425" t="s">
        <v>69</v>
      </c>
      <c r="AT20" s="425" t="s">
        <v>69</v>
      </c>
      <c r="AU20" s="425" t="s">
        <v>69</v>
      </c>
      <c r="AV20" s="425" t="s">
        <v>69</v>
      </c>
      <c r="AW20" s="425" t="s">
        <v>69</v>
      </c>
      <c r="AX20" s="425" t="s">
        <v>69</v>
      </c>
      <c r="AY20" s="425" t="s">
        <v>69</v>
      </c>
      <c r="AZ20" s="425" t="s">
        <v>69</v>
      </c>
      <c r="BA20" s="425" t="s">
        <v>69</v>
      </c>
      <c r="BB20" s="425" t="s">
        <v>69</v>
      </c>
      <c r="BC20" s="425" t="s">
        <v>69</v>
      </c>
      <c r="BD20" s="425" t="s">
        <v>69</v>
      </c>
      <c r="BE20" s="425" t="s">
        <v>69</v>
      </c>
      <c r="BF20" s="425" t="s">
        <v>69</v>
      </c>
      <c r="BG20" s="425" t="s">
        <v>69</v>
      </c>
      <c r="BH20" s="425" t="s">
        <v>69</v>
      </c>
      <c r="BI20" s="425" t="s">
        <v>69</v>
      </c>
      <c r="BJ20" s="425" t="s">
        <v>69</v>
      </c>
      <c r="BK20" s="425" t="s">
        <v>69</v>
      </c>
      <c r="BL20" s="425">
        <v>4</v>
      </c>
      <c r="BM20" s="425">
        <v>4</v>
      </c>
      <c r="BN20" s="425">
        <v>4</v>
      </c>
      <c r="BO20" s="425" t="s">
        <v>69</v>
      </c>
      <c r="BP20" s="425" t="s">
        <v>69</v>
      </c>
      <c r="BQ20" s="425" t="s">
        <v>69</v>
      </c>
      <c r="BR20" s="425">
        <v>4</v>
      </c>
      <c r="BS20" s="425" t="s">
        <v>69</v>
      </c>
      <c r="BT20" s="425" t="s">
        <v>69</v>
      </c>
      <c r="BU20" s="425" t="s">
        <v>69</v>
      </c>
      <c r="BV20" s="425" t="s">
        <v>69</v>
      </c>
      <c r="BW20" s="425" t="s">
        <v>69</v>
      </c>
      <c r="BX20" s="425" t="s">
        <v>69</v>
      </c>
      <c r="BY20" s="425" t="s">
        <v>69</v>
      </c>
      <c r="BZ20" s="425" t="s">
        <v>69</v>
      </c>
      <c r="CA20" s="425">
        <v>3</v>
      </c>
      <c r="CB20" s="425">
        <v>4</v>
      </c>
      <c r="CC20" s="425">
        <v>4</v>
      </c>
      <c r="CD20" s="425" t="s">
        <v>69</v>
      </c>
      <c r="CE20" s="425" t="s">
        <v>69</v>
      </c>
      <c r="CF20" s="425" t="s">
        <v>69</v>
      </c>
      <c r="CG20" s="425">
        <v>4</v>
      </c>
      <c r="CH20" s="425">
        <v>4</v>
      </c>
      <c r="CI20" s="425" t="s">
        <v>69</v>
      </c>
      <c r="CJ20" s="425" t="s">
        <v>69</v>
      </c>
      <c r="CK20" s="425" t="s">
        <v>69</v>
      </c>
      <c r="CL20" s="425" t="s">
        <v>69</v>
      </c>
      <c r="CM20" s="425" t="s">
        <v>69</v>
      </c>
      <c r="CN20" s="425" t="s">
        <v>69</v>
      </c>
      <c r="CO20" s="425" t="s">
        <v>69</v>
      </c>
      <c r="CP20" s="425" t="s">
        <v>69</v>
      </c>
      <c r="CQ20" s="425" t="s">
        <v>69</v>
      </c>
      <c r="CR20" s="425" t="s">
        <v>69</v>
      </c>
      <c r="CS20" s="425" t="s">
        <v>69</v>
      </c>
      <c r="CT20" s="425" t="s">
        <v>69</v>
      </c>
      <c r="CU20" s="425" t="s">
        <v>69</v>
      </c>
      <c r="CV20" s="425" t="s">
        <v>69</v>
      </c>
      <c r="CW20" s="425" t="s">
        <v>69</v>
      </c>
      <c r="CX20" s="425" t="s">
        <v>69</v>
      </c>
      <c r="CY20" s="425" t="s">
        <v>69</v>
      </c>
      <c r="CZ20" s="425" t="s">
        <v>69</v>
      </c>
      <c r="DA20" s="425" t="s">
        <v>69</v>
      </c>
      <c r="DB20" s="425" t="s">
        <v>69</v>
      </c>
      <c r="DC20" s="425" t="s">
        <v>69</v>
      </c>
      <c r="DD20" s="425" t="s">
        <v>69</v>
      </c>
      <c r="DE20" s="425" t="s">
        <v>69</v>
      </c>
      <c r="DF20" s="425" t="s">
        <v>69</v>
      </c>
      <c r="DG20" s="425" t="s">
        <v>69</v>
      </c>
      <c r="DH20" s="425">
        <v>4</v>
      </c>
      <c r="DI20" s="425" t="s">
        <v>69</v>
      </c>
      <c r="DJ20" s="425" t="s">
        <v>69</v>
      </c>
      <c r="DK20" s="425" t="s">
        <v>69</v>
      </c>
      <c r="DL20" s="425">
        <v>2</v>
      </c>
      <c r="DM20" s="425">
        <v>3</v>
      </c>
      <c r="DN20" s="425">
        <v>3</v>
      </c>
      <c r="DO20" s="425" t="s">
        <v>69</v>
      </c>
      <c r="DP20" s="425" t="s">
        <v>69</v>
      </c>
      <c r="DQ20" s="425" t="s">
        <v>69</v>
      </c>
      <c r="DR20" s="425" t="s">
        <v>69</v>
      </c>
      <c r="DS20" s="425" t="s">
        <v>69</v>
      </c>
      <c r="DT20" s="425" t="s">
        <v>69</v>
      </c>
      <c r="DU20" s="422" t="s">
        <v>69</v>
      </c>
      <c r="DV20" s="425" t="s">
        <v>69</v>
      </c>
      <c r="DW20" s="425" t="s">
        <v>69</v>
      </c>
      <c r="DX20" s="425">
        <v>4</v>
      </c>
      <c r="DY20" s="423">
        <f t="shared" si="0"/>
        <v>0.26984126984126983</v>
      </c>
      <c r="DZ20" s="424">
        <f t="shared" si="1"/>
        <v>0.94117647058823528</v>
      </c>
      <c r="EA20" s="519"/>
    </row>
    <row r="21" spans="1:131" s="18" customFormat="1" ht="66.599999999999994" thickBot="1">
      <c r="A21" s="420" t="s">
        <v>291</v>
      </c>
      <c r="B21" s="414" t="s">
        <v>292</v>
      </c>
      <c r="C21" s="419">
        <v>44055</v>
      </c>
      <c r="D21" s="418" t="s">
        <v>1183</v>
      </c>
      <c r="E21" s="429" t="s">
        <v>897</v>
      </c>
      <c r="F21" s="425" t="s">
        <v>69</v>
      </c>
      <c r="G21" s="425" t="s">
        <v>69</v>
      </c>
      <c r="H21" s="425" t="s">
        <v>69</v>
      </c>
      <c r="I21" s="425" t="s">
        <v>69</v>
      </c>
      <c r="J21" s="425" t="s">
        <v>69</v>
      </c>
      <c r="K21" s="425" t="s">
        <v>69</v>
      </c>
      <c r="L21" s="425" t="s">
        <v>69</v>
      </c>
      <c r="M21" s="425">
        <v>3</v>
      </c>
      <c r="N21" s="425" t="s">
        <v>69</v>
      </c>
      <c r="O21" s="425" t="s">
        <v>69</v>
      </c>
      <c r="P21" s="425" t="s">
        <v>69</v>
      </c>
      <c r="Q21" s="425" t="s">
        <v>69</v>
      </c>
      <c r="R21" s="425">
        <v>4</v>
      </c>
      <c r="S21" s="425" t="s">
        <v>69</v>
      </c>
      <c r="T21" s="425" t="s">
        <v>69</v>
      </c>
      <c r="U21" s="425" t="s">
        <v>69</v>
      </c>
      <c r="V21" s="425" t="s">
        <v>69</v>
      </c>
      <c r="W21" s="425" t="s">
        <v>69</v>
      </c>
      <c r="X21" s="425" t="s">
        <v>69</v>
      </c>
      <c r="Y21" s="425" t="s">
        <v>69</v>
      </c>
      <c r="Z21" s="425" t="s">
        <v>69</v>
      </c>
      <c r="AA21" s="425">
        <v>4</v>
      </c>
      <c r="AB21" s="425" t="s">
        <v>69</v>
      </c>
      <c r="AC21" s="425" t="s">
        <v>69</v>
      </c>
      <c r="AD21" s="425" t="s">
        <v>69</v>
      </c>
      <c r="AE21" s="425" t="s">
        <v>69</v>
      </c>
      <c r="AF21" s="425" t="s">
        <v>69</v>
      </c>
      <c r="AG21" s="425" t="s">
        <v>69</v>
      </c>
      <c r="AH21" s="425" t="s">
        <v>69</v>
      </c>
      <c r="AI21" s="425" t="s">
        <v>69</v>
      </c>
      <c r="AJ21" s="425">
        <v>4</v>
      </c>
      <c r="AK21" s="425">
        <v>4</v>
      </c>
      <c r="AL21" s="425" t="s">
        <v>69</v>
      </c>
      <c r="AM21" s="425" t="s">
        <v>69</v>
      </c>
      <c r="AN21" s="425" t="s">
        <v>69</v>
      </c>
      <c r="AO21" s="425" t="s">
        <v>69</v>
      </c>
      <c r="AP21" s="425" t="s">
        <v>69</v>
      </c>
      <c r="AQ21" s="425" t="s">
        <v>69</v>
      </c>
      <c r="AR21" s="425" t="s">
        <v>69</v>
      </c>
      <c r="AS21" s="425" t="s">
        <v>69</v>
      </c>
      <c r="AT21" s="425" t="s">
        <v>69</v>
      </c>
      <c r="AU21" s="425">
        <v>4</v>
      </c>
      <c r="AV21" s="425" t="s">
        <v>69</v>
      </c>
      <c r="AW21" s="425" t="s">
        <v>69</v>
      </c>
      <c r="AX21" s="425" t="s">
        <v>69</v>
      </c>
      <c r="AY21" s="425" t="s">
        <v>69</v>
      </c>
      <c r="AZ21" s="425" t="s">
        <v>69</v>
      </c>
      <c r="BA21" s="425" t="s">
        <v>69</v>
      </c>
      <c r="BB21" s="425" t="s">
        <v>69</v>
      </c>
      <c r="BC21" s="425" t="s">
        <v>69</v>
      </c>
      <c r="BD21" s="425" t="s">
        <v>69</v>
      </c>
      <c r="BE21" s="425">
        <v>2</v>
      </c>
      <c r="BF21" s="425">
        <v>2</v>
      </c>
      <c r="BG21" s="425" t="s">
        <v>69</v>
      </c>
      <c r="BH21" s="425" t="s">
        <v>69</v>
      </c>
      <c r="BI21" s="425" t="s">
        <v>69</v>
      </c>
      <c r="BJ21" s="425" t="s">
        <v>69</v>
      </c>
      <c r="BK21" s="425" t="s">
        <v>69</v>
      </c>
      <c r="BL21" s="425">
        <v>4</v>
      </c>
      <c r="BM21" s="425" t="s">
        <v>69</v>
      </c>
      <c r="BN21" s="425" t="s">
        <v>69</v>
      </c>
      <c r="BO21" s="425">
        <v>4</v>
      </c>
      <c r="BP21" s="425" t="s">
        <v>69</v>
      </c>
      <c r="BQ21" s="425" t="s">
        <v>69</v>
      </c>
      <c r="BR21" s="425">
        <v>4</v>
      </c>
      <c r="BS21" s="425" t="s">
        <v>69</v>
      </c>
      <c r="BT21" s="425" t="s">
        <v>69</v>
      </c>
      <c r="BU21" s="425">
        <v>4</v>
      </c>
      <c r="BV21" s="425">
        <v>4</v>
      </c>
      <c r="BW21" s="425">
        <v>4</v>
      </c>
      <c r="BX21" s="425">
        <v>4</v>
      </c>
      <c r="BY21" s="425">
        <v>4</v>
      </c>
      <c r="BZ21" s="425" t="s">
        <v>69</v>
      </c>
      <c r="CA21" s="425">
        <v>4</v>
      </c>
      <c r="CB21" s="425">
        <v>4</v>
      </c>
      <c r="CC21" s="425">
        <v>4</v>
      </c>
      <c r="CD21" s="425" t="s">
        <v>69</v>
      </c>
      <c r="CE21" s="425" t="s">
        <v>69</v>
      </c>
      <c r="CF21" s="425" t="s">
        <v>69</v>
      </c>
      <c r="CG21" s="425">
        <v>4</v>
      </c>
      <c r="CH21" s="425" t="s">
        <v>69</v>
      </c>
      <c r="CI21" s="425" t="s">
        <v>69</v>
      </c>
      <c r="CJ21" s="425" t="s">
        <v>69</v>
      </c>
      <c r="CK21" s="425" t="s">
        <v>69</v>
      </c>
      <c r="CL21" s="425" t="s">
        <v>69</v>
      </c>
      <c r="CM21" s="425" t="s">
        <v>69</v>
      </c>
      <c r="CN21" s="425" t="s">
        <v>69</v>
      </c>
      <c r="CO21" s="425" t="s">
        <v>69</v>
      </c>
      <c r="CP21" s="425" t="s">
        <v>69</v>
      </c>
      <c r="CQ21" s="425" t="s">
        <v>69</v>
      </c>
      <c r="CR21" s="425" t="s">
        <v>69</v>
      </c>
      <c r="CS21" s="425" t="s">
        <v>69</v>
      </c>
      <c r="CT21" s="425" t="s">
        <v>69</v>
      </c>
      <c r="CU21" s="425" t="s">
        <v>69</v>
      </c>
      <c r="CV21" s="425" t="s">
        <v>69</v>
      </c>
      <c r="CW21" s="425" t="s">
        <v>69</v>
      </c>
      <c r="CX21" s="425" t="s">
        <v>69</v>
      </c>
      <c r="CY21" s="425" t="s">
        <v>69</v>
      </c>
      <c r="CZ21" s="425" t="s">
        <v>69</v>
      </c>
      <c r="DA21" s="425" t="s">
        <v>69</v>
      </c>
      <c r="DB21" s="425" t="s">
        <v>69</v>
      </c>
      <c r="DC21" s="425" t="s">
        <v>69</v>
      </c>
      <c r="DD21" s="425" t="s">
        <v>69</v>
      </c>
      <c r="DE21" s="425" t="s">
        <v>69</v>
      </c>
      <c r="DF21" s="425" t="s">
        <v>69</v>
      </c>
      <c r="DG21" s="425" t="s">
        <v>69</v>
      </c>
      <c r="DH21" s="425" t="s">
        <v>69</v>
      </c>
      <c r="DI21" s="425" t="s">
        <v>69</v>
      </c>
      <c r="DJ21" s="425" t="s">
        <v>69</v>
      </c>
      <c r="DK21" s="425" t="s">
        <v>69</v>
      </c>
      <c r="DL21" s="425" t="s">
        <v>69</v>
      </c>
      <c r="DM21" s="425" t="s">
        <v>69</v>
      </c>
      <c r="DN21" s="425" t="s">
        <v>69</v>
      </c>
      <c r="DO21" s="425" t="s">
        <v>69</v>
      </c>
      <c r="DP21" s="425" t="s">
        <v>69</v>
      </c>
      <c r="DQ21" s="425" t="s">
        <v>69</v>
      </c>
      <c r="DR21" s="425" t="s">
        <v>69</v>
      </c>
      <c r="DS21" s="425" t="s">
        <v>69</v>
      </c>
      <c r="DT21" s="425" t="s">
        <v>69</v>
      </c>
      <c r="DU21" s="422" t="s">
        <v>69</v>
      </c>
      <c r="DV21" s="425" t="s">
        <v>69</v>
      </c>
      <c r="DW21" s="425" t="s">
        <v>69</v>
      </c>
      <c r="DX21" s="425">
        <v>4</v>
      </c>
      <c r="DY21" s="423">
        <f t="shared" si="0"/>
        <v>0.33333333333333331</v>
      </c>
      <c r="DZ21" s="424">
        <f t="shared" si="1"/>
        <v>0.90476190476190477</v>
      </c>
      <c r="EA21" s="519"/>
    </row>
    <row r="22" spans="1:131" s="18" customFormat="1" ht="66.599999999999994" thickBot="1">
      <c r="A22" s="420" t="s">
        <v>300</v>
      </c>
      <c r="B22" s="414" t="s">
        <v>301</v>
      </c>
      <c r="C22" s="419">
        <v>44441</v>
      </c>
      <c r="D22" s="418" t="s">
        <v>1183</v>
      </c>
      <c r="E22" s="429" t="s">
        <v>897</v>
      </c>
      <c r="F22" s="425" t="s">
        <v>69</v>
      </c>
      <c r="G22" s="425" t="s">
        <v>69</v>
      </c>
      <c r="H22" s="425" t="s">
        <v>69</v>
      </c>
      <c r="I22" s="425" t="s">
        <v>69</v>
      </c>
      <c r="J22" s="425" t="s">
        <v>69</v>
      </c>
      <c r="K22" s="425" t="s">
        <v>69</v>
      </c>
      <c r="L22" s="425" t="s">
        <v>69</v>
      </c>
      <c r="M22" s="425" t="s">
        <v>69</v>
      </c>
      <c r="N22" s="425" t="s">
        <v>69</v>
      </c>
      <c r="O22" s="425" t="s">
        <v>69</v>
      </c>
      <c r="P22" s="425" t="s">
        <v>69</v>
      </c>
      <c r="Q22" s="425">
        <v>4</v>
      </c>
      <c r="R22" s="425" t="s">
        <v>69</v>
      </c>
      <c r="S22" s="425" t="s">
        <v>69</v>
      </c>
      <c r="T22" s="425" t="s">
        <v>69</v>
      </c>
      <c r="U22" s="425" t="s">
        <v>69</v>
      </c>
      <c r="V22" s="425" t="s">
        <v>69</v>
      </c>
      <c r="W22" s="425" t="s">
        <v>69</v>
      </c>
      <c r="X22" s="425" t="s">
        <v>69</v>
      </c>
      <c r="Y22" s="425" t="s">
        <v>69</v>
      </c>
      <c r="Z22" s="425" t="s">
        <v>69</v>
      </c>
      <c r="AA22" s="425">
        <v>4</v>
      </c>
      <c r="AB22" s="425" t="s">
        <v>69</v>
      </c>
      <c r="AC22" s="425" t="s">
        <v>69</v>
      </c>
      <c r="AD22" s="425">
        <v>4</v>
      </c>
      <c r="AE22" s="425" t="s">
        <v>69</v>
      </c>
      <c r="AF22" s="425" t="s">
        <v>69</v>
      </c>
      <c r="AG22" s="425" t="s">
        <v>69</v>
      </c>
      <c r="AH22" s="425">
        <v>4</v>
      </c>
      <c r="AI22" s="425">
        <v>4</v>
      </c>
      <c r="AJ22" s="425" t="s">
        <v>69</v>
      </c>
      <c r="AK22" s="425" t="s">
        <v>69</v>
      </c>
      <c r="AL22" s="425" t="s">
        <v>69</v>
      </c>
      <c r="AM22" s="425" t="s">
        <v>69</v>
      </c>
      <c r="AN22" s="425" t="s">
        <v>69</v>
      </c>
      <c r="AO22" s="425" t="s">
        <v>69</v>
      </c>
      <c r="AP22" s="425">
        <v>4</v>
      </c>
      <c r="AQ22" s="425" t="s">
        <v>69</v>
      </c>
      <c r="AR22" s="425" t="s">
        <v>69</v>
      </c>
      <c r="AS22" s="425" t="s">
        <v>69</v>
      </c>
      <c r="AT22" s="425" t="s">
        <v>69</v>
      </c>
      <c r="AU22" s="425" t="s">
        <v>69</v>
      </c>
      <c r="AV22" s="425" t="s">
        <v>69</v>
      </c>
      <c r="AW22" s="425" t="s">
        <v>69</v>
      </c>
      <c r="AX22" s="425" t="s">
        <v>69</v>
      </c>
      <c r="AY22" s="425" t="s">
        <v>69</v>
      </c>
      <c r="AZ22" s="425" t="s">
        <v>69</v>
      </c>
      <c r="BA22" s="425" t="s">
        <v>69</v>
      </c>
      <c r="BB22" s="425" t="s">
        <v>69</v>
      </c>
      <c r="BC22" s="425" t="s">
        <v>69</v>
      </c>
      <c r="BD22" s="425" t="s">
        <v>69</v>
      </c>
      <c r="BE22" s="425">
        <v>2</v>
      </c>
      <c r="BF22" s="425" t="s">
        <v>69</v>
      </c>
      <c r="BG22" s="425" t="s">
        <v>69</v>
      </c>
      <c r="BH22" s="425" t="s">
        <v>69</v>
      </c>
      <c r="BI22" s="425" t="s">
        <v>69</v>
      </c>
      <c r="BJ22" s="425" t="s">
        <v>69</v>
      </c>
      <c r="BK22" s="425" t="s">
        <v>69</v>
      </c>
      <c r="BL22" s="425" t="s">
        <v>69</v>
      </c>
      <c r="BM22" s="425" t="s">
        <v>69</v>
      </c>
      <c r="BN22" s="425" t="s">
        <v>69</v>
      </c>
      <c r="BO22" s="425" t="s">
        <v>69</v>
      </c>
      <c r="BP22" s="425" t="s">
        <v>69</v>
      </c>
      <c r="BQ22" s="425" t="s">
        <v>69</v>
      </c>
      <c r="BR22" s="425">
        <v>4</v>
      </c>
      <c r="BS22" s="425" t="s">
        <v>69</v>
      </c>
      <c r="BT22" s="425" t="s">
        <v>69</v>
      </c>
      <c r="BU22" s="425" t="s">
        <v>69</v>
      </c>
      <c r="BV22" s="425" t="s">
        <v>69</v>
      </c>
      <c r="BW22" s="425" t="s">
        <v>69</v>
      </c>
      <c r="BX22" s="425" t="s">
        <v>69</v>
      </c>
      <c r="BY22" s="425" t="s">
        <v>69</v>
      </c>
      <c r="BZ22" s="425" t="s">
        <v>69</v>
      </c>
      <c r="CA22" s="425" t="s">
        <v>69</v>
      </c>
      <c r="CB22" s="425" t="s">
        <v>69</v>
      </c>
      <c r="CC22" s="425" t="s">
        <v>69</v>
      </c>
      <c r="CD22" s="425" t="s">
        <v>69</v>
      </c>
      <c r="CE22" s="425" t="s">
        <v>69</v>
      </c>
      <c r="CF22" s="425" t="s">
        <v>69</v>
      </c>
      <c r="CG22" s="425">
        <v>4</v>
      </c>
      <c r="CH22" s="425" t="s">
        <v>69</v>
      </c>
      <c r="CI22" s="425" t="s">
        <v>69</v>
      </c>
      <c r="CJ22" s="425" t="s">
        <v>69</v>
      </c>
      <c r="CK22" s="425" t="s">
        <v>69</v>
      </c>
      <c r="CL22" s="425" t="s">
        <v>69</v>
      </c>
      <c r="CM22" s="425" t="s">
        <v>69</v>
      </c>
      <c r="CN22" s="425" t="s">
        <v>69</v>
      </c>
      <c r="CO22" s="425" t="s">
        <v>69</v>
      </c>
      <c r="CP22" s="425" t="s">
        <v>69</v>
      </c>
      <c r="CQ22" s="425" t="s">
        <v>69</v>
      </c>
      <c r="CR22" s="425" t="s">
        <v>69</v>
      </c>
      <c r="CS22" s="425">
        <v>2</v>
      </c>
      <c r="CT22" s="425">
        <v>4</v>
      </c>
      <c r="CU22" s="425">
        <v>4</v>
      </c>
      <c r="CV22" s="425">
        <v>4</v>
      </c>
      <c r="CW22" s="425" t="s">
        <v>69</v>
      </c>
      <c r="CX22" s="425">
        <v>4</v>
      </c>
      <c r="CY22" s="425" t="s">
        <v>69</v>
      </c>
      <c r="CZ22" s="425" t="s">
        <v>69</v>
      </c>
      <c r="DA22" s="425" t="s">
        <v>69</v>
      </c>
      <c r="DB22" s="425" t="s">
        <v>69</v>
      </c>
      <c r="DC22" s="425" t="s">
        <v>69</v>
      </c>
      <c r="DD22" s="425" t="s">
        <v>69</v>
      </c>
      <c r="DE22" s="425" t="s">
        <v>69</v>
      </c>
      <c r="DF22" s="425" t="s">
        <v>69</v>
      </c>
      <c r="DG22" s="425" t="s">
        <v>69</v>
      </c>
      <c r="DH22" s="425" t="s">
        <v>69</v>
      </c>
      <c r="DI22" s="425" t="s">
        <v>69</v>
      </c>
      <c r="DJ22" s="425" t="s">
        <v>69</v>
      </c>
      <c r="DK22" s="425" t="s">
        <v>69</v>
      </c>
      <c r="DL22" s="425" t="s">
        <v>69</v>
      </c>
      <c r="DM22" s="425" t="s">
        <v>69</v>
      </c>
      <c r="DN22" s="425">
        <v>4</v>
      </c>
      <c r="DO22" s="425" t="s">
        <v>69</v>
      </c>
      <c r="DP22" s="425" t="s">
        <v>69</v>
      </c>
      <c r="DQ22" s="425" t="s">
        <v>69</v>
      </c>
      <c r="DR22" s="425" t="s">
        <v>69</v>
      </c>
      <c r="DS22" s="425" t="s">
        <v>69</v>
      </c>
      <c r="DT22" s="425" t="s">
        <v>69</v>
      </c>
      <c r="DU22" s="422" t="s">
        <v>69</v>
      </c>
      <c r="DV22" s="425" t="s">
        <v>69</v>
      </c>
      <c r="DW22" s="425" t="s">
        <v>69</v>
      </c>
      <c r="DX22" s="425">
        <v>4</v>
      </c>
      <c r="DY22" s="423">
        <f t="shared" si="0"/>
        <v>0.25396825396825395</v>
      </c>
      <c r="DZ22" s="424">
        <f t="shared" si="1"/>
        <v>0.875</v>
      </c>
      <c r="EA22" s="519"/>
    </row>
    <row r="23" spans="1:131" s="18" customFormat="1" ht="66.599999999999994" thickBot="1">
      <c r="A23" s="420" t="s">
        <v>306</v>
      </c>
      <c r="B23" s="414" t="s">
        <v>307</v>
      </c>
      <c r="C23" s="419" t="s">
        <v>621</v>
      </c>
      <c r="D23" s="418" t="s">
        <v>1183</v>
      </c>
      <c r="E23" s="429" t="s">
        <v>897</v>
      </c>
      <c r="F23" s="425" t="s">
        <v>69</v>
      </c>
      <c r="G23" s="425" t="s">
        <v>69</v>
      </c>
      <c r="H23" s="425" t="s">
        <v>69</v>
      </c>
      <c r="I23" s="425" t="s">
        <v>69</v>
      </c>
      <c r="J23" s="425" t="s">
        <v>69</v>
      </c>
      <c r="K23" s="425" t="s">
        <v>69</v>
      </c>
      <c r="L23" s="425" t="s">
        <v>69</v>
      </c>
      <c r="M23" s="425" t="s">
        <v>69</v>
      </c>
      <c r="N23" s="425" t="s">
        <v>69</v>
      </c>
      <c r="O23" s="425" t="s">
        <v>69</v>
      </c>
      <c r="P23" s="425" t="s">
        <v>69</v>
      </c>
      <c r="Q23" s="425">
        <v>4</v>
      </c>
      <c r="R23" s="425" t="s">
        <v>69</v>
      </c>
      <c r="S23" s="425" t="s">
        <v>69</v>
      </c>
      <c r="T23" s="425" t="s">
        <v>69</v>
      </c>
      <c r="U23" s="425" t="s">
        <v>69</v>
      </c>
      <c r="V23" s="425">
        <v>4</v>
      </c>
      <c r="W23" s="425">
        <v>4</v>
      </c>
      <c r="X23" s="425" t="s">
        <v>69</v>
      </c>
      <c r="Y23" s="425" t="s">
        <v>69</v>
      </c>
      <c r="Z23" s="425" t="s">
        <v>69</v>
      </c>
      <c r="AA23" s="425">
        <v>4</v>
      </c>
      <c r="AB23" s="425" t="s">
        <v>69</v>
      </c>
      <c r="AC23" s="425" t="s">
        <v>69</v>
      </c>
      <c r="AD23" s="425" t="s">
        <v>69</v>
      </c>
      <c r="AE23" s="425" t="s">
        <v>69</v>
      </c>
      <c r="AF23" s="425" t="s">
        <v>69</v>
      </c>
      <c r="AG23" s="425" t="s">
        <v>69</v>
      </c>
      <c r="AH23" s="425" t="s">
        <v>69</v>
      </c>
      <c r="AI23" s="425" t="s">
        <v>69</v>
      </c>
      <c r="AJ23" s="425" t="s">
        <v>69</v>
      </c>
      <c r="AK23" s="425" t="s">
        <v>69</v>
      </c>
      <c r="AL23" s="425" t="s">
        <v>69</v>
      </c>
      <c r="AM23" s="425" t="s">
        <v>69</v>
      </c>
      <c r="AN23" s="425" t="s">
        <v>69</v>
      </c>
      <c r="AO23" s="425" t="s">
        <v>69</v>
      </c>
      <c r="AP23" s="425" t="s">
        <v>69</v>
      </c>
      <c r="AQ23" s="425" t="s">
        <v>69</v>
      </c>
      <c r="AR23" s="425" t="s">
        <v>69</v>
      </c>
      <c r="AS23" s="425" t="s">
        <v>69</v>
      </c>
      <c r="AT23" s="425" t="s">
        <v>69</v>
      </c>
      <c r="AU23" s="425" t="s">
        <v>69</v>
      </c>
      <c r="AV23" s="425" t="s">
        <v>69</v>
      </c>
      <c r="AW23" s="425" t="s">
        <v>69</v>
      </c>
      <c r="AX23" s="425" t="s">
        <v>69</v>
      </c>
      <c r="AY23" s="425" t="s">
        <v>69</v>
      </c>
      <c r="AZ23" s="425" t="s">
        <v>69</v>
      </c>
      <c r="BA23" s="425" t="s">
        <v>69</v>
      </c>
      <c r="BB23" s="425" t="s">
        <v>69</v>
      </c>
      <c r="BC23" s="425" t="s">
        <v>69</v>
      </c>
      <c r="BD23" s="425" t="s">
        <v>69</v>
      </c>
      <c r="BE23" s="425" t="s">
        <v>69</v>
      </c>
      <c r="BF23" s="425" t="s">
        <v>69</v>
      </c>
      <c r="BG23" s="425" t="s">
        <v>69</v>
      </c>
      <c r="BH23" s="425" t="s">
        <v>69</v>
      </c>
      <c r="BI23" s="425" t="s">
        <v>69</v>
      </c>
      <c r="BJ23" s="425" t="s">
        <v>69</v>
      </c>
      <c r="BK23" s="425">
        <v>4</v>
      </c>
      <c r="BL23" s="425">
        <v>4</v>
      </c>
      <c r="BM23" s="425">
        <v>4</v>
      </c>
      <c r="BN23" s="425">
        <v>4</v>
      </c>
      <c r="BO23" s="425" t="s">
        <v>69</v>
      </c>
      <c r="BP23" s="425">
        <v>4</v>
      </c>
      <c r="BQ23" s="425" t="s">
        <v>69</v>
      </c>
      <c r="BR23" s="425">
        <v>4</v>
      </c>
      <c r="BS23" s="425" t="s">
        <v>69</v>
      </c>
      <c r="BT23" s="425" t="s">
        <v>69</v>
      </c>
      <c r="BU23" s="425" t="s">
        <v>69</v>
      </c>
      <c r="BV23" s="425" t="s">
        <v>69</v>
      </c>
      <c r="BW23" s="425" t="s">
        <v>69</v>
      </c>
      <c r="BX23" s="425" t="s">
        <v>69</v>
      </c>
      <c r="BY23" s="425">
        <v>4</v>
      </c>
      <c r="BZ23" s="425" t="s">
        <v>69</v>
      </c>
      <c r="CA23" s="425">
        <v>4</v>
      </c>
      <c r="CB23" s="425">
        <v>4</v>
      </c>
      <c r="CC23" s="425" t="s">
        <v>69</v>
      </c>
      <c r="CD23" s="425" t="s">
        <v>69</v>
      </c>
      <c r="CE23" s="425" t="s">
        <v>69</v>
      </c>
      <c r="CF23" s="425" t="s">
        <v>69</v>
      </c>
      <c r="CG23" s="425">
        <v>4</v>
      </c>
      <c r="CH23" s="425">
        <v>4</v>
      </c>
      <c r="CI23" s="425" t="s">
        <v>69</v>
      </c>
      <c r="CJ23" s="425" t="s">
        <v>69</v>
      </c>
      <c r="CK23" s="425" t="s">
        <v>69</v>
      </c>
      <c r="CL23" s="425" t="s">
        <v>69</v>
      </c>
      <c r="CM23" s="425" t="s">
        <v>69</v>
      </c>
      <c r="CN23" s="425" t="s">
        <v>69</v>
      </c>
      <c r="CO23" s="425" t="s">
        <v>69</v>
      </c>
      <c r="CP23" s="425" t="s">
        <v>69</v>
      </c>
      <c r="CQ23" s="425" t="s">
        <v>69</v>
      </c>
      <c r="CR23" s="425" t="s">
        <v>69</v>
      </c>
      <c r="CS23" s="425" t="s">
        <v>69</v>
      </c>
      <c r="CT23" s="425" t="s">
        <v>69</v>
      </c>
      <c r="CU23" s="425">
        <v>4</v>
      </c>
      <c r="CV23" s="425">
        <v>4</v>
      </c>
      <c r="CW23" s="425">
        <v>4</v>
      </c>
      <c r="CX23" s="425">
        <v>4</v>
      </c>
      <c r="CY23" s="425">
        <v>2</v>
      </c>
      <c r="CZ23" s="425">
        <v>4</v>
      </c>
      <c r="DA23" s="425">
        <v>4</v>
      </c>
      <c r="DB23" s="425" t="s">
        <v>69</v>
      </c>
      <c r="DC23" s="425" t="s">
        <v>69</v>
      </c>
      <c r="DD23" s="425" t="s">
        <v>69</v>
      </c>
      <c r="DE23" s="425" t="s">
        <v>69</v>
      </c>
      <c r="DF23" s="425" t="s">
        <v>69</v>
      </c>
      <c r="DG23" s="425" t="s">
        <v>69</v>
      </c>
      <c r="DH23" s="425">
        <v>2</v>
      </c>
      <c r="DI23" s="425" t="s">
        <v>69</v>
      </c>
      <c r="DJ23" s="425" t="s">
        <v>69</v>
      </c>
      <c r="DK23" s="425" t="s">
        <v>69</v>
      </c>
      <c r="DL23" s="425" t="s">
        <v>69</v>
      </c>
      <c r="DM23" s="425" t="s">
        <v>69</v>
      </c>
      <c r="DN23" s="425" t="s">
        <v>69</v>
      </c>
      <c r="DO23" s="425" t="s">
        <v>69</v>
      </c>
      <c r="DP23" s="425" t="s">
        <v>69</v>
      </c>
      <c r="DQ23" s="425">
        <v>2</v>
      </c>
      <c r="DR23" s="425" t="s">
        <v>69</v>
      </c>
      <c r="DS23" s="425" t="s">
        <v>69</v>
      </c>
      <c r="DT23" s="425" t="s">
        <v>69</v>
      </c>
      <c r="DU23" s="422" t="s">
        <v>69</v>
      </c>
      <c r="DV23" s="425" t="s">
        <v>69</v>
      </c>
      <c r="DW23" s="425" t="s">
        <v>69</v>
      </c>
      <c r="DX23" s="425">
        <v>4</v>
      </c>
      <c r="DY23" s="423">
        <f t="shared" si="0"/>
        <v>0.3968253968253968</v>
      </c>
      <c r="DZ23" s="424">
        <f t="shared" si="1"/>
        <v>0.88</v>
      </c>
      <c r="EA23" s="519"/>
    </row>
    <row r="24" spans="1:131" s="18" customFormat="1" ht="66.599999999999994" thickBot="1">
      <c r="A24" s="420" t="s">
        <v>319</v>
      </c>
      <c r="B24" s="414" t="s">
        <v>320</v>
      </c>
      <c r="C24" s="419">
        <v>44052</v>
      </c>
      <c r="D24" s="418" t="s">
        <v>1183</v>
      </c>
      <c r="E24" s="429" t="s">
        <v>897</v>
      </c>
      <c r="F24" s="425">
        <v>4</v>
      </c>
      <c r="G24" s="425" t="s">
        <v>69</v>
      </c>
      <c r="H24" s="425">
        <v>4</v>
      </c>
      <c r="I24" s="425">
        <v>4</v>
      </c>
      <c r="J24" s="425" t="s">
        <v>69</v>
      </c>
      <c r="K24" s="425" t="s">
        <v>69</v>
      </c>
      <c r="L24" s="425" t="s">
        <v>69</v>
      </c>
      <c r="M24" s="425" t="s">
        <v>69</v>
      </c>
      <c r="N24" s="425" t="s">
        <v>69</v>
      </c>
      <c r="O24" s="425">
        <v>4</v>
      </c>
      <c r="P24" s="425">
        <v>4</v>
      </c>
      <c r="Q24" s="425">
        <v>3</v>
      </c>
      <c r="R24" s="425" t="s">
        <v>69</v>
      </c>
      <c r="S24" s="425" t="s">
        <v>69</v>
      </c>
      <c r="T24" s="425" t="s">
        <v>69</v>
      </c>
      <c r="U24" s="425" t="s">
        <v>69</v>
      </c>
      <c r="V24" s="425">
        <v>4</v>
      </c>
      <c r="W24" s="425">
        <v>4</v>
      </c>
      <c r="X24" s="425" t="s">
        <v>69</v>
      </c>
      <c r="Y24" s="425" t="s">
        <v>69</v>
      </c>
      <c r="Z24" s="425" t="s">
        <v>69</v>
      </c>
      <c r="AA24" s="425" t="s">
        <v>69</v>
      </c>
      <c r="AB24" s="425" t="s">
        <v>69</v>
      </c>
      <c r="AC24" s="425" t="s">
        <v>69</v>
      </c>
      <c r="AD24" s="425" t="s">
        <v>69</v>
      </c>
      <c r="AE24" s="425" t="s">
        <v>69</v>
      </c>
      <c r="AF24" s="425" t="s">
        <v>69</v>
      </c>
      <c r="AG24" s="425" t="s">
        <v>69</v>
      </c>
      <c r="AH24" s="425" t="s">
        <v>69</v>
      </c>
      <c r="AI24" s="425" t="s">
        <v>69</v>
      </c>
      <c r="AJ24" s="425" t="s">
        <v>69</v>
      </c>
      <c r="AK24" s="425" t="s">
        <v>69</v>
      </c>
      <c r="AL24" s="425" t="s">
        <v>69</v>
      </c>
      <c r="AM24" s="425" t="s">
        <v>69</v>
      </c>
      <c r="AN24" s="425" t="s">
        <v>69</v>
      </c>
      <c r="AO24" s="425" t="s">
        <v>69</v>
      </c>
      <c r="AP24" s="425" t="s">
        <v>69</v>
      </c>
      <c r="AQ24" s="425" t="s">
        <v>69</v>
      </c>
      <c r="AR24" s="425">
        <v>4</v>
      </c>
      <c r="AS24" s="425" t="s">
        <v>69</v>
      </c>
      <c r="AT24" s="425" t="s">
        <v>69</v>
      </c>
      <c r="AU24" s="425">
        <v>4</v>
      </c>
      <c r="AV24" s="425" t="s">
        <v>69</v>
      </c>
      <c r="AW24" s="425" t="s">
        <v>69</v>
      </c>
      <c r="AX24" s="425">
        <v>4</v>
      </c>
      <c r="AY24" s="425" t="s">
        <v>69</v>
      </c>
      <c r="AZ24" s="425" t="s">
        <v>69</v>
      </c>
      <c r="BA24" s="425" t="s">
        <v>69</v>
      </c>
      <c r="BB24" s="425" t="s">
        <v>69</v>
      </c>
      <c r="BC24" s="425" t="s">
        <v>69</v>
      </c>
      <c r="BD24" s="425">
        <v>2</v>
      </c>
      <c r="BE24" s="425" t="s">
        <v>69</v>
      </c>
      <c r="BF24" s="425" t="s">
        <v>69</v>
      </c>
      <c r="BG24" s="425" t="s">
        <v>69</v>
      </c>
      <c r="BH24" s="425"/>
      <c r="BI24" s="425" t="s">
        <v>69</v>
      </c>
      <c r="BJ24" s="425" t="s">
        <v>69</v>
      </c>
      <c r="BK24" s="425" t="s">
        <v>69</v>
      </c>
      <c r="BL24" s="425" t="s">
        <v>69</v>
      </c>
      <c r="BM24" s="425" t="s">
        <v>69</v>
      </c>
      <c r="BN24" s="425" t="s">
        <v>69</v>
      </c>
      <c r="BO24" s="425" t="s">
        <v>69</v>
      </c>
      <c r="BP24" s="425">
        <v>4</v>
      </c>
      <c r="BQ24" s="425" t="s">
        <v>69</v>
      </c>
      <c r="BR24" s="425">
        <v>4</v>
      </c>
      <c r="BS24" s="425" t="s">
        <v>69</v>
      </c>
      <c r="BT24" s="425" t="s">
        <v>69</v>
      </c>
      <c r="BU24" s="425">
        <v>4</v>
      </c>
      <c r="BV24" s="425">
        <v>4</v>
      </c>
      <c r="BW24" s="425" t="s">
        <v>69</v>
      </c>
      <c r="BX24" s="425" t="s">
        <v>69</v>
      </c>
      <c r="BY24" s="425">
        <v>4</v>
      </c>
      <c r="BZ24" s="425" t="s">
        <v>69</v>
      </c>
      <c r="CA24" s="425" t="s">
        <v>69</v>
      </c>
      <c r="CB24" s="425" t="s">
        <v>69</v>
      </c>
      <c r="CC24" s="425" t="s">
        <v>69</v>
      </c>
      <c r="CD24" s="425" t="s">
        <v>69</v>
      </c>
      <c r="CE24" s="425" t="s">
        <v>69</v>
      </c>
      <c r="CF24" s="425" t="s">
        <v>69</v>
      </c>
      <c r="CG24" s="425">
        <v>4</v>
      </c>
      <c r="CH24" s="425">
        <v>4</v>
      </c>
      <c r="CI24" s="425" t="s">
        <v>69</v>
      </c>
      <c r="CJ24" s="425" t="s">
        <v>69</v>
      </c>
      <c r="CK24" s="425" t="s">
        <v>69</v>
      </c>
      <c r="CL24" s="425" t="s">
        <v>69</v>
      </c>
      <c r="CM24" s="425" t="s">
        <v>69</v>
      </c>
      <c r="CN24" s="425" t="s">
        <v>69</v>
      </c>
      <c r="CO24" s="425" t="s">
        <v>69</v>
      </c>
      <c r="CP24" s="425" t="s">
        <v>69</v>
      </c>
      <c r="CQ24" s="425" t="s">
        <v>69</v>
      </c>
      <c r="CR24" s="425" t="s">
        <v>69</v>
      </c>
      <c r="CS24" s="425" t="s">
        <v>69</v>
      </c>
      <c r="CT24" s="425" t="s">
        <v>69</v>
      </c>
      <c r="CU24" s="425" t="s">
        <v>69</v>
      </c>
      <c r="CV24" s="425">
        <v>4</v>
      </c>
      <c r="CW24" s="425">
        <v>4</v>
      </c>
      <c r="CX24" s="425">
        <v>4</v>
      </c>
      <c r="CY24" s="425">
        <v>2</v>
      </c>
      <c r="CZ24" s="425" t="s">
        <v>69</v>
      </c>
      <c r="DA24" s="425" t="s">
        <v>69</v>
      </c>
      <c r="DB24" s="425" t="s">
        <v>69</v>
      </c>
      <c r="DC24" s="425">
        <v>2</v>
      </c>
      <c r="DD24" s="425">
        <v>4</v>
      </c>
      <c r="DE24" s="425" t="s">
        <v>69</v>
      </c>
      <c r="DF24" s="425" t="s">
        <v>69</v>
      </c>
      <c r="DG24" s="425" t="s">
        <v>69</v>
      </c>
      <c r="DH24" s="425" t="s">
        <v>69</v>
      </c>
      <c r="DI24" s="425" t="s">
        <v>69</v>
      </c>
      <c r="DJ24" s="425" t="s">
        <v>69</v>
      </c>
      <c r="DK24" s="425" t="s">
        <v>69</v>
      </c>
      <c r="DL24" s="425" t="s">
        <v>69</v>
      </c>
      <c r="DM24" s="425" t="s">
        <v>69</v>
      </c>
      <c r="DN24" s="425">
        <v>4</v>
      </c>
      <c r="DO24" s="425">
        <v>4</v>
      </c>
      <c r="DP24" s="425" t="s">
        <v>69</v>
      </c>
      <c r="DQ24" s="425">
        <v>2</v>
      </c>
      <c r="DR24" s="425" t="s">
        <v>69</v>
      </c>
      <c r="DS24" s="425">
        <v>2</v>
      </c>
      <c r="DT24" s="425" t="s">
        <v>69</v>
      </c>
      <c r="DU24" s="422" t="s">
        <v>69</v>
      </c>
      <c r="DV24" s="425" t="s">
        <v>69</v>
      </c>
      <c r="DW24" s="425" t="s">
        <v>69</v>
      </c>
      <c r="DX24" s="425">
        <v>4</v>
      </c>
      <c r="DY24" s="423">
        <f t="shared" si="0"/>
        <v>0.47619047619047616</v>
      </c>
      <c r="DZ24" s="424">
        <f t="shared" si="1"/>
        <v>0.83333333333333337</v>
      </c>
      <c r="EA24" s="519"/>
    </row>
    <row r="25" spans="1:131" s="18" customFormat="1" ht="66.599999999999994" thickBot="1">
      <c r="A25" s="420" t="s">
        <v>337</v>
      </c>
      <c r="B25" s="414" t="s">
        <v>338</v>
      </c>
      <c r="C25" s="419">
        <v>43016</v>
      </c>
      <c r="D25" s="418" t="s">
        <v>1183</v>
      </c>
      <c r="E25" s="429" t="s">
        <v>897</v>
      </c>
      <c r="F25" s="425">
        <v>4</v>
      </c>
      <c r="G25" s="425" t="s">
        <v>69</v>
      </c>
      <c r="H25" s="425" t="s">
        <v>69</v>
      </c>
      <c r="I25" s="425" t="s">
        <v>69</v>
      </c>
      <c r="J25" s="425" t="s">
        <v>69</v>
      </c>
      <c r="K25" s="425">
        <v>4</v>
      </c>
      <c r="L25" s="425" t="s">
        <v>69</v>
      </c>
      <c r="M25" s="425" t="s">
        <v>69</v>
      </c>
      <c r="N25" s="425" t="s">
        <v>69</v>
      </c>
      <c r="O25" s="425">
        <v>4</v>
      </c>
      <c r="P25" s="425" t="s">
        <v>69</v>
      </c>
      <c r="Q25" s="425">
        <v>4</v>
      </c>
      <c r="R25" s="425" t="s">
        <v>69</v>
      </c>
      <c r="S25" s="425">
        <v>4</v>
      </c>
      <c r="T25" s="425">
        <v>4</v>
      </c>
      <c r="U25" s="425">
        <v>4</v>
      </c>
      <c r="V25" s="425" t="s">
        <v>69</v>
      </c>
      <c r="W25" s="425" t="s">
        <v>69</v>
      </c>
      <c r="X25" s="425" t="s">
        <v>69</v>
      </c>
      <c r="Y25" s="425" t="s">
        <v>69</v>
      </c>
      <c r="Z25" s="425" t="s">
        <v>69</v>
      </c>
      <c r="AA25" s="425" t="s">
        <v>69</v>
      </c>
      <c r="AB25" s="425" t="s">
        <v>69</v>
      </c>
      <c r="AC25" s="425" t="s">
        <v>69</v>
      </c>
      <c r="AD25" s="425">
        <v>3</v>
      </c>
      <c r="AE25" s="425" t="s">
        <v>69</v>
      </c>
      <c r="AF25" s="425" t="s">
        <v>69</v>
      </c>
      <c r="AG25" s="425" t="s">
        <v>69</v>
      </c>
      <c r="AH25" s="425" t="s">
        <v>69</v>
      </c>
      <c r="AI25" s="425" t="s">
        <v>69</v>
      </c>
      <c r="AJ25" s="425">
        <v>3</v>
      </c>
      <c r="AK25" s="425">
        <v>2</v>
      </c>
      <c r="AL25" s="425">
        <v>4</v>
      </c>
      <c r="AM25" s="425">
        <v>4</v>
      </c>
      <c r="AN25" s="425">
        <v>4</v>
      </c>
      <c r="AO25" s="425">
        <v>4</v>
      </c>
      <c r="AP25" s="425">
        <v>4</v>
      </c>
      <c r="AQ25" s="425">
        <v>4</v>
      </c>
      <c r="AR25" s="425" t="s">
        <v>69</v>
      </c>
      <c r="AS25" s="425">
        <v>4</v>
      </c>
      <c r="AT25" s="425">
        <v>3</v>
      </c>
      <c r="AU25" s="425" t="s">
        <v>69</v>
      </c>
      <c r="AV25" s="425">
        <v>4</v>
      </c>
      <c r="AW25" s="425" t="s">
        <v>69</v>
      </c>
      <c r="AX25" s="425" t="s">
        <v>69</v>
      </c>
      <c r="AY25" s="425">
        <v>4</v>
      </c>
      <c r="AZ25" s="425" t="s">
        <v>69</v>
      </c>
      <c r="BA25" s="425" t="s">
        <v>69</v>
      </c>
      <c r="BB25" s="425" t="s">
        <v>69</v>
      </c>
      <c r="BC25" s="425">
        <v>4</v>
      </c>
      <c r="BD25" s="425" t="s">
        <v>69</v>
      </c>
      <c r="BE25" s="425">
        <v>4</v>
      </c>
      <c r="BF25" s="425" t="s">
        <v>69</v>
      </c>
      <c r="BG25" s="425" t="s">
        <v>69</v>
      </c>
      <c r="BH25" s="425" t="s">
        <v>69</v>
      </c>
      <c r="BI25" s="425" t="s">
        <v>69</v>
      </c>
      <c r="BJ25" s="425" t="s">
        <v>69</v>
      </c>
      <c r="BK25" s="425" t="s">
        <v>69</v>
      </c>
      <c r="BL25" s="425" t="s">
        <v>69</v>
      </c>
      <c r="BM25" s="425" t="s">
        <v>69</v>
      </c>
      <c r="BN25" s="425" t="s">
        <v>69</v>
      </c>
      <c r="BO25" s="425" t="s">
        <v>69</v>
      </c>
      <c r="BP25" s="425" t="s">
        <v>69</v>
      </c>
      <c r="BQ25" s="425" t="s">
        <v>69</v>
      </c>
      <c r="BR25" s="425">
        <v>4</v>
      </c>
      <c r="BS25" s="425" t="s">
        <v>69</v>
      </c>
      <c r="BT25" s="425" t="s">
        <v>69</v>
      </c>
      <c r="BU25" s="425" t="s">
        <v>69</v>
      </c>
      <c r="BV25" s="425" t="s">
        <v>69</v>
      </c>
      <c r="BW25" s="425" t="s">
        <v>69</v>
      </c>
      <c r="BX25" s="425" t="s">
        <v>69</v>
      </c>
      <c r="BY25" s="425">
        <v>3</v>
      </c>
      <c r="BZ25" s="425" t="s">
        <v>69</v>
      </c>
      <c r="CA25" s="425">
        <v>4</v>
      </c>
      <c r="CB25" s="425" t="s">
        <v>69</v>
      </c>
      <c r="CC25" s="425" t="s">
        <v>69</v>
      </c>
      <c r="CD25" s="425" t="s">
        <v>69</v>
      </c>
      <c r="CE25" s="425" t="s">
        <v>69</v>
      </c>
      <c r="CF25" s="425" t="s">
        <v>69</v>
      </c>
      <c r="CG25" s="425">
        <v>4</v>
      </c>
      <c r="CH25" s="425" t="s">
        <v>69</v>
      </c>
      <c r="CI25" s="425" t="s">
        <v>69</v>
      </c>
      <c r="CJ25" s="425" t="s">
        <v>69</v>
      </c>
      <c r="CK25" s="425" t="s">
        <v>69</v>
      </c>
      <c r="CL25" s="425" t="s">
        <v>69</v>
      </c>
      <c r="CM25" s="425">
        <v>4</v>
      </c>
      <c r="CN25" s="425">
        <v>4</v>
      </c>
      <c r="CO25" s="425">
        <v>4</v>
      </c>
      <c r="CP25" s="425">
        <v>4</v>
      </c>
      <c r="CQ25" s="425" t="s">
        <v>69</v>
      </c>
      <c r="CR25" s="425">
        <v>4</v>
      </c>
      <c r="CS25" s="425" t="s">
        <v>69</v>
      </c>
      <c r="CT25" s="425" t="s">
        <v>69</v>
      </c>
      <c r="CU25" s="425" t="s">
        <v>69</v>
      </c>
      <c r="CV25" s="425">
        <v>4</v>
      </c>
      <c r="CW25" s="425">
        <v>4</v>
      </c>
      <c r="CX25" s="425">
        <v>4</v>
      </c>
      <c r="CY25" s="425">
        <v>2</v>
      </c>
      <c r="CZ25" s="425" t="s">
        <v>69</v>
      </c>
      <c r="DA25" s="425" t="s">
        <v>69</v>
      </c>
      <c r="DB25" s="425" t="s">
        <v>69</v>
      </c>
      <c r="DC25" s="425">
        <v>2</v>
      </c>
      <c r="DD25" s="425" t="s">
        <v>69</v>
      </c>
      <c r="DE25" s="425" t="s">
        <v>69</v>
      </c>
      <c r="DF25" s="425" t="s">
        <v>69</v>
      </c>
      <c r="DG25" s="425" t="s">
        <v>69</v>
      </c>
      <c r="DH25" s="425" t="s">
        <v>69</v>
      </c>
      <c r="DI25" s="425" t="s">
        <v>69</v>
      </c>
      <c r="DJ25" s="425" t="s">
        <v>69</v>
      </c>
      <c r="DK25" s="425" t="s">
        <v>69</v>
      </c>
      <c r="DL25" s="425" t="s">
        <v>69</v>
      </c>
      <c r="DM25" s="425" t="s">
        <v>69</v>
      </c>
      <c r="DN25" s="425" t="s">
        <v>69</v>
      </c>
      <c r="DO25" s="425" t="s">
        <v>69</v>
      </c>
      <c r="DP25" s="425" t="s">
        <v>69</v>
      </c>
      <c r="DQ25" s="425" t="s">
        <v>69</v>
      </c>
      <c r="DR25" s="425" t="s">
        <v>69</v>
      </c>
      <c r="DS25" s="425" t="s">
        <v>69</v>
      </c>
      <c r="DT25" s="425">
        <v>2</v>
      </c>
      <c r="DU25" s="422" t="s">
        <v>69</v>
      </c>
      <c r="DV25" s="425" t="s">
        <v>69</v>
      </c>
      <c r="DW25" s="425" t="s">
        <v>69</v>
      </c>
      <c r="DX25" s="425">
        <v>4</v>
      </c>
      <c r="DY25" s="423">
        <f t="shared" si="0"/>
        <v>0.60317460317460314</v>
      </c>
      <c r="DZ25" s="424">
        <f t="shared" si="1"/>
        <v>0.89473684210526316</v>
      </c>
      <c r="EA25" s="519"/>
    </row>
    <row r="26" spans="1:131" s="18" customFormat="1" ht="66.599999999999994" thickBot="1">
      <c r="A26" s="420" t="s">
        <v>339</v>
      </c>
      <c r="B26" s="414" t="s">
        <v>340</v>
      </c>
      <c r="C26" s="419">
        <v>43529</v>
      </c>
      <c r="D26" s="418" t="s">
        <v>1183</v>
      </c>
      <c r="E26" s="429" t="s">
        <v>897</v>
      </c>
      <c r="F26" s="425" t="s">
        <v>69</v>
      </c>
      <c r="G26" s="425" t="s">
        <v>69</v>
      </c>
      <c r="H26" s="425" t="s">
        <v>69</v>
      </c>
      <c r="I26" s="425" t="s">
        <v>69</v>
      </c>
      <c r="J26" s="425" t="s">
        <v>69</v>
      </c>
      <c r="K26" s="425" t="s">
        <v>69</v>
      </c>
      <c r="L26" s="425" t="s">
        <v>69</v>
      </c>
      <c r="M26" s="425" t="s">
        <v>69</v>
      </c>
      <c r="N26" s="425" t="s">
        <v>69</v>
      </c>
      <c r="O26" s="425">
        <v>4</v>
      </c>
      <c r="P26" s="425" t="s">
        <v>69</v>
      </c>
      <c r="Q26" s="425" t="s">
        <v>69</v>
      </c>
      <c r="R26" s="425" t="s">
        <v>69</v>
      </c>
      <c r="S26" s="425" t="s">
        <v>69</v>
      </c>
      <c r="T26" s="425" t="s">
        <v>69</v>
      </c>
      <c r="U26" s="425" t="s">
        <v>69</v>
      </c>
      <c r="V26" s="425" t="s">
        <v>69</v>
      </c>
      <c r="W26" s="425" t="s">
        <v>69</v>
      </c>
      <c r="X26" s="425" t="s">
        <v>69</v>
      </c>
      <c r="Y26" s="425" t="s">
        <v>69</v>
      </c>
      <c r="Z26" s="425" t="s">
        <v>69</v>
      </c>
      <c r="AA26" s="425" t="s">
        <v>69</v>
      </c>
      <c r="AB26" s="425" t="s">
        <v>69</v>
      </c>
      <c r="AC26" s="425" t="s">
        <v>69</v>
      </c>
      <c r="AD26" s="425" t="s">
        <v>69</v>
      </c>
      <c r="AE26" s="425" t="s">
        <v>69</v>
      </c>
      <c r="AF26" s="425" t="s">
        <v>69</v>
      </c>
      <c r="AG26" s="425" t="s">
        <v>69</v>
      </c>
      <c r="AH26" s="425" t="s">
        <v>69</v>
      </c>
      <c r="AI26" s="425" t="s">
        <v>69</v>
      </c>
      <c r="AJ26" s="425" t="s">
        <v>69</v>
      </c>
      <c r="AK26" s="425" t="s">
        <v>69</v>
      </c>
      <c r="AL26" s="425" t="s">
        <v>69</v>
      </c>
      <c r="AM26" s="425" t="s">
        <v>69</v>
      </c>
      <c r="AN26" s="425" t="s">
        <v>69</v>
      </c>
      <c r="AO26" s="425" t="s">
        <v>69</v>
      </c>
      <c r="AP26" s="425" t="s">
        <v>69</v>
      </c>
      <c r="AQ26" s="425" t="s">
        <v>69</v>
      </c>
      <c r="AR26" s="425" t="s">
        <v>69</v>
      </c>
      <c r="AS26" s="425">
        <v>4</v>
      </c>
      <c r="AT26" s="425" t="s">
        <v>69</v>
      </c>
      <c r="AU26" s="425">
        <v>3</v>
      </c>
      <c r="AV26" s="425">
        <v>4</v>
      </c>
      <c r="AW26" s="425" t="s">
        <v>69</v>
      </c>
      <c r="AX26" s="425" t="s">
        <v>69</v>
      </c>
      <c r="AY26" s="425">
        <v>4</v>
      </c>
      <c r="AZ26" s="425" t="s">
        <v>69</v>
      </c>
      <c r="BA26" s="425" t="s">
        <v>69</v>
      </c>
      <c r="BB26" s="425">
        <v>4</v>
      </c>
      <c r="BC26" s="425" t="s">
        <v>69</v>
      </c>
      <c r="BD26" s="425" t="s">
        <v>69</v>
      </c>
      <c r="BE26" s="425">
        <v>4</v>
      </c>
      <c r="BF26" s="425">
        <v>4</v>
      </c>
      <c r="BG26" s="425">
        <v>4</v>
      </c>
      <c r="BH26" s="425">
        <v>4</v>
      </c>
      <c r="BI26" s="425" t="s">
        <v>69</v>
      </c>
      <c r="BJ26" s="425" t="s">
        <v>69</v>
      </c>
      <c r="BK26" s="425" t="s">
        <v>69</v>
      </c>
      <c r="BL26" s="425" t="s">
        <v>69</v>
      </c>
      <c r="BM26" s="425" t="s">
        <v>69</v>
      </c>
      <c r="BN26" s="425" t="s">
        <v>69</v>
      </c>
      <c r="BO26" s="425" t="s">
        <v>69</v>
      </c>
      <c r="BP26" s="425" t="s">
        <v>69</v>
      </c>
      <c r="BQ26" s="425" t="s">
        <v>69</v>
      </c>
      <c r="BR26" s="425">
        <v>4</v>
      </c>
      <c r="BS26" s="425" t="s">
        <v>69</v>
      </c>
      <c r="BT26" s="425" t="s">
        <v>69</v>
      </c>
      <c r="BU26" s="425" t="s">
        <v>69</v>
      </c>
      <c r="BV26" s="425" t="s">
        <v>69</v>
      </c>
      <c r="BW26" s="425" t="s">
        <v>69</v>
      </c>
      <c r="BX26" s="425" t="s">
        <v>69</v>
      </c>
      <c r="BY26" s="425" t="s">
        <v>69</v>
      </c>
      <c r="BZ26" s="425" t="s">
        <v>69</v>
      </c>
      <c r="CA26" s="425" t="s">
        <v>69</v>
      </c>
      <c r="CB26" s="425" t="s">
        <v>69</v>
      </c>
      <c r="CC26" s="425" t="s">
        <v>69</v>
      </c>
      <c r="CD26" s="425" t="s">
        <v>69</v>
      </c>
      <c r="CE26" s="425" t="s">
        <v>69</v>
      </c>
      <c r="CF26" s="425" t="s">
        <v>69</v>
      </c>
      <c r="CG26" s="425" t="s">
        <v>69</v>
      </c>
      <c r="CH26" s="425" t="s">
        <v>69</v>
      </c>
      <c r="CI26" s="425" t="s">
        <v>69</v>
      </c>
      <c r="CJ26" s="425" t="s">
        <v>69</v>
      </c>
      <c r="CK26" s="425" t="s">
        <v>69</v>
      </c>
      <c r="CL26" s="425" t="s">
        <v>69</v>
      </c>
      <c r="CM26" s="425">
        <v>4</v>
      </c>
      <c r="CN26" s="425">
        <v>4</v>
      </c>
      <c r="CO26" s="425">
        <v>4</v>
      </c>
      <c r="CP26" s="425">
        <v>4</v>
      </c>
      <c r="CQ26" s="425">
        <v>3</v>
      </c>
      <c r="CR26" s="425">
        <v>4</v>
      </c>
      <c r="CS26" s="425">
        <v>3</v>
      </c>
      <c r="CT26" s="425" t="s">
        <v>69</v>
      </c>
      <c r="CU26" s="425" t="s">
        <v>69</v>
      </c>
      <c r="CV26" s="425" t="s">
        <v>69</v>
      </c>
      <c r="CW26" s="425" t="s">
        <v>69</v>
      </c>
      <c r="CX26" s="425" t="s">
        <v>69</v>
      </c>
      <c r="CY26" s="425" t="s">
        <v>69</v>
      </c>
      <c r="CZ26" s="425">
        <v>4</v>
      </c>
      <c r="DA26" s="425">
        <v>2</v>
      </c>
      <c r="DB26" s="425" t="s">
        <v>69</v>
      </c>
      <c r="DC26" s="425">
        <v>4</v>
      </c>
      <c r="DD26" s="425">
        <v>4</v>
      </c>
      <c r="DE26" s="425">
        <v>3</v>
      </c>
      <c r="DF26" s="425">
        <v>3</v>
      </c>
      <c r="DG26" s="425" t="s">
        <v>69</v>
      </c>
      <c r="DH26" s="425" t="s">
        <v>69</v>
      </c>
      <c r="DI26" s="425" t="s">
        <v>69</v>
      </c>
      <c r="DJ26" s="425" t="s">
        <v>69</v>
      </c>
      <c r="DK26" s="425" t="s">
        <v>69</v>
      </c>
      <c r="DL26" s="425" t="s">
        <v>69</v>
      </c>
      <c r="DM26" s="425">
        <v>2</v>
      </c>
      <c r="DN26" s="425">
        <v>4</v>
      </c>
      <c r="DO26" s="425" t="s">
        <v>69</v>
      </c>
      <c r="DP26" s="425" t="s">
        <v>69</v>
      </c>
      <c r="DQ26" s="425" t="s">
        <v>69</v>
      </c>
      <c r="DR26" s="425" t="s">
        <v>69</v>
      </c>
      <c r="DS26" s="425" t="s">
        <v>69</v>
      </c>
      <c r="DT26" s="425" t="s">
        <v>69</v>
      </c>
      <c r="DU26" s="422" t="s">
        <v>69</v>
      </c>
      <c r="DV26" s="425" t="s">
        <v>69</v>
      </c>
      <c r="DW26" s="425" t="s">
        <v>69</v>
      </c>
      <c r="DX26" s="425">
        <v>4</v>
      </c>
      <c r="DY26" s="423">
        <f t="shared" si="0"/>
        <v>0.42857142857142855</v>
      </c>
      <c r="DZ26" s="424">
        <f t="shared" si="1"/>
        <v>0.92592592592592593</v>
      </c>
      <c r="EA26" s="519"/>
    </row>
    <row r="27" spans="1:131" s="18" customFormat="1" ht="66.599999999999994" thickBot="1">
      <c r="A27" s="420" t="s">
        <v>343</v>
      </c>
      <c r="B27" s="414" t="s">
        <v>344</v>
      </c>
      <c r="C27" s="419" t="s">
        <v>622</v>
      </c>
      <c r="D27" s="418" t="s">
        <v>1183</v>
      </c>
      <c r="E27" s="429" t="s">
        <v>897</v>
      </c>
      <c r="F27" s="425">
        <v>2</v>
      </c>
      <c r="G27" s="425" t="s">
        <v>69</v>
      </c>
      <c r="H27" s="425" t="s">
        <v>69</v>
      </c>
      <c r="I27" s="425" t="s">
        <v>69</v>
      </c>
      <c r="J27" s="425" t="s">
        <v>69</v>
      </c>
      <c r="K27" s="425" t="s">
        <v>69</v>
      </c>
      <c r="L27" s="425" t="s">
        <v>69</v>
      </c>
      <c r="M27" s="425" t="s">
        <v>69</v>
      </c>
      <c r="N27" s="425" t="s">
        <v>69</v>
      </c>
      <c r="O27" s="425" t="s">
        <v>69</v>
      </c>
      <c r="P27" s="425" t="s">
        <v>69</v>
      </c>
      <c r="Q27" s="425" t="s">
        <v>69</v>
      </c>
      <c r="R27" s="425" t="s">
        <v>69</v>
      </c>
      <c r="S27" s="425" t="s">
        <v>69</v>
      </c>
      <c r="T27" s="425" t="s">
        <v>69</v>
      </c>
      <c r="U27" s="425" t="s">
        <v>69</v>
      </c>
      <c r="V27" s="425" t="s">
        <v>69</v>
      </c>
      <c r="W27" s="425" t="s">
        <v>69</v>
      </c>
      <c r="X27" s="425" t="s">
        <v>69</v>
      </c>
      <c r="Y27" s="425" t="s">
        <v>69</v>
      </c>
      <c r="Z27" s="425" t="s">
        <v>69</v>
      </c>
      <c r="AA27" s="425" t="s">
        <v>69</v>
      </c>
      <c r="AB27" s="425" t="s">
        <v>69</v>
      </c>
      <c r="AC27" s="425" t="s">
        <v>69</v>
      </c>
      <c r="AD27" s="425" t="s">
        <v>69</v>
      </c>
      <c r="AE27" s="425" t="s">
        <v>69</v>
      </c>
      <c r="AF27" s="425" t="s">
        <v>69</v>
      </c>
      <c r="AG27" s="425" t="s">
        <v>69</v>
      </c>
      <c r="AH27" s="425" t="s">
        <v>69</v>
      </c>
      <c r="AI27" s="425" t="s">
        <v>69</v>
      </c>
      <c r="AJ27" s="425" t="s">
        <v>69</v>
      </c>
      <c r="AK27" s="425" t="s">
        <v>69</v>
      </c>
      <c r="AL27" s="425" t="s">
        <v>69</v>
      </c>
      <c r="AM27" s="425" t="s">
        <v>69</v>
      </c>
      <c r="AN27" s="425" t="s">
        <v>69</v>
      </c>
      <c r="AO27" s="425" t="s">
        <v>69</v>
      </c>
      <c r="AP27" s="425" t="s">
        <v>69</v>
      </c>
      <c r="AQ27" s="425" t="s">
        <v>69</v>
      </c>
      <c r="AR27" s="425" t="s">
        <v>69</v>
      </c>
      <c r="AS27" s="425" t="s">
        <v>69</v>
      </c>
      <c r="AT27" s="425" t="s">
        <v>69</v>
      </c>
      <c r="AU27" s="425" t="s">
        <v>69</v>
      </c>
      <c r="AV27" s="425" t="s">
        <v>69</v>
      </c>
      <c r="AW27" s="425" t="s">
        <v>69</v>
      </c>
      <c r="AX27" s="425" t="s">
        <v>69</v>
      </c>
      <c r="AY27" s="425" t="s">
        <v>69</v>
      </c>
      <c r="AZ27" s="425" t="s">
        <v>69</v>
      </c>
      <c r="BA27" s="425" t="s">
        <v>69</v>
      </c>
      <c r="BB27" s="425" t="s">
        <v>69</v>
      </c>
      <c r="BC27" s="425" t="s">
        <v>69</v>
      </c>
      <c r="BD27" s="425" t="s">
        <v>69</v>
      </c>
      <c r="BE27" s="425">
        <v>2</v>
      </c>
      <c r="BF27" s="425" t="s">
        <v>69</v>
      </c>
      <c r="BG27" s="425" t="s">
        <v>69</v>
      </c>
      <c r="BH27" s="425" t="s">
        <v>69</v>
      </c>
      <c r="BI27" s="425" t="s">
        <v>69</v>
      </c>
      <c r="BJ27" s="425" t="s">
        <v>69</v>
      </c>
      <c r="BK27" s="425" t="s">
        <v>69</v>
      </c>
      <c r="BL27" s="425">
        <v>2</v>
      </c>
      <c r="BM27" s="425" t="s">
        <v>69</v>
      </c>
      <c r="BN27" s="425" t="s">
        <v>69</v>
      </c>
      <c r="BO27" s="425" t="s">
        <v>69</v>
      </c>
      <c r="BP27" s="425" t="s">
        <v>69</v>
      </c>
      <c r="BQ27" s="425" t="s">
        <v>69</v>
      </c>
      <c r="BR27" s="425">
        <v>4</v>
      </c>
      <c r="BS27" s="425" t="s">
        <v>69</v>
      </c>
      <c r="BT27" s="425" t="s">
        <v>69</v>
      </c>
      <c r="BU27" s="425" t="s">
        <v>69</v>
      </c>
      <c r="BV27" s="425" t="s">
        <v>69</v>
      </c>
      <c r="BW27" s="425" t="s">
        <v>69</v>
      </c>
      <c r="BX27" s="425" t="s">
        <v>69</v>
      </c>
      <c r="BY27" s="425" t="s">
        <v>69</v>
      </c>
      <c r="BZ27" s="425" t="s">
        <v>69</v>
      </c>
      <c r="CA27" s="425" t="s">
        <v>69</v>
      </c>
      <c r="CB27" s="425" t="s">
        <v>69</v>
      </c>
      <c r="CC27" s="425" t="s">
        <v>69</v>
      </c>
      <c r="CD27" s="425" t="s">
        <v>69</v>
      </c>
      <c r="CE27" s="425" t="s">
        <v>69</v>
      </c>
      <c r="CF27" s="425" t="s">
        <v>69</v>
      </c>
      <c r="CG27" s="425">
        <v>4</v>
      </c>
      <c r="CH27" s="425" t="s">
        <v>69</v>
      </c>
      <c r="CI27" s="425">
        <v>4</v>
      </c>
      <c r="CJ27" s="425">
        <v>4</v>
      </c>
      <c r="CK27" s="425">
        <v>4</v>
      </c>
      <c r="CL27" s="425">
        <v>4</v>
      </c>
      <c r="CM27" s="425" t="s">
        <v>69</v>
      </c>
      <c r="CN27" s="425" t="s">
        <v>69</v>
      </c>
      <c r="CO27" s="425" t="s">
        <v>69</v>
      </c>
      <c r="CP27" s="425" t="s">
        <v>69</v>
      </c>
      <c r="CQ27" s="425" t="s">
        <v>69</v>
      </c>
      <c r="CR27" s="425" t="s">
        <v>69</v>
      </c>
      <c r="CS27" s="425" t="s">
        <v>69</v>
      </c>
      <c r="CT27" s="425">
        <v>3</v>
      </c>
      <c r="CU27" s="425" t="s">
        <v>69</v>
      </c>
      <c r="CV27" s="425" t="s">
        <v>69</v>
      </c>
      <c r="CW27" s="425" t="s">
        <v>69</v>
      </c>
      <c r="CX27" s="425" t="s">
        <v>69</v>
      </c>
      <c r="CY27" s="425" t="s">
        <v>69</v>
      </c>
      <c r="CZ27" s="425" t="s">
        <v>69</v>
      </c>
      <c r="DA27" s="425" t="s">
        <v>69</v>
      </c>
      <c r="DB27" s="425" t="s">
        <v>69</v>
      </c>
      <c r="DC27" s="425" t="s">
        <v>69</v>
      </c>
      <c r="DD27" s="425" t="s">
        <v>69</v>
      </c>
      <c r="DE27" s="425" t="s">
        <v>69</v>
      </c>
      <c r="DF27" s="425" t="s">
        <v>69</v>
      </c>
      <c r="DG27" s="425" t="s">
        <v>69</v>
      </c>
      <c r="DH27" s="425" t="s">
        <v>69</v>
      </c>
      <c r="DI27" s="425" t="s">
        <v>69</v>
      </c>
      <c r="DJ27" s="425" t="s">
        <v>69</v>
      </c>
      <c r="DK27" s="425" t="s">
        <v>69</v>
      </c>
      <c r="DL27" s="425" t="s">
        <v>69</v>
      </c>
      <c r="DM27" s="425" t="s">
        <v>69</v>
      </c>
      <c r="DN27" s="425" t="s">
        <v>69</v>
      </c>
      <c r="DO27" s="425" t="s">
        <v>69</v>
      </c>
      <c r="DP27" s="425" t="s">
        <v>69</v>
      </c>
      <c r="DQ27" s="425" t="s">
        <v>69</v>
      </c>
      <c r="DR27" s="425" t="s">
        <v>69</v>
      </c>
      <c r="DS27" s="425" t="s">
        <v>69</v>
      </c>
      <c r="DT27" s="425" t="s">
        <v>69</v>
      </c>
      <c r="DU27" s="422" t="s">
        <v>69</v>
      </c>
      <c r="DV27" s="425" t="s">
        <v>69</v>
      </c>
      <c r="DW27" s="425" t="s">
        <v>69</v>
      </c>
      <c r="DX27" s="425">
        <v>4</v>
      </c>
      <c r="DY27" s="423">
        <f t="shared" si="0"/>
        <v>0.17460317460317459</v>
      </c>
      <c r="DZ27" s="424">
        <f t="shared" si="1"/>
        <v>0.72727272727272729</v>
      </c>
      <c r="EA27" s="519"/>
    </row>
    <row r="28" spans="1:131" s="18" customFormat="1" ht="66.599999999999994" thickBot="1">
      <c r="A28" s="420" t="s">
        <v>345</v>
      </c>
      <c r="B28" s="414" t="s">
        <v>346</v>
      </c>
      <c r="C28" s="419">
        <v>44851</v>
      </c>
      <c r="D28" s="418" t="s">
        <v>1183</v>
      </c>
      <c r="E28" s="429" t="s">
        <v>897</v>
      </c>
      <c r="F28" s="425">
        <v>4</v>
      </c>
      <c r="G28" s="425">
        <v>4</v>
      </c>
      <c r="H28" s="425" t="s">
        <v>69</v>
      </c>
      <c r="I28" s="425" t="s">
        <v>69</v>
      </c>
      <c r="J28" s="425" t="s">
        <v>69</v>
      </c>
      <c r="K28" s="425">
        <v>3</v>
      </c>
      <c r="L28" s="425">
        <v>3</v>
      </c>
      <c r="M28" s="425" t="s">
        <v>69</v>
      </c>
      <c r="N28" s="425" t="s">
        <v>69</v>
      </c>
      <c r="O28" s="425" t="s">
        <v>69</v>
      </c>
      <c r="P28" s="425" t="s">
        <v>69</v>
      </c>
      <c r="Q28" s="425" t="s">
        <v>69</v>
      </c>
      <c r="R28" s="425" t="s">
        <v>69</v>
      </c>
      <c r="S28" s="425" t="s">
        <v>69</v>
      </c>
      <c r="T28" s="425" t="s">
        <v>69</v>
      </c>
      <c r="U28" s="425" t="s">
        <v>69</v>
      </c>
      <c r="V28" s="425" t="s">
        <v>69</v>
      </c>
      <c r="W28" s="425" t="s">
        <v>69</v>
      </c>
      <c r="X28" s="425" t="s">
        <v>69</v>
      </c>
      <c r="Y28" s="425">
        <v>4</v>
      </c>
      <c r="Z28" s="425">
        <v>4</v>
      </c>
      <c r="AA28" s="425" t="s">
        <v>69</v>
      </c>
      <c r="AB28" s="425" t="s">
        <v>69</v>
      </c>
      <c r="AC28" s="425" t="s">
        <v>69</v>
      </c>
      <c r="AD28" s="425" t="s">
        <v>69</v>
      </c>
      <c r="AE28" s="425" t="s">
        <v>69</v>
      </c>
      <c r="AF28" s="425" t="s">
        <v>69</v>
      </c>
      <c r="AG28" s="425" t="s">
        <v>69</v>
      </c>
      <c r="AH28" s="425" t="s">
        <v>69</v>
      </c>
      <c r="AI28" s="425" t="s">
        <v>69</v>
      </c>
      <c r="AJ28" s="425" t="s">
        <v>69</v>
      </c>
      <c r="AK28" s="425" t="s">
        <v>69</v>
      </c>
      <c r="AL28" s="425" t="s">
        <v>69</v>
      </c>
      <c r="AM28" s="425" t="s">
        <v>69</v>
      </c>
      <c r="AN28" s="425" t="s">
        <v>69</v>
      </c>
      <c r="AO28" s="425" t="s">
        <v>69</v>
      </c>
      <c r="AP28" s="425" t="s">
        <v>69</v>
      </c>
      <c r="AQ28" s="425">
        <v>3</v>
      </c>
      <c r="AR28" s="425" t="s">
        <v>69</v>
      </c>
      <c r="AS28" s="425" t="s">
        <v>69</v>
      </c>
      <c r="AT28" s="425" t="s">
        <v>69</v>
      </c>
      <c r="AU28" s="425" t="s">
        <v>69</v>
      </c>
      <c r="AV28" s="425" t="s">
        <v>69</v>
      </c>
      <c r="AW28" s="425" t="s">
        <v>69</v>
      </c>
      <c r="AX28" s="425" t="s">
        <v>69</v>
      </c>
      <c r="AY28" s="425" t="s">
        <v>69</v>
      </c>
      <c r="AZ28" s="425" t="s">
        <v>69</v>
      </c>
      <c r="BA28" s="425" t="s">
        <v>69</v>
      </c>
      <c r="BB28" s="425" t="s">
        <v>69</v>
      </c>
      <c r="BC28" s="425" t="s">
        <v>69</v>
      </c>
      <c r="BD28" s="425">
        <v>3</v>
      </c>
      <c r="BE28" s="425">
        <v>3</v>
      </c>
      <c r="BF28" s="425">
        <v>3</v>
      </c>
      <c r="BG28" s="425" t="s">
        <v>69</v>
      </c>
      <c r="BH28" s="425">
        <v>2</v>
      </c>
      <c r="BI28" s="425">
        <v>4</v>
      </c>
      <c r="BJ28" s="425" t="s">
        <v>69</v>
      </c>
      <c r="BK28" s="425" t="s">
        <v>69</v>
      </c>
      <c r="BL28" s="425" t="s">
        <v>69</v>
      </c>
      <c r="BM28" s="425" t="s">
        <v>69</v>
      </c>
      <c r="BN28" s="425" t="s">
        <v>69</v>
      </c>
      <c r="BO28" s="425" t="s">
        <v>69</v>
      </c>
      <c r="BP28" s="425" t="s">
        <v>69</v>
      </c>
      <c r="BQ28" s="425" t="s">
        <v>69</v>
      </c>
      <c r="BR28" s="425">
        <v>4</v>
      </c>
      <c r="BS28" s="425" t="s">
        <v>69</v>
      </c>
      <c r="BT28" s="425"/>
      <c r="BU28" s="425">
        <v>4</v>
      </c>
      <c r="BV28" s="425">
        <v>4</v>
      </c>
      <c r="BW28" s="425" t="s">
        <v>69</v>
      </c>
      <c r="BX28" s="425" t="s">
        <v>69</v>
      </c>
      <c r="BY28" s="425" t="s">
        <v>69</v>
      </c>
      <c r="BZ28" s="425" t="s">
        <v>69</v>
      </c>
      <c r="CA28" s="425" t="s">
        <v>69</v>
      </c>
      <c r="CB28" s="425" t="s">
        <v>69</v>
      </c>
      <c r="CC28" s="425" t="s">
        <v>69</v>
      </c>
      <c r="CD28" s="425" t="s">
        <v>69</v>
      </c>
      <c r="CE28" s="425" t="s">
        <v>69</v>
      </c>
      <c r="CF28" s="425" t="s">
        <v>69</v>
      </c>
      <c r="CG28" s="425" t="s">
        <v>69</v>
      </c>
      <c r="CH28" s="425" t="s">
        <v>69</v>
      </c>
      <c r="CI28" s="425" t="s">
        <v>69</v>
      </c>
      <c r="CJ28" s="425" t="s">
        <v>69</v>
      </c>
      <c r="CK28" s="425" t="s">
        <v>69</v>
      </c>
      <c r="CL28" s="425" t="s">
        <v>69</v>
      </c>
      <c r="CM28" s="425">
        <v>4</v>
      </c>
      <c r="CN28" s="425">
        <v>4</v>
      </c>
      <c r="CO28" s="425">
        <v>4</v>
      </c>
      <c r="CP28" s="425">
        <v>4</v>
      </c>
      <c r="CQ28" s="425">
        <v>4</v>
      </c>
      <c r="CR28" s="425" t="s">
        <v>69</v>
      </c>
      <c r="CS28" s="425" t="s">
        <v>69</v>
      </c>
      <c r="CT28" s="425">
        <v>4</v>
      </c>
      <c r="CU28" s="425">
        <v>4</v>
      </c>
      <c r="CV28" s="425" t="s">
        <v>69</v>
      </c>
      <c r="CW28" s="425" t="s">
        <v>69</v>
      </c>
      <c r="CX28" s="425" t="s">
        <v>69</v>
      </c>
      <c r="CY28" s="425" t="s">
        <v>69</v>
      </c>
      <c r="CZ28" s="425" t="s">
        <v>69</v>
      </c>
      <c r="DA28" s="425" t="s">
        <v>69</v>
      </c>
      <c r="DB28" s="425" t="s">
        <v>69</v>
      </c>
      <c r="DC28" s="425" t="s">
        <v>69</v>
      </c>
      <c r="DD28" s="425" t="s">
        <v>69</v>
      </c>
      <c r="DE28" s="425" t="s">
        <v>69</v>
      </c>
      <c r="DF28" s="425" t="s">
        <v>69</v>
      </c>
      <c r="DG28" s="425" t="s">
        <v>69</v>
      </c>
      <c r="DH28" s="425" t="s">
        <v>69</v>
      </c>
      <c r="DI28" s="425" t="s">
        <v>69</v>
      </c>
      <c r="DJ28" s="425" t="s">
        <v>69</v>
      </c>
      <c r="DK28" s="425" t="s">
        <v>69</v>
      </c>
      <c r="DL28" s="425" t="s">
        <v>69</v>
      </c>
      <c r="DM28" s="425" t="s">
        <v>69</v>
      </c>
      <c r="DN28" s="425" t="s">
        <v>69</v>
      </c>
      <c r="DO28" s="425">
        <v>4</v>
      </c>
      <c r="DP28" s="425" t="s">
        <v>69</v>
      </c>
      <c r="DQ28" s="425" t="s">
        <v>69</v>
      </c>
      <c r="DR28" s="425" t="s">
        <v>69</v>
      </c>
      <c r="DS28" s="425" t="s">
        <v>69</v>
      </c>
      <c r="DT28" s="425" t="s">
        <v>69</v>
      </c>
      <c r="DU28" s="422" t="s">
        <v>69</v>
      </c>
      <c r="DV28" s="425" t="s">
        <v>69</v>
      </c>
      <c r="DW28" s="425" t="s">
        <v>69</v>
      </c>
      <c r="DX28" s="425">
        <v>4</v>
      </c>
      <c r="DY28" s="423">
        <f t="shared" si="0"/>
        <v>0.38095238095238093</v>
      </c>
      <c r="DZ28" s="424">
        <f t="shared" si="1"/>
        <v>0.95833333333333337</v>
      </c>
      <c r="EA28" s="519"/>
    </row>
    <row r="29" spans="1:131" s="18" customFormat="1" ht="66.599999999999994" thickBot="1">
      <c r="A29" s="420" t="s">
        <v>353</v>
      </c>
      <c r="B29" s="414" t="s">
        <v>354</v>
      </c>
      <c r="C29" s="419">
        <v>42771</v>
      </c>
      <c r="D29" s="418" t="s">
        <v>1183</v>
      </c>
      <c r="E29" s="429" t="s">
        <v>897</v>
      </c>
      <c r="F29" s="425">
        <v>4</v>
      </c>
      <c r="G29" s="425" t="s">
        <v>69</v>
      </c>
      <c r="H29" s="425">
        <v>4</v>
      </c>
      <c r="I29" s="425" t="s">
        <v>69</v>
      </c>
      <c r="J29" s="425" t="s">
        <v>69</v>
      </c>
      <c r="K29" s="425" t="s">
        <v>69</v>
      </c>
      <c r="L29" s="425" t="s">
        <v>69</v>
      </c>
      <c r="M29" s="425" t="s">
        <v>69</v>
      </c>
      <c r="N29" s="425" t="s">
        <v>69</v>
      </c>
      <c r="O29" s="425" t="s">
        <v>69</v>
      </c>
      <c r="P29" s="425" t="s">
        <v>69</v>
      </c>
      <c r="Q29" s="425" t="s">
        <v>69</v>
      </c>
      <c r="R29" s="425" t="s">
        <v>69</v>
      </c>
      <c r="S29" s="425" t="s">
        <v>69</v>
      </c>
      <c r="T29" s="425" t="s">
        <v>69</v>
      </c>
      <c r="U29" s="425" t="s">
        <v>69</v>
      </c>
      <c r="V29" s="425" t="s">
        <v>69</v>
      </c>
      <c r="W29" s="425" t="s">
        <v>69</v>
      </c>
      <c r="X29" s="425" t="s">
        <v>69</v>
      </c>
      <c r="Y29" s="425" t="s">
        <v>69</v>
      </c>
      <c r="Z29" s="425" t="s">
        <v>69</v>
      </c>
      <c r="AA29" s="425">
        <v>4</v>
      </c>
      <c r="AB29" s="425">
        <v>4</v>
      </c>
      <c r="AC29" s="425" t="s">
        <v>69</v>
      </c>
      <c r="AD29" s="425" t="s">
        <v>69</v>
      </c>
      <c r="AE29" s="425" t="s">
        <v>69</v>
      </c>
      <c r="AF29" s="425">
        <v>3</v>
      </c>
      <c r="AG29" s="425" t="s">
        <v>69</v>
      </c>
      <c r="AH29" s="425" t="s">
        <v>69</v>
      </c>
      <c r="AI29" s="425" t="s">
        <v>69</v>
      </c>
      <c r="AJ29" s="425" t="s">
        <v>69</v>
      </c>
      <c r="AK29" s="425" t="s">
        <v>69</v>
      </c>
      <c r="AL29" s="425" t="s">
        <v>69</v>
      </c>
      <c r="AM29" s="425" t="s">
        <v>69</v>
      </c>
      <c r="AN29" s="425">
        <v>3</v>
      </c>
      <c r="AO29" s="425" t="s">
        <v>69</v>
      </c>
      <c r="AP29" s="425" t="s">
        <v>69</v>
      </c>
      <c r="AQ29" s="425" t="s">
        <v>69</v>
      </c>
      <c r="AR29" s="425" t="s">
        <v>69</v>
      </c>
      <c r="AS29" s="425" t="s">
        <v>69</v>
      </c>
      <c r="AT29" s="425" t="s">
        <v>69</v>
      </c>
      <c r="AU29" s="425" t="s">
        <v>69</v>
      </c>
      <c r="AV29" s="425" t="s">
        <v>69</v>
      </c>
      <c r="AW29" s="425" t="s">
        <v>69</v>
      </c>
      <c r="AX29" s="425" t="s">
        <v>69</v>
      </c>
      <c r="AY29" s="425" t="s">
        <v>69</v>
      </c>
      <c r="AZ29" s="425" t="s">
        <v>69</v>
      </c>
      <c r="BA29" s="425" t="s">
        <v>69</v>
      </c>
      <c r="BB29" s="425" t="s">
        <v>69</v>
      </c>
      <c r="BC29" s="425" t="s">
        <v>69</v>
      </c>
      <c r="BD29" s="425">
        <v>2</v>
      </c>
      <c r="BE29" s="425">
        <v>4</v>
      </c>
      <c r="BF29" s="425" t="s">
        <v>69</v>
      </c>
      <c r="BG29" s="425">
        <v>4</v>
      </c>
      <c r="BH29" s="425">
        <v>4</v>
      </c>
      <c r="BI29" s="425" t="s">
        <v>69</v>
      </c>
      <c r="BJ29" s="425" t="s">
        <v>69</v>
      </c>
      <c r="BK29" s="425" t="s">
        <v>69</v>
      </c>
      <c r="BL29" s="425" t="s">
        <v>69</v>
      </c>
      <c r="BM29" s="425" t="s">
        <v>69</v>
      </c>
      <c r="BN29" s="425" t="s">
        <v>69</v>
      </c>
      <c r="BO29" s="425" t="s">
        <v>69</v>
      </c>
      <c r="BP29" s="425" t="s">
        <v>69</v>
      </c>
      <c r="BQ29" s="425" t="s">
        <v>69</v>
      </c>
      <c r="BR29" s="425">
        <v>4</v>
      </c>
      <c r="BS29" s="425" t="s">
        <v>69</v>
      </c>
      <c r="BT29" s="425" t="s">
        <v>69</v>
      </c>
      <c r="BU29" s="425" t="s">
        <v>69</v>
      </c>
      <c r="BV29" s="425" t="s">
        <v>69</v>
      </c>
      <c r="BW29" s="425" t="s">
        <v>69</v>
      </c>
      <c r="BX29" s="425" t="s">
        <v>69</v>
      </c>
      <c r="BY29" s="425" t="s">
        <v>69</v>
      </c>
      <c r="BZ29" s="425" t="s">
        <v>69</v>
      </c>
      <c r="CA29" s="425" t="s">
        <v>69</v>
      </c>
      <c r="CB29" s="425" t="s">
        <v>69</v>
      </c>
      <c r="CC29" s="425" t="s">
        <v>69</v>
      </c>
      <c r="CD29" s="425" t="s">
        <v>69</v>
      </c>
      <c r="CE29" s="425" t="s">
        <v>69</v>
      </c>
      <c r="CF29" s="425" t="s">
        <v>69</v>
      </c>
      <c r="CG29" s="425">
        <v>4</v>
      </c>
      <c r="CH29" s="425" t="s">
        <v>69</v>
      </c>
      <c r="CI29" s="425" t="s">
        <v>69</v>
      </c>
      <c r="CJ29" s="425" t="s">
        <v>69</v>
      </c>
      <c r="CK29" s="425" t="s">
        <v>69</v>
      </c>
      <c r="CL29" s="425" t="s">
        <v>69</v>
      </c>
      <c r="CM29" s="425">
        <v>4</v>
      </c>
      <c r="CN29" s="425">
        <v>4</v>
      </c>
      <c r="CO29" s="425">
        <v>4</v>
      </c>
      <c r="CP29" s="425">
        <v>4</v>
      </c>
      <c r="CQ29" s="425">
        <v>4</v>
      </c>
      <c r="CR29" s="425">
        <v>4</v>
      </c>
      <c r="CS29" s="425">
        <v>4</v>
      </c>
      <c r="CT29" s="425" t="s">
        <v>69</v>
      </c>
      <c r="CU29" s="425">
        <v>4</v>
      </c>
      <c r="CV29" s="425" t="s">
        <v>69</v>
      </c>
      <c r="CW29" s="425" t="s">
        <v>69</v>
      </c>
      <c r="CX29" s="425" t="s">
        <v>69</v>
      </c>
      <c r="CY29" s="425" t="s">
        <v>69</v>
      </c>
      <c r="CZ29" s="425">
        <v>4</v>
      </c>
      <c r="DA29" s="425" t="s">
        <v>69</v>
      </c>
      <c r="DB29" s="425">
        <v>2</v>
      </c>
      <c r="DC29" s="425">
        <v>3</v>
      </c>
      <c r="DD29" s="425" t="s">
        <v>69</v>
      </c>
      <c r="DE29" s="425">
        <v>3</v>
      </c>
      <c r="DF29" s="425" t="s">
        <v>69</v>
      </c>
      <c r="DG29" s="425" t="s">
        <v>69</v>
      </c>
      <c r="DH29" s="425" t="s">
        <v>69</v>
      </c>
      <c r="DI29" s="425" t="s">
        <v>69</v>
      </c>
      <c r="DJ29" s="425" t="s">
        <v>69</v>
      </c>
      <c r="DK29" s="425" t="s">
        <v>69</v>
      </c>
      <c r="DL29" s="425" t="s">
        <v>69</v>
      </c>
      <c r="DM29" s="425">
        <v>4</v>
      </c>
      <c r="DN29" s="425">
        <v>4</v>
      </c>
      <c r="DO29" s="425" t="s">
        <v>69</v>
      </c>
      <c r="DP29" s="425" t="s">
        <v>69</v>
      </c>
      <c r="DQ29" s="425" t="s">
        <v>69</v>
      </c>
      <c r="DR29" s="425" t="s">
        <v>69</v>
      </c>
      <c r="DS29" s="425" t="s">
        <v>69</v>
      </c>
      <c r="DT29" s="425" t="s">
        <v>69</v>
      </c>
      <c r="DU29" s="422" t="s">
        <v>69</v>
      </c>
      <c r="DV29" s="425" t="s">
        <v>69</v>
      </c>
      <c r="DW29" s="425" t="s">
        <v>69</v>
      </c>
      <c r="DX29" s="425">
        <v>4</v>
      </c>
      <c r="DY29" s="423">
        <f t="shared" si="0"/>
        <v>0.42857142857142855</v>
      </c>
      <c r="DZ29" s="424">
        <f t="shared" si="1"/>
        <v>0.92592592592592593</v>
      </c>
      <c r="EA29" s="519"/>
    </row>
    <row r="30" spans="1:131" s="18" customFormat="1" ht="66.599999999999994" thickBot="1">
      <c r="A30" s="420" t="s">
        <v>355</v>
      </c>
      <c r="B30" s="414" t="s">
        <v>356</v>
      </c>
      <c r="C30" s="419">
        <v>44846</v>
      </c>
      <c r="D30" s="418" t="s">
        <v>1183</v>
      </c>
      <c r="E30" s="429" t="s">
        <v>897</v>
      </c>
      <c r="F30" s="425" t="s">
        <v>69</v>
      </c>
      <c r="G30" s="425" t="s">
        <v>69</v>
      </c>
      <c r="H30" s="425" t="s">
        <v>69</v>
      </c>
      <c r="I30" s="425" t="s">
        <v>69</v>
      </c>
      <c r="J30" s="425" t="s">
        <v>69</v>
      </c>
      <c r="K30" s="425" t="s">
        <v>69</v>
      </c>
      <c r="L30" s="425">
        <v>4</v>
      </c>
      <c r="M30" s="425" t="s">
        <v>69</v>
      </c>
      <c r="N30" s="425" t="s">
        <v>69</v>
      </c>
      <c r="O30" s="425" t="s">
        <v>69</v>
      </c>
      <c r="P30" s="425" t="s">
        <v>69</v>
      </c>
      <c r="Q30" s="425" t="s">
        <v>69</v>
      </c>
      <c r="R30" s="425" t="s">
        <v>69</v>
      </c>
      <c r="S30" s="425" t="s">
        <v>69</v>
      </c>
      <c r="T30" s="425" t="s">
        <v>69</v>
      </c>
      <c r="U30" s="425" t="s">
        <v>69</v>
      </c>
      <c r="V30" s="425" t="s">
        <v>69</v>
      </c>
      <c r="W30" s="425" t="s">
        <v>69</v>
      </c>
      <c r="X30" s="425" t="s">
        <v>69</v>
      </c>
      <c r="Y30" s="425" t="s">
        <v>69</v>
      </c>
      <c r="Z30" s="425" t="s">
        <v>69</v>
      </c>
      <c r="AA30" s="425" t="s">
        <v>69</v>
      </c>
      <c r="AB30" s="425" t="s">
        <v>69</v>
      </c>
      <c r="AC30" s="425" t="s">
        <v>69</v>
      </c>
      <c r="AD30" s="425" t="s">
        <v>69</v>
      </c>
      <c r="AE30" s="425" t="s">
        <v>69</v>
      </c>
      <c r="AF30" s="425" t="s">
        <v>69</v>
      </c>
      <c r="AG30" s="425" t="s">
        <v>69</v>
      </c>
      <c r="AH30" s="425" t="s">
        <v>69</v>
      </c>
      <c r="AI30" s="425" t="s">
        <v>69</v>
      </c>
      <c r="AJ30" s="425" t="s">
        <v>69</v>
      </c>
      <c r="AK30" s="425" t="s">
        <v>69</v>
      </c>
      <c r="AL30" s="425" t="s">
        <v>69</v>
      </c>
      <c r="AM30" s="425" t="s">
        <v>69</v>
      </c>
      <c r="AN30" s="425" t="s">
        <v>69</v>
      </c>
      <c r="AO30" s="425" t="s">
        <v>69</v>
      </c>
      <c r="AP30" s="425" t="s">
        <v>69</v>
      </c>
      <c r="AQ30" s="425" t="s">
        <v>69</v>
      </c>
      <c r="AR30" s="425" t="s">
        <v>69</v>
      </c>
      <c r="AS30" s="425" t="s">
        <v>69</v>
      </c>
      <c r="AT30" s="425" t="s">
        <v>69</v>
      </c>
      <c r="AU30" s="425" t="s">
        <v>69</v>
      </c>
      <c r="AV30" s="425" t="s">
        <v>69</v>
      </c>
      <c r="AW30" s="425" t="s">
        <v>69</v>
      </c>
      <c r="AX30" s="425" t="s">
        <v>69</v>
      </c>
      <c r="AY30" s="425" t="s">
        <v>69</v>
      </c>
      <c r="AZ30" s="425" t="s">
        <v>69</v>
      </c>
      <c r="BA30" s="425" t="s">
        <v>69</v>
      </c>
      <c r="BB30" s="425" t="s">
        <v>69</v>
      </c>
      <c r="BC30" s="425" t="s">
        <v>69</v>
      </c>
      <c r="BD30" s="425" t="s">
        <v>69</v>
      </c>
      <c r="BE30" s="425" t="s">
        <v>69</v>
      </c>
      <c r="BF30" s="425">
        <v>4</v>
      </c>
      <c r="BG30" s="425" t="s">
        <v>69</v>
      </c>
      <c r="BH30" s="425" t="s">
        <v>69</v>
      </c>
      <c r="BI30" s="425" t="s">
        <v>69</v>
      </c>
      <c r="BJ30" s="425" t="s">
        <v>69</v>
      </c>
      <c r="BK30" s="425" t="s">
        <v>69</v>
      </c>
      <c r="BL30" s="425" t="s">
        <v>69</v>
      </c>
      <c r="BM30" s="425" t="s">
        <v>69</v>
      </c>
      <c r="BN30" s="425" t="s">
        <v>69</v>
      </c>
      <c r="BO30" s="425" t="s">
        <v>69</v>
      </c>
      <c r="BP30" s="425" t="s">
        <v>69</v>
      </c>
      <c r="BQ30" s="425" t="s">
        <v>69</v>
      </c>
      <c r="BR30" s="425" t="s">
        <v>69</v>
      </c>
      <c r="BS30" s="425" t="s">
        <v>69</v>
      </c>
      <c r="BT30" s="425" t="s">
        <v>69</v>
      </c>
      <c r="BU30" s="425" t="s">
        <v>69</v>
      </c>
      <c r="BV30" s="425" t="s">
        <v>69</v>
      </c>
      <c r="BW30" s="425" t="s">
        <v>69</v>
      </c>
      <c r="BX30" s="425" t="s">
        <v>69</v>
      </c>
      <c r="BY30" s="425" t="s">
        <v>69</v>
      </c>
      <c r="BZ30" s="425" t="s">
        <v>69</v>
      </c>
      <c r="CA30" s="425" t="s">
        <v>69</v>
      </c>
      <c r="CB30" s="425" t="s">
        <v>69</v>
      </c>
      <c r="CC30" s="425" t="s">
        <v>69</v>
      </c>
      <c r="CD30" s="425" t="s">
        <v>69</v>
      </c>
      <c r="CE30" s="425" t="s">
        <v>69</v>
      </c>
      <c r="CF30" s="425" t="s">
        <v>69</v>
      </c>
      <c r="CG30" s="425" t="s">
        <v>69</v>
      </c>
      <c r="CH30" s="425" t="s">
        <v>69</v>
      </c>
      <c r="CI30" s="425" t="s">
        <v>69</v>
      </c>
      <c r="CJ30" s="425" t="s">
        <v>69</v>
      </c>
      <c r="CK30" s="425" t="s">
        <v>69</v>
      </c>
      <c r="CL30" s="425" t="s">
        <v>69</v>
      </c>
      <c r="CM30" s="425">
        <v>4</v>
      </c>
      <c r="CN30" s="425">
        <v>4</v>
      </c>
      <c r="CO30" s="425">
        <v>4</v>
      </c>
      <c r="CP30" s="425">
        <v>4</v>
      </c>
      <c r="CQ30" s="425">
        <v>4</v>
      </c>
      <c r="CR30" s="425" t="s">
        <v>69</v>
      </c>
      <c r="CS30" s="425">
        <v>4</v>
      </c>
      <c r="CT30" s="425" t="s">
        <v>69</v>
      </c>
      <c r="CU30" s="425">
        <v>4</v>
      </c>
      <c r="CV30" s="425" t="s">
        <v>69</v>
      </c>
      <c r="CW30" s="425" t="s">
        <v>69</v>
      </c>
      <c r="CX30" s="425" t="s">
        <v>69</v>
      </c>
      <c r="CY30" s="425" t="s">
        <v>69</v>
      </c>
      <c r="CZ30" s="425">
        <v>4</v>
      </c>
      <c r="DA30" s="425" t="s">
        <v>69</v>
      </c>
      <c r="DB30" s="425" t="s">
        <v>69</v>
      </c>
      <c r="DC30" s="425" t="s">
        <v>69</v>
      </c>
      <c r="DD30" s="425">
        <v>3</v>
      </c>
      <c r="DE30" s="425" t="s">
        <v>69</v>
      </c>
      <c r="DF30" s="425" t="s">
        <v>69</v>
      </c>
      <c r="DG30" s="425" t="s">
        <v>69</v>
      </c>
      <c r="DH30" s="425" t="s">
        <v>69</v>
      </c>
      <c r="DI30" s="425" t="s">
        <v>69</v>
      </c>
      <c r="DJ30" s="425" t="s">
        <v>69</v>
      </c>
      <c r="DK30" s="425" t="s">
        <v>69</v>
      </c>
      <c r="DL30" s="425" t="s">
        <v>69</v>
      </c>
      <c r="DM30" s="425" t="s">
        <v>69</v>
      </c>
      <c r="DN30" s="425" t="s">
        <v>69</v>
      </c>
      <c r="DO30" s="425" t="s">
        <v>69</v>
      </c>
      <c r="DP30" s="425" t="s">
        <v>69</v>
      </c>
      <c r="DQ30" s="425" t="s">
        <v>69</v>
      </c>
      <c r="DR30" s="425" t="s">
        <v>69</v>
      </c>
      <c r="DS30" s="425" t="s">
        <v>69</v>
      </c>
      <c r="DT30" s="425" t="s">
        <v>69</v>
      </c>
      <c r="DU30" s="422" t="s">
        <v>69</v>
      </c>
      <c r="DV30" s="425" t="s">
        <v>69</v>
      </c>
      <c r="DW30" s="425" t="s">
        <v>69</v>
      </c>
      <c r="DX30" s="425">
        <v>4</v>
      </c>
      <c r="DY30" s="423">
        <f t="shared" si="0"/>
        <v>0.19047619047619047</v>
      </c>
      <c r="DZ30" s="424">
        <f t="shared" si="1"/>
        <v>1</v>
      </c>
      <c r="EA30" s="519"/>
    </row>
    <row r="31" spans="1:131" s="18" customFormat="1" ht="66.599999999999994" thickBot="1">
      <c r="A31" s="420" t="s">
        <v>375</v>
      </c>
      <c r="B31" s="414" t="s">
        <v>822</v>
      </c>
      <c r="C31" s="419">
        <v>45265</v>
      </c>
      <c r="D31" s="418" t="s">
        <v>1183</v>
      </c>
      <c r="E31" s="429" t="s">
        <v>897</v>
      </c>
      <c r="F31" s="425">
        <v>4</v>
      </c>
      <c r="G31" s="425" t="s">
        <v>69</v>
      </c>
      <c r="H31" s="425">
        <v>4</v>
      </c>
      <c r="I31" s="425">
        <v>4</v>
      </c>
      <c r="J31" s="425" t="s">
        <v>69</v>
      </c>
      <c r="K31" s="425">
        <v>2</v>
      </c>
      <c r="L31" s="425" t="s">
        <v>69</v>
      </c>
      <c r="M31" s="425" t="s">
        <v>69</v>
      </c>
      <c r="N31" s="425" t="s">
        <v>69</v>
      </c>
      <c r="O31" s="425">
        <v>4</v>
      </c>
      <c r="P31" s="425" t="s">
        <v>69</v>
      </c>
      <c r="Q31" s="425" t="s">
        <v>69</v>
      </c>
      <c r="R31" s="425" t="s">
        <v>69</v>
      </c>
      <c r="S31" s="425" t="s">
        <v>69</v>
      </c>
      <c r="T31" s="425" t="s">
        <v>69</v>
      </c>
      <c r="U31" s="425" t="s">
        <v>69</v>
      </c>
      <c r="V31" s="425" t="s">
        <v>69</v>
      </c>
      <c r="W31" s="425" t="s">
        <v>69</v>
      </c>
      <c r="X31" s="425" t="s">
        <v>69</v>
      </c>
      <c r="Y31" s="425" t="s">
        <v>69</v>
      </c>
      <c r="Z31" s="425" t="s">
        <v>69</v>
      </c>
      <c r="AA31" s="425" t="s">
        <v>69</v>
      </c>
      <c r="AB31" s="425" t="s">
        <v>69</v>
      </c>
      <c r="AC31" s="425" t="s">
        <v>69</v>
      </c>
      <c r="AD31" s="425" t="s">
        <v>69</v>
      </c>
      <c r="AE31" s="425" t="s">
        <v>69</v>
      </c>
      <c r="AF31" s="425" t="s">
        <v>69</v>
      </c>
      <c r="AG31" s="425" t="s">
        <v>69</v>
      </c>
      <c r="AH31" s="425" t="s">
        <v>69</v>
      </c>
      <c r="AI31" s="425" t="s">
        <v>69</v>
      </c>
      <c r="AJ31" s="425" t="s">
        <v>69</v>
      </c>
      <c r="AK31" s="425" t="s">
        <v>69</v>
      </c>
      <c r="AL31" s="425" t="s">
        <v>69</v>
      </c>
      <c r="AM31" s="425" t="s">
        <v>69</v>
      </c>
      <c r="AN31" s="425" t="s">
        <v>69</v>
      </c>
      <c r="AO31" s="425" t="s">
        <v>69</v>
      </c>
      <c r="AP31" s="425" t="s">
        <v>69</v>
      </c>
      <c r="AQ31" s="425" t="s">
        <v>69</v>
      </c>
      <c r="AR31" s="425">
        <v>4</v>
      </c>
      <c r="AS31" s="425">
        <v>4</v>
      </c>
      <c r="AT31" s="425" t="s">
        <v>69</v>
      </c>
      <c r="AU31" s="425">
        <v>3</v>
      </c>
      <c r="AV31" s="425">
        <v>4</v>
      </c>
      <c r="AW31" s="425" t="s">
        <v>69</v>
      </c>
      <c r="AX31" s="425">
        <v>4</v>
      </c>
      <c r="AY31" s="425">
        <v>4</v>
      </c>
      <c r="AZ31" s="425" t="s">
        <v>69</v>
      </c>
      <c r="BA31" s="425" t="s">
        <v>69</v>
      </c>
      <c r="BB31" s="425" t="s">
        <v>69</v>
      </c>
      <c r="BC31" s="425" t="s">
        <v>69</v>
      </c>
      <c r="BD31" s="425">
        <v>3</v>
      </c>
      <c r="BE31" s="425">
        <v>3</v>
      </c>
      <c r="BF31" s="425" t="s">
        <v>69</v>
      </c>
      <c r="BG31" s="425" t="s">
        <v>69</v>
      </c>
      <c r="BH31" s="425" t="s">
        <v>69</v>
      </c>
      <c r="BI31" s="425" t="s">
        <v>69</v>
      </c>
      <c r="BJ31" s="425">
        <v>4</v>
      </c>
      <c r="BK31" s="425" t="s">
        <v>69</v>
      </c>
      <c r="BL31" s="425" t="s">
        <v>69</v>
      </c>
      <c r="BM31" s="425" t="s">
        <v>69</v>
      </c>
      <c r="BN31" s="425" t="s">
        <v>69</v>
      </c>
      <c r="BO31" s="425" t="s">
        <v>69</v>
      </c>
      <c r="BP31" s="425" t="s">
        <v>69</v>
      </c>
      <c r="BQ31" s="425" t="s">
        <v>69</v>
      </c>
      <c r="BR31" s="425">
        <v>4</v>
      </c>
      <c r="BS31" s="425" t="s">
        <v>69</v>
      </c>
      <c r="BT31" s="425" t="s">
        <v>69</v>
      </c>
      <c r="BU31" s="425" t="s">
        <v>69</v>
      </c>
      <c r="BV31" s="425" t="s">
        <v>69</v>
      </c>
      <c r="BW31" s="425" t="s">
        <v>69</v>
      </c>
      <c r="BX31" s="425" t="s">
        <v>69</v>
      </c>
      <c r="BY31" s="425">
        <v>3</v>
      </c>
      <c r="BZ31" s="425" t="s">
        <v>69</v>
      </c>
      <c r="CA31" s="425" t="s">
        <v>69</v>
      </c>
      <c r="CB31" s="425" t="s">
        <v>69</v>
      </c>
      <c r="CC31" s="425" t="s">
        <v>69</v>
      </c>
      <c r="CD31" s="425" t="s">
        <v>69</v>
      </c>
      <c r="CE31" s="425" t="s">
        <v>69</v>
      </c>
      <c r="CF31" s="425" t="s">
        <v>69</v>
      </c>
      <c r="CG31" s="425">
        <v>4</v>
      </c>
      <c r="CH31" s="425" t="s">
        <v>69</v>
      </c>
      <c r="CI31" s="425" t="s">
        <v>69</v>
      </c>
      <c r="CJ31" s="425" t="s">
        <v>69</v>
      </c>
      <c r="CK31" s="425" t="s">
        <v>69</v>
      </c>
      <c r="CL31" s="425" t="s">
        <v>69</v>
      </c>
      <c r="CM31" s="425" t="s">
        <v>69</v>
      </c>
      <c r="CN31" s="425" t="s">
        <v>69</v>
      </c>
      <c r="CO31" s="425" t="s">
        <v>69</v>
      </c>
      <c r="CP31" s="425">
        <v>4</v>
      </c>
      <c r="CQ31" s="425" t="s">
        <v>69</v>
      </c>
      <c r="CR31" s="425" t="s">
        <v>69</v>
      </c>
      <c r="CS31" s="425">
        <v>4</v>
      </c>
      <c r="CT31" s="425">
        <v>4</v>
      </c>
      <c r="CU31" s="425" t="s">
        <v>69</v>
      </c>
      <c r="CV31" s="425" t="s">
        <v>69</v>
      </c>
      <c r="CW31" s="425" t="s">
        <v>69</v>
      </c>
      <c r="CX31" s="425" t="s">
        <v>69</v>
      </c>
      <c r="CY31" s="425" t="s">
        <v>69</v>
      </c>
      <c r="CZ31" s="425">
        <v>4</v>
      </c>
      <c r="DA31" s="425" t="s">
        <v>69</v>
      </c>
      <c r="DB31" s="425" t="s">
        <v>69</v>
      </c>
      <c r="DC31" s="425" t="s">
        <v>69</v>
      </c>
      <c r="DD31" s="425" t="s">
        <v>69</v>
      </c>
      <c r="DE31" s="425" t="s">
        <v>69</v>
      </c>
      <c r="DF31" s="425" t="s">
        <v>69</v>
      </c>
      <c r="DG31" s="425" t="s">
        <v>69</v>
      </c>
      <c r="DH31" s="425" t="s">
        <v>69</v>
      </c>
      <c r="DI31" s="425" t="s">
        <v>69</v>
      </c>
      <c r="DJ31" s="425" t="s">
        <v>69</v>
      </c>
      <c r="DK31" s="425" t="s">
        <v>69</v>
      </c>
      <c r="DL31" s="425">
        <v>3</v>
      </c>
      <c r="DM31" s="425">
        <v>4</v>
      </c>
      <c r="DN31" s="425" t="s">
        <v>69</v>
      </c>
      <c r="DO31" s="425" t="s">
        <v>69</v>
      </c>
      <c r="DP31" s="425" t="s">
        <v>69</v>
      </c>
      <c r="DQ31" s="425" t="s">
        <v>69</v>
      </c>
      <c r="DR31" s="425" t="s">
        <v>69</v>
      </c>
      <c r="DS31" s="425" t="s">
        <v>69</v>
      </c>
      <c r="DT31" s="425" t="s">
        <v>69</v>
      </c>
      <c r="DU31" s="422" t="s">
        <v>69</v>
      </c>
      <c r="DV31" s="425" t="s">
        <v>69</v>
      </c>
      <c r="DW31" s="425" t="s">
        <v>69</v>
      </c>
      <c r="DX31" s="425">
        <v>4</v>
      </c>
      <c r="DY31" s="423">
        <f t="shared" si="0"/>
        <v>0.38095238095238093</v>
      </c>
      <c r="DZ31" s="424">
        <f t="shared" si="1"/>
        <v>0.95833333333333337</v>
      </c>
      <c r="EA31" s="519"/>
    </row>
    <row r="32" spans="1:131" s="18" customFormat="1" ht="66.599999999999994" thickBot="1">
      <c r="A32" s="420" t="s">
        <v>33</v>
      </c>
      <c r="B32" s="414" t="s">
        <v>235</v>
      </c>
      <c r="C32" s="419" t="s">
        <v>625</v>
      </c>
      <c r="D32" s="418" t="s">
        <v>1183</v>
      </c>
      <c r="E32" s="429" t="s">
        <v>897</v>
      </c>
      <c r="F32" s="425">
        <v>4</v>
      </c>
      <c r="G32" s="425" t="s">
        <v>69</v>
      </c>
      <c r="H32" s="425" t="s">
        <v>69</v>
      </c>
      <c r="I32" s="425">
        <v>4</v>
      </c>
      <c r="J32" s="425" t="s">
        <v>69</v>
      </c>
      <c r="K32" s="425" t="s">
        <v>69</v>
      </c>
      <c r="L32" s="425" t="s">
        <v>69</v>
      </c>
      <c r="M32" s="425">
        <v>4</v>
      </c>
      <c r="N32" s="425" t="s">
        <v>69</v>
      </c>
      <c r="O32" s="425" t="s">
        <v>69</v>
      </c>
      <c r="P32" s="425" t="s">
        <v>69</v>
      </c>
      <c r="Q32" s="425">
        <v>3</v>
      </c>
      <c r="R32" s="425" t="s">
        <v>69</v>
      </c>
      <c r="S32" s="425" t="s">
        <v>69</v>
      </c>
      <c r="T32" s="425" t="s">
        <v>69</v>
      </c>
      <c r="U32" s="425" t="s">
        <v>69</v>
      </c>
      <c r="V32" s="425">
        <v>3</v>
      </c>
      <c r="W32" s="425" t="s">
        <v>69</v>
      </c>
      <c r="X32" s="425">
        <v>4</v>
      </c>
      <c r="Y32" s="425">
        <v>4</v>
      </c>
      <c r="Z32" s="425" t="s">
        <v>69</v>
      </c>
      <c r="AA32" s="425">
        <v>4</v>
      </c>
      <c r="AB32" s="425">
        <v>4</v>
      </c>
      <c r="AC32" s="425" t="s">
        <v>69</v>
      </c>
      <c r="AD32" s="425">
        <v>3</v>
      </c>
      <c r="AE32" s="425" t="s">
        <v>69</v>
      </c>
      <c r="AF32" s="425" t="s">
        <v>69</v>
      </c>
      <c r="AG32" s="425" t="s">
        <v>69</v>
      </c>
      <c r="AH32" s="425" t="s">
        <v>69</v>
      </c>
      <c r="AI32" s="425" t="s">
        <v>69</v>
      </c>
      <c r="AJ32" s="425">
        <v>3</v>
      </c>
      <c r="AK32" s="425" t="s">
        <v>69</v>
      </c>
      <c r="AL32" s="425" t="s">
        <v>69</v>
      </c>
      <c r="AM32" s="425" t="s">
        <v>69</v>
      </c>
      <c r="AN32" s="425" t="s">
        <v>69</v>
      </c>
      <c r="AO32" s="425" t="s">
        <v>69</v>
      </c>
      <c r="AP32" s="425">
        <v>4</v>
      </c>
      <c r="AQ32" s="425" t="s">
        <v>69</v>
      </c>
      <c r="AR32" s="425" t="s">
        <v>69</v>
      </c>
      <c r="AS32" s="425" t="s">
        <v>69</v>
      </c>
      <c r="AT32" s="425" t="s">
        <v>69</v>
      </c>
      <c r="AU32" s="425" t="s">
        <v>69</v>
      </c>
      <c r="AV32" s="425" t="s">
        <v>69</v>
      </c>
      <c r="AW32" s="425" t="s">
        <v>69</v>
      </c>
      <c r="AX32" s="425" t="s">
        <v>69</v>
      </c>
      <c r="AY32" s="425" t="s">
        <v>69</v>
      </c>
      <c r="AZ32" s="425" t="s">
        <v>69</v>
      </c>
      <c r="BA32" s="425">
        <v>4</v>
      </c>
      <c r="BB32" s="425" t="s">
        <v>69</v>
      </c>
      <c r="BC32" s="425" t="s">
        <v>69</v>
      </c>
      <c r="BD32" s="425" t="s">
        <v>69</v>
      </c>
      <c r="BE32" s="425">
        <v>4</v>
      </c>
      <c r="BF32" s="425" t="s">
        <v>69</v>
      </c>
      <c r="BG32" s="425" t="s">
        <v>69</v>
      </c>
      <c r="BH32" s="425" t="s">
        <v>69</v>
      </c>
      <c r="BI32" s="425" t="s">
        <v>69</v>
      </c>
      <c r="BJ32" s="425" t="s">
        <v>69</v>
      </c>
      <c r="BK32" s="425" t="s">
        <v>69</v>
      </c>
      <c r="BL32" s="425" t="s">
        <v>69</v>
      </c>
      <c r="BM32" s="425" t="s">
        <v>69</v>
      </c>
      <c r="BN32" s="425" t="s">
        <v>69</v>
      </c>
      <c r="BO32" s="425" t="s">
        <v>69</v>
      </c>
      <c r="BP32" s="425" t="s">
        <v>69</v>
      </c>
      <c r="BQ32" s="425">
        <v>4</v>
      </c>
      <c r="BR32" s="425">
        <v>4</v>
      </c>
      <c r="BS32" s="425" t="s">
        <v>69</v>
      </c>
      <c r="BT32" s="425" t="s">
        <v>69</v>
      </c>
      <c r="BU32" s="425" t="s">
        <v>69</v>
      </c>
      <c r="BV32" s="425" t="s">
        <v>69</v>
      </c>
      <c r="BW32" s="425" t="s">
        <v>69</v>
      </c>
      <c r="BX32" s="425" t="s">
        <v>69</v>
      </c>
      <c r="BY32" s="425" t="s">
        <v>69</v>
      </c>
      <c r="BZ32" s="425">
        <v>4</v>
      </c>
      <c r="CA32" s="425">
        <v>4</v>
      </c>
      <c r="CB32" s="425" t="s">
        <v>69</v>
      </c>
      <c r="CC32" s="425" t="s">
        <v>69</v>
      </c>
      <c r="CD32" s="425" t="s">
        <v>69</v>
      </c>
      <c r="CE32" s="425" t="s">
        <v>69</v>
      </c>
      <c r="CF32" s="425" t="s">
        <v>69</v>
      </c>
      <c r="CG32" s="425">
        <v>4</v>
      </c>
      <c r="CH32" s="425" t="s">
        <v>69</v>
      </c>
      <c r="CI32" s="425" t="s">
        <v>69</v>
      </c>
      <c r="CJ32" s="425" t="s">
        <v>69</v>
      </c>
      <c r="CK32" s="425" t="s">
        <v>69</v>
      </c>
      <c r="CL32" s="425" t="s">
        <v>69</v>
      </c>
      <c r="CM32" s="425">
        <v>4</v>
      </c>
      <c r="CN32" s="425">
        <v>4</v>
      </c>
      <c r="CO32" s="425">
        <v>4</v>
      </c>
      <c r="CP32" s="425">
        <v>4</v>
      </c>
      <c r="CQ32" s="425" t="s">
        <v>69</v>
      </c>
      <c r="CR32" s="425" t="s">
        <v>69</v>
      </c>
      <c r="CS32" s="425">
        <v>4</v>
      </c>
      <c r="CT32" s="425" t="s">
        <v>69</v>
      </c>
      <c r="CU32" s="425" t="s">
        <v>69</v>
      </c>
      <c r="CV32" s="425" t="s">
        <v>69</v>
      </c>
      <c r="CW32" s="425" t="s">
        <v>69</v>
      </c>
      <c r="CX32" s="425" t="s">
        <v>69</v>
      </c>
      <c r="CY32" s="425" t="s">
        <v>69</v>
      </c>
      <c r="CZ32" s="425" t="s">
        <v>69</v>
      </c>
      <c r="DA32" s="425" t="s">
        <v>69</v>
      </c>
      <c r="DB32" s="425">
        <v>2</v>
      </c>
      <c r="DC32" s="425" t="s">
        <v>69</v>
      </c>
      <c r="DD32" s="425" t="s">
        <v>69</v>
      </c>
      <c r="DE32" s="425" t="s">
        <v>69</v>
      </c>
      <c r="DF32" s="425" t="s">
        <v>69</v>
      </c>
      <c r="DG32" s="425" t="s">
        <v>69</v>
      </c>
      <c r="DH32" s="425">
        <v>2</v>
      </c>
      <c r="DI32" s="425" t="s">
        <v>69</v>
      </c>
      <c r="DJ32" s="425" t="s">
        <v>69</v>
      </c>
      <c r="DK32" s="425" t="s">
        <v>69</v>
      </c>
      <c r="DL32" s="425" t="s">
        <v>69</v>
      </c>
      <c r="DM32" s="425">
        <v>3</v>
      </c>
      <c r="DN32" s="425" t="s">
        <v>69</v>
      </c>
      <c r="DO32" s="425" t="s">
        <v>69</v>
      </c>
      <c r="DP32" s="425" t="s">
        <v>69</v>
      </c>
      <c r="DQ32" s="425" t="s">
        <v>69</v>
      </c>
      <c r="DR32" s="425" t="s">
        <v>69</v>
      </c>
      <c r="DS32" s="425" t="s">
        <v>69</v>
      </c>
      <c r="DT32" s="425">
        <v>2</v>
      </c>
      <c r="DU32" s="422" t="s">
        <v>69</v>
      </c>
      <c r="DV32" s="425" t="s">
        <v>69</v>
      </c>
      <c r="DW32" s="425">
        <v>3</v>
      </c>
      <c r="DX32" s="425">
        <v>4</v>
      </c>
      <c r="DY32" s="423">
        <f t="shared" si="0"/>
        <v>0.47619047619047616</v>
      </c>
      <c r="DZ32" s="424">
        <f t="shared" si="1"/>
        <v>0.9</v>
      </c>
      <c r="EA32" s="519"/>
    </row>
    <row r="33" spans="1:131" s="18" customFormat="1" ht="66.599999999999994" thickBot="1">
      <c r="A33" s="420" t="s">
        <v>415</v>
      </c>
      <c r="B33" s="414" t="s">
        <v>416</v>
      </c>
      <c r="C33" s="419">
        <v>45024</v>
      </c>
      <c r="D33" s="418" t="s">
        <v>1183</v>
      </c>
      <c r="E33" s="429" t="s">
        <v>897</v>
      </c>
      <c r="F33" s="425">
        <v>4</v>
      </c>
      <c r="G33" s="425">
        <v>4</v>
      </c>
      <c r="H33" s="425">
        <v>4</v>
      </c>
      <c r="I33" s="425" t="s">
        <v>69</v>
      </c>
      <c r="J33" s="425" t="s">
        <v>69</v>
      </c>
      <c r="K33" s="425" t="s">
        <v>69</v>
      </c>
      <c r="L33" s="425">
        <v>3</v>
      </c>
      <c r="M33" s="425">
        <v>4</v>
      </c>
      <c r="N33" s="425">
        <v>4</v>
      </c>
      <c r="O33" s="425">
        <v>3</v>
      </c>
      <c r="P33" s="425" t="s">
        <v>69</v>
      </c>
      <c r="Q33" s="425" t="s">
        <v>69</v>
      </c>
      <c r="R33" s="425" t="s">
        <v>69</v>
      </c>
      <c r="S33" s="425">
        <v>4</v>
      </c>
      <c r="T33" s="425">
        <v>4</v>
      </c>
      <c r="U33" s="425">
        <v>4</v>
      </c>
      <c r="V33" s="425" t="s">
        <v>69</v>
      </c>
      <c r="W33" s="425" t="s">
        <v>69</v>
      </c>
      <c r="X33" s="425" t="s">
        <v>69</v>
      </c>
      <c r="Y33" s="425" t="s">
        <v>69</v>
      </c>
      <c r="Z33" s="425" t="s">
        <v>69</v>
      </c>
      <c r="AA33" s="425" t="s">
        <v>69</v>
      </c>
      <c r="AB33" s="425" t="s">
        <v>69</v>
      </c>
      <c r="AC33" s="425">
        <v>4</v>
      </c>
      <c r="AD33" s="425" t="s">
        <v>69</v>
      </c>
      <c r="AE33" s="425" t="s">
        <v>69</v>
      </c>
      <c r="AF33" s="425" t="s">
        <v>69</v>
      </c>
      <c r="AG33" s="425" t="s">
        <v>69</v>
      </c>
      <c r="AH33" s="425" t="s">
        <v>69</v>
      </c>
      <c r="AI33" s="425" t="s">
        <v>69</v>
      </c>
      <c r="AJ33" s="425" t="s">
        <v>69</v>
      </c>
      <c r="AK33" s="425" t="s">
        <v>69</v>
      </c>
      <c r="AL33" s="425" t="s">
        <v>69</v>
      </c>
      <c r="AM33" s="425" t="s">
        <v>69</v>
      </c>
      <c r="AN33" s="425" t="s">
        <v>69</v>
      </c>
      <c r="AO33" s="425" t="s">
        <v>69</v>
      </c>
      <c r="AP33" s="425">
        <v>3</v>
      </c>
      <c r="AQ33" s="425" t="s">
        <v>69</v>
      </c>
      <c r="AR33" s="425" t="s">
        <v>69</v>
      </c>
      <c r="AS33" s="425" t="s">
        <v>69</v>
      </c>
      <c r="AT33" s="425" t="s">
        <v>69</v>
      </c>
      <c r="AU33" s="425" t="s">
        <v>69</v>
      </c>
      <c r="AV33" s="425" t="s">
        <v>69</v>
      </c>
      <c r="AW33" s="425" t="s">
        <v>69</v>
      </c>
      <c r="AX33" s="425" t="s">
        <v>69</v>
      </c>
      <c r="AY33" s="425" t="s">
        <v>69</v>
      </c>
      <c r="AZ33" s="425" t="s">
        <v>69</v>
      </c>
      <c r="BA33" s="425" t="s">
        <v>69</v>
      </c>
      <c r="BB33" s="425" t="s">
        <v>69</v>
      </c>
      <c r="BC33" s="425">
        <v>4</v>
      </c>
      <c r="BD33" s="425" t="s">
        <v>69</v>
      </c>
      <c r="BE33" s="425" t="s">
        <v>69</v>
      </c>
      <c r="BF33" s="425">
        <v>4</v>
      </c>
      <c r="BG33" s="425" t="s">
        <v>69</v>
      </c>
      <c r="BH33" s="425" t="s">
        <v>69</v>
      </c>
      <c r="BI33" s="425" t="s">
        <v>69</v>
      </c>
      <c r="BJ33" s="425" t="s">
        <v>69</v>
      </c>
      <c r="BK33" s="425" t="s">
        <v>69</v>
      </c>
      <c r="BL33" s="425" t="s">
        <v>69</v>
      </c>
      <c r="BM33" s="425" t="s">
        <v>69</v>
      </c>
      <c r="BN33" s="425">
        <v>4</v>
      </c>
      <c r="BO33" s="425" t="s">
        <v>69</v>
      </c>
      <c r="BP33" s="425">
        <v>3</v>
      </c>
      <c r="BQ33" s="425">
        <v>4</v>
      </c>
      <c r="BR33" s="425">
        <v>4</v>
      </c>
      <c r="BS33" s="425" t="s">
        <v>69</v>
      </c>
      <c r="BT33" s="425" t="s">
        <v>69</v>
      </c>
      <c r="BU33" s="425" t="s">
        <v>69</v>
      </c>
      <c r="BV33" s="425" t="s">
        <v>69</v>
      </c>
      <c r="BW33" s="425" t="s">
        <v>69</v>
      </c>
      <c r="BX33" s="425" t="s">
        <v>69</v>
      </c>
      <c r="BY33" s="425" t="s">
        <v>69</v>
      </c>
      <c r="BZ33" s="425" t="s">
        <v>69</v>
      </c>
      <c r="CA33" s="425" t="s">
        <v>69</v>
      </c>
      <c r="CB33" s="425" t="s">
        <v>69</v>
      </c>
      <c r="CC33" s="425" t="s">
        <v>69</v>
      </c>
      <c r="CD33" s="425" t="s">
        <v>69</v>
      </c>
      <c r="CE33" s="425" t="s">
        <v>69</v>
      </c>
      <c r="CF33" s="425" t="s">
        <v>69</v>
      </c>
      <c r="CG33" s="425" t="s">
        <v>69</v>
      </c>
      <c r="CH33" s="425" t="s">
        <v>69</v>
      </c>
      <c r="CI33" s="425" t="s">
        <v>69</v>
      </c>
      <c r="CJ33" s="425" t="s">
        <v>69</v>
      </c>
      <c r="CK33" s="425" t="s">
        <v>69</v>
      </c>
      <c r="CL33" s="425" t="s">
        <v>69</v>
      </c>
      <c r="CM33" s="425" t="s">
        <v>69</v>
      </c>
      <c r="CN33" s="425" t="s">
        <v>69</v>
      </c>
      <c r="CO33" s="425" t="s">
        <v>69</v>
      </c>
      <c r="CP33" s="425">
        <v>3</v>
      </c>
      <c r="CQ33" s="425">
        <v>3</v>
      </c>
      <c r="CR33" s="425" t="s">
        <v>69</v>
      </c>
      <c r="CS33" s="425" t="s">
        <v>69</v>
      </c>
      <c r="CT33" s="425">
        <v>4</v>
      </c>
      <c r="CU33" s="425" t="s">
        <v>69</v>
      </c>
      <c r="CV33" s="425" t="s">
        <v>69</v>
      </c>
      <c r="CW33" s="425" t="s">
        <v>69</v>
      </c>
      <c r="CX33" s="425" t="s">
        <v>69</v>
      </c>
      <c r="CY33" s="425" t="s">
        <v>69</v>
      </c>
      <c r="CZ33" s="425" t="s">
        <v>69</v>
      </c>
      <c r="DA33" s="425" t="s">
        <v>69</v>
      </c>
      <c r="DB33" s="425" t="s">
        <v>69</v>
      </c>
      <c r="DC33" s="425" t="s">
        <v>69</v>
      </c>
      <c r="DD33" s="425" t="s">
        <v>69</v>
      </c>
      <c r="DE33" s="425" t="s">
        <v>69</v>
      </c>
      <c r="DF33" s="425" t="s">
        <v>69</v>
      </c>
      <c r="DG33" s="425">
        <v>4</v>
      </c>
      <c r="DH33" s="425" t="s">
        <v>69</v>
      </c>
      <c r="DI33" s="425" t="s">
        <v>69</v>
      </c>
      <c r="DJ33" s="425" t="s">
        <v>69</v>
      </c>
      <c r="DK33" s="425" t="s">
        <v>69</v>
      </c>
      <c r="DL33" s="425" t="s">
        <v>69</v>
      </c>
      <c r="DM33" s="425">
        <v>2</v>
      </c>
      <c r="DN33" s="425">
        <v>4</v>
      </c>
      <c r="DO33" s="425" t="s">
        <v>69</v>
      </c>
      <c r="DP33" s="425" t="s">
        <v>69</v>
      </c>
      <c r="DQ33" s="425" t="s">
        <v>69</v>
      </c>
      <c r="DR33" s="425" t="s">
        <v>69</v>
      </c>
      <c r="DS33" s="425" t="s">
        <v>69</v>
      </c>
      <c r="DT33" s="425" t="s">
        <v>69</v>
      </c>
      <c r="DU33" s="422" t="s">
        <v>69</v>
      </c>
      <c r="DV33" s="425" t="s">
        <v>69</v>
      </c>
      <c r="DW33" s="425" t="s">
        <v>69</v>
      </c>
      <c r="DX33" s="425">
        <v>4</v>
      </c>
      <c r="DY33" s="423">
        <f t="shared" si="0"/>
        <v>0.3968253968253968</v>
      </c>
      <c r="DZ33" s="424">
        <f t="shared" si="1"/>
        <v>0.96</v>
      </c>
      <c r="EA33" s="519"/>
    </row>
    <row r="34" spans="1:131" s="18" customFormat="1" ht="66.599999999999994" thickBot="1">
      <c r="A34" s="420" t="s">
        <v>417</v>
      </c>
      <c r="B34" s="414" t="s">
        <v>418</v>
      </c>
      <c r="C34" s="419">
        <v>44938</v>
      </c>
      <c r="D34" s="418" t="s">
        <v>1183</v>
      </c>
      <c r="E34" s="429" t="s">
        <v>898</v>
      </c>
      <c r="F34" s="425" t="s">
        <v>69</v>
      </c>
      <c r="G34" s="425" t="s">
        <v>69</v>
      </c>
      <c r="H34" s="425" t="s">
        <v>69</v>
      </c>
      <c r="I34" s="425" t="s">
        <v>69</v>
      </c>
      <c r="J34" s="425" t="s">
        <v>69</v>
      </c>
      <c r="K34" s="425" t="s">
        <v>69</v>
      </c>
      <c r="L34" s="425" t="s">
        <v>69</v>
      </c>
      <c r="M34" s="425" t="s">
        <v>69</v>
      </c>
      <c r="N34" s="425" t="s">
        <v>69</v>
      </c>
      <c r="O34" s="425">
        <v>3</v>
      </c>
      <c r="P34" s="425" t="s">
        <v>69</v>
      </c>
      <c r="Q34" s="425" t="s">
        <v>69</v>
      </c>
      <c r="R34" s="425" t="s">
        <v>69</v>
      </c>
      <c r="S34" s="425" t="s">
        <v>69</v>
      </c>
      <c r="T34" s="425" t="s">
        <v>69</v>
      </c>
      <c r="U34" s="425" t="s">
        <v>69</v>
      </c>
      <c r="V34" s="425" t="s">
        <v>69</v>
      </c>
      <c r="W34" s="425" t="s">
        <v>69</v>
      </c>
      <c r="X34" s="425" t="s">
        <v>69</v>
      </c>
      <c r="Y34" s="425" t="s">
        <v>69</v>
      </c>
      <c r="Z34" s="425" t="s">
        <v>69</v>
      </c>
      <c r="AA34" s="425" t="s">
        <v>69</v>
      </c>
      <c r="AB34" s="425" t="s">
        <v>69</v>
      </c>
      <c r="AC34" s="425">
        <v>3</v>
      </c>
      <c r="AD34" s="425" t="s">
        <v>69</v>
      </c>
      <c r="AE34" s="425" t="s">
        <v>69</v>
      </c>
      <c r="AF34" s="425">
        <v>4</v>
      </c>
      <c r="AG34" s="425">
        <v>4</v>
      </c>
      <c r="AH34" s="425" t="s">
        <v>69</v>
      </c>
      <c r="AI34" s="425" t="s">
        <v>69</v>
      </c>
      <c r="AJ34" s="425" t="s">
        <v>69</v>
      </c>
      <c r="AK34" s="425" t="s">
        <v>69</v>
      </c>
      <c r="AL34" s="425">
        <v>3</v>
      </c>
      <c r="AM34" s="425">
        <v>4</v>
      </c>
      <c r="AN34" s="425">
        <v>4</v>
      </c>
      <c r="AO34" s="425">
        <v>4</v>
      </c>
      <c r="AP34" s="425">
        <v>4</v>
      </c>
      <c r="AQ34" s="425">
        <v>4</v>
      </c>
      <c r="AR34" s="425" t="s">
        <v>69</v>
      </c>
      <c r="AS34" s="425" t="s">
        <v>69</v>
      </c>
      <c r="AT34" s="425" t="s">
        <v>69</v>
      </c>
      <c r="AU34" s="425" t="s">
        <v>69</v>
      </c>
      <c r="AV34" s="425" t="s">
        <v>69</v>
      </c>
      <c r="AW34" s="425">
        <v>3</v>
      </c>
      <c r="AX34" s="425" t="s">
        <v>69</v>
      </c>
      <c r="AY34" s="425" t="s">
        <v>69</v>
      </c>
      <c r="AZ34" s="425" t="s">
        <v>69</v>
      </c>
      <c r="BA34" s="425" t="s">
        <v>69</v>
      </c>
      <c r="BB34" s="425" t="s">
        <v>69</v>
      </c>
      <c r="BC34" s="425" t="s">
        <v>69</v>
      </c>
      <c r="BD34" s="425" t="s">
        <v>69</v>
      </c>
      <c r="BE34" s="425" t="s">
        <v>69</v>
      </c>
      <c r="BF34" s="425" t="s">
        <v>69</v>
      </c>
      <c r="BG34" s="425" t="s">
        <v>69</v>
      </c>
      <c r="BH34" s="425" t="s">
        <v>69</v>
      </c>
      <c r="BI34" s="425" t="s">
        <v>69</v>
      </c>
      <c r="BJ34" s="425">
        <v>4</v>
      </c>
      <c r="BK34" s="425">
        <v>2</v>
      </c>
      <c r="BL34" s="425" t="s">
        <v>69</v>
      </c>
      <c r="BM34" s="425" t="s">
        <v>69</v>
      </c>
      <c r="BN34" s="425" t="s">
        <v>69</v>
      </c>
      <c r="BO34" s="425" t="s">
        <v>69</v>
      </c>
      <c r="BP34" s="425" t="s">
        <v>69</v>
      </c>
      <c r="BQ34" s="425" t="s">
        <v>69</v>
      </c>
      <c r="BR34" s="425">
        <v>4</v>
      </c>
      <c r="BS34" s="425" t="s">
        <v>69</v>
      </c>
      <c r="BT34" s="425" t="s">
        <v>69</v>
      </c>
      <c r="BU34" s="425" t="s">
        <v>69</v>
      </c>
      <c r="BV34" s="425" t="s">
        <v>69</v>
      </c>
      <c r="BW34" s="425" t="s">
        <v>69</v>
      </c>
      <c r="BX34" s="425" t="s">
        <v>69</v>
      </c>
      <c r="BY34" s="425" t="s">
        <v>69</v>
      </c>
      <c r="BZ34" s="425" t="s">
        <v>69</v>
      </c>
      <c r="CA34" s="425" t="s">
        <v>69</v>
      </c>
      <c r="CB34" s="425" t="s">
        <v>69</v>
      </c>
      <c r="CC34" s="425" t="s">
        <v>69</v>
      </c>
      <c r="CD34" s="425" t="s">
        <v>69</v>
      </c>
      <c r="CE34" s="425" t="s">
        <v>69</v>
      </c>
      <c r="CF34" s="425" t="s">
        <v>69</v>
      </c>
      <c r="CG34" s="425" t="s">
        <v>69</v>
      </c>
      <c r="CH34" s="425" t="s">
        <v>69</v>
      </c>
      <c r="CI34" s="425" t="s">
        <v>69</v>
      </c>
      <c r="CJ34" s="425" t="s">
        <v>69</v>
      </c>
      <c r="CK34" s="425" t="s">
        <v>69</v>
      </c>
      <c r="CL34" s="425" t="s">
        <v>69</v>
      </c>
      <c r="CM34" s="425" t="s">
        <v>69</v>
      </c>
      <c r="CN34" s="425" t="s">
        <v>69</v>
      </c>
      <c r="CO34" s="425" t="s">
        <v>69</v>
      </c>
      <c r="CP34" s="425" t="s">
        <v>69</v>
      </c>
      <c r="CQ34" s="425" t="s">
        <v>69</v>
      </c>
      <c r="CR34" s="425" t="s">
        <v>69</v>
      </c>
      <c r="CS34" s="425" t="s">
        <v>69</v>
      </c>
      <c r="CT34" s="425">
        <v>3</v>
      </c>
      <c r="CU34" s="425" t="s">
        <v>69</v>
      </c>
      <c r="CV34" s="425">
        <v>3</v>
      </c>
      <c r="CW34" s="425">
        <v>2</v>
      </c>
      <c r="CX34" s="425">
        <v>3</v>
      </c>
      <c r="CY34" s="425">
        <v>2</v>
      </c>
      <c r="CZ34" s="425" t="s">
        <v>69</v>
      </c>
      <c r="DA34" s="425">
        <v>3</v>
      </c>
      <c r="DB34" s="425">
        <v>3</v>
      </c>
      <c r="DC34" s="425">
        <v>4</v>
      </c>
      <c r="DD34" s="425">
        <v>4</v>
      </c>
      <c r="DE34" s="425">
        <v>3</v>
      </c>
      <c r="DF34" s="425">
        <v>4</v>
      </c>
      <c r="DG34" s="425" t="s">
        <v>69</v>
      </c>
      <c r="DH34" s="425">
        <v>4</v>
      </c>
      <c r="DI34" s="425" t="s">
        <v>69</v>
      </c>
      <c r="DJ34" s="425">
        <v>3</v>
      </c>
      <c r="DK34" s="425" t="s">
        <v>69</v>
      </c>
      <c r="DL34" s="425" t="s">
        <v>69</v>
      </c>
      <c r="DM34" s="425" t="s">
        <v>69</v>
      </c>
      <c r="DN34" s="425" t="s">
        <v>69</v>
      </c>
      <c r="DO34" s="425" t="s">
        <v>69</v>
      </c>
      <c r="DP34" s="425" t="s">
        <v>69</v>
      </c>
      <c r="DQ34" s="425" t="s">
        <v>69</v>
      </c>
      <c r="DR34" s="425" t="s">
        <v>69</v>
      </c>
      <c r="DS34" s="425" t="s">
        <v>69</v>
      </c>
      <c r="DT34" s="425" t="s">
        <v>69</v>
      </c>
      <c r="DU34" s="422" t="s">
        <v>69</v>
      </c>
      <c r="DV34" s="425" t="s">
        <v>69</v>
      </c>
      <c r="DW34" s="425" t="s">
        <v>69</v>
      </c>
      <c r="DX34" s="425">
        <v>4</v>
      </c>
      <c r="DY34" s="423">
        <f t="shared" si="0"/>
        <v>0.44444444444444442</v>
      </c>
      <c r="DZ34" s="424">
        <f t="shared" si="1"/>
        <v>0.8928571428571429</v>
      </c>
      <c r="EA34" s="519"/>
    </row>
    <row r="35" spans="1:131" s="18" customFormat="1" ht="66.599999999999994" thickBot="1">
      <c r="A35" s="420" t="s">
        <v>419</v>
      </c>
      <c r="B35" s="414" t="s">
        <v>420</v>
      </c>
      <c r="C35" s="419">
        <v>44938</v>
      </c>
      <c r="D35" s="418" t="s">
        <v>1183</v>
      </c>
      <c r="E35" s="429" t="s">
        <v>898</v>
      </c>
      <c r="F35" s="425" t="s">
        <v>69</v>
      </c>
      <c r="G35" s="425" t="s">
        <v>69</v>
      </c>
      <c r="H35" s="425" t="s">
        <v>69</v>
      </c>
      <c r="I35" s="425" t="s">
        <v>69</v>
      </c>
      <c r="J35" s="425" t="s">
        <v>69</v>
      </c>
      <c r="K35" s="425" t="s">
        <v>69</v>
      </c>
      <c r="L35" s="425" t="s">
        <v>69</v>
      </c>
      <c r="M35" s="425" t="s">
        <v>69</v>
      </c>
      <c r="N35" s="425" t="s">
        <v>69</v>
      </c>
      <c r="O35" s="425" t="s">
        <v>69</v>
      </c>
      <c r="P35" s="425" t="s">
        <v>69</v>
      </c>
      <c r="Q35" s="425" t="s">
        <v>69</v>
      </c>
      <c r="R35" s="425" t="s">
        <v>69</v>
      </c>
      <c r="S35" s="425" t="s">
        <v>69</v>
      </c>
      <c r="T35" s="425" t="s">
        <v>69</v>
      </c>
      <c r="U35" s="425" t="s">
        <v>69</v>
      </c>
      <c r="V35" s="425" t="s">
        <v>69</v>
      </c>
      <c r="W35" s="425" t="s">
        <v>69</v>
      </c>
      <c r="X35" s="425" t="s">
        <v>69</v>
      </c>
      <c r="Y35" s="425" t="s">
        <v>69</v>
      </c>
      <c r="Z35" s="425" t="s">
        <v>69</v>
      </c>
      <c r="AA35" s="425" t="s">
        <v>69</v>
      </c>
      <c r="AB35" s="425" t="s">
        <v>69</v>
      </c>
      <c r="AC35" s="425" t="s">
        <v>69</v>
      </c>
      <c r="AD35" s="425">
        <v>4</v>
      </c>
      <c r="AE35" s="425" t="s">
        <v>69</v>
      </c>
      <c r="AF35" s="425" t="s">
        <v>69</v>
      </c>
      <c r="AG35" s="425" t="s">
        <v>69</v>
      </c>
      <c r="AH35" s="425" t="s">
        <v>69</v>
      </c>
      <c r="AI35" s="425">
        <v>4</v>
      </c>
      <c r="AJ35" s="425" t="s">
        <v>69</v>
      </c>
      <c r="AK35" s="425" t="s">
        <v>69</v>
      </c>
      <c r="AL35" s="425">
        <v>4</v>
      </c>
      <c r="AM35" s="425">
        <v>4</v>
      </c>
      <c r="AN35" s="425">
        <v>4</v>
      </c>
      <c r="AO35" s="425">
        <v>4</v>
      </c>
      <c r="AP35" s="425" t="s">
        <v>69</v>
      </c>
      <c r="AQ35" s="425" t="s">
        <v>69</v>
      </c>
      <c r="AR35" s="425" t="s">
        <v>69</v>
      </c>
      <c r="AS35" s="425" t="s">
        <v>69</v>
      </c>
      <c r="AT35" s="425" t="s">
        <v>69</v>
      </c>
      <c r="AU35" s="425">
        <v>4</v>
      </c>
      <c r="AV35" s="425" t="s">
        <v>69</v>
      </c>
      <c r="AW35" s="425">
        <v>4</v>
      </c>
      <c r="AX35" s="425" t="s">
        <v>69</v>
      </c>
      <c r="AY35" s="425" t="s">
        <v>69</v>
      </c>
      <c r="AZ35" s="425" t="s">
        <v>69</v>
      </c>
      <c r="BA35" s="425" t="s">
        <v>69</v>
      </c>
      <c r="BB35" s="425" t="s">
        <v>69</v>
      </c>
      <c r="BC35" s="425" t="s">
        <v>69</v>
      </c>
      <c r="BD35" s="425" t="s">
        <v>69</v>
      </c>
      <c r="BE35" s="425" t="s">
        <v>69</v>
      </c>
      <c r="BF35" s="425" t="s">
        <v>69</v>
      </c>
      <c r="BG35" s="425" t="s">
        <v>69</v>
      </c>
      <c r="BH35" s="425" t="s">
        <v>69</v>
      </c>
      <c r="BI35" s="425" t="s">
        <v>69</v>
      </c>
      <c r="BJ35" s="425" t="s">
        <v>69</v>
      </c>
      <c r="BK35" s="425" t="s">
        <v>69</v>
      </c>
      <c r="BL35" s="425" t="s">
        <v>69</v>
      </c>
      <c r="BM35" s="425" t="s">
        <v>69</v>
      </c>
      <c r="BN35" s="425" t="s">
        <v>69</v>
      </c>
      <c r="BO35" s="425" t="s">
        <v>69</v>
      </c>
      <c r="BP35" s="425" t="s">
        <v>69</v>
      </c>
      <c r="BQ35" s="425" t="s">
        <v>69</v>
      </c>
      <c r="BR35" s="425" t="s">
        <v>69</v>
      </c>
      <c r="BS35" s="425" t="s">
        <v>69</v>
      </c>
      <c r="BT35" s="425" t="s">
        <v>69</v>
      </c>
      <c r="BU35" s="425" t="s">
        <v>69</v>
      </c>
      <c r="BV35" s="425" t="s">
        <v>69</v>
      </c>
      <c r="BW35" s="425" t="s">
        <v>69</v>
      </c>
      <c r="BX35" s="425" t="s">
        <v>69</v>
      </c>
      <c r="BY35" s="425" t="s">
        <v>69</v>
      </c>
      <c r="BZ35" s="425" t="s">
        <v>69</v>
      </c>
      <c r="CA35" s="425" t="s">
        <v>69</v>
      </c>
      <c r="CB35" s="425" t="s">
        <v>69</v>
      </c>
      <c r="CC35" s="425" t="s">
        <v>69</v>
      </c>
      <c r="CD35" s="425" t="s">
        <v>69</v>
      </c>
      <c r="CE35" s="425" t="s">
        <v>69</v>
      </c>
      <c r="CF35" s="425" t="s">
        <v>69</v>
      </c>
      <c r="CG35" s="425">
        <v>4</v>
      </c>
      <c r="CH35" s="425" t="s">
        <v>69</v>
      </c>
      <c r="CI35" s="425" t="s">
        <v>69</v>
      </c>
      <c r="CJ35" s="425" t="s">
        <v>69</v>
      </c>
      <c r="CK35" s="425" t="s">
        <v>69</v>
      </c>
      <c r="CL35" s="425" t="s">
        <v>69</v>
      </c>
      <c r="CM35" s="425" t="s">
        <v>69</v>
      </c>
      <c r="CN35" s="425" t="s">
        <v>69</v>
      </c>
      <c r="CO35" s="425">
        <v>3</v>
      </c>
      <c r="CP35" s="425" t="s">
        <v>69</v>
      </c>
      <c r="CQ35" s="425">
        <v>3</v>
      </c>
      <c r="CR35" s="425" t="s">
        <v>69</v>
      </c>
      <c r="CS35" s="425" t="s">
        <v>69</v>
      </c>
      <c r="CT35" s="425" t="s">
        <v>69</v>
      </c>
      <c r="CU35" s="425" t="s">
        <v>69</v>
      </c>
      <c r="CV35" s="425" t="s">
        <v>69</v>
      </c>
      <c r="CW35" s="425" t="s">
        <v>69</v>
      </c>
      <c r="CX35" s="425" t="s">
        <v>69</v>
      </c>
      <c r="CY35" s="425" t="s">
        <v>69</v>
      </c>
      <c r="CZ35" s="425" t="s">
        <v>69</v>
      </c>
      <c r="DA35" s="425" t="s">
        <v>69</v>
      </c>
      <c r="DB35" s="425" t="s">
        <v>69</v>
      </c>
      <c r="DC35" s="425">
        <v>4</v>
      </c>
      <c r="DD35" s="425">
        <v>4</v>
      </c>
      <c r="DE35" s="425">
        <v>4</v>
      </c>
      <c r="DF35" s="425">
        <v>4</v>
      </c>
      <c r="DG35" s="425">
        <v>4</v>
      </c>
      <c r="DH35" s="425" t="s">
        <v>69</v>
      </c>
      <c r="DI35" s="425" t="s">
        <v>69</v>
      </c>
      <c r="DJ35" s="425" t="s">
        <v>69</v>
      </c>
      <c r="DK35" s="425" t="s">
        <v>69</v>
      </c>
      <c r="DL35" s="425" t="s">
        <v>69</v>
      </c>
      <c r="DM35" s="425" t="s">
        <v>69</v>
      </c>
      <c r="DN35" s="425" t="s">
        <v>69</v>
      </c>
      <c r="DO35" s="425" t="s">
        <v>69</v>
      </c>
      <c r="DP35" s="425" t="s">
        <v>69</v>
      </c>
      <c r="DQ35" s="425" t="s">
        <v>69</v>
      </c>
      <c r="DR35" s="425" t="s">
        <v>69</v>
      </c>
      <c r="DS35" s="425">
        <v>2</v>
      </c>
      <c r="DT35" s="425" t="s">
        <v>69</v>
      </c>
      <c r="DU35" s="422" t="s">
        <v>69</v>
      </c>
      <c r="DV35" s="425" t="s">
        <v>69</v>
      </c>
      <c r="DW35" s="425" t="s">
        <v>69</v>
      </c>
      <c r="DX35" s="425">
        <v>4</v>
      </c>
      <c r="DY35" s="423">
        <f t="shared" si="0"/>
        <v>0.2857142857142857</v>
      </c>
      <c r="DZ35" s="424">
        <f t="shared" si="1"/>
        <v>0.94444444444444442</v>
      </c>
      <c r="EA35" s="519"/>
    </row>
    <row r="36" spans="1:131" s="18" customFormat="1" ht="66.599999999999994" thickBot="1">
      <c r="A36" s="420" t="s">
        <v>421</v>
      </c>
      <c r="B36" s="414" t="s">
        <v>422</v>
      </c>
      <c r="C36" s="419">
        <v>45240</v>
      </c>
      <c r="D36" s="418" t="s">
        <v>1183</v>
      </c>
      <c r="E36" s="429" t="s">
        <v>898</v>
      </c>
      <c r="F36" s="425">
        <v>4</v>
      </c>
      <c r="G36" s="425" t="s">
        <v>69</v>
      </c>
      <c r="H36" s="425">
        <v>4</v>
      </c>
      <c r="I36" s="425" t="s">
        <v>69</v>
      </c>
      <c r="J36" s="425" t="s">
        <v>69</v>
      </c>
      <c r="K36" s="425" t="s">
        <v>69</v>
      </c>
      <c r="L36" s="425" t="s">
        <v>69</v>
      </c>
      <c r="M36" s="425" t="s">
        <v>69</v>
      </c>
      <c r="N36" s="425" t="s">
        <v>69</v>
      </c>
      <c r="O36" s="425">
        <v>3</v>
      </c>
      <c r="P36" s="425" t="s">
        <v>69</v>
      </c>
      <c r="Q36" s="425">
        <v>2</v>
      </c>
      <c r="R36" s="425" t="s">
        <v>69</v>
      </c>
      <c r="S36" s="425">
        <v>3</v>
      </c>
      <c r="T36" s="425" t="s">
        <v>69</v>
      </c>
      <c r="U36" s="425" t="s">
        <v>69</v>
      </c>
      <c r="V36" s="425" t="s">
        <v>69</v>
      </c>
      <c r="W36" s="425" t="s">
        <v>69</v>
      </c>
      <c r="X36" s="425" t="s">
        <v>69</v>
      </c>
      <c r="Y36" s="425" t="s">
        <v>69</v>
      </c>
      <c r="Z36" s="425" t="s">
        <v>69</v>
      </c>
      <c r="AA36" s="425" t="s">
        <v>69</v>
      </c>
      <c r="AB36" s="425" t="s">
        <v>69</v>
      </c>
      <c r="AC36" s="425" t="s">
        <v>69</v>
      </c>
      <c r="AD36" s="425" t="s">
        <v>69</v>
      </c>
      <c r="AE36" s="425" t="s">
        <v>69</v>
      </c>
      <c r="AF36" s="425" t="s">
        <v>69</v>
      </c>
      <c r="AG36" s="425" t="s">
        <v>69</v>
      </c>
      <c r="AH36" s="425" t="s">
        <v>69</v>
      </c>
      <c r="AI36" s="425" t="s">
        <v>69</v>
      </c>
      <c r="AJ36" s="425" t="s">
        <v>69</v>
      </c>
      <c r="AK36" s="425" t="s">
        <v>69</v>
      </c>
      <c r="AL36" s="425" t="s">
        <v>69</v>
      </c>
      <c r="AM36" s="425" t="s">
        <v>69</v>
      </c>
      <c r="AN36" s="425" t="s">
        <v>69</v>
      </c>
      <c r="AO36" s="425" t="s">
        <v>69</v>
      </c>
      <c r="AP36" s="425" t="s">
        <v>69</v>
      </c>
      <c r="AQ36" s="425" t="s">
        <v>69</v>
      </c>
      <c r="AR36" s="425">
        <v>3</v>
      </c>
      <c r="AS36" s="425">
        <v>4</v>
      </c>
      <c r="AT36" s="425" t="s">
        <v>69</v>
      </c>
      <c r="AU36" s="425">
        <v>3</v>
      </c>
      <c r="AV36" s="425">
        <v>4</v>
      </c>
      <c r="AW36" s="425" t="s">
        <v>69</v>
      </c>
      <c r="AX36" s="425">
        <v>4</v>
      </c>
      <c r="AY36" s="425" t="s">
        <v>69</v>
      </c>
      <c r="AZ36" s="425" t="s">
        <v>69</v>
      </c>
      <c r="BA36" s="425" t="s">
        <v>69</v>
      </c>
      <c r="BB36" s="425" t="s">
        <v>69</v>
      </c>
      <c r="BC36" s="425" t="s">
        <v>69</v>
      </c>
      <c r="BD36" s="425">
        <v>4</v>
      </c>
      <c r="BE36" s="425">
        <v>4</v>
      </c>
      <c r="BF36" s="425" t="s">
        <v>69</v>
      </c>
      <c r="BG36" s="425" t="s">
        <v>69</v>
      </c>
      <c r="BH36" s="425" t="s">
        <v>69</v>
      </c>
      <c r="BI36" s="425" t="s">
        <v>69</v>
      </c>
      <c r="BJ36" s="425" t="s">
        <v>69</v>
      </c>
      <c r="BK36" s="425" t="s">
        <v>69</v>
      </c>
      <c r="BL36" s="425" t="s">
        <v>69</v>
      </c>
      <c r="BM36" s="425" t="s">
        <v>69</v>
      </c>
      <c r="BN36" s="425" t="s">
        <v>69</v>
      </c>
      <c r="BO36" s="425" t="s">
        <v>69</v>
      </c>
      <c r="BP36" s="425" t="s">
        <v>69</v>
      </c>
      <c r="BQ36" s="425" t="s">
        <v>69</v>
      </c>
      <c r="BR36" s="425">
        <v>4</v>
      </c>
      <c r="BS36" s="425" t="s">
        <v>69</v>
      </c>
      <c r="BT36" s="425" t="s">
        <v>69</v>
      </c>
      <c r="BU36" s="425" t="s">
        <v>69</v>
      </c>
      <c r="BV36" s="425" t="s">
        <v>69</v>
      </c>
      <c r="BW36" s="425" t="s">
        <v>69</v>
      </c>
      <c r="BX36" s="425" t="s">
        <v>69</v>
      </c>
      <c r="BY36" s="425">
        <v>3</v>
      </c>
      <c r="BZ36" s="425">
        <v>3</v>
      </c>
      <c r="CA36" s="425" t="s">
        <v>69</v>
      </c>
      <c r="CB36" s="425" t="s">
        <v>69</v>
      </c>
      <c r="CC36" s="425" t="s">
        <v>69</v>
      </c>
      <c r="CD36" s="425" t="s">
        <v>69</v>
      </c>
      <c r="CE36" s="425" t="s">
        <v>69</v>
      </c>
      <c r="CF36" s="425" t="s">
        <v>69</v>
      </c>
      <c r="CG36" s="425">
        <v>4</v>
      </c>
      <c r="CH36" s="425" t="s">
        <v>69</v>
      </c>
      <c r="CI36" s="425" t="s">
        <v>69</v>
      </c>
      <c r="CJ36" s="425" t="s">
        <v>69</v>
      </c>
      <c r="CK36" s="425" t="s">
        <v>69</v>
      </c>
      <c r="CL36" s="425" t="s">
        <v>69</v>
      </c>
      <c r="CM36" s="425" t="s">
        <v>69</v>
      </c>
      <c r="CN36" s="425">
        <v>4</v>
      </c>
      <c r="CO36" s="425">
        <v>4</v>
      </c>
      <c r="CP36" s="425">
        <v>4</v>
      </c>
      <c r="CQ36" s="425">
        <v>4</v>
      </c>
      <c r="CR36" s="425" t="s">
        <v>69</v>
      </c>
      <c r="CS36" s="425" t="s">
        <v>69</v>
      </c>
      <c r="CT36" s="425" t="s">
        <v>69</v>
      </c>
      <c r="CU36" s="425">
        <v>3</v>
      </c>
      <c r="CV36" s="425" t="s">
        <v>69</v>
      </c>
      <c r="CW36" s="425" t="s">
        <v>69</v>
      </c>
      <c r="CX36" s="425" t="s">
        <v>69</v>
      </c>
      <c r="CY36" s="425" t="s">
        <v>69</v>
      </c>
      <c r="CZ36" s="425" t="s">
        <v>69</v>
      </c>
      <c r="DA36" s="425" t="s">
        <v>69</v>
      </c>
      <c r="DB36" s="425" t="s">
        <v>69</v>
      </c>
      <c r="DC36" s="425" t="s">
        <v>69</v>
      </c>
      <c r="DD36" s="425" t="s">
        <v>69</v>
      </c>
      <c r="DE36" s="425" t="s">
        <v>69</v>
      </c>
      <c r="DF36" s="425" t="s">
        <v>69</v>
      </c>
      <c r="DG36" s="425" t="s">
        <v>69</v>
      </c>
      <c r="DH36" s="425" t="s">
        <v>69</v>
      </c>
      <c r="DI36" s="425" t="s">
        <v>69</v>
      </c>
      <c r="DJ36" s="425" t="s">
        <v>69</v>
      </c>
      <c r="DK36" s="425" t="s">
        <v>69</v>
      </c>
      <c r="DL36" s="425" t="s">
        <v>69</v>
      </c>
      <c r="DM36" s="425" t="s">
        <v>69</v>
      </c>
      <c r="DN36" s="425" t="s">
        <v>69</v>
      </c>
      <c r="DO36" s="425" t="s">
        <v>69</v>
      </c>
      <c r="DP36" s="425" t="s">
        <v>69</v>
      </c>
      <c r="DQ36" s="425" t="s">
        <v>69</v>
      </c>
      <c r="DR36" s="425" t="s">
        <v>69</v>
      </c>
      <c r="DS36" s="425" t="s">
        <v>69</v>
      </c>
      <c r="DT36" s="425" t="s">
        <v>69</v>
      </c>
      <c r="DU36" s="422" t="s">
        <v>69</v>
      </c>
      <c r="DV36" s="425" t="s">
        <v>69</v>
      </c>
      <c r="DW36" s="425">
        <v>3</v>
      </c>
      <c r="DX36" s="425">
        <v>4</v>
      </c>
      <c r="DY36" s="423">
        <f t="shared" si="0"/>
        <v>0.36507936507936506</v>
      </c>
      <c r="DZ36" s="424">
        <f t="shared" si="1"/>
        <v>0.95652173913043481</v>
      </c>
      <c r="EA36" s="519"/>
    </row>
    <row r="37" spans="1:131" s="18" customFormat="1" ht="66.599999999999994" thickBot="1">
      <c r="A37" s="420" t="s">
        <v>427</v>
      </c>
      <c r="B37" s="414" t="s">
        <v>428</v>
      </c>
      <c r="C37" s="419" t="s">
        <v>607</v>
      </c>
      <c r="D37" s="418" t="s">
        <v>1183</v>
      </c>
      <c r="E37" s="429" t="s">
        <v>898</v>
      </c>
      <c r="F37" s="425" t="s">
        <v>69</v>
      </c>
      <c r="G37" s="425" t="s">
        <v>69</v>
      </c>
      <c r="H37" s="425" t="s">
        <v>69</v>
      </c>
      <c r="I37" s="425" t="s">
        <v>69</v>
      </c>
      <c r="J37" s="425" t="s">
        <v>69</v>
      </c>
      <c r="K37" s="425" t="s">
        <v>69</v>
      </c>
      <c r="L37" s="425">
        <v>4</v>
      </c>
      <c r="M37" s="425" t="s">
        <v>69</v>
      </c>
      <c r="N37" s="425" t="s">
        <v>69</v>
      </c>
      <c r="O37" s="425">
        <v>3</v>
      </c>
      <c r="P37" s="425" t="s">
        <v>69</v>
      </c>
      <c r="Q37" s="425" t="s">
        <v>69</v>
      </c>
      <c r="R37" s="425">
        <v>4</v>
      </c>
      <c r="S37" s="425" t="s">
        <v>69</v>
      </c>
      <c r="T37" s="425" t="s">
        <v>69</v>
      </c>
      <c r="U37" s="425" t="s">
        <v>69</v>
      </c>
      <c r="V37" s="425" t="s">
        <v>69</v>
      </c>
      <c r="W37" s="425" t="s">
        <v>69</v>
      </c>
      <c r="X37" s="425" t="s">
        <v>69</v>
      </c>
      <c r="Y37" s="425" t="s">
        <v>69</v>
      </c>
      <c r="Z37" s="425">
        <v>4</v>
      </c>
      <c r="AA37" s="425" t="s">
        <v>69</v>
      </c>
      <c r="AB37" s="425" t="s">
        <v>69</v>
      </c>
      <c r="AC37" s="425" t="s">
        <v>69</v>
      </c>
      <c r="AD37" s="425" t="s">
        <v>69</v>
      </c>
      <c r="AE37" s="425" t="s">
        <v>69</v>
      </c>
      <c r="AF37" s="425" t="s">
        <v>69</v>
      </c>
      <c r="AG37" s="425" t="s">
        <v>69</v>
      </c>
      <c r="AH37" s="425" t="s">
        <v>69</v>
      </c>
      <c r="AI37" s="425" t="s">
        <v>69</v>
      </c>
      <c r="AJ37" s="425" t="s">
        <v>69</v>
      </c>
      <c r="AK37" s="425" t="s">
        <v>69</v>
      </c>
      <c r="AL37" s="425">
        <v>3</v>
      </c>
      <c r="AM37" s="425">
        <v>4</v>
      </c>
      <c r="AN37" s="425">
        <v>4</v>
      </c>
      <c r="AO37" s="425">
        <v>4</v>
      </c>
      <c r="AP37" s="425">
        <v>4</v>
      </c>
      <c r="AQ37" s="425" t="s">
        <v>69</v>
      </c>
      <c r="AR37" s="425" t="s">
        <v>69</v>
      </c>
      <c r="AS37" s="425" t="s">
        <v>69</v>
      </c>
      <c r="AT37" s="425" t="s">
        <v>69</v>
      </c>
      <c r="AU37" s="425" t="s">
        <v>69</v>
      </c>
      <c r="AV37" s="425" t="s">
        <v>69</v>
      </c>
      <c r="AW37" s="425" t="s">
        <v>69</v>
      </c>
      <c r="AX37" s="425" t="s">
        <v>69</v>
      </c>
      <c r="AY37" s="425" t="s">
        <v>69</v>
      </c>
      <c r="AZ37" s="425" t="s">
        <v>69</v>
      </c>
      <c r="BA37" s="425" t="s">
        <v>69</v>
      </c>
      <c r="BB37" s="425" t="s">
        <v>69</v>
      </c>
      <c r="BC37" s="425" t="s">
        <v>69</v>
      </c>
      <c r="BD37" s="425" t="s">
        <v>69</v>
      </c>
      <c r="BE37" s="425" t="s">
        <v>69</v>
      </c>
      <c r="BF37" s="425">
        <v>4</v>
      </c>
      <c r="BG37" s="425" t="s">
        <v>69</v>
      </c>
      <c r="BH37" s="425" t="s">
        <v>69</v>
      </c>
      <c r="BI37" s="425" t="s">
        <v>69</v>
      </c>
      <c r="BJ37" s="425" t="s">
        <v>69</v>
      </c>
      <c r="BK37" s="425" t="s">
        <v>69</v>
      </c>
      <c r="BL37" s="425" t="s">
        <v>69</v>
      </c>
      <c r="BM37" s="425" t="s">
        <v>69</v>
      </c>
      <c r="BN37" s="425">
        <v>2</v>
      </c>
      <c r="BO37" s="425" t="s">
        <v>69</v>
      </c>
      <c r="BP37" s="425">
        <v>2</v>
      </c>
      <c r="BQ37" s="425" t="s">
        <v>69</v>
      </c>
      <c r="BR37" s="425" t="s">
        <v>69</v>
      </c>
      <c r="BS37" s="425" t="s">
        <v>69</v>
      </c>
      <c r="BT37" s="425" t="s">
        <v>69</v>
      </c>
      <c r="BU37" s="425" t="s">
        <v>69</v>
      </c>
      <c r="BV37" s="425" t="s">
        <v>69</v>
      </c>
      <c r="BW37" s="425" t="s">
        <v>69</v>
      </c>
      <c r="BX37" s="425" t="s">
        <v>69</v>
      </c>
      <c r="BY37" s="425" t="s">
        <v>69</v>
      </c>
      <c r="BZ37" s="425" t="s">
        <v>69</v>
      </c>
      <c r="CA37" s="425" t="s">
        <v>69</v>
      </c>
      <c r="CB37" s="425" t="s">
        <v>69</v>
      </c>
      <c r="CC37" s="425" t="s">
        <v>69</v>
      </c>
      <c r="CD37" s="425" t="s">
        <v>69</v>
      </c>
      <c r="CE37" s="425" t="s">
        <v>69</v>
      </c>
      <c r="CF37" s="425" t="s">
        <v>69</v>
      </c>
      <c r="CG37" s="425">
        <v>4</v>
      </c>
      <c r="CH37" s="425" t="s">
        <v>69</v>
      </c>
      <c r="CI37" s="425" t="s">
        <v>69</v>
      </c>
      <c r="CJ37" s="425" t="s">
        <v>69</v>
      </c>
      <c r="CK37" s="425" t="s">
        <v>69</v>
      </c>
      <c r="CL37" s="425" t="s">
        <v>69</v>
      </c>
      <c r="CM37" s="425" t="s">
        <v>69</v>
      </c>
      <c r="CN37" s="425">
        <v>3</v>
      </c>
      <c r="CO37" s="425" t="s">
        <v>69</v>
      </c>
      <c r="CP37" s="425">
        <v>4</v>
      </c>
      <c r="CQ37" s="425" t="s">
        <v>69</v>
      </c>
      <c r="CR37" s="425" t="s">
        <v>69</v>
      </c>
      <c r="CS37" s="425">
        <v>4</v>
      </c>
      <c r="CT37" s="425">
        <v>4</v>
      </c>
      <c r="CU37" s="425" t="s">
        <v>69</v>
      </c>
      <c r="CV37" s="425">
        <v>2</v>
      </c>
      <c r="CW37" s="425" t="s">
        <v>69</v>
      </c>
      <c r="CX37" s="425">
        <v>2</v>
      </c>
      <c r="CY37" s="425" t="s">
        <v>69</v>
      </c>
      <c r="CZ37" s="425" t="s">
        <v>69</v>
      </c>
      <c r="DA37" s="425" t="s">
        <v>69</v>
      </c>
      <c r="DB37" s="425" t="s">
        <v>69</v>
      </c>
      <c r="DC37" s="425">
        <v>3</v>
      </c>
      <c r="DD37" s="425" t="s">
        <v>69</v>
      </c>
      <c r="DE37" s="425">
        <v>3</v>
      </c>
      <c r="DF37" s="425">
        <v>3</v>
      </c>
      <c r="DG37" s="425" t="s">
        <v>69</v>
      </c>
      <c r="DH37" s="425">
        <v>4</v>
      </c>
      <c r="DI37" s="425" t="s">
        <v>69</v>
      </c>
      <c r="DJ37" s="425" t="s">
        <v>69</v>
      </c>
      <c r="DK37" s="425" t="s">
        <v>69</v>
      </c>
      <c r="DL37" s="425" t="s">
        <v>69</v>
      </c>
      <c r="DM37" s="425" t="s">
        <v>69</v>
      </c>
      <c r="DN37" s="425" t="s">
        <v>69</v>
      </c>
      <c r="DO37" s="425">
        <v>2</v>
      </c>
      <c r="DP37" s="425" t="s">
        <v>69</v>
      </c>
      <c r="DQ37" s="425" t="s">
        <v>69</v>
      </c>
      <c r="DR37" s="425" t="s">
        <v>69</v>
      </c>
      <c r="DS37" s="425" t="s">
        <v>69</v>
      </c>
      <c r="DT37" s="425" t="s">
        <v>69</v>
      </c>
      <c r="DU37" s="422" t="s">
        <v>69</v>
      </c>
      <c r="DV37" s="425" t="s">
        <v>69</v>
      </c>
      <c r="DW37" s="425" t="s">
        <v>69</v>
      </c>
      <c r="DX37" s="425">
        <v>4</v>
      </c>
      <c r="DY37" s="423">
        <f t="shared" si="0"/>
        <v>0.3968253968253968</v>
      </c>
      <c r="DZ37" s="424">
        <f t="shared" si="1"/>
        <v>0.8</v>
      </c>
      <c r="EA37" s="519"/>
    </row>
    <row r="38" spans="1:131" s="18" customFormat="1" ht="66.599999999999994" thickBot="1">
      <c r="A38" s="420" t="s">
        <v>287</v>
      </c>
      <c r="B38" s="414" t="s">
        <v>288</v>
      </c>
      <c r="C38" s="419" t="s">
        <v>607</v>
      </c>
      <c r="D38" s="418" t="s">
        <v>1183</v>
      </c>
      <c r="E38" s="429" t="s">
        <v>898</v>
      </c>
      <c r="F38" s="425">
        <v>3</v>
      </c>
      <c r="G38" s="425" t="s">
        <v>69</v>
      </c>
      <c r="H38" s="425" t="s">
        <v>69</v>
      </c>
      <c r="I38" s="425" t="s">
        <v>69</v>
      </c>
      <c r="J38" s="425" t="s">
        <v>69</v>
      </c>
      <c r="K38" s="425">
        <v>3</v>
      </c>
      <c r="L38" s="425" t="s">
        <v>69</v>
      </c>
      <c r="M38" s="425" t="s">
        <v>69</v>
      </c>
      <c r="N38" s="425" t="s">
        <v>69</v>
      </c>
      <c r="O38" s="425">
        <v>3</v>
      </c>
      <c r="P38" s="425" t="s">
        <v>69</v>
      </c>
      <c r="Q38" s="425">
        <v>3</v>
      </c>
      <c r="R38" s="425" t="s">
        <v>69</v>
      </c>
      <c r="S38" s="425" t="s">
        <v>69</v>
      </c>
      <c r="T38" s="425" t="s">
        <v>69</v>
      </c>
      <c r="U38" s="425" t="s">
        <v>69</v>
      </c>
      <c r="V38" s="425" t="s">
        <v>69</v>
      </c>
      <c r="W38" s="425" t="s">
        <v>69</v>
      </c>
      <c r="X38" s="425" t="s">
        <v>69</v>
      </c>
      <c r="Y38" s="425" t="s">
        <v>69</v>
      </c>
      <c r="Z38" s="425" t="s">
        <v>69</v>
      </c>
      <c r="AA38" s="425">
        <v>4</v>
      </c>
      <c r="AB38" s="425" t="s">
        <v>69</v>
      </c>
      <c r="AC38" s="425" t="s">
        <v>69</v>
      </c>
      <c r="AD38" s="425" t="s">
        <v>69</v>
      </c>
      <c r="AE38" s="425" t="s">
        <v>69</v>
      </c>
      <c r="AF38" s="425">
        <v>4</v>
      </c>
      <c r="AG38" s="425" t="s">
        <v>69</v>
      </c>
      <c r="AH38" s="425" t="s">
        <v>69</v>
      </c>
      <c r="AI38" s="425" t="s">
        <v>69</v>
      </c>
      <c r="AJ38" s="425" t="s">
        <v>69</v>
      </c>
      <c r="AK38" s="425" t="s">
        <v>69</v>
      </c>
      <c r="AL38" s="425">
        <v>3</v>
      </c>
      <c r="AM38" s="425" t="s">
        <v>69</v>
      </c>
      <c r="AN38" s="425">
        <v>4</v>
      </c>
      <c r="AO38" s="425">
        <v>2</v>
      </c>
      <c r="AP38" s="425">
        <v>4</v>
      </c>
      <c r="AQ38" s="425" t="s">
        <v>69</v>
      </c>
      <c r="AR38" s="425">
        <v>4</v>
      </c>
      <c r="AS38" s="425">
        <v>4</v>
      </c>
      <c r="AT38" s="425" t="s">
        <v>69</v>
      </c>
      <c r="AU38" s="425">
        <v>4</v>
      </c>
      <c r="AV38" s="425">
        <v>4</v>
      </c>
      <c r="AW38" s="425" t="s">
        <v>69</v>
      </c>
      <c r="AX38" s="425">
        <v>4</v>
      </c>
      <c r="AY38" s="425">
        <v>4</v>
      </c>
      <c r="AZ38" s="425" t="s">
        <v>69</v>
      </c>
      <c r="BA38" s="425">
        <v>3</v>
      </c>
      <c r="BB38" s="425">
        <v>4</v>
      </c>
      <c r="BC38" s="425" t="s">
        <v>69</v>
      </c>
      <c r="BD38" s="425" t="s">
        <v>69</v>
      </c>
      <c r="BE38" s="425">
        <v>4</v>
      </c>
      <c r="BF38" s="425" t="s">
        <v>69</v>
      </c>
      <c r="BG38" s="425" t="s">
        <v>69</v>
      </c>
      <c r="BH38" s="425" t="s">
        <v>69</v>
      </c>
      <c r="BI38" s="425" t="s">
        <v>69</v>
      </c>
      <c r="BJ38" s="425">
        <v>4</v>
      </c>
      <c r="BK38" s="425">
        <v>2</v>
      </c>
      <c r="BL38" s="425" t="s">
        <v>69</v>
      </c>
      <c r="BM38" s="425" t="s">
        <v>69</v>
      </c>
      <c r="BN38" s="425" t="s">
        <v>69</v>
      </c>
      <c r="BO38" s="425" t="s">
        <v>69</v>
      </c>
      <c r="BP38" s="425" t="s">
        <v>69</v>
      </c>
      <c r="BQ38" s="425" t="s">
        <v>69</v>
      </c>
      <c r="BR38" s="425">
        <v>4</v>
      </c>
      <c r="BS38" s="425" t="s">
        <v>69</v>
      </c>
      <c r="BT38" s="425" t="s">
        <v>69</v>
      </c>
      <c r="BU38" s="425" t="s">
        <v>69</v>
      </c>
      <c r="BV38" s="425" t="s">
        <v>69</v>
      </c>
      <c r="BW38" s="425" t="s">
        <v>69</v>
      </c>
      <c r="BX38" s="425" t="s">
        <v>69</v>
      </c>
      <c r="BY38" s="425">
        <v>4</v>
      </c>
      <c r="BZ38" s="425">
        <v>4</v>
      </c>
      <c r="CA38" s="425" t="s">
        <v>69</v>
      </c>
      <c r="CB38" s="425" t="s">
        <v>69</v>
      </c>
      <c r="CC38" s="425" t="s">
        <v>69</v>
      </c>
      <c r="CD38" s="425" t="s">
        <v>69</v>
      </c>
      <c r="CE38" s="425" t="s">
        <v>69</v>
      </c>
      <c r="CF38" s="425" t="s">
        <v>69</v>
      </c>
      <c r="CG38" s="425">
        <v>4</v>
      </c>
      <c r="CH38" s="425" t="s">
        <v>69</v>
      </c>
      <c r="CI38" s="425">
        <v>3</v>
      </c>
      <c r="CJ38" s="425">
        <v>3</v>
      </c>
      <c r="CK38" s="425">
        <v>3</v>
      </c>
      <c r="CL38" s="425" t="s">
        <v>69</v>
      </c>
      <c r="CM38" s="425">
        <v>3</v>
      </c>
      <c r="CN38" s="425">
        <v>3</v>
      </c>
      <c r="CO38" s="425">
        <v>3</v>
      </c>
      <c r="CP38" s="425">
        <v>3</v>
      </c>
      <c r="CQ38" s="425" t="s">
        <v>69</v>
      </c>
      <c r="CR38" s="425">
        <v>4</v>
      </c>
      <c r="CS38" s="425" t="s">
        <v>69</v>
      </c>
      <c r="CT38" s="425" t="s">
        <v>69</v>
      </c>
      <c r="CU38" s="425" t="s">
        <v>69</v>
      </c>
      <c r="CV38" s="425" t="s">
        <v>69</v>
      </c>
      <c r="CW38" s="425" t="s">
        <v>69</v>
      </c>
      <c r="CX38" s="425" t="s">
        <v>69</v>
      </c>
      <c r="CY38" s="425" t="s">
        <v>69</v>
      </c>
      <c r="CZ38" s="425" t="s">
        <v>69</v>
      </c>
      <c r="DA38" s="425" t="s">
        <v>69</v>
      </c>
      <c r="DB38" s="425" t="s">
        <v>69</v>
      </c>
      <c r="DC38" s="425" t="s">
        <v>69</v>
      </c>
      <c r="DD38" s="425" t="s">
        <v>69</v>
      </c>
      <c r="DE38" s="425" t="s">
        <v>69</v>
      </c>
      <c r="DF38" s="425" t="s">
        <v>69</v>
      </c>
      <c r="DG38" s="425" t="s">
        <v>69</v>
      </c>
      <c r="DH38" s="425" t="s">
        <v>69</v>
      </c>
      <c r="DI38" s="425" t="s">
        <v>69</v>
      </c>
      <c r="DJ38" s="425" t="s">
        <v>69</v>
      </c>
      <c r="DK38" s="425" t="s">
        <v>69</v>
      </c>
      <c r="DL38" s="425" t="s">
        <v>69</v>
      </c>
      <c r="DM38" s="425">
        <v>3</v>
      </c>
      <c r="DN38" s="425" t="s">
        <v>69</v>
      </c>
      <c r="DO38" s="425" t="s">
        <v>69</v>
      </c>
      <c r="DP38" s="425" t="s">
        <v>69</v>
      </c>
      <c r="DQ38" s="425" t="s">
        <v>69</v>
      </c>
      <c r="DR38" s="425" t="s">
        <v>69</v>
      </c>
      <c r="DS38" s="425" t="s">
        <v>69</v>
      </c>
      <c r="DT38" s="425" t="s">
        <v>69</v>
      </c>
      <c r="DU38" s="422" t="s">
        <v>69</v>
      </c>
      <c r="DV38" s="425" t="s">
        <v>69</v>
      </c>
      <c r="DW38" s="425">
        <v>2</v>
      </c>
      <c r="DX38" s="425">
        <v>4</v>
      </c>
      <c r="DY38" s="423">
        <f t="shared" si="0"/>
        <v>0.5714285714285714</v>
      </c>
      <c r="DZ38" s="424">
        <f t="shared" si="1"/>
        <v>0.91666666666666663</v>
      </c>
      <c r="EA38" s="519"/>
    </row>
    <row r="39" spans="1:131" s="18" customFormat="1" ht="66.599999999999994" thickBot="1">
      <c r="A39" s="420" t="s">
        <v>302</v>
      </c>
      <c r="B39" s="414" t="s">
        <v>303</v>
      </c>
      <c r="C39" s="419">
        <v>44953</v>
      </c>
      <c r="D39" s="418" t="s">
        <v>1183</v>
      </c>
      <c r="E39" s="429" t="s">
        <v>898</v>
      </c>
      <c r="F39" s="425">
        <v>4</v>
      </c>
      <c r="G39" s="425">
        <v>4</v>
      </c>
      <c r="H39" s="425">
        <v>4</v>
      </c>
      <c r="I39" s="425">
        <v>4</v>
      </c>
      <c r="J39" s="425">
        <v>4</v>
      </c>
      <c r="K39" s="425" t="s">
        <v>69</v>
      </c>
      <c r="L39" s="425" t="s">
        <v>69</v>
      </c>
      <c r="M39" s="425" t="s">
        <v>69</v>
      </c>
      <c r="N39" s="425" t="s">
        <v>69</v>
      </c>
      <c r="O39" s="425" t="s">
        <v>69</v>
      </c>
      <c r="P39" s="425">
        <v>4</v>
      </c>
      <c r="Q39" s="425" t="s">
        <v>69</v>
      </c>
      <c r="R39" s="425" t="s">
        <v>69</v>
      </c>
      <c r="S39" s="425" t="s">
        <v>69</v>
      </c>
      <c r="T39" s="425" t="s">
        <v>69</v>
      </c>
      <c r="U39" s="425" t="s">
        <v>69</v>
      </c>
      <c r="V39" s="425" t="s">
        <v>69</v>
      </c>
      <c r="W39" s="425" t="s">
        <v>69</v>
      </c>
      <c r="X39" s="425">
        <v>4</v>
      </c>
      <c r="Y39" s="425">
        <v>4</v>
      </c>
      <c r="Z39" s="425" t="s">
        <v>69</v>
      </c>
      <c r="AA39" s="425" t="s">
        <v>69</v>
      </c>
      <c r="AB39" s="425" t="s">
        <v>69</v>
      </c>
      <c r="AC39" s="425">
        <v>4</v>
      </c>
      <c r="AD39" s="425" t="s">
        <v>69</v>
      </c>
      <c r="AE39" s="425" t="s">
        <v>69</v>
      </c>
      <c r="AF39" s="425" t="s">
        <v>69</v>
      </c>
      <c r="AG39" s="425" t="s">
        <v>69</v>
      </c>
      <c r="AH39" s="425" t="s">
        <v>69</v>
      </c>
      <c r="AI39" s="425" t="s">
        <v>69</v>
      </c>
      <c r="AJ39" s="425" t="s">
        <v>69</v>
      </c>
      <c r="AK39" s="425" t="s">
        <v>69</v>
      </c>
      <c r="AL39" s="425" t="s">
        <v>69</v>
      </c>
      <c r="AM39" s="425" t="s">
        <v>69</v>
      </c>
      <c r="AN39" s="425" t="s">
        <v>69</v>
      </c>
      <c r="AO39" s="425" t="s">
        <v>69</v>
      </c>
      <c r="AP39" s="425">
        <v>4</v>
      </c>
      <c r="AQ39" s="425">
        <v>4</v>
      </c>
      <c r="AR39" s="425">
        <v>3</v>
      </c>
      <c r="AS39" s="425">
        <v>3</v>
      </c>
      <c r="AT39" s="425" t="s">
        <v>69</v>
      </c>
      <c r="AU39" s="425">
        <v>4</v>
      </c>
      <c r="AV39" s="425">
        <v>4</v>
      </c>
      <c r="AW39" s="425">
        <v>4</v>
      </c>
      <c r="AX39" s="425">
        <v>4</v>
      </c>
      <c r="AY39" s="425">
        <v>4</v>
      </c>
      <c r="AZ39" s="425">
        <v>4</v>
      </c>
      <c r="BA39" s="425">
        <v>4</v>
      </c>
      <c r="BB39" s="425">
        <v>4</v>
      </c>
      <c r="BC39" s="425">
        <v>4</v>
      </c>
      <c r="BD39" s="425">
        <v>4</v>
      </c>
      <c r="BE39" s="425">
        <v>4</v>
      </c>
      <c r="BF39" s="425">
        <v>4</v>
      </c>
      <c r="BG39" s="425" t="s">
        <v>69</v>
      </c>
      <c r="BH39" s="425" t="s">
        <v>69</v>
      </c>
      <c r="BI39" s="425" t="s">
        <v>69</v>
      </c>
      <c r="BJ39" s="425" t="s">
        <v>69</v>
      </c>
      <c r="BK39" s="425">
        <v>4</v>
      </c>
      <c r="BL39" s="425" t="s">
        <v>69</v>
      </c>
      <c r="BM39" s="425" t="s">
        <v>69</v>
      </c>
      <c r="BN39" s="425" t="s">
        <v>69</v>
      </c>
      <c r="BO39" s="425" t="s">
        <v>69</v>
      </c>
      <c r="BP39" s="425" t="s">
        <v>69</v>
      </c>
      <c r="BQ39" s="425">
        <v>4</v>
      </c>
      <c r="BR39" s="425">
        <v>4</v>
      </c>
      <c r="BS39" s="425" t="s">
        <v>69</v>
      </c>
      <c r="BT39" s="425" t="s">
        <v>69</v>
      </c>
      <c r="BU39" s="425">
        <v>4</v>
      </c>
      <c r="BV39" s="425">
        <v>4</v>
      </c>
      <c r="BW39" s="425" t="s">
        <v>69</v>
      </c>
      <c r="BX39" s="425" t="s">
        <v>69</v>
      </c>
      <c r="BY39" s="425" t="s">
        <v>69</v>
      </c>
      <c r="BZ39" s="425">
        <v>4</v>
      </c>
      <c r="CA39" s="425" t="s">
        <v>69</v>
      </c>
      <c r="CB39" s="425" t="s">
        <v>69</v>
      </c>
      <c r="CC39" s="425" t="s">
        <v>69</v>
      </c>
      <c r="CD39" s="425" t="s">
        <v>69</v>
      </c>
      <c r="CE39" s="425" t="s">
        <v>69</v>
      </c>
      <c r="CF39" s="425" t="s">
        <v>69</v>
      </c>
      <c r="CG39" s="425">
        <v>4</v>
      </c>
      <c r="CH39" s="425" t="s">
        <v>69</v>
      </c>
      <c r="CI39" s="425" t="s">
        <v>69</v>
      </c>
      <c r="CJ39" s="425" t="s">
        <v>69</v>
      </c>
      <c r="CK39" s="425" t="s">
        <v>69</v>
      </c>
      <c r="CL39" s="425" t="s">
        <v>69</v>
      </c>
      <c r="CM39" s="425">
        <v>4</v>
      </c>
      <c r="CN39" s="425" t="s">
        <v>69</v>
      </c>
      <c r="CO39" s="425" t="s">
        <v>69</v>
      </c>
      <c r="CP39" s="425" t="s">
        <v>69</v>
      </c>
      <c r="CQ39" s="425" t="s">
        <v>69</v>
      </c>
      <c r="CR39" s="425">
        <v>4</v>
      </c>
      <c r="CS39" s="425" t="s">
        <v>69</v>
      </c>
      <c r="CT39" s="425" t="s">
        <v>69</v>
      </c>
      <c r="CU39" s="425" t="s">
        <v>69</v>
      </c>
      <c r="CV39" s="425" t="s">
        <v>69</v>
      </c>
      <c r="CW39" s="425" t="s">
        <v>69</v>
      </c>
      <c r="CX39" s="425" t="s">
        <v>69</v>
      </c>
      <c r="CY39" s="425" t="s">
        <v>69</v>
      </c>
      <c r="CZ39" s="425" t="s">
        <v>69</v>
      </c>
      <c r="DA39" s="425" t="s">
        <v>69</v>
      </c>
      <c r="DB39" s="425">
        <v>4</v>
      </c>
      <c r="DC39" s="425">
        <v>4</v>
      </c>
      <c r="DD39" s="425" t="s">
        <v>69</v>
      </c>
      <c r="DE39" s="425">
        <v>4</v>
      </c>
      <c r="DF39" s="425" t="s">
        <v>69</v>
      </c>
      <c r="DG39" s="425" t="s">
        <v>69</v>
      </c>
      <c r="DH39" s="425">
        <v>4</v>
      </c>
      <c r="DI39" s="425" t="s">
        <v>69</v>
      </c>
      <c r="DJ39" s="425" t="s">
        <v>69</v>
      </c>
      <c r="DK39" s="425" t="s">
        <v>69</v>
      </c>
      <c r="DL39" s="425" t="s">
        <v>69</v>
      </c>
      <c r="DM39" s="425" t="s">
        <v>69</v>
      </c>
      <c r="DN39" s="425" t="s">
        <v>69</v>
      </c>
      <c r="DO39" s="425" t="s">
        <v>69</v>
      </c>
      <c r="DP39" s="425" t="s">
        <v>69</v>
      </c>
      <c r="DQ39" s="425" t="s">
        <v>69</v>
      </c>
      <c r="DR39" s="425" t="s">
        <v>69</v>
      </c>
      <c r="DS39" s="425" t="s">
        <v>69</v>
      </c>
      <c r="DT39" s="425" t="s">
        <v>69</v>
      </c>
      <c r="DU39" s="422" t="s">
        <v>69</v>
      </c>
      <c r="DV39" s="425" t="s">
        <v>69</v>
      </c>
      <c r="DW39" s="425">
        <v>3</v>
      </c>
      <c r="DX39" s="425">
        <v>4</v>
      </c>
      <c r="DY39" s="423">
        <f t="shared" si="0"/>
        <v>0.63492063492063489</v>
      </c>
      <c r="DZ39" s="424">
        <f t="shared" si="1"/>
        <v>1</v>
      </c>
      <c r="EA39" s="519"/>
    </row>
    <row r="40" spans="1:131" s="18" customFormat="1" ht="66.599999999999994" thickBot="1">
      <c r="A40" s="420" t="s">
        <v>542</v>
      </c>
      <c r="B40" s="414" t="s">
        <v>543</v>
      </c>
      <c r="C40" s="419">
        <v>44167</v>
      </c>
      <c r="D40" s="418" t="s">
        <v>1183</v>
      </c>
      <c r="E40" s="429" t="s">
        <v>898</v>
      </c>
      <c r="F40" s="425">
        <v>3</v>
      </c>
      <c r="G40" s="425" t="s">
        <v>69</v>
      </c>
      <c r="H40" s="425">
        <v>3</v>
      </c>
      <c r="I40" s="425" t="s">
        <v>69</v>
      </c>
      <c r="J40" s="425" t="s">
        <v>69</v>
      </c>
      <c r="K40" s="425" t="s">
        <v>69</v>
      </c>
      <c r="L40" s="425" t="s">
        <v>69</v>
      </c>
      <c r="M40" s="425" t="s">
        <v>69</v>
      </c>
      <c r="N40" s="425" t="s">
        <v>69</v>
      </c>
      <c r="O40" s="425">
        <v>3</v>
      </c>
      <c r="P40" s="425" t="s">
        <v>69</v>
      </c>
      <c r="Q40" s="425" t="s">
        <v>69</v>
      </c>
      <c r="R40" s="425" t="s">
        <v>69</v>
      </c>
      <c r="S40" s="425" t="s">
        <v>69</v>
      </c>
      <c r="T40" s="425" t="s">
        <v>69</v>
      </c>
      <c r="U40" s="425" t="s">
        <v>69</v>
      </c>
      <c r="V40" s="425" t="s">
        <v>69</v>
      </c>
      <c r="W40" s="425" t="s">
        <v>69</v>
      </c>
      <c r="X40" s="425" t="s">
        <v>69</v>
      </c>
      <c r="Y40" s="425" t="s">
        <v>69</v>
      </c>
      <c r="Z40" s="425" t="s">
        <v>69</v>
      </c>
      <c r="AA40" s="425" t="s">
        <v>69</v>
      </c>
      <c r="AB40" s="425" t="s">
        <v>69</v>
      </c>
      <c r="AC40" s="425" t="s">
        <v>69</v>
      </c>
      <c r="AD40" s="425" t="s">
        <v>69</v>
      </c>
      <c r="AE40" s="425" t="s">
        <v>69</v>
      </c>
      <c r="AF40" s="425" t="s">
        <v>69</v>
      </c>
      <c r="AG40" s="425" t="s">
        <v>69</v>
      </c>
      <c r="AH40" s="425" t="s">
        <v>69</v>
      </c>
      <c r="AI40" s="425" t="s">
        <v>69</v>
      </c>
      <c r="AJ40" s="425" t="s">
        <v>69</v>
      </c>
      <c r="AK40" s="425" t="s">
        <v>69</v>
      </c>
      <c r="AL40" s="425" t="s">
        <v>69</v>
      </c>
      <c r="AM40" s="425" t="s">
        <v>69</v>
      </c>
      <c r="AN40" s="425" t="s">
        <v>69</v>
      </c>
      <c r="AO40" s="425" t="s">
        <v>69</v>
      </c>
      <c r="AP40" s="425" t="s">
        <v>69</v>
      </c>
      <c r="AQ40" s="425" t="s">
        <v>69</v>
      </c>
      <c r="AR40" s="425">
        <v>3</v>
      </c>
      <c r="AS40" s="425" t="s">
        <v>69</v>
      </c>
      <c r="AT40" s="425" t="s">
        <v>69</v>
      </c>
      <c r="AU40" s="425">
        <v>3</v>
      </c>
      <c r="AV40" s="425" t="s">
        <v>69</v>
      </c>
      <c r="AW40" s="425" t="s">
        <v>69</v>
      </c>
      <c r="AX40" s="425">
        <v>3</v>
      </c>
      <c r="AY40" s="425" t="s">
        <v>69</v>
      </c>
      <c r="AZ40" s="425" t="s">
        <v>69</v>
      </c>
      <c r="BA40" s="425" t="s">
        <v>69</v>
      </c>
      <c r="BB40" s="425" t="s">
        <v>69</v>
      </c>
      <c r="BC40" s="425" t="s">
        <v>69</v>
      </c>
      <c r="BD40" s="425">
        <v>4</v>
      </c>
      <c r="BE40" s="425" t="s">
        <v>69</v>
      </c>
      <c r="BF40" s="425" t="s">
        <v>69</v>
      </c>
      <c r="BG40" s="425" t="s">
        <v>69</v>
      </c>
      <c r="BH40" s="425" t="s">
        <v>69</v>
      </c>
      <c r="BI40" s="425" t="s">
        <v>69</v>
      </c>
      <c r="BJ40" s="425" t="s">
        <v>69</v>
      </c>
      <c r="BK40" s="425" t="s">
        <v>69</v>
      </c>
      <c r="BL40" s="425" t="s">
        <v>69</v>
      </c>
      <c r="BM40" s="425" t="s">
        <v>69</v>
      </c>
      <c r="BN40" s="425" t="s">
        <v>69</v>
      </c>
      <c r="BO40" s="425" t="s">
        <v>69</v>
      </c>
      <c r="BP40" s="425" t="s">
        <v>69</v>
      </c>
      <c r="BQ40" s="425" t="s">
        <v>69</v>
      </c>
      <c r="BR40" s="425">
        <v>3</v>
      </c>
      <c r="BS40" s="425" t="s">
        <v>69</v>
      </c>
      <c r="BT40" s="425" t="s">
        <v>69</v>
      </c>
      <c r="BU40" s="425" t="s">
        <v>69</v>
      </c>
      <c r="BV40" s="425" t="s">
        <v>69</v>
      </c>
      <c r="BW40" s="425" t="s">
        <v>69</v>
      </c>
      <c r="BX40" s="425" t="s">
        <v>69</v>
      </c>
      <c r="BY40" s="425" t="s">
        <v>69</v>
      </c>
      <c r="BZ40" s="425">
        <v>4</v>
      </c>
      <c r="CA40" s="425" t="s">
        <v>69</v>
      </c>
      <c r="CB40" s="425" t="s">
        <v>69</v>
      </c>
      <c r="CC40" s="425" t="s">
        <v>69</v>
      </c>
      <c r="CD40" s="425" t="s">
        <v>69</v>
      </c>
      <c r="CE40" s="425" t="s">
        <v>69</v>
      </c>
      <c r="CF40" s="425" t="s">
        <v>69</v>
      </c>
      <c r="CG40" s="425">
        <v>4</v>
      </c>
      <c r="CH40" s="425" t="s">
        <v>69</v>
      </c>
      <c r="CI40" s="425" t="s">
        <v>69</v>
      </c>
      <c r="CJ40" s="425" t="s">
        <v>69</v>
      </c>
      <c r="CK40" s="425">
        <v>3</v>
      </c>
      <c r="CL40" s="425" t="s">
        <v>69</v>
      </c>
      <c r="CM40" s="425">
        <v>3</v>
      </c>
      <c r="CN40" s="425">
        <v>4</v>
      </c>
      <c r="CO40" s="425">
        <v>4</v>
      </c>
      <c r="CP40" s="425">
        <v>4</v>
      </c>
      <c r="CQ40" s="425">
        <v>4</v>
      </c>
      <c r="CR40" s="425" t="s">
        <v>69</v>
      </c>
      <c r="CS40" s="425" t="s">
        <v>69</v>
      </c>
      <c r="CT40" s="425" t="s">
        <v>69</v>
      </c>
      <c r="CU40" s="425" t="s">
        <v>69</v>
      </c>
      <c r="CV40" s="425" t="s">
        <v>69</v>
      </c>
      <c r="CW40" s="425" t="s">
        <v>69</v>
      </c>
      <c r="CX40" s="425" t="s">
        <v>69</v>
      </c>
      <c r="CY40" s="425" t="s">
        <v>69</v>
      </c>
      <c r="CZ40" s="425" t="s">
        <v>69</v>
      </c>
      <c r="DA40" s="425" t="s">
        <v>69</v>
      </c>
      <c r="DB40" s="425" t="s">
        <v>69</v>
      </c>
      <c r="DC40" s="425" t="s">
        <v>69</v>
      </c>
      <c r="DD40" s="425" t="s">
        <v>69</v>
      </c>
      <c r="DE40" s="425" t="s">
        <v>69</v>
      </c>
      <c r="DF40" s="425" t="s">
        <v>69</v>
      </c>
      <c r="DG40" s="425" t="s">
        <v>69</v>
      </c>
      <c r="DH40" s="425" t="s">
        <v>69</v>
      </c>
      <c r="DI40" s="425" t="s">
        <v>69</v>
      </c>
      <c r="DJ40" s="425" t="s">
        <v>69</v>
      </c>
      <c r="DK40" s="425" t="s">
        <v>69</v>
      </c>
      <c r="DL40" s="425" t="s">
        <v>69</v>
      </c>
      <c r="DM40" s="425" t="s">
        <v>69</v>
      </c>
      <c r="DN40" s="425" t="s">
        <v>69</v>
      </c>
      <c r="DO40" s="425" t="s">
        <v>69</v>
      </c>
      <c r="DP40" s="425" t="s">
        <v>69</v>
      </c>
      <c r="DQ40" s="425" t="s">
        <v>69</v>
      </c>
      <c r="DR40" s="425" t="s">
        <v>69</v>
      </c>
      <c r="DS40" s="425" t="s">
        <v>69</v>
      </c>
      <c r="DT40" s="425" t="s">
        <v>69</v>
      </c>
      <c r="DU40" s="422" t="s">
        <v>69</v>
      </c>
      <c r="DV40" s="425" t="s">
        <v>69</v>
      </c>
      <c r="DW40" s="425">
        <v>3</v>
      </c>
      <c r="DX40" s="425">
        <v>2</v>
      </c>
      <c r="DY40" s="423">
        <f t="shared" si="0"/>
        <v>0.2857142857142857</v>
      </c>
      <c r="DZ40" s="424">
        <f t="shared" si="1"/>
        <v>0.94444444444444442</v>
      </c>
      <c r="EA40" s="519"/>
    </row>
    <row r="41" spans="1:131" s="18" customFormat="1" ht="66.599999999999994" thickBot="1">
      <c r="A41" s="420" t="s">
        <v>628</v>
      </c>
      <c r="B41" s="414" t="s">
        <v>545</v>
      </c>
      <c r="C41" s="419">
        <v>45449</v>
      </c>
      <c r="D41" s="418" t="s">
        <v>1183</v>
      </c>
      <c r="E41" s="429" t="s">
        <v>898</v>
      </c>
      <c r="F41" s="425" t="s">
        <v>69</v>
      </c>
      <c r="G41" s="425" t="s">
        <v>69</v>
      </c>
      <c r="H41" s="425" t="s">
        <v>69</v>
      </c>
      <c r="I41" s="425" t="s">
        <v>69</v>
      </c>
      <c r="J41" s="425" t="s">
        <v>69</v>
      </c>
      <c r="K41" s="425" t="s">
        <v>69</v>
      </c>
      <c r="L41" s="425" t="s">
        <v>69</v>
      </c>
      <c r="M41" s="425" t="s">
        <v>69</v>
      </c>
      <c r="N41" s="425" t="s">
        <v>69</v>
      </c>
      <c r="O41" s="425" t="s">
        <v>69</v>
      </c>
      <c r="P41" s="425" t="s">
        <v>69</v>
      </c>
      <c r="Q41" s="425" t="s">
        <v>69</v>
      </c>
      <c r="R41" s="425" t="s">
        <v>69</v>
      </c>
      <c r="S41" s="425" t="s">
        <v>69</v>
      </c>
      <c r="T41" s="425" t="s">
        <v>69</v>
      </c>
      <c r="U41" s="425" t="s">
        <v>69</v>
      </c>
      <c r="V41" s="425" t="s">
        <v>69</v>
      </c>
      <c r="W41" s="425" t="s">
        <v>69</v>
      </c>
      <c r="X41" s="425" t="s">
        <v>69</v>
      </c>
      <c r="Y41" s="425" t="s">
        <v>69</v>
      </c>
      <c r="Z41" s="425" t="s">
        <v>69</v>
      </c>
      <c r="AA41" s="425" t="s">
        <v>69</v>
      </c>
      <c r="AB41" s="425" t="s">
        <v>69</v>
      </c>
      <c r="AC41" s="425" t="s">
        <v>69</v>
      </c>
      <c r="AD41" s="425" t="s">
        <v>69</v>
      </c>
      <c r="AE41" s="425" t="s">
        <v>69</v>
      </c>
      <c r="AF41" s="425" t="s">
        <v>69</v>
      </c>
      <c r="AG41" s="425" t="s">
        <v>69</v>
      </c>
      <c r="AH41" s="425" t="s">
        <v>69</v>
      </c>
      <c r="AI41" s="425" t="s">
        <v>69</v>
      </c>
      <c r="AJ41" s="425" t="s">
        <v>69</v>
      </c>
      <c r="AK41" s="425" t="s">
        <v>69</v>
      </c>
      <c r="AL41" s="425">
        <v>4</v>
      </c>
      <c r="AM41" s="425">
        <v>3</v>
      </c>
      <c r="AN41" s="425">
        <v>3</v>
      </c>
      <c r="AO41" s="425">
        <v>3</v>
      </c>
      <c r="AP41" s="425">
        <v>3</v>
      </c>
      <c r="AQ41" s="425" t="s">
        <v>69</v>
      </c>
      <c r="AR41" s="425" t="s">
        <v>69</v>
      </c>
      <c r="AS41" s="425" t="s">
        <v>69</v>
      </c>
      <c r="AT41" s="425" t="s">
        <v>69</v>
      </c>
      <c r="AU41" s="425" t="s">
        <v>69</v>
      </c>
      <c r="AV41" s="425" t="s">
        <v>69</v>
      </c>
      <c r="AW41" s="425" t="s">
        <v>69</v>
      </c>
      <c r="AX41" s="425" t="s">
        <v>69</v>
      </c>
      <c r="AY41" s="425" t="s">
        <v>69</v>
      </c>
      <c r="AZ41" s="425" t="s">
        <v>69</v>
      </c>
      <c r="BA41" s="425" t="s">
        <v>69</v>
      </c>
      <c r="BB41" s="425" t="s">
        <v>69</v>
      </c>
      <c r="BC41" s="425" t="s">
        <v>69</v>
      </c>
      <c r="BD41" s="425" t="s">
        <v>69</v>
      </c>
      <c r="BE41" s="425" t="s">
        <v>69</v>
      </c>
      <c r="BF41" s="425" t="s">
        <v>69</v>
      </c>
      <c r="BG41" s="425" t="s">
        <v>69</v>
      </c>
      <c r="BH41" s="425" t="s">
        <v>69</v>
      </c>
      <c r="BI41" s="425" t="s">
        <v>69</v>
      </c>
      <c r="BJ41" s="425" t="s">
        <v>69</v>
      </c>
      <c r="BK41" s="425" t="s">
        <v>69</v>
      </c>
      <c r="BL41" s="425" t="s">
        <v>69</v>
      </c>
      <c r="BM41" s="425" t="s">
        <v>69</v>
      </c>
      <c r="BN41" s="425" t="s">
        <v>69</v>
      </c>
      <c r="BO41" s="425" t="s">
        <v>69</v>
      </c>
      <c r="BP41" s="425" t="s">
        <v>69</v>
      </c>
      <c r="BQ41" s="425" t="s">
        <v>69</v>
      </c>
      <c r="BR41" s="425" t="s">
        <v>69</v>
      </c>
      <c r="BS41" s="425" t="s">
        <v>69</v>
      </c>
      <c r="BT41" s="425" t="s">
        <v>69</v>
      </c>
      <c r="BU41" s="425" t="s">
        <v>69</v>
      </c>
      <c r="BV41" s="425" t="s">
        <v>69</v>
      </c>
      <c r="BW41" s="425" t="s">
        <v>69</v>
      </c>
      <c r="BX41" s="425" t="s">
        <v>69</v>
      </c>
      <c r="BY41" s="425" t="s">
        <v>69</v>
      </c>
      <c r="BZ41" s="425" t="s">
        <v>69</v>
      </c>
      <c r="CA41" s="425">
        <v>3</v>
      </c>
      <c r="CB41" s="425" t="s">
        <v>69</v>
      </c>
      <c r="CC41" s="425" t="s">
        <v>69</v>
      </c>
      <c r="CD41" s="425" t="s">
        <v>69</v>
      </c>
      <c r="CE41" s="425" t="s">
        <v>69</v>
      </c>
      <c r="CF41" s="425" t="s">
        <v>69</v>
      </c>
      <c r="CG41" s="425" t="s">
        <v>69</v>
      </c>
      <c r="CH41" s="425" t="s">
        <v>69</v>
      </c>
      <c r="CI41" s="425" t="s">
        <v>69</v>
      </c>
      <c r="CJ41" s="425" t="s">
        <v>69</v>
      </c>
      <c r="CK41" s="425" t="s">
        <v>69</v>
      </c>
      <c r="CL41" s="425" t="s">
        <v>69</v>
      </c>
      <c r="CM41" s="425">
        <v>4</v>
      </c>
      <c r="CN41" s="425">
        <v>2</v>
      </c>
      <c r="CO41" s="425">
        <v>4</v>
      </c>
      <c r="CP41" s="425">
        <v>4</v>
      </c>
      <c r="CQ41" s="425">
        <v>4</v>
      </c>
      <c r="CR41" s="425" t="s">
        <v>69</v>
      </c>
      <c r="CS41" s="425" t="s">
        <v>69</v>
      </c>
      <c r="CT41" s="425" t="s">
        <v>69</v>
      </c>
      <c r="CU41" s="425" t="s">
        <v>69</v>
      </c>
      <c r="CV41" s="425" t="s">
        <v>69</v>
      </c>
      <c r="CW41" s="425" t="s">
        <v>69</v>
      </c>
      <c r="CX41" s="425" t="s">
        <v>69</v>
      </c>
      <c r="CY41" s="425" t="s">
        <v>69</v>
      </c>
      <c r="CZ41" s="425" t="s">
        <v>69</v>
      </c>
      <c r="DA41" s="425" t="s">
        <v>69</v>
      </c>
      <c r="DB41" s="425" t="s">
        <v>69</v>
      </c>
      <c r="DC41" s="425" t="s">
        <v>69</v>
      </c>
      <c r="DD41" s="425" t="s">
        <v>69</v>
      </c>
      <c r="DE41" s="425" t="s">
        <v>69</v>
      </c>
      <c r="DF41" s="425" t="s">
        <v>69</v>
      </c>
      <c r="DG41" s="425" t="s">
        <v>69</v>
      </c>
      <c r="DH41" s="425">
        <v>3</v>
      </c>
      <c r="DI41" s="425">
        <v>3</v>
      </c>
      <c r="DJ41" s="425" t="s">
        <v>69</v>
      </c>
      <c r="DK41" s="425" t="s">
        <v>69</v>
      </c>
      <c r="DL41" s="425" t="s">
        <v>69</v>
      </c>
      <c r="DM41" s="425" t="s">
        <v>69</v>
      </c>
      <c r="DN41" s="425" t="s">
        <v>69</v>
      </c>
      <c r="DO41" s="425" t="s">
        <v>69</v>
      </c>
      <c r="DP41" s="425" t="s">
        <v>69</v>
      </c>
      <c r="DQ41" s="425" t="s">
        <v>69</v>
      </c>
      <c r="DR41" s="425" t="s">
        <v>69</v>
      </c>
      <c r="DS41" s="425" t="s">
        <v>69</v>
      </c>
      <c r="DT41" s="425" t="s">
        <v>69</v>
      </c>
      <c r="DU41" s="422" t="s">
        <v>69</v>
      </c>
      <c r="DV41" s="425" t="s">
        <v>69</v>
      </c>
      <c r="DW41" s="425" t="s">
        <v>69</v>
      </c>
      <c r="DX41" s="425">
        <v>2</v>
      </c>
      <c r="DY41" s="423">
        <f t="shared" si="0"/>
        <v>0.22222222222222221</v>
      </c>
      <c r="DZ41" s="424">
        <f t="shared" si="1"/>
        <v>0.8571428571428571</v>
      </c>
      <c r="EA41" s="519"/>
    </row>
    <row r="42" spans="1:131" s="18" customFormat="1" ht="66.599999999999994" thickBot="1">
      <c r="A42" s="520" t="s">
        <v>548</v>
      </c>
      <c r="B42" s="521" t="s">
        <v>549</v>
      </c>
      <c r="C42" s="522">
        <v>45327</v>
      </c>
      <c r="D42" s="418" t="s">
        <v>1183</v>
      </c>
      <c r="E42" s="429" t="s">
        <v>898</v>
      </c>
      <c r="F42" s="425" t="s">
        <v>69</v>
      </c>
      <c r="G42" s="425" t="s">
        <v>69</v>
      </c>
      <c r="H42" s="425" t="s">
        <v>69</v>
      </c>
      <c r="I42" s="425" t="s">
        <v>69</v>
      </c>
      <c r="J42" s="425" t="s">
        <v>69</v>
      </c>
      <c r="K42" s="425" t="s">
        <v>69</v>
      </c>
      <c r="L42" s="425" t="s">
        <v>69</v>
      </c>
      <c r="M42" s="425" t="s">
        <v>69</v>
      </c>
      <c r="N42" s="425" t="s">
        <v>69</v>
      </c>
      <c r="O42" s="425" t="s">
        <v>69</v>
      </c>
      <c r="P42" s="425" t="s">
        <v>69</v>
      </c>
      <c r="Q42" s="425" t="s">
        <v>69</v>
      </c>
      <c r="R42" s="425" t="s">
        <v>69</v>
      </c>
      <c r="S42" s="425" t="s">
        <v>69</v>
      </c>
      <c r="T42" s="425" t="s">
        <v>69</v>
      </c>
      <c r="U42" s="425" t="s">
        <v>69</v>
      </c>
      <c r="V42" s="425" t="s">
        <v>69</v>
      </c>
      <c r="W42" s="425" t="s">
        <v>69</v>
      </c>
      <c r="X42" s="425" t="s">
        <v>69</v>
      </c>
      <c r="Y42" s="425" t="s">
        <v>69</v>
      </c>
      <c r="Z42" s="425" t="s">
        <v>69</v>
      </c>
      <c r="AA42" s="425" t="s">
        <v>69</v>
      </c>
      <c r="AB42" s="425" t="s">
        <v>69</v>
      </c>
      <c r="AC42" s="425" t="s">
        <v>69</v>
      </c>
      <c r="AD42" s="425" t="s">
        <v>69</v>
      </c>
      <c r="AE42" s="425">
        <v>2</v>
      </c>
      <c r="AF42" s="425" t="s">
        <v>69</v>
      </c>
      <c r="AG42" s="425" t="s">
        <v>69</v>
      </c>
      <c r="AH42" s="425">
        <v>4</v>
      </c>
      <c r="AI42" s="425">
        <v>4</v>
      </c>
      <c r="AJ42" s="425" t="s">
        <v>69</v>
      </c>
      <c r="AK42" s="425" t="s">
        <v>69</v>
      </c>
      <c r="AL42" s="425" t="s">
        <v>69</v>
      </c>
      <c r="AM42" s="425" t="s">
        <v>69</v>
      </c>
      <c r="AN42" s="425" t="s">
        <v>69</v>
      </c>
      <c r="AO42" s="425">
        <v>2</v>
      </c>
      <c r="AP42" s="425" t="s">
        <v>69</v>
      </c>
      <c r="AQ42" s="425" t="s">
        <v>69</v>
      </c>
      <c r="AR42" s="425" t="s">
        <v>69</v>
      </c>
      <c r="AS42" s="425" t="s">
        <v>69</v>
      </c>
      <c r="AT42" s="425" t="s">
        <v>69</v>
      </c>
      <c r="AU42" s="425" t="s">
        <v>69</v>
      </c>
      <c r="AV42" s="425" t="s">
        <v>69</v>
      </c>
      <c r="AW42" s="425" t="s">
        <v>69</v>
      </c>
      <c r="AX42" s="425" t="s">
        <v>69</v>
      </c>
      <c r="AY42" s="425" t="s">
        <v>69</v>
      </c>
      <c r="AZ42" s="425" t="s">
        <v>69</v>
      </c>
      <c r="BA42" s="425" t="s">
        <v>69</v>
      </c>
      <c r="BB42" s="425" t="s">
        <v>69</v>
      </c>
      <c r="BC42" s="425" t="s">
        <v>69</v>
      </c>
      <c r="BD42" s="425" t="s">
        <v>69</v>
      </c>
      <c r="BE42" s="425" t="s">
        <v>69</v>
      </c>
      <c r="BF42" s="425" t="s">
        <v>69</v>
      </c>
      <c r="BG42" s="425" t="s">
        <v>69</v>
      </c>
      <c r="BH42" s="425" t="s">
        <v>69</v>
      </c>
      <c r="BI42" s="425" t="s">
        <v>69</v>
      </c>
      <c r="BJ42" s="425" t="s">
        <v>69</v>
      </c>
      <c r="BK42" s="425" t="s">
        <v>69</v>
      </c>
      <c r="BL42" s="425" t="s">
        <v>69</v>
      </c>
      <c r="BM42" s="425" t="s">
        <v>69</v>
      </c>
      <c r="BN42" s="425">
        <v>3</v>
      </c>
      <c r="BO42" s="425" t="s">
        <v>69</v>
      </c>
      <c r="BP42" s="425" t="s">
        <v>69</v>
      </c>
      <c r="BQ42" s="425" t="s">
        <v>69</v>
      </c>
      <c r="BR42" s="425" t="s">
        <v>69</v>
      </c>
      <c r="BS42" s="425" t="s">
        <v>69</v>
      </c>
      <c r="BT42" s="425" t="s">
        <v>69</v>
      </c>
      <c r="BU42" s="425" t="s">
        <v>69</v>
      </c>
      <c r="BV42" s="425" t="s">
        <v>69</v>
      </c>
      <c r="BW42" s="425" t="s">
        <v>69</v>
      </c>
      <c r="BX42" s="425" t="s">
        <v>69</v>
      </c>
      <c r="BY42" s="425" t="s">
        <v>69</v>
      </c>
      <c r="BZ42" s="425" t="s">
        <v>69</v>
      </c>
      <c r="CA42" s="425" t="s">
        <v>69</v>
      </c>
      <c r="CB42" s="425" t="s">
        <v>69</v>
      </c>
      <c r="CC42" s="425" t="s">
        <v>69</v>
      </c>
      <c r="CD42" s="425" t="s">
        <v>69</v>
      </c>
      <c r="CE42" s="425" t="s">
        <v>69</v>
      </c>
      <c r="CF42" s="425" t="s">
        <v>69</v>
      </c>
      <c r="CG42" s="425" t="s">
        <v>69</v>
      </c>
      <c r="CH42" s="425">
        <v>3</v>
      </c>
      <c r="CI42" s="425">
        <v>4</v>
      </c>
      <c r="CJ42" s="425">
        <v>4</v>
      </c>
      <c r="CK42" s="425" t="s">
        <v>69</v>
      </c>
      <c r="CL42" s="425" t="s">
        <v>69</v>
      </c>
      <c r="CM42" s="425" t="s">
        <v>69</v>
      </c>
      <c r="CN42" s="425">
        <v>2</v>
      </c>
      <c r="CO42" s="425">
        <v>3</v>
      </c>
      <c r="CP42" s="425">
        <v>3</v>
      </c>
      <c r="CQ42" s="425">
        <v>3</v>
      </c>
      <c r="CR42" s="425" t="s">
        <v>69</v>
      </c>
      <c r="CS42" s="425" t="s">
        <v>69</v>
      </c>
      <c r="CT42" s="425">
        <v>4</v>
      </c>
      <c r="CU42" s="425">
        <v>4</v>
      </c>
      <c r="CV42" s="425" t="s">
        <v>69</v>
      </c>
      <c r="CW42" s="425" t="s">
        <v>69</v>
      </c>
      <c r="CX42" s="425" t="s">
        <v>69</v>
      </c>
      <c r="CY42" s="425" t="s">
        <v>69</v>
      </c>
      <c r="CZ42" s="425" t="s">
        <v>69</v>
      </c>
      <c r="DA42" s="425" t="s">
        <v>69</v>
      </c>
      <c r="DB42" s="425" t="s">
        <v>69</v>
      </c>
      <c r="DC42" s="425" t="s">
        <v>69</v>
      </c>
      <c r="DD42" s="425" t="s">
        <v>69</v>
      </c>
      <c r="DE42" s="425">
        <v>3</v>
      </c>
      <c r="DF42" s="425" t="s">
        <v>69</v>
      </c>
      <c r="DG42" s="425" t="s">
        <v>69</v>
      </c>
      <c r="DH42" s="425" t="s">
        <v>69</v>
      </c>
      <c r="DI42" s="425" t="s">
        <v>69</v>
      </c>
      <c r="DJ42" s="425" t="s">
        <v>69</v>
      </c>
      <c r="DK42" s="425" t="s">
        <v>69</v>
      </c>
      <c r="DL42" s="425" t="s">
        <v>69</v>
      </c>
      <c r="DM42" s="425">
        <v>2</v>
      </c>
      <c r="DN42" s="425" t="s">
        <v>69</v>
      </c>
      <c r="DO42" s="425" t="s">
        <v>69</v>
      </c>
      <c r="DP42" s="425" t="s">
        <v>69</v>
      </c>
      <c r="DQ42" s="425" t="s">
        <v>69</v>
      </c>
      <c r="DR42" s="425" t="s">
        <v>69</v>
      </c>
      <c r="DS42" s="425" t="s">
        <v>69</v>
      </c>
      <c r="DT42" s="425" t="s">
        <v>69</v>
      </c>
      <c r="DU42" s="422" t="s">
        <v>69</v>
      </c>
      <c r="DV42" s="425" t="s">
        <v>69</v>
      </c>
      <c r="DW42" s="425" t="s">
        <v>69</v>
      </c>
      <c r="DX42" s="425">
        <v>3</v>
      </c>
      <c r="DY42" s="423">
        <f t="shared" si="0"/>
        <v>0.26984126984126983</v>
      </c>
      <c r="DZ42" s="424">
        <f t="shared" si="1"/>
        <v>0.76470588235294112</v>
      </c>
      <c r="EA42" s="519"/>
    </row>
    <row r="43" spans="1:131" s="18" customFormat="1" ht="66.599999999999994" thickBot="1">
      <c r="A43" s="520" t="s">
        <v>552</v>
      </c>
      <c r="B43" s="521" t="s">
        <v>553</v>
      </c>
      <c r="C43" s="522" t="s">
        <v>626</v>
      </c>
      <c r="D43" s="523" t="s">
        <v>1183</v>
      </c>
      <c r="E43" s="429" t="s">
        <v>898</v>
      </c>
      <c r="F43" s="425">
        <v>4</v>
      </c>
      <c r="G43" s="425">
        <v>3</v>
      </c>
      <c r="H43" s="425">
        <v>4</v>
      </c>
      <c r="I43" s="425" t="s">
        <v>69</v>
      </c>
      <c r="J43" s="425" t="s">
        <v>69</v>
      </c>
      <c r="K43" s="425" t="s">
        <v>69</v>
      </c>
      <c r="L43" s="425" t="s">
        <v>69</v>
      </c>
      <c r="M43" s="425">
        <v>4</v>
      </c>
      <c r="N43" s="425">
        <v>4</v>
      </c>
      <c r="O43" s="425">
        <v>4</v>
      </c>
      <c r="P43" s="425" t="s">
        <v>69</v>
      </c>
      <c r="Q43" s="425" t="s">
        <v>69</v>
      </c>
      <c r="R43" s="425" t="s">
        <v>69</v>
      </c>
      <c r="S43" s="425" t="s">
        <v>69</v>
      </c>
      <c r="T43" s="425" t="s">
        <v>69</v>
      </c>
      <c r="U43" s="425" t="s">
        <v>69</v>
      </c>
      <c r="V43" s="425" t="s">
        <v>69</v>
      </c>
      <c r="W43" s="425" t="s">
        <v>69</v>
      </c>
      <c r="X43" s="425" t="s">
        <v>69</v>
      </c>
      <c r="Y43" s="425" t="s">
        <v>69</v>
      </c>
      <c r="Z43" s="425" t="s">
        <v>69</v>
      </c>
      <c r="AA43" s="425">
        <v>4</v>
      </c>
      <c r="AB43" s="425" t="s">
        <v>69</v>
      </c>
      <c r="AC43" s="425">
        <v>4</v>
      </c>
      <c r="AD43" s="425" t="s">
        <v>69</v>
      </c>
      <c r="AE43" s="425" t="s">
        <v>69</v>
      </c>
      <c r="AF43" s="425" t="s">
        <v>69</v>
      </c>
      <c r="AG43" s="425" t="s">
        <v>69</v>
      </c>
      <c r="AH43" s="425" t="s">
        <v>69</v>
      </c>
      <c r="AI43" s="425" t="s">
        <v>69</v>
      </c>
      <c r="AJ43" s="425" t="s">
        <v>69</v>
      </c>
      <c r="AK43" s="425" t="s">
        <v>69</v>
      </c>
      <c r="AL43" s="425" t="s">
        <v>69</v>
      </c>
      <c r="AM43" s="425" t="s">
        <v>69</v>
      </c>
      <c r="AN43" s="425" t="s">
        <v>69</v>
      </c>
      <c r="AO43" s="425" t="s">
        <v>69</v>
      </c>
      <c r="AP43" s="425" t="s">
        <v>69</v>
      </c>
      <c r="AQ43" s="425" t="s">
        <v>69</v>
      </c>
      <c r="AR43" s="425">
        <v>4</v>
      </c>
      <c r="AS43" s="425" t="s">
        <v>69</v>
      </c>
      <c r="AT43" s="425" t="s">
        <v>69</v>
      </c>
      <c r="AU43" s="425" t="s">
        <v>69</v>
      </c>
      <c r="AV43" s="425" t="s">
        <v>69</v>
      </c>
      <c r="AW43" s="425">
        <v>4</v>
      </c>
      <c r="AX43" s="425">
        <v>4</v>
      </c>
      <c r="AY43" s="425" t="s">
        <v>69</v>
      </c>
      <c r="AZ43" s="425" t="s">
        <v>69</v>
      </c>
      <c r="BA43" s="425" t="s">
        <v>69</v>
      </c>
      <c r="BB43" s="425" t="s">
        <v>69</v>
      </c>
      <c r="BC43" s="425" t="s">
        <v>69</v>
      </c>
      <c r="BD43" s="425" t="s">
        <v>69</v>
      </c>
      <c r="BE43" s="425" t="s">
        <v>69</v>
      </c>
      <c r="BF43" s="425" t="s">
        <v>69</v>
      </c>
      <c r="BG43" s="425" t="s">
        <v>69</v>
      </c>
      <c r="BH43" s="425" t="s">
        <v>69</v>
      </c>
      <c r="BI43" s="425" t="s">
        <v>69</v>
      </c>
      <c r="BJ43" s="425" t="s">
        <v>69</v>
      </c>
      <c r="BK43" s="425" t="s">
        <v>69</v>
      </c>
      <c r="BL43" s="425" t="s">
        <v>69</v>
      </c>
      <c r="BM43" s="425" t="s">
        <v>69</v>
      </c>
      <c r="BN43" s="425" t="s">
        <v>69</v>
      </c>
      <c r="BO43" s="425" t="s">
        <v>69</v>
      </c>
      <c r="BP43" s="425" t="s">
        <v>69</v>
      </c>
      <c r="BQ43" s="425" t="s">
        <v>69</v>
      </c>
      <c r="BR43" s="425">
        <v>4</v>
      </c>
      <c r="BS43" s="425" t="s">
        <v>69</v>
      </c>
      <c r="BT43" s="425" t="s">
        <v>69</v>
      </c>
      <c r="BU43" s="425" t="s">
        <v>69</v>
      </c>
      <c r="BV43" s="425" t="s">
        <v>69</v>
      </c>
      <c r="BW43" s="425" t="s">
        <v>69</v>
      </c>
      <c r="BX43" s="425" t="s">
        <v>69</v>
      </c>
      <c r="BY43" s="425">
        <v>4</v>
      </c>
      <c r="BZ43" s="425" t="s">
        <v>69</v>
      </c>
      <c r="CA43" s="425" t="s">
        <v>69</v>
      </c>
      <c r="CB43" s="425" t="s">
        <v>69</v>
      </c>
      <c r="CC43" s="425" t="s">
        <v>69</v>
      </c>
      <c r="CD43" s="425" t="s">
        <v>69</v>
      </c>
      <c r="CE43" s="425" t="s">
        <v>69</v>
      </c>
      <c r="CF43" s="425" t="s">
        <v>69</v>
      </c>
      <c r="CG43" s="425">
        <v>4</v>
      </c>
      <c r="CH43" s="425" t="s">
        <v>69</v>
      </c>
      <c r="CI43" s="425" t="s">
        <v>69</v>
      </c>
      <c r="CJ43" s="425" t="s">
        <v>69</v>
      </c>
      <c r="CK43" s="425" t="s">
        <v>69</v>
      </c>
      <c r="CL43" s="425" t="s">
        <v>69</v>
      </c>
      <c r="CM43" s="425">
        <v>2</v>
      </c>
      <c r="CN43" s="425">
        <v>2</v>
      </c>
      <c r="CO43" s="425">
        <v>4</v>
      </c>
      <c r="CP43" s="425">
        <v>4</v>
      </c>
      <c r="CQ43" s="425">
        <v>4</v>
      </c>
      <c r="CR43" s="425" t="s">
        <v>69</v>
      </c>
      <c r="CS43" s="425" t="s">
        <v>69</v>
      </c>
      <c r="CT43" s="425">
        <v>4</v>
      </c>
      <c r="CU43" s="425" t="s">
        <v>69</v>
      </c>
      <c r="CV43" s="425" t="s">
        <v>69</v>
      </c>
      <c r="CW43" s="425" t="s">
        <v>69</v>
      </c>
      <c r="CX43" s="425" t="s">
        <v>69</v>
      </c>
      <c r="CY43" s="425" t="s">
        <v>69</v>
      </c>
      <c r="CZ43" s="425">
        <v>4</v>
      </c>
      <c r="DA43" s="425" t="s">
        <v>69</v>
      </c>
      <c r="DB43" s="425" t="s">
        <v>69</v>
      </c>
      <c r="DC43" s="425" t="s">
        <v>69</v>
      </c>
      <c r="DD43" s="425" t="s">
        <v>69</v>
      </c>
      <c r="DE43" s="425" t="s">
        <v>69</v>
      </c>
      <c r="DF43" s="425">
        <v>4</v>
      </c>
      <c r="DG43" s="425" t="s">
        <v>69</v>
      </c>
      <c r="DH43" s="425" t="s">
        <v>69</v>
      </c>
      <c r="DI43" s="425" t="s">
        <v>69</v>
      </c>
      <c r="DJ43" s="425" t="s">
        <v>69</v>
      </c>
      <c r="DK43" s="425" t="s">
        <v>69</v>
      </c>
      <c r="DL43" s="425" t="s">
        <v>69</v>
      </c>
      <c r="DM43" s="425" t="s">
        <v>69</v>
      </c>
      <c r="DN43" s="425" t="s">
        <v>69</v>
      </c>
      <c r="DO43" s="425" t="s">
        <v>69</v>
      </c>
      <c r="DP43" s="425" t="s">
        <v>69</v>
      </c>
      <c r="DQ43" s="425" t="s">
        <v>69</v>
      </c>
      <c r="DR43" s="425" t="s">
        <v>69</v>
      </c>
      <c r="DS43" s="425" t="s">
        <v>69</v>
      </c>
      <c r="DT43" s="425" t="s">
        <v>69</v>
      </c>
      <c r="DU43" s="422" t="s">
        <v>69</v>
      </c>
      <c r="DV43" s="425" t="s">
        <v>69</v>
      </c>
      <c r="DW43" s="425" t="s">
        <v>69</v>
      </c>
      <c r="DX43" s="425">
        <v>3</v>
      </c>
      <c r="DY43" s="423">
        <f t="shared" si="0"/>
        <v>0.36507936507936506</v>
      </c>
      <c r="DZ43" s="424">
        <f t="shared" si="1"/>
        <v>0.91304347826086951</v>
      </c>
      <c r="EA43" s="519"/>
    </row>
    <row r="44" spans="1:131" s="415" customFormat="1" ht="66.599999999999994" thickBot="1">
      <c r="A44" s="420" t="s">
        <v>556</v>
      </c>
      <c r="B44" s="414" t="s">
        <v>557</v>
      </c>
      <c r="C44" s="419">
        <v>45331</v>
      </c>
      <c r="D44" s="418" t="s">
        <v>1183</v>
      </c>
      <c r="E44" s="429" t="s">
        <v>898</v>
      </c>
      <c r="F44" s="425">
        <v>4</v>
      </c>
      <c r="G44" s="425">
        <v>4</v>
      </c>
      <c r="H44" s="425">
        <v>4</v>
      </c>
      <c r="I44" s="425">
        <v>4</v>
      </c>
      <c r="J44" s="425">
        <v>4</v>
      </c>
      <c r="K44" s="425" t="s">
        <v>69</v>
      </c>
      <c r="L44" s="425" t="s">
        <v>69</v>
      </c>
      <c r="M44" s="425" t="s">
        <v>69</v>
      </c>
      <c r="N44" s="425" t="s">
        <v>69</v>
      </c>
      <c r="O44" s="425">
        <v>4</v>
      </c>
      <c r="P44" s="425" t="s">
        <v>69</v>
      </c>
      <c r="Q44" s="425" t="s">
        <v>69</v>
      </c>
      <c r="R44" s="425" t="s">
        <v>69</v>
      </c>
      <c r="S44" s="425" t="s">
        <v>69</v>
      </c>
      <c r="T44" s="425" t="s">
        <v>69</v>
      </c>
      <c r="U44" s="425" t="s">
        <v>69</v>
      </c>
      <c r="V44" s="425" t="s">
        <v>69</v>
      </c>
      <c r="W44" s="425" t="s">
        <v>69</v>
      </c>
      <c r="X44" s="425" t="s">
        <v>69</v>
      </c>
      <c r="Y44" s="425" t="s">
        <v>69</v>
      </c>
      <c r="Z44" s="425" t="s">
        <v>69</v>
      </c>
      <c r="AA44" s="425" t="s">
        <v>69</v>
      </c>
      <c r="AB44" s="425" t="s">
        <v>69</v>
      </c>
      <c r="AC44" s="425" t="s">
        <v>69</v>
      </c>
      <c r="AD44" s="425" t="s">
        <v>69</v>
      </c>
      <c r="AE44" s="425" t="s">
        <v>69</v>
      </c>
      <c r="AF44" s="425" t="s">
        <v>69</v>
      </c>
      <c r="AG44" s="425" t="s">
        <v>69</v>
      </c>
      <c r="AH44" s="425" t="s">
        <v>69</v>
      </c>
      <c r="AI44" s="425" t="s">
        <v>69</v>
      </c>
      <c r="AJ44" s="425" t="s">
        <v>69</v>
      </c>
      <c r="AK44" s="425" t="s">
        <v>69</v>
      </c>
      <c r="AL44" s="425" t="s">
        <v>69</v>
      </c>
      <c r="AM44" s="425" t="s">
        <v>69</v>
      </c>
      <c r="AN44" s="425" t="s">
        <v>69</v>
      </c>
      <c r="AO44" s="425" t="s">
        <v>69</v>
      </c>
      <c r="AP44" s="425" t="s">
        <v>69</v>
      </c>
      <c r="AQ44" s="425" t="s">
        <v>69</v>
      </c>
      <c r="AR44" s="425" t="s">
        <v>69</v>
      </c>
      <c r="AS44" s="425">
        <v>4</v>
      </c>
      <c r="AT44" s="425" t="s">
        <v>69</v>
      </c>
      <c r="AU44" s="425" t="s">
        <v>69</v>
      </c>
      <c r="AV44" s="425">
        <v>4</v>
      </c>
      <c r="AW44" s="425" t="s">
        <v>69</v>
      </c>
      <c r="AX44" s="425">
        <v>3</v>
      </c>
      <c r="AY44" s="425">
        <v>3</v>
      </c>
      <c r="AZ44" s="425" t="s">
        <v>69</v>
      </c>
      <c r="BA44" s="425" t="s">
        <v>69</v>
      </c>
      <c r="BB44" s="425" t="s">
        <v>69</v>
      </c>
      <c r="BC44" s="425" t="s">
        <v>69</v>
      </c>
      <c r="BD44" s="425" t="s">
        <v>69</v>
      </c>
      <c r="BE44" s="425">
        <v>4</v>
      </c>
      <c r="BF44" s="425" t="s">
        <v>69</v>
      </c>
      <c r="BG44" s="425" t="s">
        <v>69</v>
      </c>
      <c r="BH44" s="425" t="s">
        <v>69</v>
      </c>
      <c r="BI44" s="425" t="s">
        <v>69</v>
      </c>
      <c r="BJ44" s="425" t="s">
        <v>69</v>
      </c>
      <c r="BK44" s="425" t="s">
        <v>69</v>
      </c>
      <c r="BL44" s="425" t="s">
        <v>69</v>
      </c>
      <c r="BM44" s="425" t="s">
        <v>69</v>
      </c>
      <c r="BN44" s="425" t="s">
        <v>69</v>
      </c>
      <c r="BO44" s="425" t="s">
        <v>69</v>
      </c>
      <c r="BP44" s="425">
        <v>2</v>
      </c>
      <c r="BQ44" s="425" t="s">
        <v>69</v>
      </c>
      <c r="BR44" s="425">
        <v>3</v>
      </c>
      <c r="BS44" s="425">
        <v>4</v>
      </c>
      <c r="BT44" s="425" t="s">
        <v>69</v>
      </c>
      <c r="BU44" s="425" t="s">
        <v>69</v>
      </c>
      <c r="BV44" s="425" t="s">
        <v>69</v>
      </c>
      <c r="BW44" s="425" t="s">
        <v>69</v>
      </c>
      <c r="BX44" s="425" t="s">
        <v>69</v>
      </c>
      <c r="BY44" s="425">
        <v>3</v>
      </c>
      <c r="BZ44" s="425">
        <v>4</v>
      </c>
      <c r="CA44" s="425" t="s">
        <v>69</v>
      </c>
      <c r="CB44" s="425" t="s">
        <v>69</v>
      </c>
      <c r="CC44" s="425" t="s">
        <v>69</v>
      </c>
      <c r="CD44" s="425" t="s">
        <v>69</v>
      </c>
      <c r="CE44" s="425" t="s">
        <v>69</v>
      </c>
      <c r="CF44" s="425" t="s">
        <v>69</v>
      </c>
      <c r="CG44" s="425" t="s">
        <v>69</v>
      </c>
      <c r="CH44" s="425" t="s">
        <v>69</v>
      </c>
      <c r="CI44" s="425" t="s">
        <v>69</v>
      </c>
      <c r="CJ44" s="425" t="s">
        <v>69</v>
      </c>
      <c r="CK44" s="425" t="s">
        <v>69</v>
      </c>
      <c r="CL44" s="425" t="s">
        <v>69</v>
      </c>
      <c r="CM44" s="425" t="s">
        <v>69</v>
      </c>
      <c r="CN44" s="425" t="s">
        <v>69</v>
      </c>
      <c r="CO44" s="425" t="s">
        <v>69</v>
      </c>
      <c r="CP44" s="425" t="s">
        <v>69</v>
      </c>
      <c r="CQ44" s="425" t="s">
        <v>69</v>
      </c>
      <c r="CR44" s="425" t="s">
        <v>69</v>
      </c>
      <c r="CS44" s="425" t="s">
        <v>69</v>
      </c>
      <c r="CT44" s="425" t="s">
        <v>69</v>
      </c>
      <c r="CU44" s="425" t="s">
        <v>69</v>
      </c>
      <c r="CV44" s="425" t="s">
        <v>69</v>
      </c>
      <c r="CW44" s="425" t="s">
        <v>69</v>
      </c>
      <c r="CX44" s="425" t="s">
        <v>69</v>
      </c>
      <c r="CY44" s="425" t="s">
        <v>69</v>
      </c>
      <c r="CZ44" s="425" t="s">
        <v>69</v>
      </c>
      <c r="DA44" s="425" t="s">
        <v>69</v>
      </c>
      <c r="DB44" s="425" t="s">
        <v>69</v>
      </c>
      <c r="DC44" s="425" t="s">
        <v>69</v>
      </c>
      <c r="DD44" s="425" t="s">
        <v>69</v>
      </c>
      <c r="DE44" s="425" t="s">
        <v>69</v>
      </c>
      <c r="DF44" s="425" t="s">
        <v>69</v>
      </c>
      <c r="DG44" s="425" t="s">
        <v>69</v>
      </c>
      <c r="DH44" s="425" t="s">
        <v>69</v>
      </c>
      <c r="DI44" s="425" t="s">
        <v>69</v>
      </c>
      <c r="DJ44" s="425" t="s">
        <v>69</v>
      </c>
      <c r="DK44" s="425" t="s">
        <v>69</v>
      </c>
      <c r="DL44" s="425" t="s">
        <v>69</v>
      </c>
      <c r="DM44" s="425" t="s">
        <v>69</v>
      </c>
      <c r="DN44" s="425" t="s">
        <v>69</v>
      </c>
      <c r="DO44" s="425" t="s">
        <v>69</v>
      </c>
      <c r="DP44" s="425" t="s">
        <v>69</v>
      </c>
      <c r="DQ44" s="425" t="s">
        <v>69</v>
      </c>
      <c r="DR44" s="425" t="s">
        <v>69</v>
      </c>
      <c r="DS44" s="425" t="s">
        <v>69</v>
      </c>
      <c r="DT44" s="425" t="s">
        <v>69</v>
      </c>
      <c r="DU44" s="422" t="s">
        <v>69</v>
      </c>
      <c r="DV44" s="425" t="s">
        <v>69</v>
      </c>
      <c r="DW44" s="425">
        <v>3</v>
      </c>
      <c r="DX44" s="425">
        <v>2</v>
      </c>
      <c r="DY44" s="423">
        <f t="shared" si="0"/>
        <v>0.2857142857142857</v>
      </c>
      <c r="DZ44" s="424">
        <f t="shared" si="1"/>
        <v>0.88888888888888884</v>
      </c>
      <c r="EA44" s="519"/>
    </row>
    <row r="45" spans="1:131" s="18" customFormat="1" ht="66.599999999999994" thickBot="1">
      <c r="A45" s="520" t="s">
        <v>558</v>
      </c>
      <c r="B45" s="521" t="s">
        <v>676</v>
      </c>
      <c r="C45" s="522">
        <v>45331</v>
      </c>
      <c r="D45" s="418" t="s">
        <v>1183</v>
      </c>
      <c r="E45" s="429" t="s">
        <v>898</v>
      </c>
      <c r="F45" s="425">
        <v>4</v>
      </c>
      <c r="G45" s="425" t="s">
        <v>69</v>
      </c>
      <c r="H45" s="425">
        <v>4</v>
      </c>
      <c r="I45" s="425" t="s">
        <v>69</v>
      </c>
      <c r="J45" s="425" t="s">
        <v>69</v>
      </c>
      <c r="K45" s="425" t="s">
        <v>69</v>
      </c>
      <c r="L45" s="425" t="s">
        <v>69</v>
      </c>
      <c r="M45" s="425" t="s">
        <v>69</v>
      </c>
      <c r="N45" s="425" t="s">
        <v>69</v>
      </c>
      <c r="O45" s="425">
        <v>4</v>
      </c>
      <c r="P45" s="425" t="s">
        <v>69</v>
      </c>
      <c r="Q45" s="425" t="s">
        <v>69</v>
      </c>
      <c r="R45" s="425" t="s">
        <v>69</v>
      </c>
      <c r="S45" s="425" t="s">
        <v>69</v>
      </c>
      <c r="T45" s="425" t="s">
        <v>69</v>
      </c>
      <c r="U45" s="425" t="s">
        <v>69</v>
      </c>
      <c r="V45" s="425" t="s">
        <v>69</v>
      </c>
      <c r="W45" s="425" t="s">
        <v>69</v>
      </c>
      <c r="X45" s="425" t="s">
        <v>69</v>
      </c>
      <c r="Y45" s="425" t="s">
        <v>69</v>
      </c>
      <c r="Z45" s="425" t="s">
        <v>69</v>
      </c>
      <c r="AA45" s="425" t="s">
        <v>69</v>
      </c>
      <c r="AB45" s="425" t="s">
        <v>69</v>
      </c>
      <c r="AC45" s="425" t="s">
        <v>69</v>
      </c>
      <c r="AD45" s="425" t="s">
        <v>69</v>
      </c>
      <c r="AE45" s="425" t="s">
        <v>69</v>
      </c>
      <c r="AF45" s="425" t="s">
        <v>69</v>
      </c>
      <c r="AG45" s="425" t="s">
        <v>69</v>
      </c>
      <c r="AH45" s="425" t="s">
        <v>69</v>
      </c>
      <c r="AI45" s="425" t="s">
        <v>69</v>
      </c>
      <c r="AJ45" s="425" t="s">
        <v>69</v>
      </c>
      <c r="AK45" s="425" t="s">
        <v>69</v>
      </c>
      <c r="AL45" s="425" t="s">
        <v>69</v>
      </c>
      <c r="AM45" s="425" t="s">
        <v>69</v>
      </c>
      <c r="AN45" s="425" t="s">
        <v>69</v>
      </c>
      <c r="AO45" s="425" t="s">
        <v>69</v>
      </c>
      <c r="AP45" s="425" t="s">
        <v>69</v>
      </c>
      <c r="AQ45" s="425" t="s">
        <v>69</v>
      </c>
      <c r="AR45" s="425">
        <v>4</v>
      </c>
      <c r="AS45" s="425" t="s">
        <v>69</v>
      </c>
      <c r="AT45" s="425" t="s">
        <v>69</v>
      </c>
      <c r="AU45" s="425">
        <v>4</v>
      </c>
      <c r="AV45" s="425" t="s">
        <v>69</v>
      </c>
      <c r="AW45" s="425" t="s">
        <v>69</v>
      </c>
      <c r="AX45" s="425">
        <v>4</v>
      </c>
      <c r="AY45" s="425" t="s">
        <v>69</v>
      </c>
      <c r="AZ45" s="425" t="s">
        <v>69</v>
      </c>
      <c r="BA45" s="425" t="s">
        <v>69</v>
      </c>
      <c r="BB45" s="425" t="s">
        <v>69</v>
      </c>
      <c r="BC45" s="425" t="s">
        <v>69</v>
      </c>
      <c r="BD45" s="425" t="s">
        <v>69</v>
      </c>
      <c r="BE45" s="425" t="s">
        <v>69</v>
      </c>
      <c r="BF45" s="425" t="s">
        <v>69</v>
      </c>
      <c r="BG45" s="425" t="s">
        <v>69</v>
      </c>
      <c r="BH45" s="425" t="s">
        <v>69</v>
      </c>
      <c r="BI45" s="425" t="s">
        <v>69</v>
      </c>
      <c r="BJ45" s="425" t="s">
        <v>69</v>
      </c>
      <c r="BK45" s="425" t="s">
        <v>69</v>
      </c>
      <c r="BL45" s="425" t="s">
        <v>69</v>
      </c>
      <c r="BM45" s="425" t="s">
        <v>69</v>
      </c>
      <c r="BN45" s="425" t="s">
        <v>69</v>
      </c>
      <c r="BO45" s="425" t="s">
        <v>69</v>
      </c>
      <c r="BP45" s="425" t="s">
        <v>69</v>
      </c>
      <c r="BQ45" s="425" t="s">
        <v>69</v>
      </c>
      <c r="BR45" s="425">
        <v>4</v>
      </c>
      <c r="BS45" s="425" t="s">
        <v>69</v>
      </c>
      <c r="BT45" s="425" t="s">
        <v>69</v>
      </c>
      <c r="BU45" s="425" t="s">
        <v>69</v>
      </c>
      <c r="BV45" s="425" t="s">
        <v>69</v>
      </c>
      <c r="BW45" s="425" t="s">
        <v>69</v>
      </c>
      <c r="BX45" s="425" t="s">
        <v>69</v>
      </c>
      <c r="BY45" s="425" t="s">
        <v>69</v>
      </c>
      <c r="BZ45" s="425" t="s">
        <v>69</v>
      </c>
      <c r="CA45" s="425" t="s">
        <v>69</v>
      </c>
      <c r="CB45" s="425" t="s">
        <v>69</v>
      </c>
      <c r="CC45" s="425" t="s">
        <v>69</v>
      </c>
      <c r="CD45" s="425" t="s">
        <v>69</v>
      </c>
      <c r="CE45" s="425" t="s">
        <v>69</v>
      </c>
      <c r="CF45" s="425" t="s">
        <v>69</v>
      </c>
      <c r="CG45" s="425">
        <v>4</v>
      </c>
      <c r="CH45" s="425" t="s">
        <v>69</v>
      </c>
      <c r="CI45" s="425" t="s">
        <v>69</v>
      </c>
      <c r="CJ45" s="425" t="s">
        <v>69</v>
      </c>
      <c r="CK45" s="425" t="s">
        <v>69</v>
      </c>
      <c r="CL45" s="425" t="s">
        <v>69</v>
      </c>
      <c r="CM45" s="425" t="s">
        <v>69</v>
      </c>
      <c r="CN45" s="425" t="s">
        <v>69</v>
      </c>
      <c r="CO45" s="425">
        <v>3</v>
      </c>
      <c r="CP45" s="425">
        <v>4</v>
      </c>
      <c r="CQ45" s="425">
        <v>4</v>
      </c>
      <c r="CR45" s="425" t="s">
        <v>69</v>
      </c>
      <c r="CS45" s="425" t="s">
        <v>69</v>
      </c>
      <c r="CT45" s="425" t="s">
        <v>69</v>
      </c>
      <c r="CU45" s="425" t="s">
        <v>69</v>
      </c>
      <c r="CV45" s="425" t="s">
        <v>69</v>
      </c>
      <c r="CW45" s="425" t="s">
        <v>69</v>
      </c>
      <c r="CX45" s="425" t="s">
        <v>69</v>
      </c>
      <c r="CY45" s="425" t="s">
        <v>69</v>
      </c>
      <c r="CZ45" s="425">
        <v>3</v>
      </c>
      <c r="DA45" s="425" t="s">
        <v>69</v>
      </c>
      <c r="DB45" s="425" t="s">
        <v>69</v>
      </c>
      <c r="DC45" s="425" t="s">
        <v>69</v>
      </c>
      <c r="DD45" s="425" t="s">
        <v>69</v>
      </c>
      <c r="DE45" s="425" t="s">
        <v>69</v>
      </c>
      <c r="DF45" s="425" t="s">
        <v>69</v>
      </c>
      <c r="DG45" s="425" t="s">
        <v>69</v>
      </c>
      <c r="DH45" s="425">
        <v>2</v>
      </c>
      <c r="DI45" s="425" t="s">
        <v>69</v>
      </c>
      <c r="DJ45" s="425" t="s">
        <v>69</v>
      </c>
      <c r="DK45" s="425" t="s">
        <v>69</v>
      </c>
      <c r="DL45" s="425" t="s">
        <v>69</v>
      </c>
      <c r="DM45" s="425" t="s">
        <v>69</v>
      </c>
      <c r="DN45" s="425" t="s">
        <v>69</v>
      </c>
      <c r="DO45" s="425" t="s">
        <v>69</v>
      </c>
      <c r="DP45" s="425" t="s">
        <v>69</v>
      </c>
      <c r="DQ45" s="425" t="s">
        <v>69</v>
      </c>
      <c r="DR45" s="425" t="s">
        <v>69</v>
      </c>
      <c r="DS45" s="425" t="s">
        <v>69</v>
      </c>
      <c r="DT45" s="425" t="s">
        <v>69</v>
      </c>
      <c r="DU45" s="422" t="s">
        <v>69</v>
      </c>
      <c r="DV45" s="425" t="s">
        <v>69</v>
      </c>
      <c r="DW45" s="425" t="s">
        <v>69</v>
      </c>
      <c r="DX45" s="425">
        <v>3</v>
      </c>
      <c r="DY45" s="423">
        <f t="shared" si="0"/>
        <v>0.22222222222222221</v>
      </c>
      <c r="DZ45" s="424">
        <f t="shared" si="1"/>
        <v>0.9285714285714286</v>
      </c>
      <c r="EA45" s="519"/>
    </row>
    <row r="46" spans="1:131" s="18" customFormat="1" ht="66.599999999999994" thickBot="1">
      <c r="A46" s="520" t="s">
        <v>560</v>
      </c>
      <c r="B46" s="521" t="s">
        <v>561</v>
      </c>
      <c r="C46" s="522">
        <v>45331</v>
      </c>
      <c r="D46" s="418" t="s">
        <v>1183</v>
      </c>
      <c r="E46" s="429" t="s">
        <v>898</v>
      </c>
      <c r="F46" s="425" t="s">
        <v>69</v>
      </c>
      <c r="G46" s="425" t="s">
        <v>69</v>
      </c>
      <c r="H46" s="425" t="s">
        <v>69</v>
      </c>
      <c r="I46" s="425" t="s">
        <v>69</v>
      </c>
      <c r="J46" s="425" t="s">
        <v>69</v>
      </c>
      <c r="K46" s="425" t="s">
        <v>69</v>
      </c>
      <c r="L46" s="425" t="s">
        <v>69</v>
      </c>
      <c r="M46" s="425">
        <v>4</v>
      </c>
      <c r="N46" s="425" t="s">
        <v>69</v>
      </c>
      <c r="O46" s="425" t="s">
        <v>69</v>
      </c>
      <c r="P46" s="425" t="s">
        <v>69</v>
      </c>
      <c r="Q46" s="425" t="s">
        <v>69</v>
      </c>
      <c r="R46" s="425" t="s">
        <v>69</v>
      </c>
      <c r="S46" s="425" t="s">
        <v>69</v>
      </c>
      <c r="T46" s="425" t="s">
        <v>69</v>
      </c>
      <c r="U46" s="425" t="s">
        <v>69</v>
      </c>
      <c r="V46" s="425" t="s">
        <v>69</v>
      </c>
      <c r="W46" s="425" t="s">
        <v>69</v>
      </c>
      <c r="X46" s="425" t="s">
        <v>69</v>
      </c>
      <c r="Y46" s="425" t="s">
        <v>69</v>
      </c>
      <c r="Z46" s="425" t="s">
        <v>69</v>
      </c>
      <c r="AA46" s="425">
        <v>4</v>
      </c>
      <c r="AB46" s="425" t="s">
        <v>69</v>
      </c>
      <c r="AC46" s="425" t="s">
        <v>69</v>
      </c>
      <c r="AD46" s="425" t="s">
        <v>69</v>
      </c>
      <c r="AE46" s="425" t="s">
        <v>69</v>
      </c>
      <c r="AF46" s="425">
        <v>4</v>
      </c>
      <c r="AG46" s="425">
        <v>4</v>
      </c>
      <c r="AH46" s="425" t="s">
        <v>69</v>
      </c>
      <c r="AI46" s="425" t="s">
        <v>69</v>
      </c>
      <c r="AJ46" s="425" t="s">
        <v>69</v>
      </c>
      <c r="AK46" s="425" t="s">
        <v>69</v>
      </c>
      <c r="AL46" s="425" t="s">
        <v>69</v>
      </c>
      <c r="AM46" s="425">
        <v>4</v>
      </c>
      <c r="AN46" s="425">
        <v>4</v>
      </c>
      <c r="AO46" s="425">
        <v>4</v>
      </c>
      <c r="AP46" s="425" t="s">
        <v>69</v>
      </c>
      <c r="AQ46" s="425" t="s">
        <v>69</v>
      </c>
      <c r="AR46" s="425" t="s">
        <v>69</v>
      </c>
      <c r="AS46" s="425" t="s">
        <v>69</v>
      </c>
      <c r="AT46" s="425" t="s">
        <v>69</v>
      </c>
      <c r="AU46" s="425" t="s">
        <v>69</v>
      </c>
      <c r="AV46" s="425" t="s">
        <v>69</v>
      </c>
      <c r="AW46" s="425" t="s">
        <v>69</v>
      </c>
      <c r="AX46" s="425" t="s">
        <v>69</v>
      </c>
      <c r="AY46" s="425" t="s">
        <v>69</v>
      </c>
      <c r="AZ46" s="425" t="s">
        <v>69</v>
      </c>
      <c r="BA46" s="425" t="s">
        <v>69</v>
      </c>
      <c r="BB46" s="425" t="s">
        <v>69</v>
      </c>
      <c r="BC46" s="425" t="s">
        <v>69</v>
      </c>
      <c r="BD46" s="425" t="s">
        <v>69</v>
      </c>
      <c r="BE46" s="425" t="s">
        <v>69</v>
      </c>
      <c r="BF46" s="425" t="s">
        <v>69</v>
      </c>
      <c r="BG46" s="425" t="s">
        <v>69</v>
      </c>
      <c r="BH46" s="425" t="s">
        <v>69</v>
      </c>
      <c r="BI46" s="425" t="s">
        <v>69</v>
      </c>
      <c r="BJ46" s="425" t="s">
        <v>69</v>
      </c>
      <c r="BK46" s="425" t="s">
        <v>69</v>
      </c>
      <c r="BL46" s="425" t="s">
        <v>69</v>
      </c>
      <c r="BM46" s="425" t="s">
        <v>69</v>
      </c>
      <c r="BN46" s="425">
        <v>3</v>
      </c>
      <c r="BO46" s="425" t="s">
        <v>69</v>
      </c>
      <c r="BP46" s="425" t="s">
        <v>69</v>
      </c>
      <c r="BQ46" s="425" t="s">
        <v>69</v>
      </c>
      <c r="BR46" s="425" t="s">
        <v>69</v>
      </c>
      <c r="BS46" s="425" t="s">
        <v>69</v>
      </c>
      <c r="BT46" s="425" t="s">
        <v>69</v>
      </c>
      <c r="BU46" s="425" t="s">
        <v>69</v>
      </c>
      <c r="BV46" s="425" t="s">
        <v>69</v>
      </c>
      <c r="BW46" s="425" t="s">
        <v>69</v>
      </c>
      <c r="BX46" s="425" t="s">
        <v>69</v>
      </c>
      <c r="BY46" s="425">
        <v>3</v>
      </c>
      <c r="BZ46" s="425" t="s">
        <v>69</v>
      </c>
      <c r="CA46" s="425" t="s">
        <v>69</v>
      </c>
      <c r="CB46" s="425" t="s">
        <v>69</v>
      </c>
      <c r="CC46" s="425" t="s">
        <v>69</v>
      </c>
      <c r="CD46" s="425" t="s">
        <v>69</v>
      </c>
      <c r="CE46" s="425" t="s">
        <v>69</v>
      </c>
      <c r="CF46" s="425" t="s">
        <v>69</v>
      </c>
      <c r="CG46" s="425">
        <v>4</v>
      </c>
      <c r="CH46" s="425" t="s">
        <v>69</v>
      </c>
      <c r="CI46" s="425" t="s">
        <v>69</v>
      </c>
      <c r="CJ46" s="425" t="s">
        <v>69</v>
      </c>
      <c r="CK46" s="425" t="s">
        <v>69</v>
      </c>
      <c r="CL46" s="425" t="s">
        <v>69</v>
      </c>
      <c r="CM46" s="425" t="s">
        <v>69</v>
      </c>
      <c r="CN46" s="425" t="s">
        <v>69</v>
      </c>
      <c r="CO46" s="425">
        <v>4</v>
      </c>
      <c r="CP46" s="425">
        <v>3</v>
      </c>
      <c r="CQ46" s="425" t="s">
        <v>69</v>
      </c>
      <c r="CR46" s="425" t="s">
        <v>69</v>
      </c>
      <c r="CS46" s="425" t="s">
        <v>69</v>
      </c>
      <c r="CT46" s="425" t="s">
        <v>69</v>
      </c>
      <c r="CU46" s="425" t="s">
        <v>69</v>
      </c>
      <c r="CV46" s="425">
        <v>3</v>
      </c>
      <c r="CW46" s="425" t="s">
        <v>69</v>
      </c>
      <c r="CX46" s="425">
        <v>3</v>
      </c>
      <c r="CY46" s="425" t="s">
        <v>69</v>
      </c>
      <c r="CZ46" s="425" t="s">
        <v>69</v>
      </c>
      <c r="DA46" s="425" t="s">
        <v>69</v>
      </c>
      <c r="DB46" s="425" t="s">
        <v>69</v>
      </c>
      <c r="DC46" s="425">
        <v>4</v>
      </c>
      <c r="DD46" s="425">
        <v>4</v>
      </c>
      <c r="DE46" s="425">
        <v>3</v>
      </c>
      <c r="DF46" s="425">
        <v>3</v>
      </c>
      <c r="DG46" s="425" t="s">
        <v>69</v>
      </c>
      <c r="DH46" s="425">
        <v>3</v>
      </c>
      <c r="DI46" s="425" t="s">
        <v>69</v>
      </c>
      <c r="DJ46" s="425" t="s">
        <v>69</v>
      </c>
      <c r="DK46" s="425" t="s">
        <v>69</v>
      </c>
      <c r="DL46" s="425" t="s">
        <v>69</v>
      </c>
      <c r="DM46" s="425" t="s">
        <v>69</v>
      </c>
      <c r="DN46" s="425" t="s">
        <v>69</v>
      </c>
      <c r="DO46" s="425" t="s">
        <v>69</v>
      </c>
      <c r="DP46" s="425" t="s">
        <v>69</v>
      </c>
      <c r="DQ46" s="425" t="s">
        <v>69</v>
      </c>
      <c r="DR46" s="425" t="s">
        <v>69</v>
      </c>
      <c r="DS46" s="425" t="s">
        <v>69</v>
      </c>
      <c r="DT46" s="425" t="s">
        <v>69</v>
      </c>
      <c r="DU46" s="422" t="s">
        <v>69</v>
      </c>
      <c r="DV46" s="425" t="s">
        <v>69</v>
      </c>
      <c r="DW46" s="425" t="s">
        <v>69</v>
      </c>
      <c r="DX46" s="425">
        <v>3</v>
      </c>
      <c r="DY46" s="423">
        <f t="shared" si="0"/>
        <v>0.31746031746031744</v>
      </c>
      <c r="DZ46" s="424">
        <f t="shared" si="1"/>
        <v>1</v>
      </c>
      <c r="EA46" s="519"/>
    </row>
    <row r="47" spans="1:131" s="18" customFormat="1" ht="66.599999999999994" thickBot="1">
      <c r="A47" s="420" t="s">
        <v>562</v>
      </c>
      <c r="B47" s="414" t="s">
        <v>563</v>
      </c>
      <c r="C47" s="419">
        <v>45331</v>
      </c>
      <c r="D47" s="418" t="s">
        <v>1183</v>
      </c>
      <c r="E47" s="429" t="s">
        <v>898</v>
      </c>
      <c r="F47" s="425" t="s">
        <v>69</v>
      </c>
      <c r="G47" s="425" t="s">
        <v>69</v>
      </c>
      <c r="H47" s="425" t="s">
        <v>69</v>
      </c>
      <c r="I47" s="425">
        <v>3</v>
      </c>
      <c r="J47" s="425" t="s">
        <v>69</v>
      </c>
      <c r="K47" s="425" t="s">
        <v>69</v>
      </c>
      <c r="L47" s="425" t="s">
        <v>69</v>
      </c>
      <c r="M47" s="425" t="s">
        <v>69</v>
      </c>
      <c r="N47" s="425" t="s">
        <v>69</v>
      </c>
      <c r="O47" s="425" t="s">
        <v>69</v>
      </c>
      <c r="P47" s="425" t="s">
        <v>69</v>
      </c>
      <c r="Q47" s="425">
        <v>3</v>
      </c>
      <c r="R47" s="425" t="s">
        <v>69</v>
      </c>
      <c r="S47" s="425" t="s">
        <v>69</v>
      </c>
      <c r="T47" s="425" t="s">
        <v>69</v>
      </c>
      <c r="U47" s="425" t="s">
        <v>69</v>
      </c>
      <c r="V47" s="425" t="s">
        <v>69</v>
      </c>
      <c r="W47" s="425" t="s">
        <v>69</v>
      </c>
      <c r="X47" s="425" t="s">
        <v>69</v>
      </c>
      <c r="Y47" s="425" t="s">
        <v>69</v>
      </c>
      <c r="Z47" s="425" t="s">
        <v>69</v>
      </c>
      <c r="AA47" s="425" t="s">
        <v>69</v>
      </c>
      <c r="AB47" s="425" t="s">
        <v>69</v>
      </c>
      <c r="AC47" s="425" t="s">
        <v>69</v>
      </c>
      <c r="AD47" s="425" t="s">
        <v>69</v>
      </c>
      <c r="AE47" s="425" t="s">
        <v>69</v>
      </c>
      <c r="AF47" s="425" t="s">
        <v>69</v>
      </c>
      <c r="AG47" s="425" t="s">
        <v>69</v>
      </c>
      <c r="AH47" s="425" t="s">
        <v>69</v>
      </c>
      <c r="AI47" s="425" t="s">
        <v>69</v>
      </c>
      <c r="AJ47" s="425" t="s">
        <v>69</v>
      </c>
      <c r="AK47" s="425" t="s">
        <v>69</v>
      </c>
      <c r="AL47" s="425">
        <v>3</v>
      </c>
      <c r="AM47" s="425" t="s">
        <v>69</v>
      </c>
      <c r="AN47" s="425" t="s">
        <v>69</v>
      </c>
      <c r="AO47" s="425" t="s">
        <v>69</v>
      </c>
      <c r="AP47" s="425">
        <v>3</v>
      </c>
      <c r="AQ47" s="425" t="s">
        <v>69</v>
      </c>
      <c r="AR47" s="425" t="s">
        <v>69</v>
      </c>
      <c r="AS47" s="425" t="s">
        <v>69</v>
      </c>
      <c r="AT47" s="425">
        <v>3</v>
      </c>
      <c r="AU47" s="425" t="s">
        <v>69</v>
      </c>
      <c r="AV47" s="425" t="s">
        <v>69</v>
      </c>
      <c r="AW47" s="425" t="s">
        <v>69</v>
      </c>
      <c r="AX47" s="425" t="s">
        <v>69</v>
      </c>
      <c r="AY47" s="425">
        <v>4</v>
      </c>
      <c r="AZ47" s="425">
        <v>4</v>
      </c>
      <c r="BA47" s="425" t="s">
        <v>69</v>
      </c>
      <c r="BB47" s="425" t="s">
        <v>69</v>
      </c>
      <c r="BC47" s="425" t="s">
        <v>69</v>
      </c>
      <c r="BD47" s="425" t="s">
        <v>69</v>
      </c>
      <c r="BE47" s="425" t="s">
        <v>69</v>
      </c>
      <c r="BF47" s="425">
        <v>4</v>
      </c>
      <c r="BG47" s="425" t="s">
        <v>69</v>
      </c>
      <c r="BH47" s="425" t="s">
        <v>69</v>
      </c>
      <c r="BI47" s="425">
        <v>3</v>
      </c>
      <c r="BJ47" s="425" t="s">
        <v>69</v>
      </c>
      <c r="BK47" s="425" t="s">
        <v>69</v>
      </c>
      <c r="BL47" s="425" t="s">
        <v>69</v>
      </c>
      <c r="BM47" s="425" t="s">
        <v>69</v>
      </c>
      <c r="BN47" s="425">
        <v>2</v>
      </c>
      <c r="BO47" s="425" t="s">
        <v>69</v>
      </c>
      <c r="BP47" s="425" t="s">
        <v>69</v>
      </c>
      <c r="BQ47" s="425" t="s">
        <v>69</v>
      </c>
      <c r="BR47" s="425" t="s">
        <v>69</v>
      </c>
      <c r="BS47" s="425" t="s">
        <v>69</v>
      </c>
      <c r="BT47" s="425" t="s">
        <v>69</v>
      </c>
      <c r="BU47" s="425" t="s">
        <v>69</v>
      </c>
      <c r="BV47" s="425" t="s">
        <v>69</v>
      </c>
      <c r="BW47" s="425" t="s">
        <v>69</v>
      </c>
      <c r="BX47" s="425" t="s">
        <v>69</v>
      </c>
      <c r="BY47" s="425">
        <v>2</v>
      </c>
      <c r="BZ47" s="425" t="s">
        <v>69</v>
      </c>
      <c r="CA47" s="425" t="s">
        <v>69</v>
      </c>
      <c r="CB47" s="425" t="s">
        <v>69</v>
      </c>
      <c r="CC47" s="425" t="s">
        <v>69</v>
      </c>
      <c r="CD47" s="425" t="s">
        <v>69</v>
      </c>
      <c r="CE47" s="425" t="s">
        <v>69</v>
      </c>
      <c r="CF47" s="425" t="s">
        <v>69</v>
      </c>
      <c r="CG47" s="425">
        <v>4</v>
      </c>
      <c r="CH47" s="425" t="s">
        <v>69</v>
      </c>
      <c r="CI47" s="425" t="s">
        <v>69</v>
      </c>
      <c r="CJ47" s="425" t="s">
        <v>69</v>
      </c>
      <c r="CK47" s="425" t="s">
        <v>69</v>
      </c>
      <c r="CL47" s="425" t="s">
        <v>69</v>
      </c>
      <c r="CM47" s="425" t="s">
        <v>69</v>
      </c>
      <c r="CN47" s="425" t="s">
        <v>69</v>
      </c>
      <c r="CO47" s="425">
        <v>3</v>
      </c>
      <c r="CP47" s="425">
        <v>3</v>
      </c>
      <c r="CQ47" s="425">
        <v>2</v>
      </c>
      <c r="CR47" s="425" t="s">
        <v>69</v>
      </c>
      <c r="CS47" s="425">
        <v>3</v>
      </c>
      <c r="CT47" s="425" t="s">
        <v>69</v>
      </c>
      <c r="CU47" s="425" t="s">
        <v>69</v>
      </c>
      <c r="CV47" s="425">
        <v>3</v>
      </c>
      <c r="CW47" s="425" t="s">
        <v>69</v>
      </c>
      <c r="CX47" s="425">
        <v>3</v>
      </c>
      <c r="CY47" s="425" t="s">
        <v>69</v>
      </c>
      <c r="CZ47" s="425" t="s">
        <v>69</v>
      </c>
      <c r="DA47" s="425" t="s">
        <v>69</v>
      </c>
      <c r="DB47" s="425" t="s">
        <v>69</v>
      </c>
      <c r="DC47" s="425" t="s">
        <v>69</v>
      </c>
      <c r="DD47" s="425" t="s">
        <v>69</v>
      </c>
      <c r="DE47" s="425">
        <v>3</v>
      </c>
      <c r="DF47" s="425" t="s">
        <v>69</v>
      </c>
      <c r="DG47" s="425" t="s">
        <v>69</v>
      </c>
      <c r="DH47" s="425">
        <v>2</v>
      </c>
      <c r="DI47" s="425">
        <v>3</v>
      </c>
      <c r="DJ47" s="425" t="s">
        <v>69</v>
      </c>
      <c r="DK47" s="425" t="s">
        <v>69</v>
      </c>
      <c r="DL47" s="425" t="s">
        <v>69</v>
      </c>
      <c r="DM47" s="425" t="s">
        <v>69</v>
      </c>
      <c r="DN47" s="425" t="s">
        <v>69</v>
      </c>
      <c r="DO47" s="425" t="s">
        <v>69</v>
      </c>
      <c r="DP47" s="425" t="s">
        <v>69</v>
      </c>
      <c r="DQ47" s="425" t="s">
        <v>69</v>
      </c>
      <c r="DR47" s="425" t="s">
        <v>69</v>
      </c>
      <c r="DS47" s="425" t="s">
        <v>69</v>
      </c>
      <c r="DT47" s="425" t="s">
        <v>69</v>
      </c>
      <c r="DU47" s="422" t="s">
        <v>69</v>
      </c>
      <c r="DV47" s="425" t="s">
        <v>69</v>
      </c>
      <c r="DW47" s="425">
        <v>4</v>
      </c>
      <c r="DX47" s="425">
        <v>2</v>
      </c>
      <c r="DY47" s="423">
        <f t="shared" ref="DY47:DY73" si="2">COUNTIF(F47:DX47,"&gt;0")/63</f>
        <v>0.36507936507936506</v>
      </c>
      <c r="DZ47" s="424">
        <f t="shared" ref="DZ47:DZ73" si="3">+COUNTIF(F47:DX47,"&gt;2")/COUNTIF(F47:DX47,"&gt;1")</f>
        <v>0.78260869565217395</v>
      </c>
      <c r="EA47" s="519"/>
    </row>
    <row r="48" spans="1:131" s="18" customFormat="1" ht="66.599999999999994" thickBot="1">
      <c r="A48" s="520" t="s">
        <v>565</v>
      </c>
      <c r="B48" s="521" t="s">
        <v>566</v>
      </c>
      <c r="C48" s="522" t="s">
        <v>627</v>
      </c>
      <c r="D48" s="418" t="s">
        <v>1183</v>
      </c>
      <c r="E48" s="429" t="s">
        <v>898</v>
      </c>
      <c r="F48" s="425">
        <v>4</v>
      </c>
      <c r="G48" s="425" t="s">
        <v>69</v>
      </c>
      <c r="H48" s="425" t="s">
        <v>69</v>
      </c>
      <c r="I48" s="425" t="s">
        <v>69</v>
      </c>
      <c r="J48" s="425" t="s">
        <v>69</v>
      </c>
      <c r="K48" s="425" t="s">
        <v>69</v>
      </c>
      <c r="L48" s="425" t="s">
        <v>69</v>
      </c>
      <c r="M48" s="425">
        <v>4</v>
      </c>
      <c r="N48" s="425" t="s">
        <v>69</v>
      </c>
      <c r="O48" s="425" t="s">
        <v>69</v>
      </c>
      <c r="P48" s="425" t="s">
        <v>69</v>
      </c>
      <c r="Q48" s="425">
        <v>4</v>
      </c>
      <c r="R48" s="425" t="s">
        <v>69</v>
      </c>
      <c r="S48" s="425" t="s">
        <v>69</v>
      </c>
      <c r="T48" s="425" t="s">
        <v>69</v>
      </c>
      <c r="U48" s="425" t="s">
        <v>69</v>
      </c>
      <c r="V48" s="425">
        <v>3</v>
      </c>
      <c r="W48" s="425" t="s">
        <v>69</v>
      </c>
      <c r="X48" s="425" t="s">
        <v>69</v>
      </c>
      <c r="Y48" s="425" t="s">
        <v>69</v>
      </c>
      <c r="Z48" s="425" t="s">
        <v>69</v>
      </c>
      <c r="AA48" s="425">
        <v>4</v>
      </c>
      <c r="AB48" s="425" t="s">
        <v>69</v>
      </c>
      <c r="AC48" s="425" t="s">
        <v>69</v>
      </c>
      <c r="AD48" s="425" t="s">
        <v>69</v>
      </c>
      <c r="AE48" s="425" t="s">
        <v>69</v>
      </c>
      <c r="AF48" s="425">
        <v>4</v>
      </c>
      <c r="AG48" s="425" t="s">
        <v>69</v>
      </c>
      <c r="AH48" s="425">
        <v>4</v>
      </c>
      <c r="AI48" s="425" t="s">
        <v>69</v>
      </c>
      <c r="AJ48" s="425" t="s">
        <v>69</v>
      </c>
      <c r="AK48" s="425" t="s">
        <v>69</v>
      </c>
      <c r="AL48" s="425" t="s">
        <v>69</v>
      </c>
      <c r="AM48" s="425" t="s">
        <v>69</v>
      </c>
      <c r="AN48" s="425" t="s">
        <v>69</v>
      </c>
      <c r="AO48" s="425" t="s">
        <v>69</v>
      </c>
      <c r="AP48" s="425">
        <v>3</v>
      </c>
      <c r="AQ48" s="425" t="s">
        <v>69</v>
      </c>
      <c r="AR48" s="425" t="s">
        <v>69</v>
      </c>
      <c r="AS48" s="425" t="s">
        <v>69</v>
      </c>
      <c r="AT48" s="425" t="s">
        <v>69</v>
      </c>
      <c r="AU48" s="425">
        <v>4</v>
      </c>
      <c r="AV48" s="425" t="s">
        <v>69</v>
      </c>
      <c r="AW48" s="425" t="s">
        <v>69</v>
      </c>
      <c r="AX48" s="425" t="s">
        <v>69</v>
      </c>
      <c r="AY48" s="425" t="s">
        <v>69</v>
      </c>
      <c r="AZ48" s="425" t="s">
        <v>69</v>
      </c>
      <c r="BA48" s="425" t="s">
        <v>69</v>
      </c>
      <c r="BB48" s="425" t="s">
        <v>69</v>
      </c>
      <c r="BC48" s="425" t="s">
        <v>69</v>
      </c>
      <c r="BD48" s="425" t="s">
        <v>69</v>
      </c>
      <c r="BE48" s="425" t="s">
        <v>69</v>
      </c>
      <c r="BF48" s="425" t="s">
        <v>69</v>
      </c>
      <c r="BG48" s="425" t="s">
        <v>69</v>
      </c>
      <c r="BH48" s="425" t="s">
        <v>69</v>
      </c>
      <c r="BI48" s="425">
        <v>4</v>
      </c>
      <c r="BJ48" s="425">
        <v>4</v>
      </c>
      <c r="BK48" s="425">
        <v>2</v>
      </c>
      <c r="BL48" s="425" t="s">
        <v>69</v>
      </c>
      <c r="BM48" s="425">
        <v>2</v>
      </c>
      <c r="BN48" s="425">
        <v>2</v>
      </c>
      <c r="BO48" s="425" t="s">
        <v>69</v>
      </c>
      <c r="BP48" s="425" t="s">
        <v>69</v>
      </c>
      <c r="BQ48" s="425" t="s">
        <v>69</v>
      </c>
      <c r="BR48" s="425" t="s">
        <v>69</v>
      </c>
      <c r="BS48" s="425" t="s">
        <v>69</v>
      </c>
      <c r="BT48" s="425" t="s">
        <v>69</v>
      </c>
      <c r="BU48" s="425" t="s">
        <v>69</v>
      </c>
      <c r="BV48" s="425" t="s">
        <v>69</v>
      </c>
      <c r="BW48" s="425" t="s">
        <v>69</v>
      </c>
      <c r="BX48" s="425" t="s">
        <v>69</v>
      </c>
      <c r="BY48" s="425">
        <v>4</v>
      </c>
      <c r="BZ48" s="425" t="s">
        <v>69</v>
      </c>
      <c r="CA48" s="425" t="s">
        <v>69</v>
      </c>
      <c r="CB48" s="425">
        <v>4</v>
      </c>
      <c r="CC48" s="425" t="s">
        <v>69</v>
      </c>
      <c r="CD48" s="425" t="s">
        <v>69</v>
      </c>
      <c r="CE48" s="425" t="s">
        <v>69</v>
      </c>
      <c r="CF48" s="425" t="s">
        <v>69</v>
      </c>
      <c r="CG48" s="425">
        <v>4</v>
      </c>
      <c r="CH48" s="425" t="s">
        <v>69</v>
      </c>
      <c r="CI48" s="425" t="s">
        <v>69</v>
      </c>
      <c r="CJ48" s="425" t="s">
        <v>69</v>
      </c>
      <c r="CK48" s="425" t="s">
        <v>69</v>
      </c>
      <c r="CL48" s="425" t="s">
        <v>69</v>
      </c>
      <c r="CM48" s="425" t="s">
        <v>69</v>
      </c>
      <c r="CN48" s="425" t="s">
        <v>69</v>
      </c>
      <c r="CO48" s="425">
        <v>2</v>
      </c>
      <c r="CP48" s="425">
        <v>3</v>
      </c>
      <c r="CQ48" s="425" t="s">
        <v>69</v>
      </c>
      <c r="CR48" s="425" t="s">
        <v>69</v>
      </c>
      <c r="CS48" s="425">
        <v>4</v>
      </c>
      <c r="CT48" s="425">
        <v>4</v>
      </c>
      <c r="CU48" s="425" t="s">
        <v>69</v>
      </c>
      <c r="CV48" s="425" t="s">
        <v>69</v>
      </c>
      <c r="CW48" s="425" t="s">
        <v>69</v>
      </c>
      <c r="CX48" s="425" t="s">
        <v>69</v>
      </c>
      <c r="CY48" s="425" t="s">
        <v>69</v>
      </c>
      <c r="CZ48" s="425" t="s">
        <v>69</v>
      </c>
      <c r="DA48" s="425" t="s">
        <v>69</v>
      </c>
      <c r="DB48" s="425" t="s">
        <v>69</v>
      </c>
      <c r="DC48" s="425">
        <v>2</v>
      </c>
      <c r="DD48" s="425" t="s">
        <v>69</v>
      </c>
      <c r="DE48" s="425" t="s">
        <v>69</v>
      </c>
      <c r="DF48" s="425">
        <v>4</v>
      </c>
      <c r="DG48" s="425" t="s">
        <v>69</v>
      </c>
      <c r="DH48" s="425">
        <v>2</v>
      </c>
      <c r="DI48" s="425" t="s">
        <v>69</v>
      </c>
      <c r="DJ48" s="425" t="s">
        <v>69</v>
      </c>
      <c r="DK48" s="425" t="s">
        <v>69</v>
      </c>
      <c r="DL48" s="425" t="s">
        <v>69</v>
      </c>
      <c r="DM48" s="425" t="s">
        <v>69</v>
      </c>
      <c r="DN48" s="425" t="s">
        <v>69</v>
      </c>
      <c r="DO48" s="425" t="s">
        <v>69</v>
      </c>
      <c r="DP48" s="425" t="s">
        <v>69</v>
      </c>
      <c r="DQ48" s="425" t="s">
        <v>69</v>
      </c>
      <c r="DR48" s="425" t="s">
        <v>69</v>
      </c>
      <c r="DS48" s="425">
        <v>4</v>
      </c>
      <c r="DT48" s="425" t="s">
        <v>69</v>
      </c>
      <c r="DU48" s="422" t="s">
        <v>69</v>
      </c>
      <c r="DV48" s="425" t="s">
        <v>69</v>
      </c>
      <c r="DW48" s="425" t="s">
        <v>69</v>
      </c>
      <c r="DX48" s="425">
        <v>3</v>
      </c>
      <c r="DY48" s="423">
        <f t="shared" si="2"/>
        <v>0.41269841269841268</v>
      </c>
      <c r="DZ48" s="424">
        <f t="shared" si="3"/>
        <v>0.76923076923076927</v>
      </c>
      <c r="EA48" s="519"/>
    </row>
    <row r="49" spans="1:131" s="18" customFormat="1" ht="66.599999999999994" thickBot="1">
      <c r="A49" s="520" t="s">
        <v>646</v>
      </c>
      <c r="B49" s="521" t="s">
        <v>649</v>
      </c>
      <c r="C49" s="522">
        <v>45334</v>
      </c>
      <c r="D49" s="418" t="s">
        <v>1183</v>
      </c>
      <c r="E49" s="429" t="s">
        <v>898</v>
      </c>
      <c r="F49" s="425" t="s">
        <v>69</v>
      </c>
      <c r="G49" s="425" t="s">
        <v>69</v>
      </c>
      <c r="H49" s="425" t="s">
        <v>69</v>
      </c>
      <c r="I49" s="425">
        <v>4</v>
      </c>
      <c r="J49" s="425" t="s">
        <v>69</v>
      </c>
      <c r="K49" s="425" t="s">
        <v>69</v>
      </c>
      <c r="L49" s="425" t="s">
        <v>69</v>
      </c>
      <c r="M49" s="425" t="s">
        <v>69</v>
      </c>
      <c r="N49" s="425" t="s">
        <v>69</v>
      </c>
      <c r="O49" s="425">
        <v>4</v>
      </c>
      <c r="P49" s="425" t="s">
        <v>69</v>
      </c>
      <c r="Q49" s="425" t="s">
        <v>69</v>
      </c>
      <c r="R49" s="425" t="s">
        <v>69</v>
      </c>
      <c r="S49" s="425" t="s">
        <v>69</v>
      </c>
      <c r="T49" s="425" t="s">
        <v>69</v>
      </c>
      <c r="U49" s="425" t="s">
        <v>69</v>
      </c>
      <c r="V49" s="425" t="s">
        <v>69</v>
      </c>
      <c r="W49" s="425" t="s">
        <v>69</v>
      </c>
      <c r="X49" s="425" t="s">
        <v>69</v>
      </c>
      <c r="Y49" s="425" t="s">
        <v>69</v>
      </c>
      <c r="Z49" s="425" t="s">
        <v>69</v>
      </c>
      <c r="AA49" s="425" t="s">
        <v>69</v>
      </c>
      <c r="AB49" s="425" t="s">
        <v>69</v>
      </c>
      <c r="AC49" s="425" t="s">
        <v>69</v>
      </c>
      <c r="AD49" s="425" t="s">
        <v>69</v>
      </c>
      <c r="AE49" s="425" t="s">
        <v>69</v>
      </c>
      <c r="AF49" s="425" t="s">
        <v>69</v>
      </c>
      <c r="AG49" s="425" t="s">
        <v>69</v>
      </c>
      <c r="AH49" s="425">
        <v>2</v>
      </c>
      <c r="AI49" s="425" t="s">
        <v>69</v>
      </c>
      <c r="AJ49" s="425" t="s">
        <v>69</v>
      </c>
      <c r="AK49" s="425" t="s">
        <v>69</v>
      </c>
      <c r="AL49" s="425" t="s">
        <v>69</v>
      </c>
      <c r="AM49" s="425" t="s">
        <v>69</v>
      </c>
      <c r="AN49" s="425" t="s">
        <v>69</v>
      </c>
      <c r="AO49" s="425" t="s">
        <v>69</v>
      </c>
      <c r="AP49" s="425" t="s">
        <v>69</v>
      </c>
      <c r="AQ49" s="425" t="s">
        <v>69</v>
      </c>
      <c r="AR49" s="425" t="s">
        <v>69</v>
      </c>
      <c r="AS49" s="425">
        <v>4</v>
      </c>
      <c r="AT49" s="425" t="s">
        <v>69</v>
      </c>
      <c r="AU49" s="425">
        <v>2</v>
      </c>
      <c r="AV49" s="425">
        <v>4</v>
      </c>
      <c r="AW49" s="425" t="s">
        <v>69</v>
      </c>
      <c r="AX49" s="425" t="s">
        <v>69</v>
      </c>
      <c r="AY49" s="425">
        <v>4</v>
      </c>
      <c r="AZ49" s="425" t="s">
        <v>69</v>
      </c>
      <c r="BA49" s="425" t="s">
        <v>69</v>
      </c>
      <c r="BB49" s="425" t="s">
        <v>69</v>
      </c>
      <c r="BC49" s="425" t="s">
        <v>69</v>
      </c>
      <c r="BD49" s="425" t="s">
        <v>69</v>
      </c>
      <c r="BE49" s="425">
        <v>4</v>
      </c>
      <c r="BF49" s="425" t="s">
        <v>69</v>
      </c>
      <c r="BG49" s="425" t="s">
        <v>69</v>
      </c>
      <c r="BH49" s="425" t="s">
        <v>69</v>
      </c>
      <c r="BI49" s="425" t="s">
        <v>69</v>
      </c>
      <c r="BJ49" s="425" t="s">
        <v>69</v>
      </c>
      <c r="BK49" s="425" t="s">
        <v>69</v>
      </c>
      <c r="BL49" s="425" t="s">
        <v>69</v>
      </c>
      <c r="BM49" s="425" t="s">
        <v>69</v>
      </c>
      <c r="BN49" s="425" t="s">
        <v>69</v>
      </c>
      <c r="BO49" s="425" t="s">
        <v>69</v>
      </c>
      <c r="BP49" s="425" t="s">
        <v>69</v>
      </c>
      <c r="BQ49" s="425" t="s">
        <v>69</v>
      </c>
      <c r="BR49" s="425" t="s">
        <v>69</v>
      </c>
      <c r="BS49" s="425" t="s">
        <v>69</v>
      </c>
      <c r="BT49" s="425" t="s">
        <v>69</v>
      </c>
      <c r="BU49" s="425" t="s">
        <v>69</v>
      </c>
      <c r="BV49" s="425" t="s">
        <v>69</v>
      </c>
      <c r="BW49" s="425" t="s">
        <v>69</v>
      </c>
      <c r="BX49" s="425" t="s">
        <v>69</v>
      </c>
      <c r="BY49" s="425">
        <v>3</v>
      </c>
      <c r="BZ49" s="425">
        <v>4</v>
      </c>
      <c r="CA49" s="425" t="s">
        <v>69</v>
      </c>
      <c r="CB49" s="425" t="s">
        <v>69</v>
      </c>
      <c r="CC49" s="425" t="s">
        <v>69</v>
      </c>
      <c r="CD49" s="425" t="s">
        <v>69</v>
      </c>
      <c r="CE49" s="425" t="s">
        <v>69</v>
      </c>
      <c r="CF49" s="425" t="s">
        <v>69</v>
      </c>
      <c r="CG49" s="425" t="s">
        <v>69</v>
      </c>
      <c r="CH49" s="425" t="s">
        <v>69</v>
      </c>
      <c r="CI49" s="425" t="s">
        <v>69</v>
      </c>
      <c r="CJ49" s="425" t="s">
        <v>69</v>
      </c>
      <c r="CK49" s="425" t="s">
        <v>69</v>
      </c>
      <c r="CL49" s="425" t="s">
        <v>69</v>
      </c>
      <c r="CM49" s="425" t="s">
        <v>69</v>
      </c>
      <c r="CN49" s="425">
        <v>3</v>
      </c>
      <c r="CO49" s="425">
        <v>4</v>
      </c>
      <c r="CP49" s="425">
        <v>4</v>
      </c>
      <c r="CQ49" s="425" t="s">
        <v>69</v>
      </c>
      <c r="CR49" s="425" t="s">
        <v>69</v>
      </c>
      <c r="CS49" s="425" t="s">
        <v>69</v>
      </c>
      <c r="CT49" s="425" t="s">
        <v>69</v>
      </c>
      <c r="CU49" s="425" t="s">
        <v>69</v>
      </c>
      <c r="CV49" s="425" t="s">
        <v>69</v>
      </c>
      <c r="CW49" s="425" t="s">
        <v>69</v>
      </c>
      <c r="CX49" s="425" t="s">
        <v>69</v>
      </c>
      <c r="CY49" s="425" t="s">
        <v>69</v>
      </c>
      <c r="CZ49" s="425" t="s">
        <v>69</v>
      </c>
      <c r="DA49" s="425" t="s">
        <v>69</v>
      </c>
      <c r="DB49" s="425" t="s">
        <v>69</v>
      </c>
      <c r="DC49" s="425" t="s">
        <v>69</v>
      </c>
      <c r="DD49" s="425" t="s">
        <v>69</v>
      </c>
      <c r="DE49" s="425">
        <v>3</v>
      </c>
      <c r="DF49" s="425" t="s">
        <v>69</v>
      </c>
      <c r="DG49" s="425" t="s">
        <v>69</v>
      </c>
      <c r="DH49" s="425">
        <v>2</v>
      </c>
      <c r="DI49" s="425" t="s">
        <v>69</v>
      </c>
      <c r="DJ49" s="425" t="s">
        <v>69</v>
      </c>
      <c r="DK49" s="425" t="s">
        <v>69</v>
      </c>
      <c r="DL49" s="425" t="s">
        <v>69</v>
      </c>
      <c r="DM49" s="425">
        <v>3</v>
      </c>
      <c r="DN49" s="425" t="s">
        <v>69</v>
      </c>
      <c r="DO49" s="425" t="s">
        <v>69</v>
      </c>
      <c r="DP49" s="425" t="s">
        <v>69</v>
      </c>
      <c r="DQ49" s="425" t="s">
        <v>69</v>
      </c>
      <c r="DR49" s="425" t="s">
        <v>69</v>
      </c>
      <c r="DS49" s="425" t="s">
        <v>69</v>
      </c>
      <c r="DT49" s="425" t="s">
        <v>69</v>
      </c>
      <c r="DU49" s="422" t="s">
        <v>69</v>
      </c>
      <c r="DV49" s="425" t="s">
        <v>69</v>
      </c>
      <c r="DW49" s="425" t="s">
        <v>69</v>
      </c>
      <c r="DX49" s="425">
        <v>4</v>
      </c>
      <c r="DY49" s="423">
        <f t="shared" si="2"/>
        <v>0.26984126984126983</v>
      </c>
      <c r="DZ49" s="424">
        <f t="shared" si="3"/>
        <v>0.82352941176470584</v>
      </c>
      <c r="EA49" s="519"/>
    </row>
    <row r="50" spans="1:131" s="18" customFormat="1" ht="66.599999999999994" thickBot="1">
      <c r="A50" s="520" t="s">
        <v>654</v>
      </c>
      <c r="B50" s="521" t="s">
        <v>658</v>
      </c>
      <c r="C50" s="522" t="s">
        <v>627</v>
      </c>
      <c r="D50" s="418" t="s">
        <v>1183</v>
      </c>
      <c r="E50" s="429" t="s">
        <v>898</v>
      </c>
      <c r="F50" s="425" t="s">
        <v>69</v>
      </c>
      <c r="G50" s="425" t="s">
        <v>69</v>
      </c>
      <c r="H50" s="425" t="s">
        <v>69</v>
      </c>
      <c r="I50" s="425" t="s">
        <v>69</v>
      </c>
      <c r="J50" s="425" t="s">
        <v>69</v>
      </c>
      <c r="K50" s="425" t="s">
        <v>69</v>
      </c>
      <c r="L50" s="425" t="s">
        <v>69</v>
      </c>
      <c r="M50" s="425" t="s">
        <v>69</v>
      </c>
      <c r="N50" s="425" t="s">
        <v>69</v>
      </c>
      <c r="O50" s="425" t="s">
        <v>69</v>
      </c>
      <c r="P50" s="425" t="s">
        <v>69</v>
      </c>
      <c r="Q50" s="425" t="s">
        <v>69</v>
      </c>
      <c r="R50" s="425" t="s">
        <v>69</v>
      </c>
      <c r="S50" s="425" t="s">
        <v>69</v>
      </c>
      <c r="T50" s="425" t="s">
        <v>69</v>
      </c>
      <c r="U50" s="425" t="s">
        <v>69</v>
      </c>
      <c r="V50" s="425" t="s">
        <v>69</v>
      </c>
      <c r="W50" s="425" t="s">
        <v>69</v>
      </c>
      <c r="X50" s="425" t="s">
        <v>69</v>
      </c>
      <c r="Y50" s="425" t="s">
        <v>69</v>
      </c>
      <c r="Z50" s="425" t="s">
        <v>69</v>
      </c>
      <c r="AA50" s="425" t="s">
        <v>69</v>
      </c>
      <c r="AB50" s="425" t="s">
        <v>69</v>
      </c>
      <c r="AC50" s="425" t="s">
        <v>69</v>
      </c>
      <c r="AD50" s="425" t="s">
        <v>69</v>
      </c>
      <c r="AE50" s="425" t="s">
        <v>69</v>
      </c>
      <c r="AF50" s="425">
        <v>4</v>
      </c>
      <c r="AG50" s="425" t="s">
        <v>69</v>
      </c>
      <c r="AH50" s="425" t="s">
        <v>69</v>
      </c>
      <c r="AI50" s="425" t="s">
        <v>69</v>
      </c>
      <c r="AJ50" s="425" t="s">
        <v>69</v>
      </c>
      <c r="AK50" s="425" t="s">
        <v>69</v>
      </c>
      <c r="AL50" s="425" t="s">
        <v>69</v>
      </c>
      <c r="AM50" s="425" t="s">
        <v>69</v>
      </c>
      <c r="AN50" s="425" t="s">
        <v>69</v>
      </c>
      <c r="AO50" s="425" t="s">
        <v>69</v>
      </c>
      <c r="AP50" s="425" t="s">
        <v>69</v>
      </c>
      <c r="AQ50" s="425" t="s">
        <v>69</v>
      </c>
      <c r="AR50" s="425" t="s">
        <v>69</v>
      </c>
      <c r="AS50" s="425" t="s">
        <v>69</v>
      </c>
      <c r="AT50" s="425" t="s">
        <v>69</v>
      </c>
      <c r="AU50" s="425" t="s">
        <v>69</v>
      </c>
      <c r="AV50" s="425" t="s">
        <v>69</v>
      </c>
      <c r="AW50" s="425" t="s">
        <v>69</v>
      </c>
      <c r="AX50" s="425" t="s">
        <v>69</v>
      </c>
      <c r="AY50" s="425" t="s">
        <v>69</v>
      </c>
      <c r="AZ50" s="425" t="s">
        <v>69</v>
      </c>
      <c r="BA50" s="425" t="s">
        <v>69</v>
      </c>
      <c r="BB50" s="425" t="s">
        <v>69</v>
      </c>
      <c r="BC50" s="425" t="s">
        <v>69</v>
      </c>
      <c r="BD50" s="425" t="s">
        <v>69</v>
      </c>
      <c r="BE50" s="425" t="s">
        <v>69</v>
      </c>
      <c r="BF50" s="425" t="s">
        <v>69</v>
      </c>
      <c r="BG50" s="425" t="s">
        <v>69</v>
      </c>
      <c r="BH50" s="425" t="s">
        <v>69</v>
      </c>
      <c r="BI50" s="425" t="s">
        <v>69</v>
      </c>
      <c r="BJ50" s="425" t="s">
        <v>69</v>
      </c>
      <c r="BK50" s="425">
        <v>4</v>
      </c>
      <c r="BL50" s="425" t="s">
        <v>69</v>
      </c>
      <c r="BM50" s="425" t="s">
        <v>69</v>
      </c>
      <c r="BN50" s="425">
        <v>4</v>
      </c>
      <c r="BO50" s="425" t="s">
        <v>69</v>
      </c>
      <c r="BP50" s="425" t="s">
        <v>69</v>
      </c>
      <c r="BQ50" s="425" t="s">
        <v>69</v>
      </c>
      <c r="BR50" s="425" t="s">
        <v>69</v>
      </c>
      <c r="BS50" s="425" t="s">
        <v>69</v>
      </c>
      <c r="BT50" s="425" t="s">
        <v>69</v>
      </c>
      <c r="BU50" s="425" t="s">
        <v>69</v>
      </c>
      <c r="BV50" s="425" t="s">
        <v>69</v>
      </c>
      <c r="BW50" s="425" t="s">
        <v>69</v>
      </c>
      <c r="BX50" s="425" t="s">
        <v>69</v>
      </c>
      <c r="BY50" s="425" t="s">
        <v>69</v>
      </c>
      <c r="BZ50" s="425" t="s">
        <v>69</v>
      </c>
      <c r="CA50" s="425" t="s">
        <v>69</v>
      </c>
      <c r="CB50" s="425" t="s">
        <v>69</v>
      </c>
      <c r="CC50" s="425" t="s">
        <v>69</v>
      </c>
      <c r="CD50" s="425" t="s">
        <v>69</v>
      </c>
      <c r="CE50" s="425" t="s">
        <v>69</v>
      </c>
      <c r="CF50" s="425" t="s">
        <v>69</v>
      </c>
      <c r="CG50" s="425" t="s">
        <v>69</v>
      </c>
      <c r="CH50" s="425" t="s">
        <v>69</v>
      </c>
      <c r="CI50" s="425" t="s">
        <v>69</v>
      </c>
      <c r="CJ50" s="425" t="s">
        <v>69</v>
      </c>
      <c r="CK50" s="425" t="s">
        <v>69</v>
      </c>
      <c r="CL50" s="425" t="s">
        <v>69</v>
      </c>
      <c r="CM50" s="425" t="s">
        <v>69</v>
      </c>
      <c r="CN50" s="425" t="s">
        <v>69</v>
      </c>
      <c r="CO50" s="425" t="s">
        <v>69</v>
      </c>
      <c r="CP50" s="425" t="s">
        <v>69</v>
      </c>
      <c r="CQ50" s="425" t="s">
        <v>69</v>
      </c>
      <c r="CR50" s="425" t="s">
        <v>69</v>
      </c>
      <c r="CS50" s="425" t="s">
        <v>69</v>
      </c>
      <c r="CT50" s="425" t="s">
        <v>69</v>
      </c>
      <c r="CU50" s="425" t="s">
        <v>69</v>
      </c>
      <c r="CV50" s="425" t="s">
        <v>69</v>
      </c>
      <c r="CW50" s="425" t="s">
        <v>69</v>
      </c>
      <c r="CX50" s="425" t="s">
        <v>69</v>
      </c>
      <c r="CY50" s="425" t="s">
        <v>69</v>
      </c>
      <c r="CZ50" s="425" t="s">
        <v>69</v>
      </c>
      <c r="DA50" s="425" t="s">
        <v>69</v>
      </c>
      <c r="DB50" s="425" t="s">
        <v>69</v>
      </c>
      <c r="DC50" s="425" t="s">
        <v>69</v>
      </c>
      <c r="DD50" s="425" t="s">
        <v>69</v>
      </c>
      <c r="DE50" s="425">
        <v>4</v>
      </c>
      <c r="DF50" s="425" t="s">
        <v>69</v>
      </c>
      <c r="DG50" s="425">
        <v>4</v>
      </c>
      <c r="DH50" s="425" t="s">
        <v>69</v>
      </c>
      <c r="DI50" s="425" t="s">
        <v>69</v>
      </c>
      <c r="DJ50" s="425" t="s">
        <v>69</v>
      </c>
      <c r="DK50" s="425" t="s">
        <v>69</v>
      </c>
      <c r="DL50" s="425" t="s">
        <v>69</v>
      </c>
      <c r="DM50" s="425" t="s">
        <v>69</v>
      </c>
      <c r="DN50" s="425" t="s">
        <v>69</v>
      </c>
      <c r="DO50" s="425" t="s">
        <v>69</v>
      </c>
      <c r="DP50" s="425" t="s">
        <v>69</v>
      </c>
      <c r="DQ50" s="425" t="s">
        <v>69</v>
      </c>
      <c r="DR50" s="425" t="s">
        <v>69</v>
      </c>
      <c r="DS50" s="425" t="s">
        <v>69</v>
      </c>
      <c r="DT50" s="425" t="s">
        <v>69</v>
      </c>
      <c r="DU50" s="422" t="s">
        <v>69</v>
      </c>
      <c r="DV50" s="425" t="s">
        <v>69</v>
      </c>
      <c r="DW50" s="425" t="s">
        <v>69</v>
      </c>
      <c r="DX50" s="425">
        <v>3</v>
      </c>
      <c r="DY50" s="423">
        <f t="shared" si="2"/>
        <v>9.5238095238095233E-2</v>
      </c>
      <c r="DZ50" s="424">
        <f t="shared" si="3"/>
        <v>1</v>
      </c>
      <c r="EA50" s="519"/>
    </row>
    <row r="51" spans="1:131" s="18" customFormat="1" ht="66.599999999999994" thickBot="1">
      <c r="A51" s="520" t="s">
        <v>655</v>
      </c>
      <c r="B51" s="521" t="s">
        <v>659</v>
      </c>
      <c r="C51" s="522">
        <v>45331</v>
      </c>
      <c r="D51" s="418" t="s">
        <v>1183</v>
      </c>
      <c r="E51" s="429" t="s">
        <v>898</v>
      </c>
      <c r="F51" s="425" t="s">
        <v>69</v>
      </c>
      <c r="G51" s="425" t="s">
        <v>69</v>
      </c>
      <c r="H51" s="425" t="s">
        <v>69</v>
      </c>
      <c r="I51" s="425" t="s">
        <v>69</v>
      </c>
      <c r="J51" s="425" t="s">
        <v>69</v>
      </c>
      <c r="K51" s="425" t="s">
        <v>69</v>
      </c>
      <c r="L51" s="425" t="s">
        <v>69</v>
      </c>
      <c r="M51" s="425" t="s">
        <v>69</v>
      </c>
      <c r="N51" s="425" t="s">
        <v>69</v>
      </c>
      <c r="O51" s="425" t="s">
        <v>69</v>
      </c>
      <c r="P51" s="425" t="s">
        <v>69</v>
      </c>
      <c r="Q51" s="425" t="s">
        <v>69</v>
      </c>
      <c r="R51" s="425" t="s">
        <v>69</v>
      </c>
      <c r="S51" s="425" t="s">
        <v>69</v>
      </c>
      <c r="T51" s="425" t="s">
        <v>69</v>
      </c>
      <c r="U51" s="425" t="s">
        <v>69</v>
      </c>
      <c r="V51" s="425" t="s">
        <v>69</v>
      </c>
      <c r="W51" s="425" t="s">
        <v>69</v>
      </c>
      <c r="X51" s="425" t="s">
        <v>69</v>
      </c>
      <c r="Y51" s="425" t="s">
        <v>69</v>
      </c>
      <c r="Z51" s="425" t="s">
        <v>69</v>
      </c>
      <c r="AA51" s="425" t="s">
        <v>69</v>
      </c>
      <c r="AB51" s="425" t="s">
        <v>69</v>
      </c>
      <c r="AC51" s="425" t="s">
        <v>69</v>
      </c>
      <c r="AD51" s="425" t="s">
        <v>69</v>
      </c>
      <c r="AE51" s="425" t="s">
        <v>69</v>
      </c>
      <c r="AF51" s="425" t="s">
        <v>69</v>
      </c>
      <c r="AG51" s="425" t="s">
        <v>69</v>
      </c>
      <c r="AH51" s="425">
        <v>3</v>
      </c>
      <c r="AI51" s="425" t="s">
        <v>69</v>
      </c>
      <c r="AJ51" s="425" t="s">
        <v>69</v>
      </c>
      <c r="AK51" s="425" t="s">
        <v>69</v>
      </c>
      <c r="AL51" s="425" t="s">
        <v>69</v>
      </c>
      <c r="AM51" s="425" t="s">
        <v>69</v>
      </c>
      <c r="AN51" s="425">
        <v>4</v>
      </c>
      <c r="AO51" s="425" t="s">
        <v>69</v>
      </c>
      <c r="AP51" s="425" t="s">
        <v>69</v>
      </c>
      <c r="AQ51" s="425" t="s">
        <v>69</v>
      </c>
      <c r="AR51" s="425" t="s">
        <v>69</v>
      </c>
      <c r="AS51" s="425" t="s">
        <v>69</v>
      </c>
      <c r="AT51" s="425">
        <v>3</v>
      </c>
      <c r="AU51" s="425" t="s">
        <v>69</v>
      </c>
      <c r="AV51" s="425" t="s">
        <v>69</v>
      </c>
      <c r="AW51" s="425" t="s">
        <v>69</v>
      </c>
      <c r="AX51" s="425" t="s">
        <v>69</v>
      </c>
      <c r="AY51" s="425" t="s">
        <v>69</v>
      </c>
      <c r="AZ51" s="425">
        <v>3</v>
      </c>
      <c r="BA51" s="425" t="s">
        <v>69</v>
      </c>
      <c r="BB51" s="425" t="s">
        <v>69</v>
      </c>
      <c r="BC51" s="425" t="s">
        <v>69</v>
      </c>
      <c r="BD51" s="425" t="s">
        <v>69</v>
      </c>
      <c r="BE51" s="425" t="s">
        <v>69</v>
      </c>
      <c r="BF51" s="425" t="s">
        <v>69</v>
      </c>
      <c r="BG51" s="425">
        <v>3</v>
      </c>
      <c r="BH51" s="425" t="s">
        <v>69</v>
      </c>
      <c r="BI51" s="425">
        <v>3</v>
      </c>
      <c r="BJ51" s="425" t="s">
        <v>69</v>
      </c>
      <c r="BK51" s="425">
        <v>4</v>
      </c>
      <c r="BL51" s="425" t="s">
        <v>69</v>
      </c>
      <c r="BM51" s="425" t="s">
        <v>69</v>
      </c>
      <c r="BN51" s="425" t="s">
        <v>69</v>
      </c>
      <c r="BO51" s="425" t="s">
        <v>69</v>
      </c>
      <c r="BP51" s="425">
        <v>2</v>
      </c>
      <c r="BQ51" s="425" t="s">
        <v>69</v>
      </c>
      <c r="BR51" s="425" t="s">
        <v>69</v>
      </c>
      <c r="BS51" s="425">
        <v>4</v>
      </c>
      <c r="BT51" s="425" t="s">
        <v>69</v>
      </c>
      <c r="BU51" s="425" t="s">
        <v>69</v>
      </c>
      <c r="BV51" s="425" t="s">
        <v>69</v>
      </c>
      <c r="BW51" s="425" t="s">
        <v>69</v>
      </c>
      <c r="BX51" s="425" t="s">
        <v>69</v>
      </c>
      <c r="BY51" s="425" t="s">
        <v>69</v>
      </c>
      <c r="BZ51" s="425">
        <v>4</v>
      </c>
      <c r="CA51" s="425" t="s">
        <v>69</v>
      </c>
      <c r="CB51" s="425" t="s">
        <v>69</v>
      </c>
      <c r="CC51" s="425" t="s">
        <v>69</v>
      </c>
      <c r="CD51" s="425" t="s">
        <v>69</v>
      </c>
      <c r="CE51" s="425" t="s">
        <v>69</v>
      </c>
      <c r="CF51" s="425" t="s">
        <v>69</v>
      </c>
      <c r="CG51" s="425" t="s">
        <v>69</v>
      </c>
      <c r="CH51" s="425" t="s">
        <v>69</v>
      </c>
      <c r="CI51" s="425" t="s">
        <v>69</v>
      </c>
      <c r="CJ51" s="425" t="s">
        <v>69</v>
      </c>
      <c r="CK51" s="425" t="s">
        <v>69</v>
      </c>
      <c r="CL51" s="425" t="s">
        <v>69</v>
      </c>
      <c r="CM51" s="425" t="s">
        <v>69</v>
      </c>
      <c r="CN51" s="425" t="s">
        <v>69</v>
      </c>
      <c r="CO51" s="425" t="s">
        <v>69</v>
      </c>
      <c r="CP51" s="425">
        <v>2</v>
      </c>
      <c r="CQ51" s="425" t="s">
        <v>69</v>
      </c>
      <c r="CR51" s="425" t="s">
        <v>69</v>
      </c>
      <c r="CS51" s="425" t="s">
        <v>69</v>
      </c>
      <c r="CT51" s="425">
        <v>3</v>
      </c>
      <c r="CU51" s="425" t="s">
        <v>69</v>
      </c>
      <c r="CV51" s="425">
        <v>3</v>
      </c>
      <c r="CW51" s="425" t="s">
        <v>69</v>
      </c>
      <c r="CX51" s="425">
        <v>3</v>
      </c>
      <c r="CY51" s="425" t="s">
        <v>69</v>
      </c>
      <c r="CZ51" s="425" t="s">
        <v>69</v>
      </c>
      <c r="DA51" s="425" t="s">
        <v>69</v>
      </c>
      <c r="DB51" s="425">
        <v>3</v>
      </c>
      <c r="DC51" s="425" t="s">
        <v>69</v>
      </c>
      <c r="DD51" s="425">
        <v>3</v>
      </c>
      <c r="DE51" s="425" t="s">
        <v>69</v>
      </c>
      <c r="DF51" s="425">
        <v>3</v>
      </c>
      <c r="DG51" s="425" t="s">
        <v>69</v>
      </c>
      <c r="DH51" s="425">
        <v>3</v>
      </c>
      <c r="DI51" s="425" t="s">
        <v>69</v>
      </c>
      <c r="DJ51" s="425" t="s">
        <v>69</v>
      </c>
      <c r="DK51" s="425" t="s">
        <v>69</v>
      </c>
      <c r="DL51" s="425" t="s">
        <v>69</v>
      </c>
      <c r="DM51" s="425" t="s">
        <v>69</v>
      </c>
      <c r="DN51" s="425" t="s">
        <v>69</v>
      </c>
      <c r="DO51" s="425" t="s">
        <v>69</v>
      </c>
      <c r="DP51" s="425" t="s">
        <v>69</v>
      </c>
      <c r="DQ51" s="425" t="s">
        <v>69</v>
      </c>
      <c r="DR51" s="425" t="s">
        <v>69</v>
      </c>
      <c r="DS51" s="425" t="s">
        <v>69</v>
      </c>
      <c r="DT51" s="425" t="s">
        <v>69</v>
      </c>
      <c r="DU51" s="422" t="s">
        <v>69</v>
      </c>
      <c r="DV51" s="425" t="s">
        <v>69</v>
      </c>
      <c r="DW51" s="425" t="s">
        <v>69</v>
      </c>
      <c r="DX51" s="425">
        <v>4</v>
      </c>
      <c r="DY51" s="423">
        <f t="shared" si="2"/>
        <v>0.30158730158730157</v>
      </c>
      <c r="DZ51" s="424">
        <f t="shared" si="3"/>
        <v>0.89473684210526316</v>
      </c>
      <c r="EA51" s="519"/>
    </row>
    <row r="52" spans="1:131" s="18" customFormat="1" ht="66.599999999999994" thickBot="1">
      <c r="A52" s="420" t="s">
        <v>327</v>
      </c>
      <c r="B52" s="414" t="s">
        <v>328</v>
      </c>
      <c r="C52" s="419">
        <v>45390</v>
      </c>
      <c r="D52" s="418" t="s">
        <v>1183</v>
      </c>
      <c r="E52" s="429" t="s">
        <v>898</v>
      </c>
      <c r="F52" s="425" t="s">
        <v>69</v>
      </c>
      <c r="G52" s="425" t="s">
        <v>69</v>
      </c>
      <c r="H52" s="425" t="s">
        <v>69</v>
      </c>
      <c r="I52" s="425" t="s">
        <v>69</v>
      </c>
      <c r="J52" s="425" t="s">
        <v>69</v>
      </c>
      <c r="K52" s="425" t="s">
        <v>69</v>
      </c>
      <c r="L52" s="425" t="s">
        <v>69</v>
      </c>
      <c r="M52" s="425" t="s">
        <v>69</v>
      </c>
      <c r="N52" s="425" t="s">
        <v>69</v>
      </c>
      <c r="O52" s="425" t="s">
        <v>69</v>
      </c>
      <c r="P52" s="425" t="s">
        <v>69</v>
      </c>
      <c r="Q52" s="425" t="s">
        <v>69</v>
      </c>
      <c r="R52" s="425" t="s">
        <v>69</v>
      </c>
      <c r="S52" s="425" t="s">
        <v>69</v>
      </c>
      <c r="T52" s="425" t="s">
        <v>69</v>
      </c>
      <c r="U52" s="425" t="s">
        <v>69</v>
      </c>
      <c r="V52" s="425" t="s">
        <v>69</v>
      </c>
      <c r="W52" s="425" t="s">
        <v>69</v>
      </c>
      <c r="X52" s="425" t="s">
        <v>69</v>
      </c>
      <c r="Y52" s="425" t="s">
        <v>69</v>
      </c>
      <c r="Z52" s="425" t="s">
        <v>69</v>
      </c>
      <c r="AA52" s="425" t="s">
        <v>69</v>
      </c>
      <c r="AB52" s="425" t="s">
        <v>69</v>
      </c>
      <c r="AC52" s="425" t="s">
        <v>69</v>
      </c>
      <c r="AD52" s="425" t="s">
        <v>69</v>
      </c>
      <c r="AE52" s="425" t="s">
        <v>69</v>
      </c>
      <c r="AF52" s="425" t="s">
        <v>69</v>
      </c>
      <c r="AG52" s="425" t="s">
        <v>69</v>
      </c>
      <c r="AH52" s="425" t="s">
        <v>69</v>
      </c>
      <c r="AI52" s="425" t="s">
        <v>69</v>
      </c>
      <c r="AJ52" s="425" t="s">
        <v>69</v>
      </c>
      <c r="AK52" s="425" t="s">
        <v>69</v>
      </c>
      <c r="AL52" s="425" t="s">
        <v>69</v>
      </c>
      <c r="AM52" s="425" t="s">
        <v>69</v>
      </c>
      <c r="AN52" s="425" t="s">
        <v>69</v>
      </c>
      <c r="AO52" s="425" t="s">
        <v>69</v>
      </c>
      <c r="AP52" s="425" t="s">
        <v>69</v>
      </c>
      <c r="AQ52" s="425" t="s">
        <v>69</v>
      </c>
      <c r="AR52" s="425" t="s">
        <v>69</v>
      </c>
      <c r="AS52" s="425" t="s">
        <v>69</v>
      </c>
      <c r="AT52" s="425" t="s">
        <v>69</v>
      </c>
      <c r="AU52" s="425" t="s">
        <v>69</v>
      </c>
      <c r="AV52" s="425" t="s">
        <v>69</v>
      </c>
      <c r="AW52" s="425" t="s">
        <v>69</v>
      </c>
      <c r="AX52" s="425" t="s">
        <v>69</v>
      </c>
      <c r="AY52" s="425" t="s">
        <v>69</v>
      </c>
      <c r="AZ52" s="425" t="s">
        <v>69</v>
      </c>
      <c r="BA52" s="425" t="s">
        <v>69</v>
      </c>
      <c r="BB52" s="425" t="s">
        <v>69</v>
      </c>
      <c r="BC52" s="425" t="s">
        <v>69</v>
      </c>
      <c r="BD52" s="425" t="s">
        <v>69</v>
      </c>
      <c r="BE52" s="425">
        <v>4</v>
      </c>
      <c r="BF52" s="425">
        <v>3</v>
      </c>
      <c r="BG52" s="425" t="s">
        <v>69</v>
      </c>
      <c r="BH52" s="425" t="s">
        <v>69</v>
      </c>
      <c r="BI52" s="425">
        <v>4</v>
      </c>
      <c r="BJ52" s="425" t="s">
        <v>69</v>
      </c>
      <c r="BK52" s="425" t="s">
        <v>69</v>
      </c>
      <c r="BL52" s="425" t="s">
        <v>69</v>
      </c>
      <c r="BM52" s="425" t="s">
        <v>69</v>
      </c>
      <c r="BN52" s="425" t="s">
        <v>69</v>
      </c>
      <c r="BO52" s="425" t="s">
        <v>69</v>
      </c>
      <c r="BP52" s="425" t="s">
        <v>69</v>
      </c>
      <c r="BQ52" s="425" t="s">
        <v>69</v>
      </c>
      <c r="BR52" s="425" t="s">
        <v>69</v>
      </c>
      <c r="BS52" s="425" t="s">
        <v>69</v>
      </c>
      <c r="BT52" s="425" t="s">
        <v>69</v>
      </c>
      <c r="BU52" s="425" t="s">
        <v>69</v>
      </c>
      <c r="BV52" s="425" t="s">
        <v>69</v>
      </c>
      <c r="BW52" s="425" t="s">
        <v>69</v>
      </c>
      <c r="BX52" s="425" t="s">
        <v>69</v>
      </c>
      <c r="BY52" s="425" t="s">
        <v>69</v>
      </c>
      <c r="BZ52" s="425" t="s">
        <v>69</v>
      </c>
      <c r="CA52" s="425" t="s">
        <v>69</v>
      </c>
      <c r="CB52" s="425" t="s">
        <v>69</v>
      </c>
      <c r="CC52" s="425" t="s">
        <v>69</v>
      </c>
      <c r="CD52" s="425" t="s">
        <v>69</v>
      </c>
      <c r="CE52" s="425" t="s">
        <v>69</v>
      </c>
      <c r="CF52" s="425" t="s">
        <v>69</v>
      </c>
      <c r="CG52" s="425" t="s">
        <v>69</v>
      </c>
      <c r="CH52" s="425" t="s">
        <v>69</v>
      </c>
      <c r="CI52" s="425" t="s">
        <v>69</v>
      </c>
      <c r="CJ52" s="425" t="s">
        <v>69</v>
      </c>
      <c r="CK52" s="425" t="s">
        <v>69</v>
      </c>
      <c r="CL52" s="425" t="s">
        <v>69</v>
      </c>
      <c r="CM52" s="425">
        <v>2</v>
      </c>
      <c r="CN52" s="425" t="s">
        <v>69</v>
      </c>
      <c r="CO52" s="425">
        <v>2</v>
      </c>
      <c r="CP52" s="425" t="s">
        <v>69</v>
      </c>
      <c r="CQ52" s="425" t="s">
        <v>69</v>
      </c>
      <c r="CR52" s="425" t="s">
        <v>69</v>
      </c>
      <c r="CS52" s="425" t="s">
        <v>69</v>
      </c>
      <c r="CT52" s="425" t="s">
        <v>69</v>
      </c>
      <c r="CU52" s="425" t="s">
        <v>69</v>
      </c>
      <c r="CV52" s="425" t="s">
        <v>69</v>
      </c>
      <c r="CW52" s="425" t="s">
        <v>69</v>
      </c>
      <c r="CX52" s="425" t="s">
        <v>69</v>
      </c>
      <c r="CY52" s="425" t="s">
        <v>69</v>
      </c>
      <c r="CZ52" s="425" t="s">
        <v>69</v>
      </c>
      <c r="DA52" s="425" t="s">
        <v>69</v>
      </c>
      <c r="DB52" s="425" t="s">
        <v>69</v>
      </c>
      <c r="DC52" s="425" t="s">
        <v>69</v>
      </c>
      <c r="DD52" s="425">
        <v>4</v>
      </c>
      <c r="DE52" s="425" t="s">
        <v>69</v>
      </c>
      <c r="DF52" s="425" t="s">
        <v>69</v>
      </c>
      <c r="DG52" s="425" t="s">
        <v>69</v>
      </c>
      <c r="DH52" s="425" t="s">
        <v>69</v>
      </c>
      <c r="DI52" s="425" t="s">
        <v>69</v>
      </c>
      <c r="DJ52" s="425" t="s">
        <v>69</v>
      </c>
      <c r="DK52" s="425" t="s">
        <v>69</v>
      </c>
      <c r="DL52" s="425" t="s">
        <v>69</v>
      </c>
      <c r="DM52" s="425" t="s">
        <v>69</v>
      </c>
      <c r="DN52" s="425" t="s">
        <v>69</v>
      </c>
      <c r="DO52" s="425" t="s">
        <v>69</v>
      </c>
      <c r="DP52" s="425" t="s">
        <v>69</v>
      </c>
      <c r="DQ52" s="425" t="s">
        <v>69</v>
      </c>
      <c r="DR52" s="425" t="s">
        <v>69</v>
      </c>
      <c r="DS52" s="425" t="s">
        <v>69</v>
      </c>
      <c r="DT52" s="425" t="s">
        <v>69</v>
      </c>
      <c r="DU52" s="422" t="s">
        <v>69</v>
      </c>
      <c r="DV52" s="425" t="s">
        <v>69</v>
      </c>
      <c r="DW52" s="425">
        <v>4</v>
      </c>
      <c r="DX52" s="425">
        <v>4</v>
      </c>
      <c r="DY52" s="423">
        <f t="shared" si="2"/>
        <v>0.12698412698412698</v>
      </c>
      <c r="DZ52" s="424">
        <f t="shared" si="3"/>
        <v>0.75</v>
      </c>
      <c r="EA52" s="519"/>
    </row>
    <row r="53" spans="1:131" s="18" customFormat="1" ht="66.599999999999994" thickBot="1">
      <c r="A53" s="420" t="s">
        <v>115</v>
      </c>
      <c r="B53" s="414" t="s">
        <v>116</v>
      </c>
      <c r="C53" s="419">
        <v>45390</v>
      </c>
      <c r="D53" s="418" t="s">
        <v>1183</v>
      </c>
      <c r="E53" s="429" t="s">
        <v>899</v>
      </c>
      <c r="F53" s="425">
        <v>3</v>
      </c>
      <c r="G53" s="425" t="s">
        <v>69</v>
      </c>
      <c r="H53" s="425">
        <v>3</v>
      </c>
      <c r="I53" s="425" t="s">
        <v>69</v>
      </c>
      <c r="J53" s="425" t="s">
        <v>69</v>
      </c>
      <c r="K53" s="425" t="s">
        <v>69</v>
      </c>
      <c r="L53" s="425" t="s">
        <v>69</v>
      </c>
      <c r="M53" s="425" t="s">
        <v>69</v>
      </c>
      <c r="N53" s="425" t="s">
        <v>69</v>
      </c>
      <c r="O53" s="425" t="s">
        <v>69</v>
      </c>
      <c r="P53" s="425" t="s">
        <v>69</v>
      </c>
      <c r="Q53" s="425" t="s">
        <v>69</v>
      </c>
      <c r="R53" s="425" t="s">
        <v>69</v>
      </c>
      <c r="S53" s="425" t="s">
        <v>69</v>
      </c>
      <c r="T53" s="425" t="s">
        <v>69</v>
      </c>
      <c r="U53" s="425" t="s">
        <v>69</v>
      </c>
      <c r="V53" s="425" t="s">
        <v>69</v>
      </c>
      <c r="W53" s="425" t="s">
        <v>69</v>
      </c>
      <c r="X53" s="425" t="s">
        <v>69</v>
      </c>
      <c r="Y53" s="425" t="s">
        <v>69</v>
      </c>
      <c r="Z53" s="425" t="s">
        <v>69</v>
      </c>
      <c r="AA53" s="425" t="s">
        <v>69</v>
      </c>
      <c r="AB53" s="425" t="s">
        <v>69</v>
      </c>
      <c r="AC53" s="425" t="s">
        <v>69</v>
      </c>
      <c r="AD53" s="425" t="s">
        <v>69</v>
      </c>
      <c r="AE53" s="425" t="s">
        <v>69</v>
      </c>
      <c r="AF53" s="425" t="s">
        <v>69</v>
      </c>
      <c r="AG53" s="425" t="s">
        <v>69</v>
      </c>
      <c r="AH53" s="425" t="s">
        <v>69</v>
      </c>
      <c r="AI53" s="425" t="s">
        <v>69</v>
      </c>
      <c r="AJ53" s="425" t="s">
        <v>69</v>
      </c>
      <c r="AK53" s="425" t="s">
        <v>69</v>
      </c>
      <c r="AL53" s="425" t="s">
        <v>69</v>
      </c>
      <c r="AM53" s="425" t="s">
        <v>69</v>
      </c>
      <c r="AN53" s="425" t="s">
        <v>69</v>
      </c>
      <c r="AO53" s="425" t="s">
        <v>69</v>
      </c>
      <c r="AP53" s="425">
        <v>4</v>
      </c>
      <c r="AQ53" s="425" t="s">
        <v>69</v>
      </c>
      <c r="AR53" s="425" t="s">
        <v>69</v>
      </c>
      <c r="AS53" s="425" t="s">
        <v>69</v>
      </c>
      <c r="AT53" s="425" t="s">
        <v>69</v>
      </c>
      <c r="AU53" s="425" t="s">
        <v>69</v>
      </c>
      <c r="AV53" s="425" t="s">
        <v>69</v>
      </c>
      <c r="AW53" s="425" t="s">
        <v>69</v>
      </c>
      <c r="AX53" s="425" t="s">
        <v>69</v>
      </c>
      <c r="AY53" s="425" t="s">
        <v>69</v>
      </c>
      <c r="AZ53" s="425" t="s">
        <v>69</v>
      </c>
      <c r="BA53" s="425" t="s">
        <v>69</v>
      </c>
      <c r="BB53" s="425" t="s">
        <v>69</v>
      </c>
      <c r="BC53" s="425" t="s">
        <v>69</v>
      </c>
      <c r="BD53" s="425" t="s">
        <v>69</v>
      </c>
      <c r="BE53" s="425" t="s">
        <v>69</v>
      </c>
      <c r="BF53" s="425" t="s">
        <v>69</v>
      </c>
      <c r="BG53" s="425" t="s">
        <v>69</v>
      </c>
      <c r="BH53" s="425" t="s">
        <v>69</v>
      </c>
      <c r="BI53" s="425" t="s">
        <v>69</v>
      </c>
      <c r="BJ53" s="425" t="s">
        <v>69</v>
      </c>
      <c r="BK53" s="425" t="s">
        <v>69</v>
      </c>
      <c r="BL53" s="425" t="s">
        <v>69</v>
      </c>
      <c r="BM53" s="425" t="s">
        <v>69</v>
      </c>
      <c r="BN53" s="425" t="s">
        <v>69</v>
      </c>
      <c r="BO53" s="425" t="s">
        <v>69</v>
      </c>
      <c r="BP53" s="425" t="s">
        <v>69</v>
      </c>
      <c r="BQ53" s="425" t="s">
        <v>69</v>
      </c>
      <c r="BR53" s="425">
        <v>4</v>
      </c>
      <c r="BS53" s="425" t="s">
        <v>69</v>
      </c>
      <c r="BT53" s="425" t="s">
        <v>69</v>
      </c>
      <c r="BU53" s="425" t="s">
        <v>69</v>
      </c>
      <c r="BV53" s="425" t="s">
        <v>69</v>
      </c>
      <c r="BW53" s="425" t="s">
        <v>69</v>
      </c>
      <c r="BX53" s="425" t="s">
        <v>69</v>
      </c>
      <c r="BY53" s="425" t="s">
        <v>69</v>
      </c>
      <c r="BZ53" s="425" t="s">
        <v>69</v>
      </c>
      <c r="CA53" s="425" t="s">
        <v>69</v>
      </c>
      <c r="CB53" s="425" t="s">
        <v>69</v>
      </c>
      <c r="CC53" s="425" t="s">
        <v>69</v>
      </c>
      <c r="CD53" s="425" t="s">
        <v>69</v>
      </c>
      <c r="CE53" s="425" t="s">
        <v>69</v>
      </c>
      <c r="CF53" s="425" t="s">
        <v>69</v>
      </c>
      <c r="CG53" s="425" t="s">
        <v>69</v>
      </c>
      <c r="CH53" s="425" t="s">
        <v>69</v>
      </c>
      <c r="CI53" s="425" t="s">
        <v>69</v>
      </c>
      <c r="CJ53" s="425" t="s">
        <v>69</v>
      </c>
      <c r="CK53" s="425" t="s">
        <v>69</v>
      </c>
      <c r="CL53" s="425" t="s">
        <v>69</v>
      </c>
      <c r="CM53" s="425" t="s">
        <v>69</v>
      </c>
      <c r="CN53" s="425" t="s">
        <v>69</v>
      </c>
      <c r="CO53" s="425" t="s">
        <v>69</v>
      </c>
      <c r="CP53" s="425" t="s">
        <v>69</v>
      </c>
      <c r="CQ53" s="425" t="s">
        <v>69</v>
      </c>
      <c r="CR53" s="425" t="s">
        <v>69</v>
      </c>
      <c r="CS53" s="425" t="s">
        <v>69</v>
      </c>
      <c r="CT53" s="425" t="s">
        <v>69</v>
      </c>
      <c r="CU53" s="425" t="s">
        <v>69</v>
      </c>
      <c r="CV53" s="425" t="s">
        <v>69</v>
      </c>
      <c r="CW53" s="425" t="s">
        <v>69</v>
      </c>
      <c r="CX53" s="425" t="s">
        <v>69</v>
      </c>
      <c r="CY53" s="425" t="s">
        <v>69</v>
      </c>
      <c r="CZ53" s="425" t="s">
        <v>69</v>
      </c>
      <c r="DA53" s="425" t="s">
        <v>69</v>
      </c>
      <c r="DB53" s="425" t="s">
        <v>69</v>
      </c>
      <c r="DC53" s="425" t="s">
        <v>69</v>
      </c>
      <c r="DD53" s="425">
        <v>4</v>
      </c>
      <c r="DE53" s="425" t="s">
        <v>69</v>
      </c>
      <c r="DF53" s="425" t="s">
        <v>69</v>
      </c>
      <c r="DG53" s="425" t="s">
        <v>69</v>
      </c>
      <c r="DH53" s="425" t="s">
        <v>69</v>
      </c>
      <c r="DI53" s="425" t="s">
        <v>69</v>
      </c>
      <c r="DJ53" s="425" t="s">
        <v>69</v>
      </c>
      <c r="DK53" s="425" t="s">
        <v>69</v>
      </c>
      <c r="DL53" s="425" t="s">
        <v>69</v>
      </c>
      <c r="DM53" s="425" t="s">
        <v>69</v>
      </c>
      <c r="DN53" s="425" t="s">
        <v>69</v>
      </c>
      <c r="DO53" s="425" t="s">
        <v>69</v>
      </c>
      <c r="DP53" s="425" t="s">
        <v>69</v>
      </c>
      <c r="DQ53" s="425" t="s">
        <v>69</v>
      </c>
      <c r="DR53" s="425" t="s">
        <v>69</v>
      </c>
      <c r="DS53" s="425" t="s">
        <v>69</v>
      </c>
      <c r="DT53" s="425" t="s">
        <v>69</v>
      </c>
      <c r="DU53" s="422" t="s">
        <v>69</v>
      </c>
      <c r="DV53" s="425" t="s">
        <v>69</v>
      </c>
      <c r="DW53" s="425">
        <v>4</v>
      </c>
      <c r="DX53" s="425">
        <v>4</v>
      </c>
      <c r="DY53" s="423">
        <f t="shared" si="2"/>
        <v>0.1111111111111111</v>
      </c>
      <c r="DZ53" s="424">
        <f t="shared" si="3"/>
        <v>1</v>
      </c>
      <c r="EA53" s="519"/>
    </row>
    <row r="54" spans="1:131" s="18" customFormat="1" ht="66.599999999999994" thickBot="1">
      <c r="A54" s="420" t="s">
        <v>109</v>
      </c>
      <c r="B54" s="414" t="s">
        <v>308</v>
      </c>
      <c r="C54" s="419" t="s">
        <v>621</v>
      </c>
      <c r="D54" s="418" t="s">
        <v>1183</v>
      </c>
      <c r="E54" s="429" t="s">
        <v>899</v>
      </c>
      <c r="F54" s="425">
        <v>4</v>
      </c>
      <c r="G54" s="425" t="s">
        <v>69</v>
      </c>
      <c r="H54" s="425" t="s">
        <v>69</v>
      </c>
      <c r="I54" s="425" t="s">
        <v>69</v>
      </c>
      <c r="J54" s="425" t="s">
        <v>69</v>
      </c>
      <c r="K54" s="425" t="s">
        <v>69</v>
      </c>
      <c r="L54" s="425" t="s">
        <v>69</v>
      </c>
      <c r="M54" s="425" t="s">
        <v>69</v>
      </c>
      <c r="N54" s="425" t="s">
        <v>69</v>
      </c>
      <c r="O54" s="425" t="s">
        <v>69</v>
      </c>
      <c r="P54" s="425" t="s">
        <v>69</v>
      </c>
      <c r="Q54" s="425" t="s">
        <v>69</v>
      </c>
      <c r="R54" s="425" t="s">
        <v>69</v>
      </c>
      <c r="S54" s="425" t="s">
        <v>69</v>
      </c>
      <c r="T54" s="425" t="s">
        <v>69</v>
      </c>
      <c r="U54" s="425" t="s">
        <v>69</v>
      </c>
      <c r="V54" s="425" t="s">
        <v>69</v>
      </c>
      <c r="W54" s="425" t="s">
        <v>69</v>
      </c>
      <c r="X54" s="425" t="s">
        <v>69</v>
      </c>
      <c r="Y54" s="425" t="s">
        <v>69</v>
      </c>
      <c r="Z54" s="425" t="s">
        <v>69</v>
      </c>
      <c r="AA54" s="425" t="s">
        <v>69</v>
      </c>
      <c r="AB54" s="425" t="s">
        <v>69</v>
      </c>
      <c r="AC54" s="425" t="s">
        <v>69</v>
      </c>
      <c r="AD54" s="425" t="s">
        <v>69</v>
      </c>
      <c r="AE54" s="425" t="s">
        <v>69</v>
      </c>
      <c r="AF54" s="425" t="s">
        <v>69</v>
      </c>
      <c r="AG54" s="425" t="s">
        <v>69</v>
      </c>
      <c r="AH54" s="425" t="s">
        <v>69</v>
      </c>
      <c r="AI54" s="425" t="s">
        <v>69</v>
      </c>
      <c r="AJ54" s="425" t="s">
        <v>69</v>
      </c>
      <c r="AK54" s="425" t="s">
        <v>69</v>
      </c>
      <c r="AL54" s="425" t="s">
        <v>69</v>
      </c>
      <c r="AM54" s="425" t="s">
        <v>69</v>
      </c>
      <c r="AN54" s="425" t="s">
        <v>69</v>
      </c>
      <c r="AO54" s="425" t="s">
        <v>69</v>
      </c>
      <c r="AP54" s="425">
        <v>2</v>
      </c>
      <c r="AQ54" s="425" t="s">
        <v>69</v>
      </c>
      <c r="AR54" s="425" t="s">
        <v>69</v>
      </c>
      <c r="AS54" s="425">
        <v>3</v>
      </c>
      <c r="AT54" s="425" t="s">
        <v>69</v>
      </c>
      <c r="AU54" s="425" t="s">
        <v>69</v>
      </c>
      <c r="AV54" s="425">
        <v>3</v>
      </c>
      <c r="AW54" s="425" t="s">
        <v>69</v>
      </c>
      <c r="AX54" s="425" t="s">
        <v>69</v>
      </c>
      <c r="AY54" s="425" t="s">
        <v>69</v>
      </c>
      <c r="AZ54" s="425" t="s">
        <v>69</v>
      </c>
      <c r="BA54" s="425" t="s">
        <v>69</v>
      </c>
      <c r="BB54" s="425" t="s">
        <v>69</v>
      </c>
      <c r="BC54" s="425" t="s">
        <v>69</v>
      </c>
      <c r="BD54" s="425" t="s">
        <v>69</v>
      </c>
      <c r="BE54" s="425">
        <v>4</v>
      </c>
      <c r="BF54" s="425">
        <v>4</v>
      </c>
      <c r="BG54" s="425" t="s">
        <v>69</v>
      </c>
      <c r="BH54" s="425" t="s">
        <v>69</v>
      </c>
      <c r="BI54" s="425" t="s">
        <v>69</v>
      </c>
      <c r="BJ54" s="425" t="s">
        <v>69</v>
      </c>
      <c r="BK54" s="425" t="s">
        <v>69</v>
      </c>
      <c r="BL54" s="425" t="s">
        <v>69</v>
      </c>
      <c r="BM54" s="425" t="s">
        <v>69</v>
      </c>
      <c r="BN54" s="425" t="s">
        <v>69</v>
      </c>
      <c r="BO54" s="425" t="s">
        <v>69</v>
      </c>
      <c r="BP54" s="425" t="s">
        <v>69</v>
      </c>
      <c r="BQ54" s="425" t="s">
        <v>69</v>
      </c>
      <c r="BR54" s="425">
        <v>4</v>
      </c>
      <c r="BS54" s="425" t="s">
        <v>69</v>
      </c>
      <c r="BT54" s="425" t="s">
        <v>69</v>
      </c>
      <c r="BU54" s="425" t="s">
        <v>69</v>
      </c>
      <c r="BV54" s="425" t="s">
        <v>69</v>
      </c>
      <c r="BW54" s="425" t="s">
        <v>69</v>
      </c>
      <c r="BX54" s="425" t="s">
        <v>69</v>
      </c>
      <c r="BY54" s="425" t="s">
        <v>69</v>
      </c>
      <c r="BZ54" s="425">
        <v>4</v>
      </c>
      <c r="CA54" s="425" t="s">
        <v>69</v>
      </c>
      <c r="CB54" s="425" t="s">
        <v>69</v>
      </c>
      <c r="CC54" s="425" t="s">
        <v>69</v>
      </c>
      <c r="CD54" s="425" t="s">
        <v>69</v>
      </c>
      <c r="CE54" s="425" t="s">
        <v>69</v>
      </c>
      <c r="CF54" s="425" t="s">
        <v>69</v>
      </c>
      <c r="CG54" s="425">
        <v>4</v>
      </c>
      <c r="CH54" s="425" t="s">
        <v>69</v>
      </c>
      <c r="CI54" s="425" t="s">
        <v>69</v>
      </c>
      <c r="CJ54" s="425" t="s">
        <v>69</v>
      </c>
      <c r="CK54" s="425" t="s">
        <v>69</v>
      </c>
      <c r="CL54" s="425" t="s">
        <v>69</v>
      </c>
      <c r="CM54" s="425" t="s">
        <v>69</v>
      </c>
      <c r="CN54" s="425" t="s">
        <v>69</v>
      </c>
      <c r="CO54" s="425" t="s">
        <v>69</v>
      </c>
      <c r="CP54" s="425" t="s">
        <v>69</v>
      </c>
      <c r="CQ54" s="425" t="s">
        <v>69</v>
      </c>
      <c r="CR54" s="425" t="s">
        <v>69</v>
      </c>
      <c r="CS54" s="425" t="s">
        <v>69</v>
      </c>
      <c r="CT54" s="425" t="s">
        <v>69</v>
      </c>
      <c r="CU54" s="425" t="s">
        <v>69</v>
      </c>
      <c r="CV54" s="425" t="s">
        <v>69</v>
      </c>
      <c r="CW54" s="425" t="s">
        <v>69</v>
      </c>
      <c r="CX54" s="425" t="s">
        <v>69</v>
      </c>
      <c r="CY54" s="425" t="s">
        <v>69</v>
      </c>
      <c r="CZ54" s="425" t="s">
        <v>69</v>
      </c>
      <c r="DA54" s="425" t="s">
        <v>69</v>
      </c>
      <c r="DB54" s="425" t="s">
        <v>69</v>
      </c>
      <c r="DC54" s="425" t="s">
        <v>69</v>
      </c>
      <c r="DD54" s="425" t="s">
        <v>69</v>
      </c>
      <c r="DE54" s="425" t="s">
        <v>69</v>
      </c>
      <c r="DF54" s="425" t="s">
        <v>69</v>
      </c>
      <c r="DG54" s="425" t="s">
        <v>69</v>
      </c>
      <c r="DH54" s="425" t="s">
        <v>69</v>
      </c>
      <c r="DI54" s="425" t="s">
        <v>69</v>
      </c>
      <c r="DJ54" s="425" t="s">
        <v>69</v>
      </c>
      <c r="DK54" s="425" t="s">
        <v>69</v>
      </c>
      <c r="DL54" s="425" t="s">
        <v>69</v>
      </c>
      <c r="DM54" s="425">
        <v>2</v>
      </c>
      <c r="DN54" s="425" t="s">
        <v>69</v>
      </c>
      <c r="DO54" s="425" t="s">
        <v>69</v>
      </c>
      <c r="DP54" s="425" t="s">
        <v>69</v>
      </c>
      <c r="DQ54" s="425" t="s">
        <v>69</v>
      </c>
      <c r="DR54" s="425" t="s">
        <v>69</v>
      </c>
      <c r="DS54" s="425" t="s">
        <v>69</v>
      </c>
      <c r="DT54" s="425" t="s">
        <v>69</v>
      </c>
      <c r="DU54" s="422" t="s">
        <v>69</v>
      </c>
      <c r="DV54" s="425">
        <v>3</v>
      </c>
      <c r="DW54" s="425" t="s">
        <v>69</v>
      </c>
      <c r="DX54" s="425">
        <v>3</v>
      </c>
      <c r="DY54" s="423">
        <f t="shared" si="2"/>
        <v>0.19047619047619047</v>
      </c>
      <c r="DZ54" s="424">
        <f t="shared" si="3"/>
        <v>0.83333333333333337</v>
      </c>
      <c r="EA54" s="519"/>
    </row>
    <row r="55" spans="1:131" s="18" customFormat="1" ht="66.599999999999994" thickBot="1">
      <c r="A55" s="420" t="s">
        <v>107</v>
      </c>
      <c r="B55" s="414" t="s">
        <v>370</v>
      </c>
      <c r="C55" s="419">
        <v>44690</v>
      </c>
      <c r="D55" s="418" t="s">
        <v>1183</v>
      </c>
      <c r="E55" s="429" t="s">
        <v>899</v>
      </c>
      <c r="F55" s="425">
        <v>4</v>
      </c>
      <c r="G55" s="425" t="s">
        <v>69</v>
      </c>
      <c r="H55" s="425">
        <v>4</v>
      </c>
      <c r="I55" s="425" t="s">
        <v>69</v>
      </c>
      <c r="J55" s="425" t="s">
        <v>69</v>
      </c>
      <c r="K55" s="425" t="s">
        <v>69</v>
      </c>
      <c r="L55" s="425" t="s">
        <v>69</v>
      </c>
      <c r="M55" s="425" t="s">
        <v>69</v>
      </c>
      <c r="N55" s="425" t="s">
        <v>69</v>
      </c>
      <c r="O55" s="425" t="s">
        <v>69</v>
      </c>
      <c r="P55" s="425" t="s">
        <v>69</v>
      </c>
      <c r="Q55" s="425" t="s">
        <v>69</v>
      </c>
      <c r="R55" s="425" t="s">
        <v>69</v>
      </c>
      <c r="S55" s="425" t="s">
        <v>69</v>
      </c>
      <c r="T55" s="425" t="s">
        <v>69</v>
      </c>
      <c r="U55" s="425" t="s">
        <v>69</v>
      </c>
      <c r="V55" s="425" t="s">
        <v>69</v>
      </c>
      <c r="W55" s="425" t="s">
        <v>69</v>
      </c>
      <c r="X55" s="425" t="s">
        <v>69</v>
      </c>
      <c r="Y55" s="425" t="s">
        <v>69</v>
      </c>
      <c r="Z55" s="425" t="s">
        <v>69</v>
      </c>
      <c r="AA55" s="425" t="s">
        <v>69</v>
      </c>
      <c r="AB55" s="425" t="s">
        <v>69</v>
      </c>
      <c r="AC55" s="425">
        <v>3</v>
      </c>
      <c r="AD55" s="425" t="s">
        <v>69</v>
      </c>
      <c r="AE55" s="425" t="s">
        <v>69</v>
      </c>
      <c r="AF55" s="425" t="s">
        <v>69</v>
      </c>
      <c r="AG55" s="425" t="s">
        <v>69</v>
      </c>
      <c r="AH55" s="425" t="s">
        <v>69</v>
      </c>
      <c r="AI55" s="425" t="s">
        <v>69</v>
      </c>
      <c r="AJ55" s="425" t="s">
        <v>69</v>
      </c>
      <c r="AK55" s="425" t="s">
        <v>69</v>
      </c>
      <c r="AL55" s="425" t="s">
        <v>69</v>
      </c>
      <c r="AM55" s="425" t="s">
        <v>69</v>
      </c>
      <c r="AN55" s="425" t="s">
        <v>69</v>
      </c>
      <c r="AO55" s="425" t="s">
        <v>69</v>
      </c>
      <c r="AP55" s="425" t="s">
        <v>69</v>
      </c>
      <c r="AQ55" s="425" t="s">
        <v>69</v>
      </c>
      <c r="AR55" s="425" t="s">
        <v>69</v>
      </c>
      <c r="AS55" s="425" t="s">
        <v>69</v>
      </c>
      <c r="AT55" s="425" t="s">
        <v>69</v>
      </c>
      <c r="AU55" s="425">
        <v>3</v>
      </c>
      <c r="AV55" s="425" t="s">
        <v>69</v>
      </c>
      <c r="AW55" s="425" t="s">
        <v>69</v>
      </c>
      <c r="AX55" s="425">
        <v>3</v>
      </c>
      <c r="AY55" s="425" t="s">
        <v>69</v>
      </c>
      <c r="AZ55" s="425" t="s">
        <v>69</v>
      </c>
      <c r="BA55" s="425" t="s">
        <v>69</v>
      </c>
      <c r="BB55" s="425" t="s">
        <v>69</v>
      </c>
      <c r="BC55" s="425" t="s">
        <v>69</v>
      </c>
      <c r="BD55" s="425" t="s">
        <v>69</v>
      </c>
      <c r="BE55" s="425" t="s">
        <v>69</v>
      </c>
      <c r="BF55" s="425" t="s">
        <v>69</v>
      </c>
      <c r="BG55" s="425" t="s">
        <v>69</v>
      </c>
      <c r="BH55" s="425" t="s">
        <v>69</v>
      </c>
      <c r="BI55" s="425" t="s">
        <v>69</v>
      </c>
      <c r="BJ55" s="425" t="s">
        <v>69</v>
      </c>
      <c r="BK55" s="425" t="s">
        <v>69</v>
      </c>
      <c r="BL55" s="425" t="s">
        <v>69</v>
      </c>
      <c r="BM55" s="425" t="s">
        <v>69</v>
      </c>
      <c r="BN55" s="425" t="s">
        <v>69</v>
      </c>
      <c r="BO55" s="425" t="s">
        <v>69</v>
      </c>
      <c r="BP55" s="425" t="s">
        <v>69</v>
      </c>
      <c r="BQ55" s="425" t="s">
        <v>69</v>
      </c>
      <c r="BR55" s="425" t="s">
        <v>69</v>
      </c>
      <c r="BS55" s="425" t="s">
        <v>69</v>
      </c>
      <c r="BT55" s="425" t="s">
        <v>69</v>
      </c>
      <c r="BU55" s="425" t="s">
        <v>69</v>
      </c>
      <c r="BV55" s="425" t="s">
        <v>69</v>
      </c>
      <c r="BW55" s="425" t="s">
        <v>69</v>
      </c>
      <c r="BX55" s="425" t="s">
        <v>69</v>
      </c>
      <c r="BY55" s="425" t="s">
        <v>69</v>
      </c>
      <c r="BZ55" s="425" t="s">
        <v>69</v>
      </c>
      <c r="CA55" s="425">
        <v>2</v>
      </c>
      <c r="CB55" s="425">
        <v>3</v>
      </c>
      <c r="CC55" s="425" t="s">
        <v>69</v>
      </c>
      <c r="CD55" s="425" t="s">
        <v>69</v>
      </c>
      <c r="CE55" s="425" t="s">
        <v>69</v>
      </c>
      <c r="CF55" s="425" t="s">
        <v>69</v>
      </c>
      <c r="CG55" s="425" t="s">
        <v>69</v>
      </c>
      <c r="CH55" s="425" t="s">
        <v>69</v>
      </c>
      <c r="CI55" s="425" t="s">
        <v>69</v>
      </c>
      <c r="CJ55" s="425" t="s">
        <v>69</v>
      </c>
      <c r="CK55" s="425" t="s">
        <v>69</v>
      </c>
      <c r="CL55" s="425" t="s">
        <v>69</v>
      </c>
      <c r="CM55" s="425" t="s">
        <v>69</v>
      </c>
      <c r="CN55" s="425" t="s">
        <v>69</v>
      </c>
      <c r="CO55" s="425" t="s">
        <v>69</v>
      </c>
      <c r="CP55" s="425">
        <v>3</v>
      </c>
      <c r="CQ55" s="425" t="s">
        <v>69</v>
      </c>
      <c r="CR55" s="425" t="s">
        <v>69</v>
      </c>
      <c r="CS55" s="425" t="s">
        <v>69</v>
      </c>
      <c r="CT55" s="425">
        <v>3</v>
      </c>
      <c r="CU55" s="425" t="s">
        <v>69</v>
      </c>
      <c r="CV55" s="425" t="s">
        <v>69</v>
      </c>
      <c r="CW55" s="425" t="s">
        <v>69</v>
      </c>
      <c r="CX55" s="425" t="s">
        <v>69</v>
      </c>
      <c r="CY55" s="425" t="s">
        <v>69</v>
      </c>
      <c r="CZ55" s="425" t="s">
        <v>69</v>
      </c>
      <c r="DA55" s="425" t="s">
        <v>69</v>
      </c>
      <c r="DB55" s="425" t="s">
        <v>69</v>
      </c>
      <c r="DC55" s="425" t="s">
        <v>69</v>
      </c>
      <c r="DD55" s="425" t="s">
        <v>69</v>
      </c>
      <c r="DE55" s="425" t="s">
        <v>69</v>
      </c>
      <c r="DF55" s="425" t="s">
        <v>69</v>
      </c>
      <c r="DG55" s="425" t="s">
        <v>69</v>
      </c>
      <c r="DH55" s="425" t="s">
        <v>69</v>
      </c>
      <c r="DI55" s="425" t="s">
        <v>69</v>
      </c>
      <c r="DJ55" s="425" t="s">
        <v>69</v>
      </c>
      <c r="DK55" s="425" t="s">
        <v>69</v>
      </c>
      <c r="DL55" s="425" t="s">
        <v>69</v>
      </c>
      <c r="DM55" s="425" t="s">
        <v>69</v>
      </c>
      <c r="DN55" s="425" t="s">
        <v>69</v>
      </c>
      <c r="DO55" s="425" t="s">
        <v>69</v>
      </c>
      <c r="DP55" s="425" t="s">
        <v>69</v>
      </c>
      <c r="DQ55" s="425" t="s">
        <v>69</v>
      </c>
      <c r="DR55" s="425" t="s">
        <v>69</v>
      </c>
      <c r="DS55" s="425" t="s">
        <v>69</v>
      </c>
      <c r="DT55" s="425" t="s">
        <v>69</v>
      </c>
      <c r="DU55" s="422" t="s">
        <v>69</v>
      </c>
      <c r="DV55" s="425">
        <v>3</v>
      </c>
      <c r="DW55" s="425" t="s">
        <v>69</v>
      </c>
      <c r="DX55" s="425">
        <v>4</v>
      </c>
      <c r="DY55" s="423">
        <f t="shared" si="2"/>
        <v>0.17460317460317459</v>
      </c>
      <c r="DZ55" s="424">
        <f t="shared" si="3"/>
        <v>0.90909090909090906</v>
      </c>
      <c r="EA55" s="519"/>
    </row>
    <row r="56" spans="1:131" s="18" customFormat="1" ht="66.599999999999994" thickBot="1">
      <c r="A56" s="420" t="s">
        <v>99</v>
      </c>
      <c r="B56" s="414" t="s">
        <v>431</v>
      </c>
      <c r="C56" s="419">
        <v>44958</v>
      </c>
      <c r="D56" s="418" t="s">
        <v>1183</v>
      </c>
      <c r="E56" s="429" t="s">
        <v>899</v>
      </c>
      <c r="F56" s="425">
        <v>4</v>
      </c>
      <c r="G56" s="425" t="s">
        <v>69</v>
      </c>
      <c r="H56" s="425">
        <v>4</v>
      </c>
      <c r="I56" s="425" t="s">
        <v>69</v>
      </c>
      <c r="J56" s="425" t="s">
        <v>69</v>
      </c>
      <c r="K56" s="425" t="s">
        <v>69</v>
      </c>
      <c r="L56" s="425" t="s">
        <v>69</v>
      </c>
      <c r="M56" s="425" t="s">
        <v>69</v>
      </c>
      <c r="N56" s="425" t="s">
        <v>69</v>
      </c>
      <c r="O56" s="425" t="s">
        <v>69</v>
      </c>
      <c r="P56" s="425" t="s">
        <v>69</v>
      </c>
      <c r="Q56" s="425" t="s">
        <v>69</v>
      </c>
      <c r="R56" s="425" t="s">
        <v>69</v>
      </c>
      <c r="S56" s="425" t="s">
        <v>69</v>
      </c>
      <c r="T56" s="425" t="s">
        <v>69</v>
      </c>
      <c r="U56" s="425" t="s">
        <v>69</v>
      </c>
      <c r="V56" s="425" t="s">
        <v>69</v>
      </c>
      <c r="W56" s="425" t="s">
        <v>69</v>
      </c>
      <c r="X56" s="425" t="s">
        <v>69</v>
      </c>
      <c r="Y56" s="425" t="s">
        <v>69</v>
      </c>
      <c r="Z56" s="425" t="s">
        <v>69</v>
      </c>
      <c r="AA56" s="425" t="s">
        <v>69</v>
      </c>
      <c r="AB56" s="425" t="s">
        <v>69</v>
      </c>
      <c r="AC56" s="425" t="s">
        <v>69</v>
      </c>
      <c r="AD56" s="425" t="s">
        <v>69</v>
      </c>
      <c r="AE56" s="425" t="s">
        <v>69</v>
      </c>
      <c r="AF56" s="425" t="s">
        <v>69</v>
      </c>
      <c r="AG56" s="425" t="s">
        <v>69</v>
      </c>
      <c r="AH56" s="425" t="s">
        <v>69</v>
      </c>
      <c r="AI56" s="425" t="s">
        <v>69</v>
      </c>
      <c r="AJ56" s="425" t="s">
        <v>69</v>
      </c>
      <c r="AK56" s="425" t="s">
        <v>69</v>
      </c>
      <c r="AL56" s="425" t="s">
        <v>69</v>
      </c>
      <c r="AM56" s="425" t="s">
        <v>69</v>
      </c>
      <c r="AN56" s="425" t="s">
        <v>69</v>
      </c>
      <c r="AO56" s="425" t="s">
        <v>69</v>
      </c>
      <c r="AP56" s="425" t="s">
        <v>69</v>
      </c>
      <c r="AQ56" s="425" t="s">
        <v>69</v>
      </c>
      <c r="AR56" s="425" t="s">
        <v>69</v>
      </c>
      <c r="AS56" s="425" t="s">
        <v>69</v>
      </c>
      <c r="AT56" s="425" t="s">
        <v>69</v>
      </c>
      <c r="AU56" s="425" t="s">
        <v>69</v>
      </c>
      <c r="AV56" s="425" t="s">
        <v>69</v>
      </c>
      <c r="AW56" s="425" t="s">
        <v>69</v>
      </c>
      <c r="AX56" s="425" t="s">
        <v>69</v>
      </c>
      <c r="AY56" s="425" t="s">
        <v>69</v>
      </c>
      <c r="AZ56" s="425" t="s">
        <v>69</v>
      </c>
      <c r="BA56" s="425" t="s">
        <v>69</v>
      </c>
      <c r="BB56" s="425" t="s">
        <v>69</v>
      </c>
      <c r="BC56" s="425" t="s">
        <v>69</v>
      </c>
      <c r="BD56" s="425">
        <v>3</v>
      </c>
      <c r="BE56" s="425" t="s">
        <v>69</v>
      </c>
      <c r="BF56" s="425" t="s">
        <v>69</v>
      </c>
      <c r="BG56" s="425" t="s">
        <v>69</v>
      </c>
      <c r="BH56" s="425" t="s">
        <v>69</v>
      </c>
      <c r="BI56" s="425" t="s">
        <v>69</v>
      </c>
      <c r="BJ56" s="425" t="s">
        <v>69</v>
      </c>
      <c r="BK56" s="425" t="s">
        <v>69</v>
      </c>
      <c r="BL56" s="425" t="s">
        <v>69</v>
      </c>
      <c r="BM56" s="425" t="s">
        <v>69</v>
      </c>
      <c r="BN56" s="425" t="s">
        <v>69</v>
      </c>
      <c r="BO56" s="425" t="s">
        <v>69</v>
      </c>
      <c r="BP56" s="425" t="s">
        <v>69</v>
      </c>
      <c r="BQ56" s="425" t="s">
        <v>69</v>
      </c>
      <c r="BR56" s="425" t="s">
        <v>69</v>
      </c>
      <c r="BS56" s="425" t="s">
        <v>69</v>
      </c>
      <c r="BT56" s="425" t="s">
        <v>69</v>
      </c>
      <c r="BU56" s="425" t="s">
        <v>69</v>
      </c>
      <c r="BV56" s="425" t="s">
        <v>69</v>
      </c>
      <c r="BW56" s="425" t="s">
        <v>69</v>
      </c>
      <c r="BX56" s="425" t="s">
        <v>69</v>
      </c>
      <c r="BY56" s="425" t="s">
        <v>69</v>
      </c>
      <c r="BZ56" s="425" t="s">
        <v>69</v>
      </c>
      <c r="CA56" s="425" t="s">
        <v>69</v>
      </c>
      <c r="CB56" s="425" t="s">
        <v>69</v>
      </c>
      <c r="CC56" s="425" t="s">
        <v>69</v>
      </c>
      <c r="CD56" s="425" t="s">
        <v>69</v>
      </c>
      <c r="CE56" s="425" t="s">
        <v>69</v>
      </c>
      <c r="CF56" s="425" t="s">
        <v>69</v>
      </c>
      <c r="CG56" s="425" t="s">
        <v>69</v>
      </c>
      <c r="CH56" s="425" t="s">
        <v>69</v>
      </c>
      <c r="CI56" s="425" t="s">
        <v>69</v>
      </c>
      <c r="CJ56" s="425" t="s">
        <v>69</v>
      </c>
      <c r="CK56" s="425" t="s">
        <v>69</v>
      </c>
      <c r="CL56" s="425" t="s">
        <v>69</v>
      </c>
      <c r="CM56" s="425" t="s">
        <v>69</v>
      </c>
      <c r="CN56" s="425" t="s">
        <v>69</v>
      </c>
      <c r="CO56" s="425" t="s">
        <v>69</v>
      </c>
      <c r="CP56" s="425" t="s">
        <v>69</v>
      </c>
      <c r="CQ56" s="425" t="s">
        <v>69</v>
      </c>
      <c r="CR56" s="425" t="s">
        <v>69</v>
      </c>
      <c r="CS56" s="425" t="s">
        <v>69</v>
      </c>
      <c r="CT56" s="425" t="s">
        <v>69</v>
      </c>
      <c r="CU56" s="425" t="s">
        <v>69</v>
      </c>
      <c r="CV56" s="425" t="s">
        <v>69</v>
      </c>
      <c r="CW56" s="425" t="s">
        <v>69</v>
      </c>
      <c r="CX56" s="425" t="s">
        <v>69</v>
      </c>
      <c r="CY56" s="425" t="s">
        <v>69</v>
      </c>
      <c r="CZ56" s="425" t="s">
        <v>69</v>
      </c>
      <c r="DA56" s="425" t="s">
        <v>69</v>
      </c>
      <c r="DB56" s="425" t="s">
        <v>69</v>
      </c>
      <c r="DC56" s="425" t="s">
        <v>69</v>
      </c>
      <c r="DD56" s="425" t="s">
        <v>69</v>
      </c>
      <c r="DE56" s="425">
        <v>2</v>
      </c>
      <c r="DF56" s="425" t="s">
        <v>69</v>
      </c>
      <c r="DG56" s="425" t="s">
        <v>69</v>
      </c>
      <c r="DH56" s="425" t="s">
        <v>69</v>
      </c>
      <c r="DI56" s="425" t="s">
        <v>69</v>
      </c>
      <c r="DJ56" s="425" t="s">
        <v>69</v>
      </c>
      <c r="DK56" s="425" t="s">
        <v>69</v>
      </c>
      <c r="DL56" s="425" t="s">
        <v>69</v>
      </c>
      <c r="DM56" s="425">
        <v>2</v>
      </c>
      <c r="DN56" s="425" t="s">
        <v>69</v>
      </c>
      <c r="DO56" s="425" t="s">
        <v>69</v>
      </c>
      <c r="DP56" s="425" t="s">
        <v>69</v>
      </c>
      <c r="DQ56" s="425" t="s">
        <v>69</v>
      </c>
      <c r="DR56" s="425" t="s">
        <v>69</v>
      </c>
      <c r="DS56" s="425" t="s">
        <v>69</v>
      </c>
      <c r="DT56" s="425" t="s">
        <v>69</v>
      </c>
      <c r="DU56" s="422" t="s">
        <v>69</v>
      </c>
      <c r="DV56" s="425">
        <v>3</v>
      </c>
      <c r="DW56" s="425" t="s">
        <v>69</v>
      </c>
      <c r="DX56" s="425">
        <v>4</v>
      </c>
      <c r="DY56" s="423">
        <f t="shared" si="2"/>
        <v>0.1111111111111111</v>
      </c>
      <c r="DZ56" s="424">
        <f t="shared" si="3"/>
        <v>0.7142857142857143</v>
      </c>
      <c r="EA56" s="519"/>
    </row>
    <row r="57" spans="1:131" s="18" customFormat="1" ht="61.8" thickBot="1">
      <c r="A57" s="420" t="s">
        <v>467</v>
      </c>
      <c r="B57" s="414" t="s">
        <v>98</v>
      </c>
      <c r="C57" s="419">
        <v>45265</v>
      </c>
      <c r="D57" s="418" t="s">
        <v>1183</v>
      </c>
      <c r="E57" s="429" t="s">
        <v>899</v>
      </c>
      <c r="F57" s="425" t="s">
        <v>69</v>
      </c>
      <c r="G57" s="425" t="s">
        <v>69</v>
      </c>
      <c r="H57" s="425" t="s">
        <v>69</v>
      </c>
      <c r="I57" s="425" t="s">
        <v>69</v>
      </c>
      <c r="J57" s="425" t="s">
        <v>69</v>
      </c>
      <c r="K57" s="425" t="s">
        <v>69</v>
      </c>
      <c r="L57" s="425" t="s">
        <v>69</v>
      </c>
      <c r="M57" s="425" t="s">
        <v>69</v>
      </c>
      <c r="N57" s="425" t="s">
        <v>69</v>
      </c>
      <c r="O57" s="425" t="s">
        <v>69</v>
      </c>
      <c r="P57" s="425" t="s">
        <v>69</v>
      </c>
      <c r="Q57" s="425" t="s">
        <v>69</v>
      </c>
      <c r="R57" s="425" t="s">
        <v>69</v>
      </c>
      <c r="S57" s="425" t="s">
        <v>69</v>
      </c>
      <c r="T57" s="425" t="s">
        <v>69</v>
      </c>
      <c r="U57" s="425" t="s">
        <v>69</v>
      </c>
      <c r="V57" s="425" t="s">
        <v>69</v>
      </c>
      <c r="W57" s="425" t="s">
        <v>69</v>
      </c>
      <c r="X57" s="425" t="s">
        <v>69</v>
      </c>
      <c r="Y57" s="425" t="s">
        <v>69</v>
      </c>
      <c r="Z57" s="425" t="s">
        <v>69</v>
      </c>
      <c r="AA57" s="425" t="s">
        <v>69</v>
      </c>
      <c r="AB57" s="425" t="s">
        <v>69</v>
      </c>
      <c r="AC57" s="425" t="s">
        <v>69</v>
      </c>
      <c r="AD57" s="425" t="s">
        <v>69</v>
      </c>
      <c r="AE57" s="425" t="s">
        <v>69</v>
      </c>
      <c r="AF57" s="425" t="s">
        <v>69</v>
      </c>
      <c r="AG57" s="425" t="s">
        <v>69</v>
      </c>
      <c r="AH57" s="425" t="s">
        <v>69</v>
      </c>
      <c r="AI57" s="425" t="s">
        <v>69</v>
      </c>
      <c r="AJ57" s="425" t="s">
        <v>69</v>
      </c>
      <c r="AK57" s="425" t="s">
        <v>69</v>
      </c>
      <c r="AL57" s="425" t="s">
        <v>69</v>
      </c>
      <c r="AM57" s="425" t="s">
        <v>69</v>
      </c>
      <c r="AN57" s="425" t="s">
        <v>69</v>
      </c>
      <c r="AO57" s="425" t="s">
        <v>69</v>
      </c>
      <c r="AP57" s="425">
        <v>4</v>
      </c>
      <c r="AQ57" s="425" t="s">
        <v>69</v>
      </c>
      <c r="AR57" s="425" t="s">
        <v>69</v>
      </c>
      <c r="AS57" s="425" t="s">
        <v>69</v>
      </c>
      <c r="AT57" s="425" t="s">
        <v>69</v>
      </c>
      <c r="AU57" s="425" t="s">
        <v>69</v>
      </c>
      <c r="AV57" s="425" t="s">
        <v>69</v>
      </c>
      <c r="AW57" s="425" t="s">
        <v>69</v>
      </c>
      <c r="AX57" s="425" t="s">
        <v>69</v>
      </c>
      <c r="AY57" s="425" t="s">
        <v>69</v>
      </c>
      <c r="AZ57" s="425" t="s">
        <v>69</v>
      </c>
      <c r="BA57" s="425" t="s">
        <v>69</v>
      </c>
      <c r="BB57" s="425" t="s">
        <v>69</v>
      </c>
      <c r="BC57" s="425" t="s">
        <v>69</v>
      </c>
      <c r="BD57" s="425">
        <v>2</v>
      </c>
      <c r="BE57" s="425" t="s">
        <v>69</v>
      </c>
      <c r="BF57" s="425" t="s">
        <v>69</v>
      </c>
      <c r="BG57" s="425" t="s">
        <v>69</v>
      </c>
      <c r="BH57" s="425" t="s">
        <v>69</v>
      </c>
      <c r="BI57" s="425" t="s">
        <v>69</v>
      </c>
      <c r="BJ57" s="425" t="s">
        <v>69</v>
      </c>
      <c r="BK57" s="425" t="s">
        <v>69</v>
      </c>
      <c r="BL57" s="425" t="s">
        <v>69</v>
      </c>
      <c r="BM57" s="425" t="s">
        <v>69</v>
      </c>
      <c r="BN57" s="425" t="s">
        <v>69</v>
      </c>
      <c r="BO57" s="425" t="s">
        <v>69</v>
      </c>
      <c r="BP57" s="425" t="s">
        <v>69</v>
      </c>
      <c r="BQ57" s="425" t="s">
        <v>69</v>
      </c>
      <c r="BR57" s="425">
        <v>4</v>
      </c>
      <c r="BS57" s="425" t="s">
        <v>69</v>
      </c>
      <c r="BT57" s="425" t="s">
        <v>69</v>
      </c>
      <c r="BU57" s="425" t="s">
        <v>69</v>
      </c>
      <c r="BV57" s="425" t="s">
        <v>69</v>
      </c>
      <c r="BW57" s="425" t="s">
        <v>69</v>
      </c>
      <c r="BX57" s="425" t="s">
        <v>69</v>
      </c>
      <c r="BY57" s="425" t="s">
        <v>69</v>
      </c>
      <c r="BZ57" s="425" t="s">
        <v>69</v>
      </c>
      <c r="CA57" s="425">
        <v>4</v>
      </c>
      <c r="CB57" s="425">
        <v>4</v>
      </c>
      <c r="CC57" s="425" t="s">
        <v>69</v>
      </c>
      <c r="CD57" s="425" t="s">
        <v>69</v>
      </c>
      <c r="CE57" s="425" t="s">
        <v>69</v>
      </c>
      <c r="CF57" s="425" t="s">
        <v>69</v>
      </c>
      <c r="CG57" s="425" t="s">
        <v>69</v>
      </c>
      <c r="CH57" s="425" t="s">
        <v>69</v>
      </c>
      <c r="CI57" s="425" t="s">
        <v>69</v>
      </c>
      <c r="CJ57" s="425" t="s">
        <v>69</v>
      </c>
      <c r="CK57" s="425" t="s">
        <v>69</v>
      </c>
      <c r="CL57" s="425" t="s">
        <v>69</v>
      </c>
      <c r="CM57" s="425" t="s">
        <v>69</v>
      </c>
      <c r="CN57" s="425" t="s">
        <v>69</v>
      </c>
      <c r="CO57" s="425" t="s">
        <v>69</v>
      </c>
      <c r="CP57" s="425" t="s">
        <v>69</v>
      </c>
      <c r="CQ57" s="425" t="s">
        <v>69</v>
      </c>
      <c r="CR57" s="425" t="s">
        <v>69</v>
      </c>
      <c r="CS57" s="425" t="s">
        <v>69</v>
      </c>
      <c r="CT57" s="425">
        <v>2</v>
      </c>
      <c r="CU57" s="425" t="s">
        <v>69</v>
      </c>
      <c r="CV57" s="425" t="s">
        <v>69</v>
      </c>
      <c r="CW57" s="425" t="s">
        <v>69</v>
      </c>
      <c r="CX57" s="425" t="s">
        <v>69</v>
      </c>
      <c r="CY57" s="425" t="s">
        <v>69</v>
      </c>
      <c r="CZ57" s="425" t="s">
        <v>69</v>
      </c>
      <c r="DA57" s="425" t="s">
        <v>69</v>
      </c>
      <c r="DB57" s="425" t="s">
        <v>69</v>
      </c>
      <c r="DC57" s="425" t="s">
        <v>69</v>
      </c>
      <c r="DD57" s="425" t="s">
        <v>69</v>
      </c>
      <c r="DE57" s="425" t="s">
        <v>69</v>
      </c>
      <c r="DF57" s="425" t="s">
        <v>69</v>
      </c>
      <c r="DG57" s="425" t="s">
        <v>69</v>
      </c>
      <c r="DH57" s="425" t="s">
        <v>69</v>
      </c>
      <c r="DI57" s="425" t="s">
        <v>69</v>
      </c>
      <c r="DJ57" s="425" t="s">
        <v>69</v>
      </c>
      <c r="DK57" s="425" t="s">
        <v>69</v>
      </c>
      <c r="DL57" s="425" t="s">
        <v>69</v>
      </c>
      <c r="DM57" s="425" t="s">
        <v>69</v>
      </c>
      <c r="DN57" s="425" t="s">
        <v>69</v>
      </c>
      <c r="DO57" s="425" t="s">
        <v>69</v>
      </c>
      <c r="DP57" s="425" t="s">
        <v>69</v>
      </c>
      <c r="DQ57" s="425" t="s">
        <v>69</v>
      </c>
      <c r="DR57" s="425" t="s">
        <v>69</v>
      </c>
      <c r="DS57" s="425" t="s">
        <v>69</v>
      </c>
      <c r="DT57" s="425" t="s">
        <v>69</v>
      </c>
      <c r="DU57" s="422" t="s">
        <v>69</v>
      </c>
      <c r="DV57" s="425">
        <v>3</v>
      </c>
      <c r="DW57" s="425" t="s">
        <v>69</v>
      </c>
      <c r="DX57" s="425">
        <v>3</v>
      </c>
      <c r="DY57" s="423">
        <f t="shared" si="2"/>
        <v>0.12698412698412698</v>
      </c>
      <c r="DZ57" s="424">
        <f t="shared" si="3"/>
        <v>0.75</v>
      </c>
      <c r="EA57" s="519"/>
    </row>
    <row r="58" spans="1:131" s="18" customFormat="1" ht="66.599999999999994" thickBot="1">
      <c r="A58" s="420" t="s">
        <v>94</v>
      </c>
      <c r="B58" s="414" t="s">
        <v>95</v>
      </c>
      <c r="C58" s="419" t="s">
        <v>624</v>
      </c>
      <c r="D58" s="418" t="s">
        <v>1183</v>
      </c>
      <c r="E58" s="429" t="s">
        <v>899</v>
      </c>
      <c r="F58" s="425">
        <v>4</v>
      </c>
      <c r="G58" s="425" t="s">
        <v>69</v>
      </c>
      <c r="H58" s="425" t="s">
        <v>69</v>
      </c>
      <c r="I58" s="425" t="s">
        <v>69</v>
      </c>
      <c r="J58" s="425" t="s">
        <v>69</v>
      </c>
      <c r="K58" s="425" t="s">
        <v>69</v>
      </c>
      <c r="L58" s="425" t="s">
        <v>69</v>
      </c>
      <c r="M58" s="425" t="s">
        <v>69</v>
      </c>
      <c r="N58" s="425" t="s">
        <v>69</v>
      </c>
      <c r="O58" s="425" t="s">
        <v>69</v>
      </c>
      <c r="P58" s="425" t="s">
        <v>69</v>
      </c>
      <c r="Q58" s="425" t="s">
        <v>69</v>
      </c>
      <c r="R58" s="425" t="s">
        <v>69</v>
      </c>
      <c r="S58" s="425" t="s">
        <v>69</v>
      </c>
      <c r="T58" s="425" t="s">
        <v>69</v>
      </c>
      <c r="U58" s="425" t="s">
        <v>69</v>
      </c>
      <c r="V58" s="425" t="s">
        <v>69</v>
      </c>
      <c r="W58" s="425" t="s">
        <v>69</v>
      </c>
      <c r="X58" s="425" t="s">
        <v>69</v>
      </c>
      <c r="Y58" s="425" t="s">
        <v>69</v>
      </c>
      <c r="Z58" s="425" t="s">
        <v>69</v>
      </c>
      <c r="AA58" s="425" t="s">
        <v>69</v>
      </c>
      <c r="AB58" s="425" t="s">
        <v>69</v>
      </c>
      <c r="AC58" s="425" t="s">
        <v>69</v>
      </c>
      <c r="AD58" s="425" t="s">
        <v>69</v>
      </c>
      <c r="AE58" s="425" t="s">
        <v>69</v>
      </c>
      <c r="AF58" s="425" t="s">
        <v>69</v>
      </c>
      <c r="AG58" s="425" t="s">
        <v>69</v>
      </c>
      <c r="AH58" s="425" t="s">
        <v>69</v>
      </c>
      <c r="AI58" s="425" t="s">
        <v>69</v>
      </c>
      <c r="AJ58" s="425" t="s">
        <v>69</v>
      </c>
      <c r="AK58" s="425" t="s">
        <v>69</v>
      </c>
      <c r="AL58" s="425" t="s">
        <v>69</v>
      </c>
      <c r="AM58" s="425" t="s">
        <v>69</v>
      </c>
      <c r="AN58" s="425" t="s">
        <v>69</v>
      </c>
      <c r="AO58" s="425" t="s">
        <v>69</v>
      </c>
      <c r="AP58" s="425" t="s">
        <v>69</v>
      </c>
      <c r="AQ58" s="425" t="s">
        <v>69</v>
      </c>
      <c r="AR58" s="425" t="s">
        <v>69</v>
      </c>
      <c r="AS58" s="425" t="s">
        <v>69</v>
      </c>
      <c r="AT58" s="425" t="s">
        <v>69</v>
      </c>
      <c r="AU58" s="425" t="s">
        <v>69</v>
      </c>
      <c r="AV58" s="425" t="s">
        <v>69</v>
      </c>
      <c r="AW58" s="425" t="s">
        <v>69</v>
      </c>
      <c r="AX58" s="425" t="s">
        <v>69</v>
      </c>
      <c r="AY58" s="425" t="s">
        <v>69</v>
      </c>
      <c r="AZ58" s="425" t="s">
        <v>69</v>
      </c>
      <c r="BA58" s="425" t="s">
        <v>69</v>
      </c>
      <c r="BB58" s="425" t="s">
        <v>69</v>
      </c>
      <c r="BC58" s="425" t="s">
        <v>69</v>
      </c>
      <c r="BD58" s="425" t="s">
        <v>69</v>
      </c>
      <c r="BE58" s="425" t="s">
        <v>69</v>
      </c>
      <c r="BF58" s="425" t="s">
        <v>69</v>
      </c>
      <c r="BG58" s="425" t="s">
        <v>69</v>
      </c>
      <c r="BH58" s="425" t="s">
        <v>69</v>
      </c>
      <c r="BI58" s="425" t="s">
        <v>69</v>
      </c>
      <c r="BJ58" s="425" t="s">
        <v>69</v>
      </c>
      <c r="BK58" s="425" t="s">
        <v>69</v>
      </c>
      <c r="BL58" s="425" t="s">
        <v>69</v>
      </c>
      <c r="BM58" s="425" t="s">
        <v>69</v>
      </c>
      <c r="BN58" s="425" t="s">
        <v>69</v>
      </c>
      <c r="BO58" s="425" t="s">
        <v>69</v>
      </c>
      <c r="BP58" s="425" t="s">
        <v>69</v>
      </c>
      <c r="BQ58" s="425" t="s">
        <v>69</v>
      </c>
      <c r="BR58" s="425" t="s">
        <v>69</v>
      </c>
      <c r="BS58" s="425" t="s">
        <v>69</v>
      </c>
      <c r="BT58" s="425" t="s">
        <v>69</v>
      </c>
      <c r="BU58" s="425" t="s">
        <v>69</v>
      </c>
      <c r="BV58" s="425" t="s">
        <v>69</v>
      </c>
      <c r="BW58" s="425" t="s">
        <v>69</v>
      </c>
      <c r="BX58" s="425" t="s">
        <v>69</v>
      </c>
      <c r="BY58" s="425" t="s">
        <v>69</v>
      </c>
      <c r="BZ58" s="425" t="s">
        <v>69</v>
      </c>
      <c r="CA58" s="425" t="s">
        <v>69</v>
      </c>
      <c r="CB58" s="425" t="s">
        <v>69</v>
      </c>
      <c r="CC58" s="425" t="s">
        <v>69</v>
      </c>
      <c r="CD58" s="425" t="s">
        <v>69</v>
      </c>
      <c r="CE58" s="425" t="s">
        <v>69</v>
      </c>
      <c r="CF58" s="425" t="s">
        <v>69</v>
      </c>
      <c r="CG58" s="425" t="s">
        <v>69</v>
      </c>
      <c r="CH58" s="425" t="s">
        <v>69</v>
      </c>
      <c r="CI58" s="425" t="s">
        <v>69</v>
      </c>
      <c r="CJ58" s="425" t="s">
        <v>69</v>
      </c>
      <c r="CK58" s="425" t="s">
        <v>69</v>
      </c>
      <c r="CL58" s="425" t="s">
        <v>69</v>
      </c>
      <c r="CM58" s="425" t="s">
        <v>69</v>
      </c>
      <c r="CN58" s="425" t="s">
        <v>69</v>
      </c>
      <c r="CO58" s="425" t="s">
        <v>69</v>
      </c>
      <c r="CP58" s="425" t="s">
        <v>69</v>
      </c>
      <c r="CQ58" s="425" t="s">
        <v>69</v>
      </c>
      <c r="CR58" s="425" t="s">
        <v>69</v>
      </c>
      <c r="CS58" s="425" t="s">
        <v>69</v>
      </c>
      <c r="CT58" s="425" t="s">
        <v>69</v>
      </c>
      <c r="CU58" s="425" t="s">
        <v>69</v>
      </c>
      <c r="CV58" s="425" t="s">
        <v>69</v>
      </c>
      <c r="CW58" s="425" t="s">
        <v>69</v>
      </c>
      <c r="CX58" s="425" t="s">
        <v>69</v>
      </c>
      <c r="CY58" s="425" t="s">
        <v>69</v>
      </c>
      <c r="CZ58" s="425" t="s">
        <v>69</v>
      </c>
      <c r="DA58" s="425" t="s">
        <v>69</v>
      </c>
      <c r="DB58" s="425" t="s">
        <v>69</v>
      </c>
      <c r="DC58" s="425" t="s">
        <v>69</v>
      </c>
      <c r="DD58" s="425" t="s">
        <v>69</v>
      </c>
      <c r="DE58" s="425" t="s">
        <v>69</v>
      </c>
      <c r="DF58" s="425" t="s">
        <v>69</v>
      </c>
      <c r="DG58" s="425" t="s">
        <v>69</v>
      </c>
      <c r="DH58" s="425" t="s">
        <v>69</v>
      </c>
      <c r="DI58" s="425" t="s">
        <v>69</v>
      </c>
      <c r="DJ58" s="425" t="s">
        <v>69</v>
      </c>
      <c r="DK58" s="425" t="s">
        <v>69</v>
      </c>
      <c r="DL58" s="425" t="s">
        <v>69</v>
      </c>
      <c r="DM58" s="425" t="s">
        <v>69</v>
      </c>
      <c r="DN58" s="425" t="s">
        <v>69</v>
      </c>
      <c r="DO58" s="425" t="s">
        <v>69</v>
      </c>
      <c r="DP58" s="425" t="s">
        <v>69</v>
      </c>
      <c r="DQ58" s="425" t="s">
        <v>69</v>
      </c>
      <c r="DR58" s="425" t="s">
        <v>69</v>
      </c>
      <c r="DS58" s="425" t="s">
        <v>69</v>
      </c>
      <c r="DT58" s="425" t="s">
        <v>69</v>
      </c>
      <c r="DU58" s="422" t="s">
        <v>69</v>
      </c>
      <c r="DV58" s="425">
        <v>3</v>
      </c>
      <c r="DW58" s="425" t="s">
        <v>69</v>
      </c>
      <c r="DX58" s="425">
        <v>3</v>
      </c>
      <c r="DY58" s="423">
        <f t="shared" si="2"/>
        <v>4.7619047619047616E-2</v>
      </c>
      <c r="DZ58" s="424">
        <f t="shared" si="3"/>
        <v>1</v>
      </c>
      <c r="EA58" s="519"/>
    </row>
    <row r="59" spans="1:131" s="18" customFormat="1" ht="66.599999999999994" thickBot="1">
      <c r="A59" s="420" t="s">
        <v>96</v>
      </c>
      <c r="B59" s="414" t="s">
        <v>97</v>
      </c>
      <c r="C59" s="419">
        <v>44292</v>
      </c>
      <c r="D59" s="418" t="s">
        <v>1183</v>
      </c>
      <c r="E59" s="429" t="s">
        <v>899</v>
      </c>
      <c r="F59" s="425">
        <v>4</v>
      </c>
      <c r="G59" s="425">
        <v>4</v>
      </c>
      <c r="H59" s="425">
        <v>4</v>
      </c>
      <c r="I59" s="425" t="s">
        <v>69</v>
      </c>
      <c r="J59" s="425" t="s">
        <v>69</v>
      </c>
      <c r="K59" s="425" t="s">
        <v>69</v>
      </c>
      <c r="L59" s="425" t="s">
        <v>69</v>
      </c>
      <c r="M59" s="425" t="s">
        <v>69</v>
      </c>
      <c r="N59" s="425" t="s">
        <v>69</v>
      </c>
      <c r="O59" s="425" t="s">
        <v>69</v>
      </c>
      <c r="P59" s="425" t="s">
        <v>69</v>
      </c>
      <c r="Q59" s="425" t="s">
        <v>69</v>
      </c>
      <c r="R59" s="425" t="s">
        <v>69</v>
      </c>
      <c r="S59" s="425" t="s">
        <v>69</v>
      </c>
      <c r="T59" s="425" t="s">
        <v>69</v>
      </c>
      <c r="U59" s="425" t="s">
        <v>69</v>
      </c>
      <c r="V59" s="425" t="s">
        <v>69</v>
      </c>
      <c r="W59" s="425" t="s">
        <v>69</v>
      </c>
      <c r="X59" s="425" t="s">
        <v>69</v>
      </c>
      <c r="Y59" s="425" t="s">
        <v>69</v>
      </c>
      <c r="Z59" s="425" t="s">
        <v>69</v>
      </c>
      <c r="AA59" s="425" t="s">
        <v>69</v>
      </c>
      <c r="AB59" s="425" t="s">
        <v>69</v>
      </c>
      <c r="AC59" s="425" t="s">
        <v>69</v>
      </c>
      <c r="AD59" s="425" t="s">
        <v>69</v>
      </c>
      <c r="AE59" s="425" t="s">
        <v>69</v>
      </c>
      <c r="AF59" s="425" t="s">
        <v>69</v>
      </c>
      <c r="AG59" s="425" t="s">
        <v>69</v>
      </c>
      <c r="AH59" s="425" t="s">
        <v>69</v>
      </c>
      <c r="AI59" s="425" t="s">
        <v>69</v>
      </c>
      <c r="AJ59" s="425" t="s">
        <v>69</v>
      </c>
      <c r="AK59" s="425" t="s">
        <v>69</v>
      </c>
      <c r="AL59" s="425" t="s">
        <v>69</v>
      </c>
      <c r="AM59" s="425" t="s">
        <v>69</v>
      </c>
      <c r="AN59" s="425" t="s">
        <v>69</v>
      </c>
      <c r="AO59" s="425" t="s">
        <v>69</v>
      </c>
      <c r="AP59" s="425" t="s">
        <v>69</v>
      </c>
      <c r="AQ59" s="425" t="s">
        <v>69</v>
      </c>
      <c r="AR59" s="425" t="s">
        <v>69</v>
      </c>
      <c r="AS59" s="425" t="s">
        <v>69</v>
      </c>
      <c r="AT59" s="425" t="s">
        <v>69</v>
      </c>
      <c r="AU59" s="425" t="s">
        <v>69</v>
      </c>
      <c r="AV59" s="425" t="s">
        <v>69</v>
      </c>
      <c r="AW59" s="425" t="s">
        <v>69</v>
      </c>
      <c r="AX59" s="425" t="s">
        <v>69</v>
      </c>
      <c r="AY59" s="425" t="s">
        <v>69</v>
      </c>
      <c r="AZ59" s="425" t="s">
        <v>69</v>
      </c>
      <c r="BA59" s="425" t="s">
        <v>69</v>
      </c>
      <c r="BB59" s="425" t="s">
        <v>69</v>
      </c>
      <c r="BC59" s="425" t="s">
        <v>69</v>
      </c>
      <c r="BD59" s="425">
        <v>3</v>
      </c>
      <c r="BE59" s="425" t="s">
        <v>69</v>
      </c>
      <c r="BF59" s="425" t="s">
        <v>69</v>
      </c>
      <c r="BG59" s="425" t="s">
        <v>69</v>
      </c>
      <c r="BH59" s="425" t="s">
        <v>69</v>
      </c>
      <c r="BI59" s="425" t="s">
        <v>69</v>
      </c>
      <c r="BJ59" s="425" t="s">
        <v>69</v>
      </c>
      <c r="BK59" s="425">
        <v>2</v>
      </c>
      <c r="BL59" s="425" t="s">
        <v>69</v>
      </c>
      <c r="BM59" s="425" t="s">
        <v>69</v>
      </c>
      <c r="BN59" s="425" t="s">
        <v>69</v>
      </c>
      <c r="BO59" s="425" t="s">
        <v>69</v>
      </c>
      <c r="BP59" s="425" t="s">
        <v>69</v>
      </c>
      <c r="BQ59" s="425" t="s">
        <v>69</v>
      </c>
      <c r="BR59" s="425">
        <v>4</v>
      </c>
      <c r="BS59" s="425" t="s">
        <v>69</v>
      </c>
      <c r="BT59" s="425" t="s">
        <v>69</v>
      </c>
      <c r="BU59" s="425" t="s">
        <v>69</v>
      </c>
      <c r="BV59" s="425" t="s">
        <v>69</v>
      </c>
      <c r="BW59" s="425" t="s">
        <v>69</v>
      </c>
      <c r="BX59" s="425" t="s">
        <v>69</v>
      </c>
      <c r="BY59" s="425" t="s">
        <v>69</v>
      </c>
      <c r="BZ59" s="425" t="s">
        <v>69</v>
      </c>
      <c r="CA59" s="425" t="s">
        <v>69</v>
      </c>
      <c r="CB59" s="425" t="s">
        <v>69</v>
      </c>
      <c r="CC59" s="425" t="s">
        <v>69</v>
      </c>
      <c r="CD59" s="425" t="s">
        <v>69</v>
      </c>
      <c r="CE59" s="425" t="s">
        <v>69</v>
      </c>
      <c r="CF59" s="425" t="s">
        <v>69</v>
      </c>
      <c r="CG59" s="425" t="s">
        <v>69</v>
      </c>
      <c r="CH59" s="425" t="s">
        <v>69</v>
      </c>
      <c r="CI59" s="425" t="s">
        <v>69</v>
      </c>
      <c r="CJ59" s="425" t="s">
        <v>69</v>
      </c>
      <c r="CK59" s="425" t="s">
        <v>69</v>
      </c>
      <c r="CL59" s="425" t="s">
        <v>69</v>
      </c>
      <c r="CM59" s="425" t="s">
        <v>69</v>
      </c>
      <c r="CN59" s="425" t="s">
        <v>69</v>
      </c>
      <c r="CO59" s="425" t="s">
        <v>69</v>
      </c>
      <c r="CP59" s="425" t="s">
        <v>69</v>
      </c>
      <c r="CQ59" s="425" t="s">
        <v>69</v>
      </c>
      <c r="CR59" s="425" t="s">
        <v>69</v>
      </c>
      <c r="CS59" s="425" t="s">
        <v>69</v>
      </c>
      <c r="CT59" s="425" t="s">
        <v>69</v>
      </c>
      <c r="CU59" s="425" t="s">
        <v>69</v>
      </c>
      <c r="CV59" s="425" t="s">
        <v>69</v>
      </c>
      <c r="CW59" s="425" t="s">
        <v>69</v>
      </c>
      <c r="CX59" s="425" t="s">
        <v>69</v>
      </c>
      <c r="CY59" s="425" t="s">
        <v>69</v>
      </c>
      <c r="CZ59" s="425" t="s">
        <v>69</v>
      </c>
      <c r="DA59" s="425" t="s">
        <v>69</v>
      </c>
      <c r="DB59" s="425" t="s">
        <v>69</v>
      </c>
      <c r="DC59" s="425" t="s">
        <v>69</v>
      </c>
      <c r="DD59" s="425" t="s">
        <v>69</v>
      </c>
      <c r="DE59" s="425" t="s">
        <v>69</v>
      </c>
      <c r="DF59" s="425" t="s">
        <v>69</v>
      </c>
      <c r="DG59" s="425" t="s">
        <v>69</v>
      </c>
      <c r="DH59" s="425" t="s">
        <v>69</v>
      </c>
      <c r="DI59" s="425" t="s">
        <v>69</v>
      </c>
      <c r="DJ59" s="425" t="s">
        <v>69</v>
      </c>
      <c r="DK59" s="425" t="s">
        <v>69</v>
      </c>
      <c r="DL59" s="425" t="s">
        <v>69</v>
      </c>
      <c r="DM59" s="425" t="s">
        <v>69</v>
      </c>
      <c r="DN59" s="425" t="s">
        <v>69</v>
      </c>
      <c r="DO59" s="425" t="s">
        <v>69</v>
      </c>
      <c r="DP59" s="425" t="s">
        <v>69</v>
      </c>
      <c r="DQ59" s="425" t="s">
        <v>69</v>
      </c>
      <c r="DR59" s="425" t="s">
        <v>69</v>
      </c>
      <c r="DS59" s="425" t="s">
        <v>69</v>
      </c>
      <c r="DT59" s="425" t="s">
        <v>69</v>
      </c>
      <c r="DU59" s="422" t="s">
        <v>69</v>
      </c>
      <c r="DV59" s="425">
        <v>3</v>
      </c>
      <c r="DW59" s="425" t="s">
        <v>69</v>
      </c>
      <c r="DX59" s="425">
        <v>2</v>
      </c>
      <c r="DY59" s="423">
        <f t="shared" si="2"/>
        <v>0.12698412698412698</v>
      </c>
      <c r="DZ59" s="424">
        <f t="shared" si="3"/>
        <v>0.75</v>
      </c>
      <c r="EA59" s="519"/>
    </row>
    <row r="60" spans="1:131" s="18" customFormat="1" ht="66.599999999999994" thickBot="1">
      <c r="A60" s="420" t="s">
        <v>546</v>
      </c>
      <c r="B60" s="414" t="s">
        <v>547</v>
      </c>
      <c r="C60" s="419">
        <v>45327</v>
      </c>
      <c r="D60" s="418" t="s">
        <v>1183</v>
      </c>
      <c r="E60" s="429" t="s">
        <v>899</v>
      </c>
      <c r="F60" s="425">
        <v>3</v>
      </c>
      <c r="G60" s="425" t="s">
        <v>69</v>
      </c>
      <c r="H60" s="425" t="s">
        <v>69</v>
      </c>
      <c r="I60" s="425">
        <v>3</v>
      </c>
      <c r="J60" s="425" t="s">
        <v>69</v>
      </c>
      <c r="K60" s="425" t="s">
        <v>69</v>
      </c>
      <c r="L60" s="425" t="s">
        <v>69</v>
      </c>
      <c r="M60" s="425" t="s">
        <v>69</v>
      </c>
      <c r="N60" s="425" t="s">
        <v>69</v>
      </c>
      <c r="O60" s="425" t="s">
        <v>69</v>
      </c>
      <c r="P60" s="425" t="s">
        <v>69</v>
      </c>
      <c r="Q60" s="425" t="s">
        <v>69</v>
      </c>
      <c r="R60" s="425" t="s">
        <v>69</v>
      </c>
      <c r="S60" s="425" t="s">
        <v>69</v>
      </c>
      <c r="T60" s="425" t="s">
        <v>69</v>
      </c>
      <c r="U60" s="425" t="s">
        <v>69</v>
      </c>
      <c r="V60" s="425" t="s">
        <v>69</v>
      </c>
      <c r="W60" s="425" t="s">
        <v>69</v>
      </c>
      <c r="X60" s="425" t="s">
        <v>69</v>
      </c>
      <c r="Y60" s="425" t="s">
        <v>69</v>
      </c>
      <c r="Z60" s="425" t="s">
        <v>69</v>
      </c>
      <c r="AA60" s="425" t="s">
        <v>69</v>
      </c>
      <c r="AB60" s="425" t="s">
        <v>69</v>
      </c>
      <c r="AC60" s="425" t="s">
        <v>69</v>
      </c>
      <c r="AD60" s="425" t="s">
        <v>69</v>
      </c>
      <c r="AE60" s="425" t="s">
        <v>69</v>
      </c>
      <c r="AF60" s="425" t="s">
        <v>69</v>
      </c>
      <c r="AG60" s="425" t="s">
        <v>69</v>
      </c>
      <c r="AH60" s="425" t="s">
        <v>69</v>
      </c>
      <c r="AI60" s="425" t="s">
        <v>69</v>
      </c>
      <c r="AJ60" s="425" t="s">
        <v>69</v>
      </c>
      <c r="AK60" s="425" t="s">
        <v>69</v>
      </c>
      <c r="AL60" s="425" t="s">
        <v>69</v>
      </c>
      <c r="AM60" s="425" t="s">
        <v>69</v>
      </c>
      <c r="AN60" s="425" t="s">
        <v>69</v>
      </c>
      <c r="AO60" s="425" t="s">
        <v>69</v>
      </c>
      <c r="AP60" s="425" t="s">
        <v>69</v>
      </c>
      <c r="AQ60" s="425" t="s">
        <v>69</v>
      </c>
      <c r="AR60" s="425" t="s">
        <v>69</v>
      </c>
      <c r="AS60" s="425" t="s">
        <v>69</v>
      </c>
      <c r="AT60" s="425" t="s">
        <v>69</v>
      </c>
      <c r="AU60" s="425" t="s">
        <v>69</v>
      </c>
      <c r="AV60" s="425" t="s">
        <v>69</v>
      </c>
      <c r="AW60" s="425" t="s">
        <v>69</v>
      </c>
      <c r="AX60" s="425" t="s">
        <v>69</v>
      </c>
      <c r="AY60" s="425" t="s">
        <v>69</v>
      </c>
      <c r="AZ60" s="425" t="s">
        <v>69</v>
      </c>
      <c r="BA60" s="425" t="s">
        <v>69</v>
      </c>
      <c r="BB60" s="425" t="s">
        <v>69</v>
      </c>
      <c r="BC60" s="425" t="s">
        <v>69</v>
      </c>
      <c r="BD60" s="425" t="s">
        <v>69</v>
      </c>
      <c r="BE60" s="425" t="s">
        <v>69</v>
      </c>
      <c r="BF60" s="425" t="s">
        <v>69</v>
      </c>
      <c r="BG60" s="425" t="s">
        <v>69</v>
      </c>
      <c r="BH60" s="425" t="s">
        <v>69</v>
      </c>
      <c r="BI60" s="425" t="s">
        <v>69</v>
      </c>
      <c r="BJ60" s="425" t="s">
        <v>69</v>
      </c>
      <c r="BK60" s="425" t="s">
        <v>69</v>
      </c>
      <c r="BL60" s="425" t="s">
        <v>69</v>
      </c>
      <c r="BM60" s="425" t="s">
        <v>69</v>
      </c>
      <c r="BN60" s="425" t="s">
        <v>69</v>
      </c>
      <c r="BO60" s="425" t="s">
        <v>69</v>
      </c>
      <c r="BP60" s="425" t="s">
        <v>69</v>
      </c>
      <c r="BQ60" s="425" t="s">
        <v>69</v>
      </c>
      <c r="BR60" s="425" t="s">
        <v>69</v>
      </c>
      <c r="BS60" s="425" t="s">
        <v>69</v>
      </c>
      <c r="BT60" s="425" t="s">
        <v>69</v>
      </c>
      <c r="BU60" s="425" t="s">
        <v>69</v>
      </c>
      <c r="BV60" s="425" t="s">
        <v>69</v>
      </c>
      <c r="BW60" s="425" t="s">
        <v>69</v>
      </c>
      <c r="BX60" s="425" t="s">
        <v>69</v>
      </c>
      <c r="BY60" s="425">
        <v>3</v>
      </c>
      <c r="BZ60" s="425" t="s">
        <v>69</v>
      </c>
      <c r="CA60" s="425">
        <v>2</v>
      </c>
      <c r="CB60" s="425" t="s">
        <v>69</v>
      </c>
      <c r="CC60" s="425">
        <v>2</v>
      </c>
      <c r="CD60" s="425" t="s">
        <v>69</v>
      </c>
      <c r="CE60" s="425" t="s">
        <v>69</v>
      </c>
      <c r="CF60" s="425" t="s">
        <v>69</v>
      </c>
      <c r="CG60" s="425" t="s">
        <v>69</v>
      </c>
      <c r="CH60" s="425" t="s">
        <v>69</v>
      </c>
      <c r="CI60" s="425" t="s">
        <v>69</v>
      </c>
      <c r="CJ60" s="425" t="s">
        <v>69</v>
      </c>
      <c r="CK60" s="425">
        <v>3</v>
      </c>
      <c r="CL60" s="425" t="s">
        <v>69</v>
      </c>
      <c r="CM60" s="425" t="s">
        <v>69</v>
      </c>
      <c r="CN60" s="425">
        <v>3</v>
      </c>
      <c r="CO60" s="425" t="s">
        <v>69</v>
      </c>
      <c r="CP60" s="425">
        <v>4</v>
      </c>
      <c r="CQ60" s="425" t="s">
        <v>69</v>
      </c>
      <c r="CR60" s="425" t="s">
        <v>69</v>
      </c>
      <c r="CS60" s="425" t="s">
        <v>69</v>
      </c>
      <c r="CT60" s="425" t="s">
        <v>69</v>
      </c>
      <c r="CU60" s="425" t="s">
        <v>69</v>
      </c>
      <c r="CV60" s="425" t="s">
        <v>69</v>
      </c>
      <c r="CW60" s="425" t="s">
        <v>69</v>
      </c>
      <c r="CX60" s="425" t="s">
        <v>69</v>
      </c>
      <c r="CY60" s="425" t="s">
        <v>69</v>
      </c>
      <c r="CZ60" s="425" t="s">
        <v>69</v>
      </c>
      <c r="DA60" s="425" t="s">
        <v>69</v>
      </c>
      <c r="DB60" s="425" t="s">
        <v>69</v>
      </c>
      <c r="DC60" s="425" t="s">
        <v>69</v>
      </c>
      <c r="DD60" s="425" t="s">
        <v>69</v>
      </c>
      <c r="DE60" s="425" t="s">
        <v>69</v>
      </c>
      <c r="DF60" s="425" t="s">
        <v>69</v>
      </c>
      <c r="DG60" s="425" t="s">
        <v>69</v>
      </c>
      <c r="DH60" s="425" t="s">
        <v>69</v>
      </c>
      <c r="DI60" s="425" t="s">
        <v>69</v>
      </c>
      <c r="DJ60" s="425" t="s">
        <v>69</v>
      </c>
      <c r="DK60" s="425" t="s">
        <v>69</v>
      </c>
      <c r="DL60" s="425" t="s">
        <v>69</v>
      </c>
      <c r="DM60" s="425" t="s">
        <v>69</v>
      </c>
      <c r="DN60" s="425" t="s">
        <v>69</v>
      </c>
      <c r="DO60" s="425" t="s">
        <v>69</v>
      </c>
      <c r="DP60" s="425" t="s">
        <v>69</v>
      </c>
      <c r="DQ60" s="425" t="s">
        <v>69</v>
      </c>
      <c r="DR60" s="425" t="s">
        <v>69</v>
      </c>
      <c r="DS60" s="425" t="s">
        <v>69</v>
      </c>
      <c r="DT60" s="425" t="s">
        <v>69</v>
      </c>
      <c r="DU60" s="422" t="s">
        <v>69</v>
      </c>
      <c r="DV60" s="425" t="s">
        <v>69</v>
      </c>
      <c r="DW60" s="425" t="s">
        <v>69</v>
      </c>
      <c r="DX60" s="425">
        <v>2</v>
      </c>
      <c r="DY60" s="423">
        <f t="shared" si="2"/>
        <v>0.14285714285714285</v>
      </c>
      <c r="DZ60" s="424">
        <f t="shared" si="3"/>
        <v>0.66666666666666663</v>
      </c>
      <c r="EA60" s="519"/>
    </row>
    <row r="61" spans="1:131" s="18" customFormat="1" ht="66.599999999999994" thickBot="1">
      <c r="A61" s="420" t="s">
        <v>101</v>
      </c>
      <c r="B61" s="414" t="s">
        <v>102</v>
      </c>
      <c r="C61" s="419">
        <v>44958</v>
      </c>
      <c r="D61" s="418" t="s">
        <v>1183</v>
      </c>
      <c r="E61" s="429" t="s">
        <v>899</v>
      </c>
      <c r="F61" s="425">
        <v>3</v>
      </c>
      <c r="G61" s="425" t="s">
        <v>69</v>
      </c>
      <c r="H61" s="425">
        <v>4</v>
      </c>
      <c r="I61" s="425" t="s">
        <v>69</v>
      </c>
      <c r="J61" s="425" t="s">
        <v>69</v>
      </c>
      <c r="K61" s="425">
        <v>3</v>
      </c>
      <c r="L61" s="425" t="s">
        <v>69</v>
      </c>
      <c r="M61" s="425" t="s">
        <v>69</v>
      </c>
      <c r="N61" s="425" t="s">
        <v>69</v>
      </c>
      <c r="O61" s="425" t="s">
        <v>69</v>
      </c>
      <c r="P61" s="425" t="s">
        <v>69</v>
      </c>
      <c r="Q61" s="425" t="s">
        <v>69</v>
      </c>
      <c r="R61" s="425" t="s">
        <v>69</v>
      </c>
      <c r="S61" s="425" t="s">
        <v>69</v>
      </c>
      <c r="T61" s="425" t="s">
        <v>69</v>
      </c>
      <c r="U61" s="425" t="s">
        <v>69</v>
      </c>
      <c r="V61" s="425" t="s">
        <v>69</v>
      </c>
      <c r="W61" s="425" t="s">
        <v>69</v>
      </c>
      <c r="X61" s="425" t="s">
        <v>69</v>
      </c>
      <c r="Y61" s="425" t="s">
        <v>69</v>
      </c>
      <c r="Z61" s="425" t="s">
        <v>69</v>
      </c>
      <c r="AA61" s="425" t="s">
        <v>69</v>
      </c>
      <c r="AB61" s="425" t="s">
        <v>69</v>
      </c>
      <c r="AC61" s="425" t="s">
        <v>69</v>
      </c>
      <c r="AD61" s="425" t="s">
        <v>69</v>
      </c>
      <c r="AE61" s="425" t="s">
        <v>69</v>
      </c>
      <c r="AF61" s="425" t="s">
        <v>69</v>
      </c>
      <c r="AG61" s="425" t="s">
        <v>69</v>
      </c>
      <c r="AH61" s="425" t="s">
        <v>69</v>
      </c>
      <c r="AI61" s="425" t="s">
        <v>69</v>
      </c>
      <c r="AJ61" s="425" t="s">
        <v>69</v>
      </c>
      <c r="AK61" s="425" t="s">
        <v>69</v>
      </c>
      <c r="AL61" s="425" t="s">
        <v>69</v>
      </c>
      <c r="AM61" s="425" t="s">
        <v>69</v>
      </c>
      <c r="AN61" s="425" t="s">
        <v>69</v>
      </c>
      <c r="AO61" s="425" t="s">
        <v>69</v>
      </c>
      <c r="AP61" s="425" t="s">
        <v>69</v>
      </c>
      <c r="AQ61" s="425" t="s">
        <v>69</v>
      </c>
      <c r="AR61" s="425" t="s">
        <v>69</v>
      </c>
      <c r="AS61" s="425" t="s">
        <v>69</v>
      </c>
      <c r="AT61" s="425" t="s">
        <v>69</v>
      </c>
      <c r="AU61" s="425" t="s">
        <v>69</v>
      </c>
      <c r="AV61" s="425" t="s">
        <v>69</v>
      </c>
      <c r="AW61" s="425" t="s">
        <v>69</v>
      </c>
      <c r="AX61" s="425" t="s">
        <v>69</v>
      </c>
      <c r="AY61" s="425" t="s">
        <v>69</v>
      </c>
      <c r="AZ61" s="425" t="s">
        <v>69</v>
      </c>
      <c r="BA61" s="425" t="s">
        <v>69</v>
      </c>
      <c r="BB61" s="425" t="s">
        <v>69</v>
      </c>
      <c r="BC61" s="425" t="s">
        <v>69</v>
      </c>
      <c r="BD61" s="425" t="s">
        <v>69</v>
      </c>
      <c r="BE61" s="425">
        <v>4</v>
      </c>
      <c r="BF61" s="425" t="s">
        <v>69</v>
      </c>
      <c r="BG61" s="425" t="s">
        <v>69</v>
      </c>
      <c r="BH61" s="425" t="s">
        <v>69</v>
      </c>
      <c r="BI61" s="425" t="s">
        <v>69</v>
      </c>
      <c r="BJ61" s="425" t="s">
        <v>69</v>
      </c>
      <c r="BK61" s="425" t="s">
        <v>69</v>
      </c>
      <c r="BL61" s="425" t="s">
        <v>69</v>
      </c>
      <c r="BM61" s="425" t="s">
        <v>69</v>
      </c>
      <c r="BN61" s="425" t="s">
        <v>69</v>
      </c>
      <c r="BO61" s="425" t="s">
        <v>69</v>
      </c>
      <c r="BP61" s="425" t="s">
        <v>69</v>
      </c>
      <c r="BQ61" s="425" t="s">
        <v>69</v>
      </c>
      <c r="BR61" s="425" t="s">
        <v>69</v>
      </c>
      <c r="BS61" s="425" t="s">
        <v>69</v>
      </c>
      <c r="BT61" s="425" t="s">
        <v>69</v>
      </c>
      <c r="BU61" s="425" t="s">
        <v>69</v>
      </c>
      <c r="BV61" s="425" t="s">
        <v>69</v>
      </c>
      <c r="BW61" s="425" t="s">
        <v>69</v>
      </c>
      <c r="BX61" s="425" t="s">
        <v>69</v>
      </c>
      <c r="BY61" s="425" t="s">
        <v>69</v>
      </c>
      <c r="BZ61" s="425" t="s">
        <v>69</v>
      </c>
      <c r="CA61" s="425" t="s">
        <v>69</v>
      </c>
      <c r="CB61" s="425" t="s">
        <v>69</v>
      </c>
      <c r="CC61" s="425" t="s">
        <v>69</v>
      </c>
      <c r="CD61" s="425" t="s">
        <v>69</v>
      </c>
      <c r="CE61" s="425" t="s">
        <v>69</v>
      </c>
      <c r="CF61" s="425" t="s">
        <v>69</v>
      </c>
      <c r="CG61" s="425" t="s">
        <v>69</v>
      </c>
      <c r="CH61" s="425" t="s">
        <v>69</v>
      </c>
      <c r="CI61" s="425" t="s">
        <v>69</v>
      </c>
      <c r="CJ61" s="425" t="s">
        <v>69</v>
      </c>
      <c r="CK61" s="425" t="s">
        <v>69</v>
      </c>
      <c r="CL61" s="425" t="s">
        <v>69</v>
      </c>
      <c r="CM61" s="425" t="s">
        <v>69</v>
      </c>
      <c r="CN61" s="425" t="s">
        <v>69</v>
      </c>
      <c r="CO61" s="425" t="s">
        <v>69</v>
      </c>
      <c r="CP61" s="425" t="s">
        <v>69</v>
      </c>
      <c r="CQ61" s="425" t="s">
        <v>69</v>
      </c>
      <c r="CR61" s="425" t="s">
        <v>69</v>
      </c>
      <c r="CS61" s="425" t="s">
        <v>69</v>
      </c>
      <c r="CT61" s="425">
        <v>4</v>
      </c>
      <c r="CU61" s="425">
        <v>4</v>
      </c>
      <c r="CV61" s="425" t="s">
        <v>69</v>
      </c>
      <c r="CW61" s="425" t="s">
        <v>69</v>
      </c>
      <c r="CX61" s="425" t="s">
        <v>69</v>
      </c>
      <c r="CY61" s="425" t="s">
        <v>69</v>
      </c>
      <c r="CZ61" s="425">
        <v>4</v>
      </c>
      <c r="DA61" s="425" t="s">
        <v>69</v>
      </c>
      <c r="DB61" s="425" t="s">
        <v>69</v>
      </c>
      <c r="DC61" s="425" t="s">
        <v>69</v>
      </c>
      <c r="DD61" s="425" t="s">
        <v>69</v>
      </c>
      <c r="DE61" s="425" t="s">
        <v>69</v>
      </c>
      <c r="DF61" s="425" t="s">
        <v>69</v>
      </c>
      <c r="DG61" s="425" t="s">
        <v>69</v>
      </c>
      <c r="DH61" s="425" t="s">
        <v>69</v>
      </c>
      <c r="DI61" s="425" t="s">
        <v>69</v>
      </c>
      <c r="DJ61" s="425" t="s">
        <v>69</v>
      </c>
      <c r="DK61" s="425" t="s">
        <v>69</v>
      </c>
      <c r="DL61" s="425" t="s">
        <v>69</v>
      </c>
      <c r="DM61" s="425" t="s">
        <v>69</v>
      </c>
      <c r="DN61" s="425" t="s">
        <v>69</v>
      </c>
      <c r="DO61" s="425" t="s">
        <v>69</v>
      </c>
      <c r="DP61" s="425" t="s">
        <v>69</v>
      </c>
      <c r="DQ61" s="425" t="s">
        <v>69</v>
      </c>
      <c r="DR61" s="425" t="s">
        <v>69</v>
      </c>
      <c r="DS61" s="425" t="s">
        <v>69</v>
      </c>
      <c r="DT61" s="425" t="s">
        <v>69</v>
      </c>
      <c r="DU61" s="422" t="s">
        <v>69</v>
      </c>
      <c r="DV61" s="425">
        <v>3</v>
      </c>
      <c r="DW61" s="425" t="s">
        <v>69</v>
      </c>
      <c r="DX61" s="425">
        <v>3</v>
      </c>
      <c r="DY61" s="423">
        <f t="shared" si="2"/>
        <v>0.14285714285714285</v>
      </c>
      <c r="DZ61" s="424">
        <f t="shared" si="3"/>
        <v>1</v>
      </c>
      <c r="EA61" s="519"/>
    </row>
    <row r="62" spans="1:131" s="18" customFormat="1" ht="66.599999999999994" thickBot="1">
      <c r="A62" s="520" t="s">
        <v>701</v>
      </c>
      <c r="B62" s="521" t="s">
        <v>702</v>
      </c>
      <c r="C62" s="522">
        <v>45691</v>
      </c>
      <c r="D62" s="418" t="s">
        <v>1183</v>
      </c>
      <c r="E62" s="429" t="s">
        <v>899</v>
      </c>
      <c r="F62" s="425" t="s">
        <v>69</v>
      </c>
      <c r="G62" s="425" t="s">
        <v>69</v>
      </c>
      <c r="H62" s="425" t="s">
        <v>69</v>
      </c>
      <c r="I62" s="425" t="s">
        <v>69</v>
      </c>
      <c r="J62" s="425" t="s">
        <v>69</v>
      </c>
      <c r="K62" s="425">
        <v>4</v>
      </c>
      <c r="L62" s="425" t="s">
        <v>69</v>
      </c>
      <c r="M62" s="425" t="s">
        <v>69</v>
      </c>
      <c r="N62" s="425" t="s">
        <v>69</v>
      </c>
      <c r="O62" s="425">
        <v>3</v>
      </c>
      <c r="P62" s="425" t="s">
        <v>69</v>
      </c>
      <c r="Q62" s="425" t="s">
        <v>69</v>
      </c>
      <c r="R62" s="425" t="s">
        <v>69</v>
      </c>
      <c r="S62" s="425" t="s">
        <v>69</v>
      </c>
      <c r="T62" s="425" t="s">
        <v>69</v>
      </c>
      <c r="U62" s="425" t="s">
        <v>69</v>
      </c>
      <c r="V62" s="425" t="s">
        <v>69</v>
      </c>
      <c r="W62" s="425" t="s">
        <v>69</v>
      </c>
      <c r="X62" s="425" t="s">
        <v>69</v>
      </c>
      <c r="Y62" s="425" t="s">
        <v>69</v>
      </c>
      <c r="Z62" s="425" t="s">
        <v>69</v>
      </c>
      <c r="AA62" s="425" t="s">
        <v>69</v>
      </c>
      <c r="AB62" s="425" t="s">
        <v>69</v>
      </c>
      <c r="AC62" s="425" t="s">
        <v>69</v>
      </c>
      <c r="AD62" s="425" t="s">
        <v>69</v>
      </c>
      <c r="AE62" s="425" t="s">
        <v>69</v>
      </c>
      <c r="AF62" s="425" t="s">
        <v>69</v>
      </c>
      <c r="AG62" s="425" t="s">
        <v>69</v>
      </c>
      <c r="AH62" s="425" t="s">
        <v>69</v>
      </c>
      <c r="AI62" s="425" t="s">
        <v>69</v>
      </c>
      <c r="AJ62" s="425" t="s">
        <v>69</v>
      </c>
      <c r="AK62" s="425" t="s">
        <v>69</v>
      </c>
      <c r="AL62" s="425" t="s">
        <v>69</v>
      </c>
      <c r="AM62" s="425" t="s">
        <v>69</v>
      </c>
      <c r="AN62" s="425" t="s">
        <v>69</v>
      </c>
      <c r="AO62" s="425" t="s">
        <v>69</v>
      </c>
      <c r="AP62" s="425" t="s">
        <v>69</v>
      </c>
      <c r="AQ62" s="425" t="s">
        <v>69</v>
      </c>
      <c r="AR62" s="425" t="s">
        <v>69</v>
      </c>
      <c r="AS62" s="425" t="s">
        <v>69</v>
      </c>
      <c r="AT62" s="425" t="s">
        <v>69</v>
      </c>
      <c r="AU62" s="425" t="s">
        <v>69</v>
      </c>
      <c r="AV62" s="425" t="s">
        <v>69</v>
      </c>
      <c r="AW62" s="425" t="s">
        <v>69</v>
      </c>
      <c r="AX62" s="425" t="s">
        <v>69</v>
      </c>
      <c r="AY62" s="425" t="s">
        <v>69</v>
      </c>
      <c r="AZ62" s="425" t="s">
        <v>69</v>
      </c>
      <c r="BA62" s="425" t="s">
        <v>69</v>
      </c>
      <c r="BB62" s="425" t="s">
        <v>69</v>
      </c>
      <c r="BC62" s="425" t="s">
        <v>69</v>
      </c>
      <c r="BD62" s="425" t="s">
        <v>69</v>
      </c>
      <c r="BE62" s="425">
        <v>4</v>
      </c>
      <c r="BF62" s="425" t="s">
        <v>69</v>
      </c>
      <c r="BG62" s="425" t="s">
        <v>69</v>
      </c>
      <c r="BH62" s="425" t="s">
        <v>69</v>
      </c>
      <c r="BI62" s="425" t="s">
        <v>69</v>
      </c>
      <c r="BJ62" s="425" t="s">
        <v>69</v>
      </c>
      <c r="BK62" s="425" t="s">
        <v>69</v>
      </c>
      <c r="BL62" s="425" t="s">
        <v>69</v>
      </c>
      <c r="BM62" s="425" t="s">
        <v>69</v>
      </c>
      <c r="BN62" s="425" t="s">
        <v>69</v>
      </c>
      <c r="BO62" s="425" t="s">
        <v>69</v>
      </c>
      <c r="BP62" s="425" t="s">
        <v>69</v>
      </c>
      <c r="BQ62" s="425" t="s">
        <v>69</v>
      </c>
      <c r="BR62" s="425">
        <v>3</v>
      </c>
      <c r="BS62" s="425" t="s">
        <v>69</v>
      </c>
      <c r="BT62" s="425" t="s">
        <v>69</v>
      </c>
      <c r="BU62" s="425" t="s">
        <v>69</v>
      </c>
      <c r="BV62" s="425" t="s">
        <v>69</v>
      </c>
      <c r="BW62" s="425" t="s">
        <v>69</v>
      </c>
      <c r="BX62" s="425" t="s">
        <v>69</v>
      </c>
      <c r="BY62" s="425" t="s">
        <v>69</v>
      </c>
      <c r="BZ62" s="425" t="s">
        <v>69</v>
      </c>
      <c r="CA62" s="425" t="s">
        <v>69</v>
      </c>
      <c r="CB62" s="425" t="s">
        <v>69</v>
      </c>
      <c r="CC62" s="425" t="s">
        <v>69</v>
      </c>
      <c r="CD62" s="425" t="s">
        <v>69</v>
      </c>
      <c r="CE62" s="425" t="s">
        <v>69</v>
      </c>
      <c r="CF62" s="425" t="s">
        <v>69</v>
      </c>
      <c r="CG62" s="425" t="s">
        <v>69</v>
      </c>
      <c r="CH62" s="425" t="s">
        <v>69</v>
      </c>
      <c r="CI62" s="425" t="s">
        <v>69</v>
      </c>
      <c r="CJ62" s="425" t="s">
        <v>69</v>
      </c>
      <c r="CK62" s="425" t="s">
        <v>69</v>
      </c>
      <c r="CL62" s="425" t="s">
        <v>69</v>
      </c>
      <c r="CM62" s="425" t="s">
        <v>69</v>
      </c>
      <c r="CN62" s="425" t="s">
        <v>69</v>
      </c>
      <c r="CO62" s="425">
        <v>4</v>
      </c>
      <c r="CP62" s="425">
        <v>4</v>
      </c>
      <c r="CQ62" s="425">
        <v>4</v>
      </c>
      <c r="CR62" s="425" t="s">
        <v>69</v>
      </c>
      <c r="CS62" s="425" t="s">
        <v>69</v>
      </c>
      <c r="CT62" s="425">
        <v>4</v>
      </c>
      <c r="CU62" s="425">
        <v>4</v>
      </c>
      <c r="CV62" s="425" t="s">
        <v>69</v>
      </c>
      <c r="CW62" s="425" t="s">
        <v>69</v>
      </c>
      <c r="CX62" s="425" t="s">
        <v>69</v>
      </c>
      <c r="CY62" s="425" t="s">
        <v>69</v>
      </c>
      <c r="CZ62" s="425">
        <v>4</v>
      </c>
      <c r="DA62" s="425" t="s">
        <v>69</v>
      </c>
      <c r="DB62" s="425" t="s">
        <v>69</v>
      </c>
      <c r="DC62" s="425" t="s">
        <v>69</v>
      </c>
      <c r="DD62" s="425" t="s">
        <v>69</v>
      </c>
      <c r="DE62" s="425" t="s">
        <v>69</v>
      </c>
      <c r="DF62" s="425" t="s">
        <v>69</v>
      </c>
      <c r="DG62" s="425" t="s">
        <v>69</v>
      </c>
      <c r="DH62" s="425">
        <v>3</v>
      </c>
      <c r="DI62" s="425" t="s">
        <v>69</v>
      </c>
      <c r="DJ62" s="425" t="s">
        <v>69</v>
      </c>
      <c r="DK62" s="425" t="s">
        <v>69</v>
      </c>
      <c r="DL62" s="425" t="s">
        <v>69</v>
      </c>
      <c r="DM62" s="425" t="s">
        <v>69</v>
      </c>
      <c r="DN62" s="425" t="s">
        <v>69</v>
      </c>
      <c r="DO62" s="425" t="s">
        <v>69</v>
      </c>
      <c r="DP62" s="425" t="s">
        <v>69</v>
      </c>
      <c r="DQ62" s="425" t="s">
        <v>69</v>
      </c>
      <c r="DR62" s="425" t="s">
        <v>69</v>
      </c>
      <c r="DS62" s="425" t="s">
        <v>69</v>
      </c>
      <c r="DT62" s="425" t="s">
        <v>69</v>
      </c>
      <c r="DU62" s="422" t="s">
        <v>69</v>
      </c>
      <c r="DV62" s="425">
        <v>3</v>
      </c>
      <c r="DW62" s="425" t="s">
        <v>69</v>
      </c>
      <c r="DX62" s="425">
        <v>3</v>
      </c>
      <c r="DY62" s="423">
        <f t="shared" si="2"/>
        <v>0.20634920634920634</v>
      </c>
      <c r="DZ62" s="424">
        <f t="shared" si="3"/>
        <v>1</v>
      </c>
      <c r="EA62" s="519"/>
    </row>
    <row r="63" spans="1:131" s="18" customFormat="1" ht="61.8" thickBot="1">
      <c r="A63" s="520" t="s">
        <v>703</v>
      </c>
      <c r="B63" s="521" t="s">
        <v>704</v>
      </c>
      <c r="C63" s="419">
        <v>45691</v>
      </c>
      <c r="D63" s="418" t="s">
        <v>1183</v>
      </c>
      <c r="E63" s="429" t="s">
        <v>899</v>
      </c>
      <c r="F63" s="425">
        <v>4</v>
      </c>
      <c r="G63" s="425" t="s">
        <v>69</v>
      </c>
      <c r="H63" s="425">
        <v>4</v>
      </c>
      <c r="I63" s="425" t="s">
        <v>69</v>
      </c>
      <c r="J63" s="425" t="s">
        <v>69</v>
      </c>
      <c r="K63" s="425" t="s">
        <v>69</v>
      </c>
      <c r="L63" s="425" t="s">
        <v>69</v>
      </c>
      <c r="M63" s="425" t="s">
        <v>69</v>
      </c>
      <c r="N63" s="425" t="s">
        <v>69</v>
      </c>
      <c r="O63" s="425" t="s">
        <v>69</v>
      </c>
      <c r="P63" s="425" t="s">
        <v>69</v>
      </c>
      <c r="Q63" s="425" t="s">
        <v>69</v>
      </c>
      <c r="R63" s="425" t="s">
        <v>69</v>
      </c>
      <c r="S63" s="425" t="s">
        <v>69</v>
      </c>
      <c r="T63" s="425" t="s">
        <v>69</v>
      </c>
      <c r="U63" s="425" t="s">
        <v>69</v>
      </c>
      <c r="V63" s="425" t="s">
        <v>69</v>
      </c>
      <c r="W63" s="425" t="s">
        <v>69</v>
      </c>
      <c r="X63" s="425" t="s">
        <v>69</v>
      </c>
      <c r="Y63" s="425">
        <v>3</v>
      </c>
      <c r="Z63" s="425" t="s">
        <v>69</v>
      </c>
      <c r="AA63" s="425">
        <v>4</v>
      </c>
      <c r="AB63" s="425" t="s">
        <v>69</v>
      </c>
      <c r="AC63" s="425" t="s">
        <v>69</v>
      </c>
      <c r="AD63" s="425" t="s">
        <v>69</v>
      </c>
      <c r="AE63" s="425" t="s">
        <v>69</v>
      </c>
      <c r="AF63" s="425" t="s">
        <v>69</v>
      </c>
      <c r="AG63" s="425" t="s">
        <v>69</v>
      </c>
      <c r="AH63" s="425" t="s">
        <v>69</v>
      </c>
      <c r="AI63" s="425" t="s">
        <v>69</v>
      </c>
      <c r="AJ63" s="425" t="s">
        <v>69</v>
      </c>
      <c r="AK63" s="425" t="s">
        <v>69</v>
      </c>
      <c r="AL63" s="425" t="s">
        <v>69</v>
      </c>
      <c r="AM63" s="425" t="s">
        <v>69</v>
      </c>
      <c r="AN63" s="425" t="s">
        <v>69</v>
      </c>
      <c r="AO63" s="425" t="s">
        <v>69</v>
      </c>
      <c r="AP63" s="425" t="s">
        <v>69</v>
      </c>
      <c r="AQ63" s="425" t="s">
        <v>69</v>
      </c>
      <c r="AR63" s="425">
        <v>3</v>
      </c>
      <c r="AS63" s="425" t="s">
        <v>69</v>
      </c>
      <c r="AT63" s="425" t="s">
        <v>69</v>
      </c>
      <c r="AU63" s="425" t="s">
        <v>69</v>
      </c>
      <c r="AV63" s="425" t="s">
        <v>69</v>
      </c>
      <c r="AW63" s="425" t="s">
        <v>69</v>
      </c>
      <c r="AX63" s="425">
        <v>4</v>
      </c>
      <c r="AY63" s="425" t="s">
        <v>69</v>
      </c>
      <c r="AZ63" s="425" t="s">
        <v>69</v>
      </c>
      <c r="BA63" s="425" t="s">
        <v>69</v>
      </c>
      <c r="BB63" s="425" t="s">
        <v>69</v>
      </c>
      <c r="BC63" s="425" t="s">
        <v>69</v>
      </c>
      <c r="BD63" s="425" t="s">
        <v>69</v>
      </c>
      <c r="BE63" s="425" t="s">
        <v>69</v>
      </c>
      <c r="BF63" s="425">
        <v>2</v>
      </c>
      <c r="BG63" s="425" t="s">
        <v>69</v>
      </c>
      <c r="BH63" s="425" t="s">
        <v>69</v>
      </c>
      <c r="BI63" s="425" t="s">
        <v>69</v>
      </c>
      <c r="BJ63" s="425" t="s">
        <v>69</v>
      </c>
      <c r="BK63" s="425" t="s">
        <v>69</v>
      </c>
      <c r="BL63" s="425" t="s">
        <v>69</v>
      </c>
      <c r="BM63" s="425" t="s">
        <v>69</v>
      </c>
      <c r="BN63" s="425" t="s">
        <v>69</v>
      </c>
      <c r="BO63" s="425" t="s">
        <v>69</v>
      </c>
      <c r="BP63" s="425" t="s">
        <v>69</v>
      </c>
      <c r="BQ63" s="425" t="s">
        <v>69</v>
      </c>
      <c r="BR63" s="425">
        <v>4</v>
      </c>
      <c r="BS63" s="425" t="s">
        <v>69</v>
      </c>
      <c r="BT63" s="425" t="s">
        <v>69</v>
      </c>
      <c r="BU63" s="425" t="s">
        <v>69</v>
      </c>
      <c r="BV63" s="425" t="s">
        <v>69</v>
      </c>
      <c r="BW63" s="425" t="s">
        <v>69</v>
      </c>
      <c r="BX63" s="425" t="s">
        <v>69</v>
      </c>
      <c r="BY63" s="425" t="s">
        <v>69</v>
      </c>
      <c r="BZ63" s="425" t="s">
        <v>69</v>
      </c>
      <c r="CA63" s="425" t="s">
        <v>69</v>
      </c>
      <c r="CB63" s="425" t="s">
        <v>69</v>
      </c>
      <c r="CC63" s="425" t="s">
        <v>69</v>
      </c>
      <c r="CD63" s="425" t="s">
        <v>69</v>
      </c>
      <c r="CE63" s="425" t="s">
        <v>69</v>
      </c>
      <c r="CF63" s="425" t="s">
        <v>69</v>
      </c>
      <c r="CG63" s="425">
        <v>4</v>
      </c>
      <c r="CH63" s="425" t="s">
        <v>69</v>
      </c>
      <c r="CI63" s="425">
        <v>3</v>
      </c>
      <c r="CJ63" s="425">
        <v>3</v>
      </c>
      <c r="CK63" s="425">
        <v>4</v>
      </c>
      <c r="CL63" s="425">
        <v>4</v>
      </c>
      <c r="CM63" s="425" t="s">
        <v>69</v>
      </c>
      <c r="CN63" s="425" t="s">
        <v>69</v>
      </c>
      <c r="CO63" s="425" t="s">
        <v>69</v>
      </c>
      <c r="CP63" s="425">
        <v>4</v>
      </c>
      <c r="CQ63" s="425" t="s">
        <v>69</v>
      </c>
      <c r="CR63" s="425" t="s">
        <v>69</v>
      </c>
      <c r="CS63" s="425" t="s">
        <v>69</v>
      </c>
      <c r="CT63" s="425">
        <v>4</v>
      </c>
      <c r="CU63" s="425" t="s">
        <v>69</v>
      </c>
      <c r="CV63" s="425" t="s">
        <v>69</v>
      </c>
      <c r="CW63" s="425" t="s">
        <v>69</v>
      </c>
      <c r="CX63" s="425">
        <v>4</v>
      </c>
      <c r="CY63" s="425" t="s">
        <v>69</v>
      </c>
      <c r="CZ63" s="425" t="s">
        <v>69</v>
      </c>
      <c r="DA63" s="425" t="s">
        <v>69</v>
      </c>
      <c r="DB63" s="425" t="s">
        <v>69</v>
      </c>
      <c r="DC63" s="425">
        <v>3</v>
      </c>
      <c r="DD63" s="425" t="s">
        <v>69</v>
      </c>
      <c r="DE63" s="425" t="s">
        <v>69</v>
      </c>
      <c r="DF63" s="425" t="s">
        <v>69</v>
      </c>
      <c r="DG63" s="425" t="s">
        <v>69</v>
      </c>
      <c r="DH63" s="425" t="s">
        <v>69</v>
      </c>
      <c r="DI63" s="425" t="s">
        <v>69</v>
      </c>
      <c r="DJ63" s="425" t="s">
        <v>69</v>
      </c>
      <c r="DK63" s="425" t="s">
        <v>69</v>
      </c>
      <c r="DL63" s="425" t="s">
        <v>69</v>
      </c>
      <c r="DM63" s="425" t="s">
        <v>69</v>
      </c>
      <c r="DN63" s="425" t="s">
        <v>69</v>
      </c>
      <c r="DO63" s="425">
        <v>2</v>
      </c>
      <c r="DP63" s="425" t="s">
        <v>69</v>
      </c>
      <c r="DQ63" s="425" t="s">
        <v>69</v>
      </c>
      <c r="DR63" s="425" t="s">
        <v>69</v>
      </c>
      <c r="DS63" s="425" t="s">
        <v>69</v>
      </c>
      <c r="DT63" s="425" t="s">
        <v>69</v>
      </c>
      <c r="DU63" s="422" t="s">
        <v>69</v>
      </c>
      <c r="DV63" s="425" t="s">
        <v>69</v>
      </c>
      <c r="DW63" s="425" t="s">
        <v>69</v>
      </c>
      <c r="DX63" s="425">
        <v>3</v>
      </c>
      <c r="DY63" s="423">
        <f t="shared" si="2"/>
        <v>0.30158730158730157</v>
      </c>
      <c r="DZ63" s="424">
        <f t="shared" si="3"/>
        <v>0.89473684210526316</v>
      </c>
      <c r="EA63" s="519"/>
    </row>
    <row r="64" spans="1:131" s="18" customFormat="1" ht="61.8" thickBot="1">
      <c r="A64" s="520" t="s">
        <v>705</v>
      </c>
      <c r="B64" s="521" t="s">
        <v>706</v>
      </c>
      <c r="C64" s="522">
        <v>45691</v>
      </c>
      <c r="D64" s="418" t="s">
        <v>1183</v>
      </c>
      <c r="E64" s="429" t="s">
        <v>899</v>
      </c>
      <c r="F64" s="425">
        <v>3</v>
      </c>
      <c r="G64" s="425" t="s">
        <v>69</v>
      </c>
      <c r="H64" s="425" t="s">
        <v>69</v>
      </c>
      <c r="I64" s="425">
        <v>4</v>
      </c>
      <c r="J64" s="425" t="s">
        <v>69</v>
      </c>
      <c r="K64" s="425" t="s">
        <v>69</v>
      </c>
      <c r="L64" s="425" t="s">
        <v>69</v>
      </c>
      <c r="M64" s="425" t="s">
        <v>69</v>
      </c>
      <c r="N64" s="425" t="s">
        <v>69</v>
      </c>
      <c r="O64" s="425">
        <v>4</v>
      </c>
      <c r="P64" s="425" t="s">
        <v>69</v>
      </c>
      <c r="Q64" s="425" t="s">
        <v>69</v>
      </c>
      <c r="R64" s="425" t="s">
        <v>69</v>
      </c>
      <c r="S64" s="425" t="s">
        <v>69</v>
      </c>
      <c r="T64" s="425" t="s">
        <v>69</v>
      </c>
      <c r="U64" s="425" t="s">
        <v>69</v>
      </c>
      <c r="V64" s="425" t="s">
        <v>69</v>
      </c>
      <c r="W64" s="425" t="s">
        <v>69</v>
      </c>
      <c r="X64" s="425" t="s">
        <v>69</v>
      </c>
      <c r="Y64" s="425" t="s">
        <v>69</v>
      </c>
      <c r="Z64" s="425" t="s">
        <v>69</v>
      </c>
      <c r="AA64" s="425" t="s">
        <v>69</v>
      </c>
      <c r="AB64" s="425" t="s">
        <v>69</v>
      </c>
      <c r="AC64" s="425" t="s">
        <v>69</v>
      </c>
      <c r="AD64" s="425" t="s">
        <v>69</v>
      </c>
      <c r="AE64" s="425" t="s">
        <v>69</v>
      </c>
      <c r="AF64" s="425" t="s">
        <v>69</v>
      </c>
      <c r="AG64" s="425" t="s">
        <v>69</v>
      </c>
      <c r="AH64" s="425" t="s">
        <v>69</v>
      </c>
      <c r="AI64" s="425" t="s">
        <v>69</v>
      </c>
      <c r="AJ64" s="425" t="s">
        <v>69</v>
      </c>
      <c r="AK64" s="425" t="s">
        <v>69</v>
      </c>
      <c r="AL64" s="425" t="s">
        <v>69</v>
      </c>
      <c r="AM64" s="425" t="s">
        <v>69</v>
      </c>
      <c r="AN64" s="425" t="s">
        <v>69</v>
      </c>
      <c r="AO64" s="425" t="s">
        <v>69</v>
      </c>
      <c r="AP64" s="425" t="s">
        <v>69</v>
      </c>
      <c r="AQ64" s="425" t="s">
        <v>69</v>
      </c>
      <c r="AR64" s="425" t="s">
        <v>69</v>
      </c>
      <c r="AS64" s="425">
        <v>4</v>
      </c>
      <c r="AT64" s="425" t="s">
        <v>69</v>
      </c>
      <c r="AU64" s="425" t="s">
        <v>69</v>
      </c>
      <c r="AV64" s="425">
        <v>4</v>
      </c>
      <c r="AW64" s="425" t="s">
        <v>69</v>
      </c>
      <c r="AX64" s="425" t="s">
        <v>69</v>
      </c>
      <c r="AY64" s="425">
        <v>4</v>
      </c>
      <c r="AZ64" s="425" t="s">
        <v>69</v>
      </c>
      <c r="BA64" s="425" t="s">
        <v>69</v>
      </c>
      <c r="BB64" s="425">
        <v>4</v>
      </c>
      <c r="BC64" s="425" t="s">
        <v>69</v>
      </c>
      <c r="BD64" s="425" t="s">
        <v>69</v>
      </c>
      <c r="BE64" s="425">
        <v>4</v>
      </c>
      <c r="BF64" s="425" t="s">
        <v>69</v>
      </c>
      <c r="BG64" s="425" t="s">
        <v>69</v>
      </c>
      <c r="BH64" s="425" t="s">
        <v>69</v>
      </c>
      <c r="BI64" s="425" t="s">
        <v>69</v>
      </c>
      <c r="BJ64" s="425">
        <v>4</v>
      </c>
      <c r="BK64" s="425" t="s">
        <v>69</v>
      </c>
      <c r="BL64" s="425" t="s">
        <v>69</v>
      </c>
      <c r="BM64" s="425" t="s">
        <v>69</v>
      </c>
      <c r="BN64" s="425" t="s">
        <v>69</v>
      </c>
      <c r="BO64" s="425" t="s">
        <v>69</v>
      </c>
      <c r="BP64" s="425" t="s">
        <v>69</v>
      </c>
      <c r="BQ64" s="425" t="s">
        <v>69</v>
      </c>
      <c r="BR64" s="425" t="s">
        <v>69</v>
      </c>
      <c r="BS64" s="425" t="s">
        <v>69</v>
      </c>
      <c r="BT64" s="425" t="s">
        <v>69</v>
      </c>
      <c r="BU64" s="425" t="s">
        <v>69</v>
      </c>
      <c r="BV64" s="425" t="s">
        <v>69</v>
      </c>
      <c r="BW64" s="425" t="s">
        <v>69</v>
      </c>
      <c r="BX64" s="425" t="s">
        <v>69</v>
      </c>
      <c r="BY64" s="425" t="s">
        <v>69</v>
      </c>
      <c r="BZ64" s="425" t="s">
        <v>69</v>
      </c>
      <c r="CA64" s="425" t="s">
        <v>69</v>
      </c>
      <c r="CB64" s="425" t="s">
        <v>69</v>
      </c>
      <c r="CC64" s="425" t="s">
        <v>69</v>
      </c>
      <c r="CD64" s="425" t="s">
        <v>69</v>
      </c>
      <c r="CE64" s="425" t="s">
        <v>69</v>
      </c>
      <c r="CF64" s="425" t="s">
        <v>69</v>
      </c>
      <c r="CG64" s="425" t="s">
        <v>69</v>
      </c>
      <c r="CH64" s="425" t="s">
        <v>69</v>
      </c>
      <c r="CI64" s="425" t="s">
        <v>69</v>
      </c>
      <c r="CJ64" s="425" t="s">
        <v>69</v>
      </c>
      <c r="CK64" s="425" t="s">
        <v>69</v>
      </c>
      <c r="CL64" s="425" t="s">
        <v>69</v>
      </c>
      <c r="CM64" s="425">
        <v>3</v>
      </c>
      <c r="CN64" s="425">
        <v>2</v>
      </c>
      <c r="CO64" s="425">
        <v>2</v>
      </c>
      <c r="CP64" s="425">
        <v>2</v>
      </c>
      <c r="CQ64" s="425" t="s">
        <v>69</v>
      </c>
      <c r="CR64" s="425" t="s">
        <v>69</v>
      </c>
      <c r="CS64" s="425" t="s">
        <v>69</v>
      </c>
      <c r="CT64" s="425" t="s">
        <v>69</v>
      </c>
      <c r="CU64" s="425" t="s">
        <v>69</v>
      </c>
      <c r="CV64" s="425" t="s">
        <v>69</v>
      </c>
      <c r="CW64" s="425" t="s">
        <v>69</v>
      </c>
      <c r="CX64" s="425" t="s">
        <v>69</v>
      </c>
      <c r="CY64" s="425" t="s">
        <v>69</v>
      </c>
      <c r="CZ64" s="425" t="s">
        <v>69</v>
      </c>
      <c r="DA64" s="425" t="s">
        <v>69</v>
      </c>
      <c r="DB64" s="425" t="s">
        <v>69</v>
      </c>
      <c r="DC64" s="425" t="s">
        <v>69</v>
      </c>
      <c r="DD64" s="425" t="s">
        <v>69</v>
      </c>
      <c r="DE64" s="425" t="s">
        <v>69</v>
      </c>
      <c r="DF64" s="425" t="s">
        <v>69</v>
      </c>
      <c r="DG64" s="425" t="s">
        <v>69</v>
      </c>
      <c r="DH64" s="425" t="s">
        <v>69</v>
      </c>
      <c r="DI64" s="425" t="s">
        <v>69</v>
      </c>
      <c r="DJ64" s="425" t="s">
        <v>69</v>
      </c>
      <c r="DK64" s="425" t="s">
        <v>69</v>
      </c>
      <c r="DL64" s="425" t="s">
        <v>69</v>
      </c>
      <c r="DM64" s="425" t="s">
        <v>69</v>
      </c>
      <c r="DN64" s="425" t="s">
        <v>69</v>
      </c>
      <c r="DO64" s="425" t="s">
        <v>69</v>
      </c>
      <c r="DP64" s="425" t="s">
        <v>69</v>
      </c>
      <c r="DQ64" s="425" t="s">
        <v>69</v>
      </c>
      <c r="DR64" s="425" t="s">
        <v>69</v>
      </c>
      <c r="DS64" s="425" t="s">
        <v>69</v>
      </c>
      <c r="DT64" s="425" t="s">
        <v>69</v>
      </c>
      <c r="DU64" s="422" t="s">
        <v>69</v>
      </c>
      <c r="DV64" s="425" t="s">
        <v>69</v>
      </c>
      <c r="DW64" s="425">
        <v>3</v>
      </c>
      <c r="DX64" s="425">
        <v>2</v>
      </c>
      <c r="DY64" s="423">
        <f t="shared" si="2"/>
        <v>0.23809523809523808</v>
      </c>
      <c r="DZ64" s="424">
        <f t="shared" si="3"/>
        <v>0.73333333333333328</v>
      </c>
      <c r="EA64" s="519"/>
    </row>
    <row r="65" spans="1:131" s="18" customFormat="1" ht="66.599999999999994" thickBot="1">
      <c r="A65" s="520" t="s">
        <v>707</v>
      </c>
      <c r="B65" s="521" t="s">
        <v>708</v>
      </c>
      <c r="C65" s="522">
        <v>45691</v>
      </c>
      <c r="D65" s="418" t="s">
        <v>1183</v>
      </c>
      <c r="E65" s="429" t="s">
        <v>899</v>
      </c>
      <c r="F65" s="425" t="s">
        <v>69</v>
      </c>
      <c r="G65" s="425" t="s">
        <v>69</v>
      </c>
      <c r="H65" s="425" t="s">
        <v>69</v>
      </c>
      <c r="I65" s="425" t="s">
        <v>69</v>
      </c>
      <c r="J65" s="425" t="s">
        <v>69</v>
      </c>
      <c r="K65" s="425" t="s">
        <v>69</v>
      </c>
      <c r="L65" s="425" t="s">
        <v>69</v>
      </c>
      <c r="M65" s="425" t="s">
        <v>69</v>
      </c>
      <c r="N65" s="425" t="s">
        <v>69</v>
      </c>
      <c r="O65" s="425" t="s">
        <v>69</v>
      </c>
      <c r="P65" s="425" t="s">
        <v>69</v>
      </c>
      <c r="Q65" s="425">
        <v>4</v>
      </c>
      <c r="R65" s="425" t="s">
        <v>69</v>
      </c>
      <c r="S65" s="425" t="s">
        <v>69</v>
      </c>
      <c r="T65" s="425" t="s">
        <v>69</v>
      </c>
      <c r="U65" s="425" t="s">
        <v>69</v>
      </c>
      <c r="V65" s="425" t="s">
        <v>69</v>
      </c>
      <c r="W65" s="425" t="s">
        <v>69</v>
      </c>
      <c r="X65" s="425" t="s">
        <v>69</v>
      </c>
      <c r="Y65" s="425" t="s">
        <v>69</v>
      </c>
      <c r="Z65" s="425" t="s">
        <v>69</v>
      </c>
      <c r="AA65" s="425" t="s">
        <v>69</v>
      </c>
      <c r="AB65" s="425" t="s">
        <v>69</v>
      </c>
      <c r="AC65" s="425" t="s">
        <v>69</v>
      </c>
      <c r="AD65" s="425" t="s">
        <v>69</v>
      </c>
      <c r="AE65" s="425" t="s">
        <v>69</v>
      </c>
      <c r="AF65" s="425">
        <v>4</v>
      </c>
      <c r="AG65" s="425">
        <v>3</v>
      </c>
      <c r="AH65" s="425">
        <v>2</v>
      </c>
      <c r="AI65" s="425" t="s">
        <v>69</v>
      </c>
      <c r="AJ65" s="425" t="s">
        <v>69</v>
      </c>
      <c r="AK65" s="425" t="s">
        <v>69</v>
      </c>
      <c r="AL65" s="425" t="s">
        <v>69</v>
      </c>
      <c r="AM65" s="425" t="s">
        <v>69</v>
      </c>
      <c r="AN65" s="425" t="s">
        <v>69</v>
      </c>
      <c r="AO65" s="425" t="s">
        <v>69</v>
      </c>
      <c r="AP65" s="425" t="s">
        <v>69</v>
      </c>
      <c r="AQ65" s="425" t="s">
        <v>69</v>
      </c>
      <c r="AR65" s="425" t="s">
        <v>69</v>
      </c>
      <c r="AS65" s="425" t="s">
        <v>69</v>
      </c>
      <c r="AT65" s="425" t="s">
        <v>69</v>
      </c>
      <c r="AU65" s="425" t="s">
        <v>69</v>
      </c>
      <c r="AV65" s="425" t="s">
        <v>69</v>
      </c>
      <c r="AW65" s="425" t="s">
        <v>69</v>
      </c>
      <c r="AX65" s="425" t="s">
        <v>69</v>
      </c>
      <c r="AY65" s="425" t="s">
        <v>69</v>
      </c>
      <c r="AZ65" s="425" t="s">
        <v>69</v>
      </c>
      <c r="BA65" s="425" t="s">
        <v>69</v>
      </c>
      <c r="BB65" s="425" t="s">
        <v>69</v>
      </c>
      <c r="BC65" s="425" t="s">
        <v>69</v>
      </c>
      <c r="BD65" s="425" t="s">
        <v>69</v>
      </c>
      <c r="BE65" s="425" t="s">
        <v>69</v>
      </c>
      <c r="BF65" s="425" t="s">
        <v>69</v>
      </c>
      <c r="BG65" s="425" t="s">
        <v>69</v>
      </c>
      <c r="BH65" s="425" t="s">
        <v>69</v>
      </c>
      <c r="BI65" s="425" t="s">
        <v>69</v>
      </c>
      <c r="BJ65" s="425" t="s">
        <v>69</v>
      </c>
      <c r="BK65" s="425" t="s">
        <v>69</v>
      </c>
      <c r="BL65" s="425" t="s">
        <v>69</v>
      </c>
      <c r="BM65" s="425" t="s">
        <v>69</v>
      </c>
      <c r="BN65" s="425" t="s">
        <v>69</v>
      </c>
      <c r="BO65" s="425" t="s">
        <v>69</v>
      </c>
      <c r="BP65" s="425" t="s">
        <v>69</v>
      </c>
      <c r="BQ65" s="425">
        <v>4</v>
      </c>
      <c r="BR65" s="425" t="s">
        <v>69</v>
      </c>
      <c r="BS65" s="425" t="s">
        <v>69</v>
      </c>
      <c r="BT65" s="425" t="s">
        <v>69</v>
      </c>
      <c r="BU65" s="425">
        <v>3</v>
      </c>
      <c r="BV65" s="425">
        <v>3</v>
      </c>
      <c r="BW65" s="425" t="s">
        <v>69</v>
      </c>
      <c r="BX65" s="425" t="s">
        <v>69</v>
      </c>
      <c r="BY65" s="425" t="s">
        <v>69</v>
      </c>
      <c r="BZ65" s="425" t="s">
        <v>69</v>
      </c>
      <c r="CA65" s="425" t="s">
        <v>69</v>
      </c>
      <c r="CB65" s="425" t="s">
        <v>69</v>
      </c>
      <c r="CC65" s="425" t="s">
        <v>69</v>
      </c>
      <c r="CD65" s="425" t="s">
        <v>69</v>
      </c>
      <c r="CE65" s="425" t="s">
        <v>69</v>
      </c>
      <c r="CF65" s="425" t="s">
        <v>69</v>
      </c>
      <c r="CG65" s="425" t="s">
        <v>69</v>
      </c>
      <c r="CH65" s="425" t="s">
        <v>69</v>
      </c>
      <c r="CI65" s="425">
        <v>4</v>
      </c>
      <c r="CJ65" s="425">
        <v>4</v>
      </c>
      <c r="CK65" s="425" t="s">
        <v>69</v>
      </c>
      <c r="CL65" s="425" t="s">
        <v>69</v>
      </c>
      <c r="CM65" s="425" t="s">
        <v>69</v>
      </c>
      <c r="CN65" s="425">
        <v>2</v>
      </c>
      <c r="CO65" s="425">
        <v>4</v>
      </c>
      <c r="CP65" s="425">
        <v>4</v>
      </c>
      <c r="CQ65" s="425" t="s">
        <v>69</v>
      </c>
      <c r="CR65" s="425" t="s">
        <v>69</v>
      </c>
      <c r="CS65" s="425">
        <v>4</v>
      </c>
      <c r="CT65" s="425">
        <v>4</v>
      </c>
      <c r="CU65" s="425" t="s">
        <v>69</v>
      </c>
      <c r="CV65" s="425" t="s">
        <v>69</v>
      </c>
      <c r="CW65" s="425" t="s">
        <v>69</v>
      </c>
      <c r="CX65" s="425" t="s">
        <v>69</v>
      </c>
      <c r="CY65" s="425" t="s">
        <v>69</v>
      </c>
      <c r="CZ65" s="425" t="s">
        <v>69</v>
      </c>
      <c r="DA65" s="425" t="s">
        <v>69</v>
      </c>
      <c r="DB65" s="425" t="s">
        <v>69</v>
      </c>
      <c r="DC65" s="425" t="s">
        <v>69</v>
      </c>
      <c r="DD65" s="425" t="s">
        <v>69</v>
      </c>
      <c r="DE65" s="425" t="s">
        <v>69</v>
      </c>
      <c r="DF65" s="425">
        <v>2</v>
      </c>
      <c r="DG65" s="425" t="s">
        <v>69</v>
      </c>
      <c r="DH65" s="425">
        <v>4</v>
      </c>
      <c r="DI65" s="425" t="s">
        <v>69</v>
      </c>
      <c r="DJ65" s="425" t="s">
        <v>69</v>
      </c>
      <c r="DK65" s="425" t="s">
        <v>69</v>
      </c>
      <c r="DL65" s="425" t="s">
        <v>69</v>
      </c>
      <c r="DM65" s="425" t="s">
        <v>69</v>
      </c>
      <c r="DN65" s="425" t="s">
        <v>69</v>
      </c>
      <c r="DO65" s="425" t="s">
        <v>69</v>
      </c>
      <c r="DP65" s="425" t="s">
        <v>69</v>
      </c>
      <c r="DQ65" s="425">
        <v>2</v>
      </c>
      <c r="DR65" s="425" t="s">
        <v>69</v>
      </c>
      <c r="DS65" s="425" t="s">
        <v>69</v>
      </c>
      <c r="DT65" s="425" t="s">
        <v>69</v>
      </c>
      <c r="DU65" s="422" t="s">
        <v>69</v>
      </c>
      <c r="DV65" s="425" t="s">
        <v>69</v>
      </c>
      <c r="DW65" s="425" t="s">
        <v>69</v>
      </c>
      <c r="DX65" s="425">
        <v>4</v>
      </c>
      <c r="DY65" s="423">
        <f t="shared" si="2"/>
        <v>0.2857142857142857</v>
      </c>
      <c r="DZ65" s="424">
        <f t="shared" si="3"/>
        <v>0.77777777777777779</v>
      </c>
      <c r="EA65" s="519"/>
    </row>
    <row r="66" spans="1:131" s="18" customFormat="1" ht="61.8" thickBot="1">
      <c r="A66" s="420" t="s">
        <v>713</v>
      </c>
      <c r="B66" s="414" t="s">
        <v>714</v>
      </c>
      <c r="C66" s="419">
        <v>45691</v>
      </c>
      <c r="D66" s="418" t="s">
        <v>1183</v>
      </c>
      <c r="E66" s="429" t="s">
        <v>899</v>
      </c>
      <c r="F66" s="425" t="s">
        <v>69</v>
      </c>
      <c r="G66" s="425">
        <v>3</v>
      </c>
      <c r="H66" s="425" t="s">
        <v>69</v>
      </c>
      <c r="I66" s="425" t="s">
        <v>69</v>
      </c>
      <c r="J66" s="425" t="s">
        <v>69</v>
      </c>
      <c r="K66" s="425" t="s">
        <v>69</v>
      </c>
      <c r="L66" s="425" t="s">
        <v>69</v>
      </c>
      <c r="M66" s="425">
        <v>4</v>
      </c>
      <c r="N66" s="425">
        <v>4</v>
      </c>
      <c r="O66" s="425" t="s">
        <v>69</v>
      </c>
      <c r="P66" s="425" t="s">
        <v>69</v>
      </c>
      <c r="Q66" s="425" t="s">
        <v>69</v>
      </c>
      <c r="R66" s="425" t="s">
        <v>69</v>
      </c>
      <c r="S66" s="425" t="s">
        <v>69</v>
      </c>
      <c r="T66" s="425" t="s">
        <v>69</v>
      </c>
      <c r="U66" s="425" t="s">
        <v>69</v>
      </c>
      <c r="V66" s="425" t="s">
        <v>69</v>
      </c>
      <c r="W66" s="425" t="s">
        <v>69</v>
      </c>
      <c r="X66" s="425" t="s">
        <v>69</v>
      </c>
      <c r="Y66" s="425" t="s">
        <v>69</v>
      </c>
      <c r="Z66" s="425" t="s">
        <v>69</v>
      </c>
      <c r="AA66" s="425" t="s">
        <v>69</v>
      </c>
      <c r="AB66" s="425" t="s">
        <v>69</v>
      </c>
      <c r="AC66" s="425" t="s">
        <v>69</v>
      </c>
      <c r="AD66" s="425" t="s">
        <v>69</v>
      </c>
      <c r="AE66" s="425" t="s">
        <v>69</v>
      </c>
      <c r="AF66" s="425" t="s">
        <v>69</v>
      </c>
      <c r="AG66" s="425" t="s">
        <v>69</v>
      </c>
      <c r="AH66" s="425">
        <v>3</v>
      </c>
      <c r="AI66" s="425" t="s">
        <v>69</v>
      </c>
      <c r="AJ66" s="425" t="s">
        <v>69</v>
      </c>
      <c r="AK66" s="425" t="s">
        <v>69</v>
      </c>
      <c r="AL66" s="425" t="s">
        <v>69</v>
      </c>
      <c r="AM66" s="425" t="s">
        <v>69</v>
      </c>
      <c r="AN66" s="425" t="s">
        <v>69</v>
      </c>
      <c r="AO66" s="425" t="s">
        <v>69</v>
      </c>
      <c r="AP66" s="425" t="s">
        <v>69</v>
      </c>
      <c r="AQ66" s="425" t="s">
        <v>69</v>
      </c>
      <c r="AR66" s="425" t="s">
        <v>69</v>
      </c>
      <c r="AS66" s="425" t="s">
        <v>69</v>
      </c>
      <c r="AT66" s="425" t="s">
        <v>69</v>
      </c>
      <c r="AU66" s="425" t="s">
        <v>69</v>
      </c>
      <c r="AV66" s="425" t="s">
        <v>69</v>
      </c>
      <c r="AW66" s="425" t="s">
        <v>69</v>
      </c>
      <c r="AX66" s="425" t="s">
        <v>69</v>
      </c>
      <c r="AY66" s="425" t="s">
        <v>69</v>
      </c>
      <c r="AZ66" s="425" t="s">
        <v>69</v>
      </c>
      <c r="BA66" s="425" t="s">
        <v>69</v>
      </c>
      <c r="BB66" s="425" t="s">
        <v>69</v>
      </c>
      <c r="BC66" s="425">
        <v>4</v>
      </c>
      <c r="BD66" s="425" t="s">
        <v>69</v>
      </c>
      <c r="BE66" s="425" t="s">
        <v>69</v>
      </c>
      <c r="BF66" s="425" t="s">
        <v>69</v>
      </c>
      <c r="BG66" s="425" t="s">
        <v>69</v>
      </c>
      <c r="BH66" s="425" t="s">
        <v>69</v>
      </c>
      <c r="BI66" s="425" t="s">
        <v>69</v>
      </c>
      <c r="BJ66" s="425" t="s">
        <v>69</v>
      </c>
      <c r="BK66" s="425" t="s">
        <v>69</v>
      </c>
      <c r="BL66" s="425" t="s">
        <v>69</v>
      </c>
      <c r="BM66" s="425" t="s">
        <v>69</v>
      </c>
      <c r="BN66" s="425" t="s">
        <v>69</v>
      </c>
      <c r="BO66" s="425" t="s">
        <v>69</v>
      </c>
      <c r="BP66" s="425" t="s">
        <v>69</v>
      </c>
      <c r="BQ66" s="425">
        <v>4</v>
      </c>
      <c r="BR66" s="425" t="s">
        <v>69</v>
      </c>
      <c r="BS66" s="425" t="s">
        <v>69</v>
      </c>
      <c r="BT66" s="425" t="s">
        <v>69</v>
      </c>
      <c r="BU66" s="425" t="s">
        <v>69</v>
      </c>
      <c r="BV66" s="425" t="s">
        <v>69</v>
      </c>
      <c r="BW66" s="425" t="s">
        <v>69</v>
      </c>
      <c r="BX66" s="425" t="s">
        <v>69</v>
      </c>
      <c r="BY66" s="425">
        <v>3</v>
      </c>
      <c r="BZ66" s="425" t="s">
        <v>69</v>
      </c>
      <c r="CA66" s="425" t="s">
        <v>69</v>
      </c>
      <c r="CB66" s="425" t="s">
        <v>69</v>
      </c>
      <c r="CC66" s="425" t="s">
        <v>69</v>
      </c>
      <c r="CD66" s="425" t="s">
        <v>69</v>
      </c>
      <c r="CE66" s="425" t="s">
        <v>69</v>
      </c>
      <c r="CF66" s="425" t="s">
        <v>69</v>
      </c>
      <c r="CG66" s="425" t="s">
        <v>69</v>
      </c>
      <c r="CH66" s="425" t="s">
        <v>69</v>
      </c>
      <c r="CI66" s="425" t="s">
        <v>69</v>
      </c>
      <c r="CJ66" s="425" t="s">
        <v>69</v>
      </c>
      <c r="CK66" s="425" t="s">
        <v>69</v>
      </c>
      <c r="CL66" s="425" t="s">
        <v>69</v>
      </c>
      <c r="CM66" s="425" t="s">
        <v>69</v>
      </c>
      <c r="CN66" s="425" t="s">
        <v>69</v>
      </c>
      <c r="CO66" s="425" t="s">
        <v>69</v>
      </c>
      <c r="CP66" s="425" t="s">
        <v>69</v>
      </c>
      <c r="CQ66" s="425" t="s">
        <v>69</v>
      </c>
      <c r="CR66" s="425" t="s">
        <v>69</v>
      </c>
      <c r="CS66" s="425">
        <v>3</v>
      </c>
      <c r="CT66" s="425" t="s">
        <v>69</v>
      </c>
      <c r="CU66" s="425" t="s">
        <v>69</v>
      </c>
      <c r="CV66" s="425">
        <v>3</v>
      </c>
      <c r="CW66" s="425" t="s">
        <v>69</v>
      </c>
      <c r="CX66" s="425">
        <v>3</v>
      </c>
      <c r="CY66" s="425">
        <v>2</v>
      </c>
      <c r="CZ66" s="425">
        <v>3</v>
      </c>
      <c r="DA66" s="425">
        <v>4</v>
      </c>
      <c r="DB66" s="425" t="s">
        <v>69</v>
      </c>
      <c r="DC66" s="425" t="s">
        <v>69</v>
      </c>
      <c r="DD66" s="425" t="s">
        <v>69</v>
      </c>
      <c r="DE66" s="425" t="s">
        <v>69</v>
      </c>
      <c r="DF66" s="425" t="s">
        <v>69</v>
      </c>
      <c r="DG66" s="425" t="s">
        <v>69</v>
      </c>
      <c r="DH66" s="425" t="s">
        <v>69</v>
      </c>
      <c r="DI66" s="425" t="s">
        <v>69</v>
      </c>
      <c r="DJ66" s="425" t="s">
        <v>69</v>
      </c>
      <c r="DK66" s="425" t="s">
        <v>69</v>
      </c>
      <c r="DL66" s="425" t="s">
        <v>69</v>
      </c>
      <c r="DM66" s="425" t="s">
        <v>69</v>
      </c>
      <c r="DN66" s="425" t="s">
        <v>69</v>
      </c>
      <c r="DO66" s="425" t="s">
        <v>69</v>
      </c>
      <c r="DP66" s="425" t="s">
        <v>69</v>
      </c>
      <c r="DQ66" s="425" t="s">
        <v>69</v>
      </c>
      <c r="DR66" s="425" t="s">
        <v>69</v>
      </c>
      <c r="DS66" s="425" t="s">
        <v>69</v>
      </c>
      <c r="DT66" s="425" t="s">
        <v>69</v>
      </c>
      <c r="DU66" s="422" t="s">
        <v>69</v>
      </c>
      <c r="DV66" s="425" t="s">
        <v>69</v>
      </c>
      <c r="DW66" s="425" t="s">
        <v>69</v>
      </c>
      <c r="DX66" s="425">
        <v>4</v>
      </c>
      <c r="DY66" s="423">
        <f t="shared" si="2"/>
        <v>0.22222222222222221</v>
      </c>
      <c r="DZ66" s="424">
        <f t="shared" si="3"/>
        <v>0.9285714285714286</v>
      </c>
      <c r="EA66" s="519"/>
    </row>
    <row r="67" spans="1:131" s="18" customFormat="1" ht="61.8" thickBot="1">
      <c r="A67" s="520" t="s">
        <v>719</v>
      </c>
      <c r="B67" s="521" t="s">
        <v>720</v>
      </c>
      <c r="C67" s="419">
        <v>45721</v>
      </c>
      <c r="D67" s="418" t="s">
        <v>1183</v>
      </c>
      <c r="E67" s="429" t="s">
        <v>899</v>
      </c>
      <c r="F67" s="425" t="s">
        <v>69</v>
      </c>
      <c r="G67" s="425" t="s">
        <v>69</v>
      </c>
      <c r="H67" s="425" t="s">
        <v>69</v>
      </c>
      <c r="I67" s="425" t="s">
        <v>69</v>
      </c>
      <c r="J67" s="425" t="s">
        <v>69</v>
      </c>
      <c r="K67" s="425" t="s">
        <v>69</v>
      </c>
      <c r="L67" s="425" t="s">
        <v>69</v>
      </c>
      <c r="M67" s="425" t="s">
        <v>69</v>
      </c>
      <c r="N67" s="425" t="s">
        <v>69</v>
      </c>
      <c r="O67" s="425" t="s">
        <v>69</v>
      </c>
      <c r="P67" s="425" t="s">
        <v>69</v>
      </c>
      <c r="Q67" s="425" t="s">
        <v>69</v>
      </c>
      <c r="R67" s="425" t="s">
        <v>69</v>
      </c>
      <c r="S67" s="425">
        <v>3</v>
      </c>
      <c r="T67" s="425">
        <v>3</v>
      </c>
      <c r="U67" s="425">
        <v>3</v>
      </c>
      <c r="V67" s="425" t="s">
        <v>69</v>
      </c>
      <c r="W67" s="425" t="s">
        <v>69</v>
      </c>
      <c r="X67" s="425" t="s">
        <v>69</v>
      </c>
      <c r="Y67" s="425" t="s">
        <v>69</v>
      </c>
      <c r="Z67" s="425" t="s">
        <v>69</v>
      </c>
      <c r="AA67" s="425">
        <v>4</v>
      </c>
      <c r="AB67" s="425" t="s">
        <v>69</v>
      </c>
      <c r="AC67" s="425" t="s">
        <v>69</v>
      </c>
      <c r="AD67" s="425" t="s">
        <v>69</v>
      </c>
      <c r="AE67" s="425" t="s">
        <v>69</v>
      </c>
      <c r="AF67" s="425">
        <v>3</v>
      </c>
      <c r="AG67" s="425">
        <v>3</v>
      </c>
      <c r="AH67" s="425" t="s">
        <v>69</v>
      </c>
      <c r="AI67" s="425" t="s">
        <v>69</v>
      </c>
      <c r="AJ67" s="425" t="s">
        <v>69</v>
      </c>
      <c r="AK67" s="425" t="s">
        <v>69</v>
      </c>
      <c r="AL67" s="425" t="s">
        <v>69</v>
      </c>
      <c r="AM67" s="425" t="s">
        <v>69</v>
      </c>
      <c r="AN67" s="425">
        <v>2</v>
      </c>
      <c r="AO67" s="425" t="s">
        <v>69</v>
      </c>
      <c r="AP67" s="425" t="s">
        <v>69</v>
      </c>
      <c r="AQ67" s="425" t="s">
        <v>69</v>
      </c>
      <c r="AR67" s="425" t="s">
        <v>69</v>
      </c>
      <c r="AS67" s="425" t="s">
        <v>69</v>
      </c>
      <c r="AT67" s="425" t="s">
        <v>69</v>
      </c>
      <c r="AU67" s="425" t="s">
        <v>69</v>
      </c>
      <c r="AV67" s="425" t="s">
        <v>69</v>
      </c>
      <c r="AW67" s="425" t="s">
        <v>69</v>
      </c>
      <c r="AX67" s="425" t="s">
        <v>69</v>
      </c>
      <c r="AY67" s="425" t="s">
        <v>69</v>
      </c>
      <c r="AZ67" s="425" t="s">
        <v>69</v>
      </c>
      <c r="BA67" s="425" t="s">
        <v>69</v>
      </c>
      <c r="BB67" s="425" t="s">
        <v>69</v>
      </c>
      <c r="BC67" s="425" t="s">
        <v>69</v>
      </c>
      <c r="BD67" s="425" t="s">
        <v>69</v>
      </c>
      <c r="BE67" s="425" t="s">
        <v>69</v>
      </c>
      <c r="BF67" s="425" t="s">
        <v>69</v>
      </c>
      <c r="BG67" s="425" t="s">
        <v>69</v>
      </c>
      <c r="BH67" s="425" t="s">
        <v>69</v>
      </c>
      <c r="BI67" s="425" t="s">
        <v>69</v>
      </c>
      <c r="BJ67" s="425" t="s">
        <v>69</v>
      </c>
      <c r="BK67" s="425" t="s">
        <v>69</v>
      </c>
      <c r="BL67" s="425" t="s">
        <v>69</v>
      </c>
      <c r="BM67" s="425" t="s">
        <v>69</v>
      </c>
      <c r="BN67" s="425" t="s">
        <v>69</v>
      </c>
      <c r="BO67" s="425" t="s">
        <v>69</v>
      </c>
      <c r="BP67" s="425" t="s">
        <v>69</v>
      </c>
      <c r="BQ67" s="425" t="s">
        <v>69</v>
      </c>
      <c r="BR67" s="425" t="s">
        <v>69</v>
      </c>
      <c r="BS67" s="425" t="s">
        <v>69</v>
      </c>
      <c r="BT67" s="425" t="s">
        <v>69</v>
      </c>
      <c r="BU67" s="425">
        <v>3</v>
      </c>
      <c r="BV67" s="425">
        <v>3</v>
      </c>
      <c r="BW67" s="425" t="s">
        <v>69</v>
      </c>
      <c r="BX67" s="425" t="s">
        <v>69</v>
      </c>
      <c r="BY67" s="425" t="s">
        <v>69</v>
      </c>
      <c r="BZ67" s="425" t="s">
        <v>69</v>
      </c>
      <c r="CA67" s="425" t="s">
        <v>69</v>
      </c>
      <c r="CB67" s="425" t="s">
        <v>69</v>
      </c>
      <c r="CC67" s="425" t="s">
        <v>69</v>
      </c>
      <c r="CD67" s="425" t="s">
        <v>69</v>
      </c>
      <c r="CE67" s="425" t="s">
        <v>69</v>
      </c>
      <c r="CF67" s="425" t="s">
        <v>69</v>
      </c>
      <c r="CG67" s="425" t="s">
        <v>69</v>
      </c>
      <c r="CH67" s="425" t="s">
        <v>69</v>
      </c>
      <c r="CI67" s="425" t="s">
        <v>69</v>
      </c>
      <c r="CJ67" s="425" t="s">
        <v>69</v>
      </c>
      <c r="CK67" s="425" t="s">
        <v>69</v>
      </c>
      <c r="CL67" s="425" t="s">
        <v>69</v>
      </c>
      <c r="CM67" s="425" t="s">
        <v>69</v>
      </c>
      <c r="CN67" s="425" t="s">
        <v>69</v>
      </c>
      <c r="CO67" s="425" t="s">
        <v>69</v>
      </c>
      <c r="CP67" s="425" t="s">
        <v>69</v>
      </c>
      <c r="CQ67" s="425" t="s">
        <v>69</v>
      </c>
      <c r="CR67" s="425" t="s">
        <v>69</v>
      </c>
      <c r="CS67" s="425" t="s">
        <v>69</v>
      </c>
      <c r="CT67" s="425" t="s">
        <v>69</v>
      </c>
      <c r="CU67" s="425" t="s">
        <v>69</v>
      </c>
      <c r="CV67" s="425" t="s">
        <v>69</v>
      </c>
      <c r="CW67" s="425" t="s">
        <v>69</v>
      </c>
      <c r="CX67" s="425" t="s">
        <v>69</v>
      </c>
      <c r="CY67" s="425">
        <v>3</v>
      </c>
      <c r="CZ67" s="425" t="s">
        <v>69</v>
      </c>
      <c r="DA67" s="425" t="s">
        <v>69</v>
      </c>
      <c r="DB67" s="425">
        <v>3</v>
      </c>
      <c r="DC67" s="425">
        <v>3</v>
      </c>
      <c r="DD67" s="425" t="s">
        <v>69</v>
      </c>
      <c r="DE67" s="425" t="s">
        <v>69</v>
      </c>
      <c r="DF67" s="425" t="s">
        <v>69</v>
      </c>
      <c r="DG67" s="425" t="s">
        <v>69</v>
      </c>
      <c r="DH67" s="425" t="s">
        <v>69</v>
      </c>
      <c r="DI67" s="425" t="s">
        <v>69</v>
      </c>
      <c r="DJ67" s="425" t="s">
        <v>69</v>
      </c>
      <c r="DK67" s="425" t="s">
        <v>69</v>
      </c>
      <c r="DL67" s="425" t="s">
        <v>69</v>
      </c>
      <c r="DM67" s="425" t="s">
        <v>69</v>
      </c>
      <c r="DN67" s="425" t="s">
        <v>69</v>
      </c>
      <c r="DO67" s="425" t="s">
        <v>69</v>
      </c>
      <c r="DP67" s="425" t="s">
        <v>69</v>
      </c>
      <c r="DQ67" s="425" t="s">
        <v>69</v>
      </c>
      <c r="DR67" s="425" t="s">
        <v>69</v>
      </c>
      <c r="DS67" s="425" t="s">
        <v>69</v>
      </c>
      <c r="DT67" s="425" t="s">
        <v>69</v>
      </c>
      <c r="DU67" s="422" t="s">
        <v>69</v>
      </c>
      <c r="DV67" s="425" t="s">
        <v>69</v>
      </c>
      <c r="DW67" s="425" t="s">
        <v>69</v>
      </c>
      <c r="DX67" s="425">
        <v>3</v>
      </c>
      <c r="DY67" s="423">
        <f t="shared" si="2"/>
        <v>0.20634920634920634</v>
      </c>
      <c r="DZ67" s="424">
        <f t="shared" si="3"/>
        <v>0.92307692307692313</v>
      </c>
      <c r="EA67" s="519"/>
    </row>
    <row r="68" spans="1:131" s="18" customFormat="1" ht="61.8" thickBot="1">
      <c r="A68" s="420" t="s">
        <v>721</v>
      </c>
      <c r="B68" s="414" t="s">
        <v>722</v>
      </c>
      <c r="C68" s="419">
        <v>45719</v>
      </c>
      <c r="D68" s="418" t="s">
        <v>1183</v>
      </c>
      <c r="E68" s="429" t="s">
        <v>899</v>
      </c>
      <c r="F68" s="425">
        <v>4</v>
      </c>
      <c r="G68" s="425">
        <v>4</v>
      </c>
      <c r="H68" s="425">
        <v>4</v>
      </c>
      <c r="I68" s="425">
        <v>4</v>
      </c>
      <c r="J68" s="425">
        <v>4</v>
      </c>
      <c r="K68" s="425" t="s">
        <v>69</v>
      </c>
      <c r="L68" s="425" t="s">
        <v>69</v>
      </c>
      <c r="M68" s="425" t="s">
        <v>69</v>
      </c>
      <c r="N68" s="425" t="s">
        <v>69</v>
      </c>
      <c r="O68" s="425">
        <v>4</v>
      </c>
      <c r="P68" s="425">
        <v>3</v>
      </c>
      <c r="Q68" s="425" t="s">
        <v>69</v>
      </c>
      <c r="R68" s="425" t="s">
        <v>69</v>
      </c>
      <c r="S68" s="425" t="s">
        <v>69</v>
      </c>
      <c r="T68" s="425" t="s">
        <v>69</v>
      </c>
      <c r="U68" s="425" t="s">
        <v>69</v>
      </c>
      <c r="V68" s="425" t="s">
        <v>69</v>
      </c>
      <c r="W68" s="425" t="s">
        <v>69</v>
      </c>
      <c r="X68" s="425" t="s">
        <v>69</v>
      </c>
      <c r="Y68" s="425" t="s">
        <v>69</v>
      </c>
      <c r="Z68" s="425" t="s">
        <v>69</v>
      </c>
      <c r="AA68" s="425" t="s">
        <v>69</v>
      </c>
      <c r="AB68" s="425" t="s">
        <v>69</v>
      </c>
      <c r="AC68" s="425" t="s">
        <v>69</v>
      </c>
      <c r="AD68" s="425" t="s">
        <v>69</v>
      </c>
      <c r="AE68" s="425" t="s">
        <v>69</v>
      </c>
      <c r="AF68" s="425" t="s">
        <v>69</v>
      </c>
      <c r="AG68" s="425" t="s">
        <v>69</v>
      </c>
      <c r="AH68" s="425" t="s">
        <v>69</v>
      </c>
      <c r="AI68" s="425" t="s">
        <v>69</v>
      </c>
      <c r="AJ68" s="425" t="s">
        <v>69</v>
      </c>
      <c r="AK68" s="425" t="s">
        <v>69</v>
      </c>
      <c r="AL68" s="425" t="s">
        <v>69</v>
      </c>
      <c r="AM68" s="425" t="s">
        <v>69</v>
      </c>
      <c r="AN68" s="425" t="s">
        <v>69</v>
      </c>
      <c r="AO68" s="425" t="s">
        <v>69</v>
      </c>
      <c r="AP68" s="425" t="s">
        <v>69</v>
      </c>
      <c r="AQ68" s="425" t="s">
        <v>69</v>
      </c>
      <c r="AR68" s="425">
        <v>4</v>
      </c>
      <c r="AS68" s="425">
        <v>4</v>
      </c>
      <c r="AT68" s="425">
        <v>2</v>
      </c>
      <c r="AU68" s="425">
        <v>4</v>
      </c>
      <c r="AV68" s="425">
        <v>4</v>
      </c>
      <c r="AW68" s="425" t="s">
        <v>69</v>
      </c>
      <c r="AX68" s="425">
        <v>4</v>
      </c>
      <c r="AY68" s="425">
        <v>4</v>
      </c>
      <c r="AZ68" s="425" t="s">
        <v>69</v>
      </c>
      <c r="BA68" s="425" t="s">
        <v>69</v>
      </c>
      <c r="BB68" s="425" t="s">
        <v>69</v>
      </c>
      <c r="BC68" s="425" t="s">
        <v>69</v>
      </c>
      <c r="BD68" s="425">
        <v>4</v>
      </c>
      <c r="BE68" s="425">
        <v>4</v>
      </c>
      <c r="BF68" s="425" t="s">
        <v>69</v>
      </c>
      <c r="BG68" s="425" t="s">
        <v>69</v>
      </c>
      <c r="BH68" s="425" t="s">
        <v>69</v>
      </c>
      <c r="BI68" s="425" t="s">
        <v>69</v>
      </c>
      <c r="BJ68" s="425" t="s">
        <v>69</v>
      </c>
      <c r="BK68" s="425" t="s">
        <v>69</v>
      </c>
      <c r="BL68" s="425" t="s">
        <v>69</v>
      </c>
      <c r="BM68" s="425" t="s">
        <v>69</v>
      </c>
      <c r="BN68" s="425" t="s">
        <v>69</v>
      </c>
      <c r="BO68" s="425" t="s">
        <v>69</v>
      </c>
      <c r="BP68" s="425" t="s">
        <v>69</v>
      </c>
      <c r="BQ68" s="425" t="s">
        <v>69</v>
      </c>
      <c r="BR68" s="425">
        <v>4</v>
      </c>
      <c r="BS68" s="425">
        <v>3</v>
      </c>
      <c r="BT68" s="425" t="s">
        <v>69</v>
      </c>
      <c r="BU68" s="425" t="s">
        <v>69</v>
      </c>
      <c r="BV68" s="425" t="s">
        <v>69</v>
      </c>
      <c r="BW68" s="425" t="s">
        <v>69</v>
      </c>
      <c r="BX68" s="425" t="s">
        <v>69</v>
      </c>
      <c r="BY68" s="425" t="s">
        <v>69</v>
      </c>
      <c r="BZ68" s="425" t="s">
        <v>69</v>
      </c>
      <c r="CA68" s="425" t="s">
        <v>69</v>
      </c>
      <c r="CB68" s="425" t="s">
        <v>69</v>
      </c>
      <c r="CC68" s="425" t="s">
        <v>69</v>
      </c>
      <c r="CD68" s="425" t="s">
        <v>69</v>
      </c>
      <c r="CE68" s="425" t="s">
        <v>69</v>
      </c>
      <c r="CF68" s="425" t="s">
        <v>69</v>
      </c>
      <c r="CG68" s="425" t="s">
        <v>69</v>
      </c>
      <c r="CH68" s="425" t="s">
        <v>69</v>
      </c>
      <c r="CI68" s="425" t="s">
        <v>69</v>
      </c>
      <c r="CJ68" s="425" t="s">
        <v>69</v>
      </c>
      <c r="CK68" s="425" t="s">
        <v>69</v>
      </c>
      <c r="CL68" s="425" t="s">
        <v>69</v>
      </c>
      <c r="CM68" s="425" t="s">
        <v>69</v>
      </c>
      <c r="CN68" s="425" t="s">
        <v>69</v>
      </c>
      <c r="CO68" s="425">
        <v>4</v>
      </c>
      <c r="CP68" s="425" t="s">
        <v>69</v>
      </c>
      <c r="CQ68" s="425" t="s">
        <v>69</v>
      </c>
      <c r="CR68" s="425" t="s">
        <v>69</v>
      </c>
      <c r="CS68" s="425" t="s">
        <v>69</v>
      </c>
      <c r="CT68" s="425" t="s">
        <v>69</v>
      </c>
      <c r="CU68" s="425" t="s">
        <v>69</v>
      </c>
      <c r="CV68" s="425" t="s">
        <v>69</v>
      </c>
      <c r="CW68" s="425" t="s">
        <v>69</v>
      </c>
      <c r="CX68" s="425" t="s">
        <v>69</v>
      </c>
      <c r="CY68" s="425" t="s">
        <v>69</v>
      </c>
      <c r="CZ68" s="425" t="s">
        <v>69</v>
      </c>
      <c r="DA68" s="425" t="s">
        <v>69</v>
      </c>
      <c r="DB68" s="425" t="s">
        <v>69</v>
      </c>
      <c r="DC68" s="425">
        <v>4</v>
      </c>
      <c r="DD68" s="425" t="s">
        <v>69</v>
      </c>
      <c r="DE68" s="425">
        <v>3</v>
      </c>
      <c r="DF68" s="425" t="s">
        <v>69</v>
      </c>
      <c r="DG68" s="425" t="s">
        <v>69</v>
      </c>
      <c r="DH68" s="425" t="s">
        <v>69</v>
      </c>
      <c r="DI68" s="425" t="s">
        <v>69</v>
      </c>
      <c r="DJ68" s="425" t="s">
        <v>69</v>
      </c>
      <c r="DK68" s="425" t="s">
        <v>69</v>
      </c>
      <c r="DL68" s="425" t="s">
        <v>69</v>
      </c>
      <c r="DM68" s="425" t="s">
        <v>69</v>
      </c>
      <c r="DN68" s="425" t="s">
        <v>69</v>
      </c>
      <c r="DO68" s="425" t="s">
        <v>69</v>
      </c>
      <c r="DP68" s="425" t="s">
        <v>69</v>
      </c>
      <c r="DQ68" s="425" t="s">
        <v>69</v>
      </c>
      <c r="DR68" s="425" t="s">
        <v>69</v>
      </c>
      <c r="DS68" s="425" t="s">
        <v>69</v>
      </c>
      <c r="DT68" s="425" t="s">
        <v>69</v>
      </c>
      <c r="DU68" s="422" t="s">
        <v>69</v>
      </c>
      <c r="DV68" s="425" t="s">
        <v>69</v>
      </c>
      <c r="DW68" s="425">
        <v>3</v>
      </c>
      <c r="DX68" s="425">
        <v>3</v>
      </c>
      <c r="DY68" s="423">
        <f t="shared" si="2"/>
        <v>0.36507936507936506</v>
      </c>
      <c r="DZ68" s="424">
        <f t="shared" si="3"/>
        <v>0.95652173913043481</v>
      </c>
      <c r="EA68" s="519"/>
    </row>
    <row r="69" spans="1:131" s="18" customFormat="1" ht="66.599999999999994" thickBot="1">
      <c r="A69" s="520" t="s">
        <v>723</v>
      </c>
      <c r="B69" s="521" t="s">
        <v>724</v>
      </c>
      <c r="C69" s="419">
        <v>45721</v>
      </c>
      <c r="D69" s="418" t="s">
        <v>1183</v>
      </c>
      <c r="E69" s="429" t="s">
        <v>899</v>
      </c>
      <c r="F69" s="425">
        <v>4</v>
      </c>
      <c r="G69" s="425" t="s">
        <v>69</v>
      </c>
      <c r="H69" s="425">
        <v>4</v>
      </c>
      <c r="I69" s="425" t="s">
        <v>69</v>
      </c>
      <c r="J69" s="425" t="s">
        <v>69</v>
      </c>
      <c r="K69" s="425" t="s">
        <v>69</v>
      </c>
      <c r="L69" s="425" t="s">
        <v>69</v>
      </c>
      <c r="M69" s="425" t="s">
        <v>69</v>
      </c>
      <c r="N69" s="425" t="s">
        <v>69</v>
      </c>
      <c r="O69" s="425">
        <v>4</v>
      </c>
      <c r="P69" s="425" t="s">
        <v>69</v>
      </c>
      <c r="Q69" s="425" t="s">
        <v>69</v>
      </c>
      <c r="R69" s="425" t="s">
        <v>69</v>
      </c>
      <c r="S69" s="425">
        <v>3</v>
      </c>
      <c r="T69" s="425">
        <v>3</v>
      </c>
      <c r="U69" s="425">
        <v>3</v>
      </c>
      <c r="V69" s="425" t="s">
        <v>69</v>
      </c>
      <c r="W69" s="425" t="s">
        <v>69</v>
      </c>
      <c r="X69" s="425" t="s">
        <v>69</v>
      </c>
      <c r="Y69" s="425" t="s">
        <v>69</v>
      </c>
      <c r="Z69" s="425" t="s">
        <v>69</v>
      </c>
      <c r="AA69" s="425" t="s">
        <v>69</v>
      </c>
      <c r="AB69" s="425" t="s">
        <v>69</v>
      </c>
      <c r="AC69" s="425" t="s">
        <v>69</v>
      </c>
      <c r="AD69" s="425" t="s">
        <v>69</v>
      </c>
      <c r="AE69" s="425" t="s">
        <v>69</v>
      </c>
      <c r="AF69" s="425" t="s">
        <v>69</v>
      </c>
      <c r="AG69" s="425" t="s">
        <v>69</v>
      </c>
      <c r="AH69" s="425" t="s">
        <v>69</v>
      </c>
      <c r="AI69" s="425" t="s">
        <v>69</v>
      </c>
      <c r="AJ69" s="425" t="s">
        <v>69</v>
      </c>
      <c r="AK69" s="425" t="s">
        <v>69</v>
      </c>
      <c r="AL69" s="425" t="s">
        <v>69</v>
      </c>
      <c r="AM69" s="425" t="s">
        <v>69</v>
      </c>
      <c r="AN69" s="425" t="s">
        <v>69</v>
      </c>
      <c r="AO69" s="425">
        <v>3</v>
      </c>
      <c r="AP69" s="425" t="s">
        <v>69</v>
      </c>
      <c r="AQ69" s="425" t="s">
        <v>69</v>
      </c>
      <c r="AR69" s="425">
        <v>4</v>
      </c>
      <c r="AS69" s="425" t="s">
        <v>69</v>
      </c>
      <c r="AT69" s="425" t="s">
        <v>69</v>
      </c>
      <c r="AU69" s="425">
        <v>4</v>
      </c>
      <c r="AV69" s="425" t="s">
        <v>69</v>
      </c>
      <c r="AW69" s="425" t="s">
        <v>69</v>
      </c>
      <c r="AX69" s="425">
        <v>4</v>
      </c>
      <c r="AY69" s="425" t="s">
        <v>69</v>
      </c>
      <c r="AZ69" s="425" t="s">
        <v>69</v>
      </c>
      <c r="BA69" s="425" t="s">
        <v>69</v>
      </c>
      <c r="BB69" s="425" t="s">
        <v>69</v>
      </c>
      <c r="BC69" s="425" t="s">
        <v>69</v>
      </c>
      <c r="BD69" s="425">
        <v>4</v>
      </c>
      <c r="BE69" s="425" t="s">
        <v>69</v>
      </c>
      <c r="BF69" s="425" t="s">
        <v>69</v>
      </c>
      <c r="BG69" s="425" t="s">
        <v>69</v>
      </c>
      <c r="BH69" s="425" t="s">
        <v>69</v>
      </c>
      <c r="BI69" s="425" t="s">
        <v>69</v>
      </c>
      <c r="BJ69" s="425" t="s">
        <v>69</v>
      </c>
      <c r="BK69" s="425">
        <v>4</v>
      </c>
      <c r="BL69" s="425" t="s">
        <v>69</v>
      </c>
      <c r="BM69" s="425" t="s">
        <v>69</v>
      </c>
      <c r="BN69" s="425" t="s">
        <v>69</v>
      </c>
      <c r="BO69" s="425" t="s">
        <v>69</v>
      </c>
      <c r="BP69" s="425" t="s">
        <v>69</v>
      </c>
      <c r="BQ69" s="425" t="s">
        <v>69</v>
      </c>
      <c r="BR69" s="425">
        <v>4</v>
      </c>
      <c r="BS69" s="425" t="s">
        <v>69</v>
      </c>
      <c r="BT69" s="425" t="s">
        <v>69</v>
      </c>
      <c r="BU69" s="425" t="s">
        <v>69</v>
      </c>
      <c r="BV69" s="425" t="s">
        <v>69</v>
      </c>
      <c r="BW69" s="425" t="s">
        <v>69</v>
      </c>
      <c r="BX69" s="425" t="s">
        <v>69</v>
      </c>
      <c r="BY69" s="425" t="s">
        <v>69</v>
      </c>
      <c r="BZ69" s="425" t="s">
        <v>69</v>
      </c>
      <c r="CA69" s="425" t="s">
        <v>69</v>
      </c>
      <c r="CB69" s="425" t="s">
        <v>69</v>
      </c>
      <c r="CC69" s="425" t="s">
        <v>69</v>
      </c>
      <c r="CD69" s="425" t="s">
        <v>69</v>
      </c>
      <c r="CE69" s="425" t="s">
        <v>69</v>
      </c>
      <c r="CF69" s="425" t="s">
        <v>69</v>
      </c>
      <c r="CG69" s="425" t="s">
        <v>69</v>
      </c>
      <c r="CH69" s="425" t="s">
        <v>69</v>
      </c>
      <c r="CI69" s="425" t="s">
        <v>69</v>
      </c>
      <c r="CJ69" s="425" t="s">
        <v>69</v>
      </c>
      <c r="CK69" s="425" t="s">
        <v>69</v>
      </c>
      <c r="CL69" s="425" t="s">
        <v>69</v>
      </c>
      <c r="CM69" s="425" t="s">
        <v>69</v>
      </c>
      <c r="CN69" s="425">
        <v>4</v>
      </c>
      <c r="CO69" s="425" t="s">
        <v>69</v>
      </c>
      <c r="CP69" s="425" t="s">
        <v>69</v>
      </c>
      <c r="CQ69" s="425" t="s">
        <v>69</v>
      </c>
      <c r="CR69" s="425" t="s">
        <v>69</v>
      </c>
      <c r="CS69" s="425" t="s">
        <v>69</v>
      </c>
      <c r="CT69" s="425" t="s">
        <v>69</v>
      </c>
      <c r="CU69" s="425" t="s">
        <v>69</v>
      </c>
      <c r="CV69" s="425" t="s">
        <v>69</v>
      </c>
      <c r="CW69" s="425" t="s">
        <v>69</v>
      </c>
      <c r="CX69" s="425" t="s">
        <v>69</v>
      </c>
      <c r="CY69" s="425" t="s">
        <v>69</v>
      </c>
      <c r="CZ69" s="425" t="s">
        <v>69</v>
      </c>
      <c r="DA69" s="425" t="s">
        <v>69</v>
      </c>
      <c r="DB69" s="425" t="s">
        <v>69</v>
      </c>
      <c r="DC69" s="425" t="s">
        <v>69</v>
      </c>
      <c r="DD69" s="425">
        <v>4</v>
      </c>
      <c r="DE69" s="425" t="s">
        <v>69</v>
      </c>
      <c r="DF69" s="425">
        <v>4</v>
      </c>
      <c r="DG69" s="425" t="s">
        <v>69</v>
      </c>
      <c r="DH69" s="425" t="s">
        <v>69</v>
      </c>
      <c r="DI69" s="425" t="s">
        <v>69</v>
      </c>
      <c r="DJ69" s="425" t="s">
        <v>69</v>
      </c>
      <c r="DK69" s="425" t="s">
        <v>69</v>
      </c>
      <c r="DL69" s="425" t="s">
        <v>69</v>
      </c>
      <c r="DM69" s="425" t="s">
        <v>69</v>
      </c>
      <c r="DN69" s="425" t="s">
        <v>69</v>
      </c>
      <c r="DO69" s="425" t="s">
        <v>69</v>
      </c>
      <c r="DP69" s="425">
        <v>3</v>
      </c>
      <c r="DQ69" s="425" t="s">
        <v>69</v>
      </c>
      <c r="DR69" s="425" t="s">
        <v>69</v>
      </c>
      <c r="DS69" s="425" t="s">
        <v>69</v>
      </c>
      <c r="DT69" s="425" t="s">
        <v>69</v>
      </c>
      <c r="DU69" s="422" t="s">
        <v>69</v>
      </c>
      <c r="DV69" s="425" t="s">
        <v>69</v>
      </c>
      <c r="DW69" s="425" t="s">
        <v>69</v>
      </c>
      <c r="DX69" s="425">
        <v>3</v>
      </c>
      <c r="DY69" s="423">
        <f t="shared" si="2"/>
        <v>0.2857142857142857</v>
      </c>
      <c r="DZ69" s="424">
        <f t="shared" si="3"/>
        <v>1</v>
      </c>
      <c r="EA69" s="519"/>
    </row>
    <row r="70" spans="1:131" s="18" customFormat="1" ht="66.599999999999994" thickBot="1">
      <c r="A70" s="420" t="s">
        <v>727</v>
      </c>
      <c r="B70" s="414" t="s">
        <v>728</v>
      </c>
      <c r="C70" s="419">
        <v>45719</v>
      </c>
      <c r="D70" s="418" t="s">
        <v>1183</v>
      </c>
      <c r="E70" s="429" t="s">
        <v>899</v>
      </c>
      <c r="F70" s="425">
        <v>3</v>
      </c>
      <c r="G70" s="425" t="s">
        <v>69</v>
      </c>
      <c r="H70" s="425" t="s">
        <v>69</v>
      </c>
      <c r="I70" s="425" t="s">
        <v>69</v>
      </c>
      <c r="J70" s="425" t="s">
        <v>69</v>
      </c>
      <c r="K70" s="425">
        <v>4</v>
      </c>
      <c r="L70" s="425" t="s">
        <v>69</v>
      </c>
      <c r="M70" s="425" t="s">
        <v>69</v>
      </c>
      <c r="N70" s="425">
        <v>2</v>
      </c>
      <c r="O70" s="425">
        <v>4</v>
      </c>
      <c r="P70" s="425" t="s">
        <v>69</v>
      </c>
      <c r="Q70" s="425">
        <v>4</v>
      </c>
      <c r="R70" s="425" t="s">
        <v>69</v>
      </c>
      <c r="S70" s="425" t="s">
        <v>69</v>
      </c>
      <c r="T70" s="425" t="s">
        <v>69</v>
      </c>
      <c r="U70" s="425" t="s">
        <v>69</v>
      </c>
      <c r="V70" s="425" t="s">
        <v>69</v>
      </c>
      <c r="W70" s="425" t="s">
        <v>69</v>
      </c>
      <c r="X70" s="425" t="s">
        <v>69</v>
      </c>
      <c r="Y70" s="425" t="s">
        <v>69</v>
      </c>
      <c r="Z70" s="425" t="s">
        <v>69</v>
      </c>
      <c r="AA70" s="425">
        <v>4</v>
      </c>
      <c r="AB70" s="425">
        <v>2</v>
      </c>
      <c r="AC70" s="425">
        <v>4</v>
      </c>
      <c r="AD70" s="425" t="s">
        <v>69</v>
      </c>
      <c r="AE70" s="425" t="s">
        <v>69</v>
      </c>
      <c r="AF70" s="425" t="s">
        <v>69</v>
      </c>
      <c r="AG70" s="425" t="s">
        <v>69</v>
      </c>
      <c r="AH70" s="425" t="s">
        <v>69</v>
      </c>
      <c r="AI70" s="425" t="s">
        <v>69</v>
      </c>
      <c r="AJ70" s="425" t="s">
        <v>69</v>
      </c>
      <c r="AK70" s="425" t="s">
        <v>69</v>
      </c>
      <c r="AL70" s="425" t="s">
        <v>69</v>
      </c>
      <c r="AM70" s="425" t="s">
        <v>69</v>
      </c>
      <c r="AN70" s="425" t="s">
        <v>69</v>
      </c>
      <c r="AO70" s="425" t="s">
        <v>69</v>
      </c>
      <c r="AP70" s="425" t="s">
        <v>69</v>
      </c>
      <c r="AQ70" s="425" t="s">
        <v>69</v>
      </c>
      <c r="AR70" s="425">
        <v>4</v>
      </c>
      <c r="AS70" s="425" t="s">
        <v>69</v>
      </c>
      <c r="AT70" s="425" t="s">
        <v>69</v>
      </c>
      <c r="AU70" s="425">
        <v>2</v>
      </c>
      <c r="AV70" s="425" t="s">
        <v>69</v>
      </c>
      <c r="AW70" s="425" t="s">
        <v>69</v>
      </c>
      <c r="AX70" s="425">
        <v>4</v>
      </c>
      <c r="AY70" s="425" t="s">
        <v>69</v>
      </c>
      <c r="AZ70" s="425" t="s">
        <v>69</v>
      </c>
      <c r="BA70" s="425" t="s">
        <v>69</v>
      </c>
      <c r="BB70" s="425" t="s">
        <v>69</v>
      </c>
      <c r="BC70" s="425" t="s">
        <v>69</v>
      </c>
      <c r="BD70" s="425">
        <v>3</v>
      </c>
      <c r="BE70" s="425">
        <v>3</v>
      </c>
      <c r="BF70" s="425" t="s">
        <v>69</v>
      </c>
      <c r="BG70" s="425">
        <v>3</v>
      </c>
      <c r="BH70" s="425" t="s">
        <v>69</v>
      </c>
      <c r="BI70" s="425">
        <v>2</v>
      </c>
      <c r="BJ70" s="425" t="s">
        <v>69</v>
      </c>
      <c r="BK70" s="425" t="s">
        <v>69</v>
      </c>
      <c r="BL70" s="425" t="s">
        <v>69</v>
      </c>
      <c r="BM70" s="425" t="s">
        <v>69</v>
      </c>
      <c r="BN70" s="425" t="s">
        <v>69</v>
      </c>
      <c r="BO70" s="425" t="s">
        <v>69</v>
      </c>
      <c r="BP70" s="425" t="s">
        <v>69</v>
      </c>
      <c r="BQ70" s="425" t="s">
        <v>69</v>
      </c>
      <c r="BR70" s="425">
        <v>4</v>
      </c>
      <c r="BS70" s="425" t="s">
        <v>69</v>
      </c>
      <c r="BT70" s="425" t="s">
        <v>69</v>
      </c>
      <c r="BU70" s="425" t="s">
        <v>69</v>
      </c>
      <c r="BV70" s="425" t="s">
        <v>69</v>
      </c>
      <c r="BW70" s="425" t="s">
        <v>69</v>
      </c>
      <c r="BX70" s="425" t="s">
        <v>69</v>
      </c>
      <c r="BY70" s="425" t="s">
        <v>69</v>
      </c>
      <c r="BZ70" s="425" t="s">
        <v>69</v>
      </c>
      <c r="CA70" s="425" t="s">
        <v>69</v>
      </c>
      <c r="CB70" s="425" t="s">
        <v>69</v>
      </c>
      <c r="CC70" s="425" t="s">
        <v>69</v>
      </c>
      <c r="CD70" s="425" t="s">
        <v>69</v>
      </c>
      <c r="CE70" s="425" t="s">
        <v>69</v>
      </c>
      <c r="CF70" s="425" t="s">
        <v>69</v>
      </c>
      <c r="CG70" s="425">
        <v>4</v>
      </c>
      <c r="CH70" s="425" t="s">
        <v>69</v>
      </c>
      <c r="CI70" s="425" t="s">
        <v>69</v>
      </c>
      <c r="CJ70" s="425" t="s">
        <v>69</v>
      </c>
      <c r="CK70" s="425" t="s">
        <v>69</v>
      </c>
      <c r="CL70" s="425" t="s">
        <v>69</v>
      </c>
      <c r="CM70" s="425" t="s">
        <v>69</v>
      </c>
      <c r="CN70" s="425" t="s">
        <v>69</v>
      </c>
      <c r="CO70" s="425" t="s">
        <v>69</v>
      </c>
      <c r="CP70" s="425" t="s">
        <v>69</v>
      </c>
      <c r="CQ70" s="425" t="s">
        <v>69</v>
      </c>
      <c r="CR70" s="425" t="s">
        <v>69</v>
      </c>
      <c r="CS70" s="425" t="s">
        <v>69</v>
      </c>
      <c r="CT70" s="425">
        <v>4</v>
      </c>
      <c r="CU70" s="425" t="s">
        <v>69</v>
      </c>
      <c r="CV70" s="425" t="s">
        <v>69</v>
      </c>
      <c r="CW70" s="425" t="s">
        <v>69</v>
      </c>
      <c r="CX70" s="425" t="s">
        <v>69</v>
      </c>
      <c r="CY70" s="425" t="s">
        <v>69</v>
      </c>
      <c r="CZ70" s="425">
        <v>4</v>
      </c>
      <c r="DA70" s="425" t="s">
        <v>69</v>
      </c>
      <c r="DB70" s="425" t="s">
        <v>69</v>
      </c>
      <c r="DC70" s="425" t="s">
        <v>69</v>
      </c>
      <c r="DD70" s="425" t="s">
        <v>69</v>
      </c>
      <c r="DE70" s="425" t="s">
        <v>69</v>
      </c>
      <c r="DF70" s="425" t="s">
        <v>69</v>
      </c>
      <c r="DG70" s="425">
        <v>3</v>
      </c>
      <c r="DH70" s="425" t="s">
        <v>69</v>
      </c>
      <c r="DI70" s="425" t="s">
        <v>69</v>
      </c>
      <c r="DJ70" s="425" t="s">
        <v>69</v>
      </c>
      <c r="DK70" s="425" t="s">
        <v>69</v>
      </c>
      <c r="DL70" s="425">
        <v>2</v>
      </c>
      <c r="DM70" s="425" t="s">
        <v>69</v>
      </c>
      <c r="DN70" s="425" t="s">
        <v>69</v>
      </c>
      <c r="DO70" s="425" t="s">
        <v>69</v>
      </c>
      <c r="DP70" s="425" t="s">
        <v>69</v>
      </c>
      <c r="DQ70" s="425" t="s">
        <v>69</v>
      </c>
      <c r="DR70" s="425" t="s">
        <v>69</v>
      </c>
      <c r="DS70" s="425" t="s">
        <v>69</v>
      </c>
      <c r="DT70" s="425" t="s">
        <v>69</v>
      </c>
      <c r="DU70" s="422" t="s">
        <v>69</v>
      </c>
      <c r="DV70" s="425" t="s">
        <v>69</v>
      </c>
      <c r="DW70" s="425" t="s">
        <v>69</v>
      </c>
      <c r="DX70" s="425">
        <v>4</v>
      </c>
      <c r="DY70" s="423">
        <f t="shared" si="2"/>
        <v>0.34920634920634919</v>
      </c>
      <c r="DZ70" s="424">
        <f t="shared" si="3"/>
        <v>0.77272727272727271</v>
      </c>
      <c r="EA70" s="519"/>
    </row>
    <row r="71" spans="1:131" s="18" customFormat="1" ht="61.8" thickBot="1">
      <c r="A71" s="420" t="s">
        <v>756</v>
      </c>
      <c r="B71" s="414" t="s">
        <v>757</v>
      </c>
      <c r="C71" s="419">
        <v>45721</v>
      </c>
      <c r="D71" s="418" t="s">
        <v>1183</v>
      </c>
      <c r="E71" s="429" t="s">
        <v>899</v>
      </c>
      <c r="F71" s="425">
        <v>2</v>
      </c>
      <c r="G71" s="425" t="s">
        <v>69</v>
      </c>
      <c r="H71" s="425">
        <v>2</v>
      </c>
      <c r="I71" s="425">
        <v>2</v>
      </c>
      <c r="J71" s="425" t="s">
        <v>69</v>
      </c>
      <c r="K71" s="425" t="s">
        <v>69</v>
      </c>
      <c r="L71" s="425" t="s">
        <v>69</v>
      </c>
      <c r="M71" s="425" t="s">
        <v>69</v>
      </c>
      <c r="N71" s="425" t="s">
        <v>69</v>
      </c>
      <c r="O71" s="425" t="s">
        <v>69</v>
      </c>
      <c r="P71" s="425" t="s">
        <v>69</v>
      </c>
      <c r="Q71" s="425" t="s">
        <v>69</v>
      </c>
      <c r="R71" s="425" t="s">
        <v>69</v>
      </c>
      <c r="S71" s="425" t="s">
        <v>69</v>
      </c>
      <c r="T71" s="425" t="s">
        <v>69</v>
      </c>
      <c r="U71" s="425" t="s">
        <v>69</v>
      </c>
      <c r="V71" s="425" t="s">
        <v>69</v>
      </c>
      <c r="W71" s="425" t="s">
        <v>69</v>
      </c>
      <c r="X71" s="425" t="s">
        <v>69</v>
      </c>
      <c r="Y71" s="425" t="s">
        <v>69</v>
      </c>
      <c r="Z71" s="425" t="s">
        <v>69</v>
      </c>
      <c r="AA71" s="425" t="s">
        <v>69</v>
      </c>
      <c r="AB71" s="425" t="s">
        <v>69</v>
      </c>
      <c r="AC71" s="425" t="s">
        <v>69</v>
      </c>
      <c r="AD71" s="425" t="s">
        <v>69</v>
      </c>
      <c r="AE71" s="425" t="s">
        <v>69</v>
      </c>
      <c r="AF71" s="425">
        <v>3</v>
      </c>
      <c r="AG71" s="425">
        <v>3</v>
      </c>
      <c r="AH71" s="425" t="s">
        <v>69</v>
      </c>
      <c r="AI71" s="425" t="s">
        <v>69</v>
      </c>
      <c r="AJ71" s="425" t="s">
        <v>69</v>
      </c>
      <c r="AK71" s="425" t="s">
        <v>69</v>
      </c>
      <c r="AL71" s="425" t="s">
        <v>69</v>
      </c>
      <c r="AM71" s="425" t="s">
        <v>69</v>
      </c>
      <c r="AN71" s="425" t="s">
        <v>69</v>
      </c>
      <c r="AO71" s="425" t="s">
        <v>69</v>
      </c>
      <c r="AP71" s="425" t="s">
        <v>69</v>
      </c>
      <c r="AQ71" s="425" t="s">
        <v>69</v>
      </c>
      <c r="AR71" s="425" t="s">
        <v>69</v>
      </c>
      <c r="AS71" s="425" t="s">
        <v>69</v>
      </c>
      <c r="AT71" s="425" t="s">
        <v>69</v>
      </c>
      <c r="AU71" s="425">
        <v>2</v>
      </c>
      <c r="AV71" s="425" t="s">
        <v>69</v>
      </c>
      <c r="AW71" s="425" t="s">
        <v>69</v>
      </c>
      <c r="AX71" s="425" t="s">
        <v>69</v>
      </c>
      <c r="AY71" s="425" t="s">
        <v>69</v>
      </c>
      <c r="AZ71" s="425" t="s">
        <v>69</v>
      </c>
      <c r="BA71" s="425" t="s">
        <v>69</v>
      </c>
      <c r="BB71" s="425" t="s">
        <v>69</v>
      </c>
      <c r="BC71" s="425" t="s">
        <v>69</v>
      </c>
      <c r="BD71" s="425" t="s">
        <v>69</v>
      </c>
      <c r="BE71" s="425" t="s">
        <v>69</v>
      </c>
      <c r="BF71" s="425" t="s">
        <v>69</v>
      </c>
      <c r="BG71" s="425" t="s">
        <v>69</v>
      </c>
      <c r="BH71" s="425" t="s">
        <v>69</v>
      </c>
      <c r="BI71" s="425">
        <v>2</v>
      </c>
      <c r="BJ71" s="425">
        <v>2</v>
      </c>
      <c r="BK71" s="425">
        <v>2</v>
      </c>
      <c r="BL71" s="425" t="s">
        <v>69</v>
      </c>
      <c r="BM71" s="425" t="s">
        <v>69</v>
      </c>
      <c r="BN71" s="425">
        <v>2</v>
      </c>
      <c r="BO71" s="425" t="s">
        <v>69</v>
      </c>
      <c r="BP71" s="425" t="s">
        <v>69</v>
      </c>
      <c r="BQ71" s="425" t="s">
        <v>69</v>
      </c>
      <c r="BR71" s="425">
        <v>3</v>
      </c>
      <c r="BS71" s="425" t="s">
        <v>69</v>
      </c>
      <c r="BT71" s="425" t="s">
        <v>69</v>
      </c>
      <c r="BU71" s="425" t="s">
        <v>69</v>
      </c>
      <c r="BV71" s="425" t="s">
        <v>69</v>
      </c>
      <c r="BW71" s="425" t="s">
        <v>69</v>
      </c>
      <c r="BX71" s="425" t="s">
        <v>69</v>
      </c>
      <c r="BY71" s="425" t="s">
        <v>69</v>
      </c>
      <c r="BZ71" s="425" t="s">
        <v>69</v>
      </c>
      <c r="CA71" s="425" t="s">
        <v>69</v>
      </c>
      <c r="CB71" s="425" t="s">
        <v>69</v>
      </c>
      <c r="CC71" s="425" t="s">
        <v>69</v>
      </c>
      <c r="CD71" s="425" t="s">
        <v>69</v>
      </c>
      <c r="CE71" s="425" t="s">
        <v>69</v>
      </c>
      <c r="CF71" s="425" t="s">
        <v>69</v>
      </c>
      <c r="CG71" s="425">
        <v>4</v>
      </c>
      <c r="CH71" s="425" t="s">
        <v>69</v>
      </c>
      <c r="CI71" s="425" t="s">
        <v>69</v>
      </c>
      <c r="CJ71" s="425" t="s">
        <v>69</v>
      </c>
      <c r="CK71" s="425" t="s">
        <v>69</v>
      </c>
      <c r="CL71" s="425" t="s">
        <v>69</v>
      </c>
      <c r="CM71" s="425" t="s">
        <v>69</v>
      </c>
      <c r="CN71" s="425">
        <v>3</v>
      </c>
      <c r="CO71" s="425" t="s">
        <v>69</v>
      </c>
      <c r="CP71" s="425" t="s">
        <v>69</v>
      </c>
      <c r="CQ71" s="425" t="s">
        <v>69</v>
      </c>
      <c r="CR71" s="425" t="s">
        <v>69</v>
      </c>
      <c r="CS71" s="425" t="s">
        <v>69</v>
      </c>
      <c r="CT71" s="425" t="s">
        <v>69</v>
      </c>
      <c r="CU71" s="425" t="s">
        <v>69</v>
      </c>
      <c r="CV71" s="425" t="s">
        <v>69</v>
      </c>
      <c r="CW71" s="425" t="s">
        <v>69</v>
      </c>
      <c r="CX71" s="425" t="s">
        <v>69</v>
      </c>
      <c r="CY71" s="425" t="s">
        <v>69</v>
      </c>
      <c r="CZ71" s="425" t="s">
        <v>69</v>
      </c>
      <c r="DA71" s="425" t="s">
        <v>69</v>
      </c>
      <c r="DB71" s="425" t="s">
        <v>69</v>
      </c>
      <c r="DC71" s="425">
        <v>4</v>
      </c>
      <c r="DD71" s="425">
        <v>3</v>
      </c>
      <c r="DE71" s="425">
        <v>2</v>
      </c>
      <c r="DF71" s="425" t="s">
        <v>69</v>
      </c>
      <c r="DG71" s="425" t="s">
        <v>69</v>
      </c>
      <c r="DH71" s="425">
        <v>2</v>
      </c>
      <c r="DI71" s="425" t="s">
        <v>69</v>
      </c>
      <c r="DJ71" s="425" t="s">
        <v>69</v>
      </c>
      <c r="DK71" s="425" t="s">
        <v>69</v>
      </c>
      <c r="DL71" s="425" t="s">
        <v>69</v>
      </c>
      <c r="DM71" s="425" t="s">
        <v>69</v>
      </c>
      <c r="DN71" s="425" t="s">
        <v>69</v>
      </c>
      <c r="DO71" s="425" t="s">
        <v>69</v>
      </c>
      <c r="DP71" s="425" t="s">
        <v>69</v>
      </c>
      <c r="DQ71" s="425" t="s">
        <v>69</v>
      </c>
      <c r="DR71" s="425" t="s">
        <v>69</v>
      </c>
      <c r="DS71" s="425" t="s">
        <v>69</v>
      </c>
      <c r="DT71" s="425" t="s">
        <v>69</v>
      </c>
      <c r="DU71" s="422" t="s">
        <v>69</v>
      </c>
      <c r="DV71" s="425" t="s">
        <v>69</v>
      </c>
      <c r="DW71" s="425" t="s">
        <v>69</v>
      </c>
      <c r="DX71" s="425">
        <v>2</v>
      </c>
      <c r="DY71" s="423">
        <f t="shared" si="2"/>
        <v>0.2857142857142857</v>
      </c>
      <c r="DZ71" s="424">
        <f t="shared" si="3"/>
        <v>0.3888888888888889</v>
      </c>
      <c r="EA71" s="519"/>
    </row>
    <row r="72" spans="1:131" s="18" customFormat="1" ht="61.8" thickBot="1">
      <c r="A72" s="520" t="s">
        <v>802</v>
      </c>
      <c r="B72" s="521" t="s">
        <v>803</v>
      </c>
      <c r="C72" s="522">
        <v>45945</v>
      </c>
      <c r="D72" s="418" t="s">
        <v>1183</v>
      </c>
      <c r="E72" s="429" t="s">
        <v>900</v>
      </c>
      <c r="F72" s="425">
        <v>3</v>
      </c>
      <c r="G72" s="425" t="s">
        <v>69</v>
      </c>
      <c r="H72" s="425">
        <v>3</v>
      </c>
      <c r="I72" s="425" t="s">
        <v>69</v>
      </c>
      <c r="J72" s="425" t="s">
        <v>69</v>
      </c>
      <c r="K72" s="425">
        <v>3</v>
      </c>
      <c r="L72" s="425" t="s">
        <v>69</v>
      </c>
      <c r="M72" s="425">
        <v>3</v>
      </c>
      <c r="N72" s="425" t="s">
        <v>69</v>
      </c>
      <c r="O72" s="425">
        <v>2</v>
      </c>
      <c r="P72" s="425" t="s">
        <v>69</v>
      </c>
      <c r="Q72" s="425">
        <v>2</v>
      </c>
      <c r="R72" s="425" t="s">
        <v>69</v>
      </c>
      <c r="S72" s="425" t="s">
        <v>69</v>
      </c>
      <c r="T72" s="425" t="s">
        <v>69</v>
      </c>
      <c r="U72" s="425" t="s">
        <v>69</v>
      </c>
      <c r="V72" s="425" t="s">
        <v>69</v>
      </c>
      <c r="W72" s="425" t="s">
        <v>69</v>
      </c>
      <c r="X72" s="425" t="s">
        <v>69</v>
      </c>
      <c r="Y72" s="425" t="s">
        <v>69</v>
      </c>
      <c r="Z72" s="425" t="s">
        <v>69</v>
      </c>
      <c r="AA72" s="425" t="s">
        <v>69</v>
      </c>
      <c r="AB72" s="425">
        <v>3</v>
      </c>
      <c r="AC72" s="425" t="s">
        <v>69</v>
      </c>
      <c r="AD72" s="425" t="s">
        <v>69</v>
      </c>
      <c r="AE72" s="425" t="s">
        <v>69</v>
      </c>
      <c r="AF72" s="425" t="s">
        <v>69</v>
      </c>
      <c r="AG72" s="425" t="s">
        <v>69</v>
      </c>
      <c r="AH72" s="425" t="s">
        <v>69</v>
      </c>
      <c r="AI72" s="425" t="s">
        <v>69</v>
      </c>
      <c r="AJ72" s="425" t="s">
        <v>69</v>
      </c>
      <c r="AK72" s="425" t="s">
        <v>69</v>
      </c>
      <c r="AL72" s="425" t="s">
        <v>69</v>
      </c>
      <c r="AM72" s="425" t="s">
        <v>69</v>
      </c>
      <c r="AN72" s="425">
        <v>2</v>
      </c>
      <c r="AO72" s="425" t="s">
        <v>69</v>
      </c>
      <c r="AP72" s="425" t="s">
        <v>69</v>
      </c>
      <c r="AQ72" s="425" t="s">
        <v>69</v>
      </c>
      <c r="AR72" s="425" t="s">
        <v>69</v>
      </c>
      <c r="AS72" s="425" t="s">
        <v>69</v>
      </c>
      <c r="AT72" s="425" t="s">
        <v>69</v>
      </c>
      <c r="AU72" s="425" t="s">
        <v>69</v>
      </c>
      <c r="AV72" s="425" t="s">
        <v>69</v>
      </c>
      <c r="AW72" s="425" t="s">
        <v>69</v>
      </c>
      <c r="AX72" s="425" t="s">
        <v>69</v>
      </c>
      <c r="AY72" s="425" t="s">
        <v>69</v>
      </c>
      <c r="AZ72" s="425" t="s">
        <v>69</v>
      </c>
      <c r="BA72" s="425" t="s">
        <v>69</v>
      </c>
      <c r="BB72" s="425" t="s">
        <v>69</v>
      </c>
      <c r="BC72" s="425" t="s">
        <v>69</v>
      </c>
      <c r="BD72" s="425">
        <v>3</v>
      </c>
      <c r="BE72" s="425">
        <v>3</v>
      </c>
      <c r="BF72" s="425" t="s">
        <v>69</v>
      </c>
      <c r="BG72" s="425" t="s">
        <v>69</v>
      </c>
      <c r="BH72" s="425" t="s">
        <v>69</v>
      </c>
      <c r="BI72" s="425" t="s">
        <v>69</v>
      </c>
      <c r="BJ72" s="425" t="s">
        <v>69</v>
      </c>
      <c r="BK72" s="425" t="s">
        <v>69</v>
      </c>
      <c r="BL72" s="425" t="s">
        <v>69</v>
      </c>
      <c r="BM72" s="425" t="s">
        <v>69</v>
      </c>
      <c r="BN72" s="425" t="s">
        <v>69</v>
      </c>
      <c r="BO72" s="425" t="s">
        <v>69</v>
      </c>
      <c r="BP72" s="425" t="s">
        <v>69</v>
      </c>
      <c r="BQ72" s="425" t="s">
        <v>69</v>
      </c>
      <c r="BR72" s="425" t="s">
        <v>69</v>
      </c>
      <c r="BS72" s="425" t="s">
        <v>69</v>
      </c>
      <c r="BT72" s="425" t="s">
        <v>69</v>
      </c>
      <c r="BU72" s="425" t="s">
        <v>69</v>
      </c>
      <c r="BV72" s="425" t="s">
        <v>69</v>
      </c>
      <c r="BW72" s="425" t="s">
        <v>69</v>
      </c>
      <c r="BX72" s="425" t="s">
        <v>69</v>
      </c>
      <c r="BY72" s="425">
        <v>2</v>
      </c>
      <c r="BZ72" s="425" t="s">
        <v>69</v>
      </c>
      <c r="CA72" s="425" t="s">
        <v>69</v>
      </c>
      <c r="CB72" s="425" t="s">
        <v>69</v>
      </c>
      <c r="CC72" s="425" t="s">
        <v>69</v>
      </c>
      <c r="CD72" s="425" t="s">
        <v>69</v>
      </c>
      <c r="CE72" s="425" t="s">
        <v>69</v>
      </c>
      <c r="CF72" s="425" t="s">
        <v>69</v>
      </c>
      <c r="CG72" s="425" t="s">
        <v>69</v>
      </c>
      <c r="CH72" s="425" t="s">
        <v>69</v>
      </c>
      <c r="CI72" s="425" t="s">
        <v>69</v>
      </c>
      <c r="CJ72" s="425" t="s">
        <v>69</v>
      </c>
      <c r="CK72" s="425" t="s">
        <v>69</v>
      </c>
      <c r="CL72" s="425" t="s">
        <v>69</v>
      </c>
      <c r="CM72" s="425" t="s">
        <v>69</v>
      </c>
      <c r="CN72" s="425" t="s">
        <v>69</v>
      </c>
      <c r="CO72" s="425" t="s">
        <v>69</v>
      </c>
      <c r="CP72" s="425">
        <v>2</v>
      </c>
      <c r="CQ72" s="425" t="s">
        <v>69</v>
      </c>
      <c r="CR72" s="425" t="s">
        <v>69</v>
      </c>
      <c r="CS72" s="425">
        <v>3</v>
      </c>
      <c r="CT72" s="425" t="s">
        <v>69</v>
      </c>
      <c r="CU72" s="425" t="s">
        <v>69</v>
      </c>
      <c r="CV72" s="425" t="s">
        <v>69</v>
      </c>
      <c r="CW72" s="425" t="s">
        <v>69</v>
      </c>
      <c r="CX72" s="425" t="s">
        <v>69</v>
      </c>
      <c r="CY72" s="425" t="s">
        <v>69</v>
      </c>
      <c r="CZ72" s="425">
        <v>3</v>
      </c>
      <c r="DA72" s="425" t="s">
        <v>69</v>
      </c>
      <c r="DB72" s="425">
        <v>3</v>
      </c>
      <c r="DC72" s="425" t="s">
        <v>69</v>
      </c>
      <c r="DD72" s="425" t="s">
        <v>69</v>
      </c>
      <c r="DE72" s="425" t="s">
        <v>69</v>
      </c>
      <c r="DF72" s="425" t="s">
        <v>69</v>
      </c>
      <c r="DG72" s="425" t="s">
        <v>69</v>
      </c>
      <c r="DH72" s="425" t="s">
        <v>69</v>
      </c>
      <c r="DI72" s="425" t="s">
        <v>69</v>
      </c>
      <c r="DJ72" s="425" t="s">
        <v>69</v>
      </c>
      <c r="DK72" s="425" t="s">
        <v>69</v>
      </c>
      <c r="DL72" s="425" t="s">
        <v>69</v>
      </c>
      <c r="DM72" s="425" t="s">
        <v>69</v>
      </c>
      <c r="DN72" s="425" t="s">
        <v>69</v>
      </c>
      <c r="DO72" s="425" t="s">
        <v>69</v>
      </c>
      <c r="DP72" s="425" t="s">
        <v>69</v>
      </c>
      <c r="DQ72" s="425" t="s">
        <v>69</v>
      </c>
      <c r="DR72" s="425" t="s">
        <v>69</v>
      </c>
      <c r="DS72" s="425" t="s">
        <v>69</v>
      </c>
      <c r="DT72" s="425" t="s">
        <v>69</v>
      </c>
      <c r="DU72" s="422" t="s">
        <v>69</v>
      </c>
      <c r="DV72" s="425" t="s">
        <v>69</v>
      </c>
      <c r="DW72" s="425" t="s">
        <v>69</v>
      </c>
      <c r="DX72" s="425">
        <v>2</v>
      </c>
      <c r="DY72" s="423">
        <f t="shared" si="2"/>
        <v>0.25396825396825395</v>
      </c>
      <c r="DZ72" s="424">
        <f t="shared" si="3"/>
        <v>0.625</v>
      </c>
      <c r="EA72" s="519"/>
    </row>
    <row r="73" spans="1:131" s="18" customFormat="1" ht="66.599999999999994" thickBot="1">
      <c r="A73" s="520" t="s">
        <v>808</v>
      </c>
      <c r="B73" s="521" t="s">
        <v>809</v>
      </c>
      <c r="C73" s="522">
        <v>45945</v>
      </c>
      <c r="D73" s="523" t="s">
        <v>1183</v>
      </c>
      <c r="E73" s="429" t="s">
        <v>900</v>
      </c>
      <c r="F73" s="425" t="s">
        <v>69</v>
      </c>
      <c r="G73" s="425" t="s">
        <v>69</v>
      </c>
      <c r="H73" s="425" t="s">
        <v>69</v>
      </c>
      <c r="I73" s="425" t="s">
        <v>69</v>
      </c>
      <c r="J73" s="425" t="s">
        <v>69</v>
      </c>
      <c r="K73" s="425" t="s">
        <v>69</v>
      </c>
      <c r="L73" s="425" t="s">
        <v>69</v>
      </c>
      <c r="M73" s="425">
        <v>3</v>
      </c>
      <c r="N73" s="425" t="s">
        <v>69</v>
      </c>
      <c r="O73" s="425" t="s">
        <v>69</v>
      </c>
      <c r="P73" s="425" t="s">
        <v>69</v>
      </c>
      <c r="Q73" s="425" t="s">
        <v>69</v>
      </c>
      <c r="R73" s="425" t="s">
        <v>69</v>
      </c>
      <c r="S73" s="425" t="s">
        <v>69</v>
      </c>
      <c r="T73" s="425" t="s">
        <v>69</v>
      </c>
      <c r="U73" s="425" t="s">
        <v>69</v>
      </c>
      <c r="V73" s="425" t="s">
        <v>69</v>
      </c>
      <c r="W73" s="425" t="s">
        <v>69</v>
      </c>
      <c r="X73" s="425" t="s">
        <v>69</v>
      </c>
      <c r="Y73" s="425" t="s">
        <v>69</v>
      </c>
      <c r="Z73" s="425" t="s">
        <v>69</v>
      </c>
      <c r="AA73" s="425" t="s">
        <v>69</v>
      </c>
      <c r="AB73" s="425" t="s">
        <v>69</v>
      </c>
      <c r="AC73" s="425" t="s">
        <v>69</v>
      </c>
      <c r="AD73" s="425" t="s">
        <v>69</v>
      </c>
      <c r="AE73" s="425" t="s">
        <v>69</v>
      </c>
      <c r="AF73" s="425" t="s">
        <v>69</v>
      </c>
      <c r="AG73" s="425" t="s">
        <v>69</v>
      </c>
      <c r="AH73" s="425">
        <v>2</v>
      </c>
      <c r="AI73" s="425" t="s">
        <v>69</v>
      </c>
      <c r="AJ73" s="425" t="s">
        <v>69</v>
      </c>
      <c r="AK73" s="425" t="s">
        <v>69</v>
      </c>
      <c r="AL73" s="425" t="s">
        <v>69</v>
      </c>
      <c r="AM73" s="425" t="s">
        <v>69</v>
      </c>
      <c r="AN73" s="425">
        <v>2</v>
      </c>
      <c r="AO73" s="425" t="s">
        <v>69</v>
      </c>
      <c r="AP73" s="425" t="s">
        <v>69</v>
      </c>
      <c r="AQ73" s="425" t="s">
        <v>69</v>
      </c>
      <c r="AR73" s="425" t="s">
        <v>69</v>
      </c>
      <c r="AS73" s="425" t="s">
        <v>69</v>
      </c>
      <c r="AT73" s="425" t="s">
        <v>69</v>
      </c>
      <c r="AU73" s="425">
        <v>2</v>
      </c>
      <c r="AV73" s="425" t="s">
        <v>69</v>
      </c>
      <c r="AW73" s="425">
        <v>3</v>
      </c>
      <c r="AX73" s="425" t="s">
        <v>69</v>
      </c>
      <c r="AY73" s="425" t="s">
        <v>69</v>
      </c>
      <c r="AZ73" s="425" t="s">
        <v>69</v>
      </c>
      <c r="BA73" s="425" t="s">
        <v>69</v>
      </c>
      <c r="BB73" s="425" t="s">
        <v>69</v>
      </c>
      <c r="BC73" s="425" t="s">
        <v>69</v>
      </c>
      <c r="BD73" s="425" t="s">
        <v>69</v>
      </c>
      <c r="BE73" s="425" t="s">
        <v>69</v>
      </c>
      <c r="BF73" s="425" t="s">
        <v>69</v>
      </c>
      <c r="BG73" s="425" t="s">
        <v>69</v>
      </c>
      <c r="BH73" s="425" t="s">
        <v>69</v>
      </c>
      <c r="BI73" s="425" t="s">
        <v>69</v>
      </c>
      <c r="BJ73" s="425" t="s">
        <v>69</v>
      </c>
      <c r="BK73" s="425" t="s">
        <v>69</v>
      </c>
      <c r="BL73" s="425" t="s">
        <v>69</v>
      </c>
      <c r="BM73" s="425" t="s">
        <v>69</v>
      </c>
      <c r="BN73" s="425" t="s">
        <v>69</v>
      </c>
      <c r="BO73" s="425" t="s">
        <v>69</v>
      </c>
      <c r="BP73" s="425" t="s">
        <v>69</v>
      </c>
      <c r="BQ73" s="425" t="s">
        <v>69</v>
      </c>
      <c r="BR73" s="425" t="s">
        <v>69</v>
      </c>
      <c r="BS73" s="425" t="s">
        <v>69</v>
      </c>
      <c r="BT73" s="425" t="s">
        <v>69</v>
      </c>
      <c r="BU73" s="425" t="s">
        <v>69</v>
      </c>
      <c r="BV73" s="425" t="s">
        <v>69</v>
      </c>
      <c r="BW73" s="425" t="s">
        <v>69</v>
      </c>
      <c r="BX73" s="425" t="s">
        <v>69</v>
      </c>
      <c r="BY73" s="425" t="s">
        <v>69</v>
      </c>
      <c r="BZ73" s="425" t="s">
        <v>69</v>
      </c>
      <c r="CA73" s="425" t="s">
        <v>69</v>
      </c>
      <c r="CB73" s="425" t="s">
        <v>69</v>
      </c>
      <c r="CC73" s="425" t="s">
        <v>69</v>
      </c>
      <c r="CD73" s="425" t="s">
        <v>69</v>
      </c>
      <c r="CE73" s="425" t="s">
        <v>69</v>
      </c>
      <c r="CF73" s="425" t="s">
        <v>69</v>
      </c>
      <c r="CG73" s="425" t="s">
        <v>69</v>
      </c>
      <c r="CH73" s="425" t="s">
        <v>69</v>
      </c>
      <c r="CI73" s="425" t="s">
        <v>69</v>
      </c>
      <c r="CJ73" s="425" t="s">
        <v>69</v>
      </c>
      <c r="CK73" s="425" t="s">
        <v>69</v>
      </c>
      <c r="CL73" s="425" t="s">
        <v>69</v>
      </c>
      <c r="CM73" s="425" t="s">
        <v>69</v>
      </c>
      <c r="CN73" s="425" t="s">
        <v>69</v>
      </c>
      <c r="CO73" s="425">
        <v>3</v>
      </c>
      <c r="CP73" s="425" t="s">
        <v>69</v>
      </c>
      <c r="CQ73" s="425" t="s">
        <v>69</v>
      </c>
      <c r="CR73" s="425">
        <v>3</v>
      </c>
      <c r="CS73" s="425">
        <v>3</v>
      </c>
      <c r="CT73" s="425" t="s">
        <v>69</v>
      </c>
      <c r="CU73" s="425" t="s">
        <v>69</v>
      </c>
      <c r="CV73" s="425" t="s">
        <v>69</v>
      </c>
      <c r="CW73" s="425" t="s">
        <v>69</v>
      </c>
      <c r="CX73" s="425" t="s">
        <v>69</v>
      </c>
      <c r="CY73" s="425" t="s">
        <v>69</v>
      </c>
      <c r="CZ73" s="425" t="s">
        <v>69</v>
      </c>
      <c r="DA73" s="425" t="s">
        <v>69</v>
      </c>
      <c r="DB73" s="425" t="s">
        <v>69</v>
      </c>
      <c r="DC73" s="425" t="s">
        <v>69</v>
      </c>
      <c r="DD73" s="425" t="s">
        <v>69</v>
      </c>
      <c r="DE73" s="425" t="s">
        <v>69</v>
      </c>
      <c r="DF73" s="425" t="s">
        <v>69</v>
      </c>
      <c r="DG73" s="425" t="s">
        <v>69</v>
      </c>
      <c r="DH73" s="425" t="s">
        <v>69</v>
      </c>
      <c r="DI73" s="425" t="s">
        <v>69</v>
      </c>
      <c r="DJ73" s="425" t="s">
        <v>69</v>
      </c>
      <c r="DK73" s="425" t="s">
        <v>69</v>
      </c>
      <c r="DL73" s="425" t="s">
        <v>69</v>
      </c>
      <c r="DM73" s="425" t="s">
        <v>69</v>
      </c>
      <c r="DN73" s="425" t="s">
        <v>69</v>
      </c>
      <c r="DO73" s="425" t="s">
        <v>69</v>
      </c>
      <c r="DP73" s="425" t="s">
        <v>69</v>
      </c>
      <c r="DQ73" s="425" t="s">
        <v>69</v>
      </c>
      <c r="DR73" s="425">
        <v>2</v>
      </c>
      <c r="DS73" s="425" t="s">
        <v>69</v>
      </c>
      <c r="DT73" s="425" t="s">
        <v>69</v>
      </c>
      <c r="DU73" s="422" t="s">
        <v>69</v>
      </c>
      <c r="DV73" s="425" t="s">
        <v>69</v>
      </c>
      <c r="DW73" s="425" t="s">
        <v>69</v>
      </c>
      <c r="DX73" s="425" t="s">
        <v>69</v>
      </c>
      <c r="DY73" s="423">
        <f t="shared" si="2"/>
        <v>0.14285714285714285</v>
      </c>
      <c r="DZ73" s="424">
        <f t="shared" si="3"/>
        <v>0.55555555555555558</v>
      </c>
      <c r="EA73" s="519"/>
    </row>
    <row r="74" spans="1:131" s="18" customFormat="1" ht="61.8" thickBot="1">
      <c r="A74" s="520" t="s">
        <v>816</v>
      </c>
      <c r="B74" s="521" t="s">
        <v>817</v>
      </c>
      <c r="C74" s="522">
        <v>45945</v>
      </c>
      <c r="D74" s="418" t="s">
        <v>1183</v>
      </c>
      <c r="E74" s="429" t="s">
        <v>900</v>
      </c>
      <c r="F74" s="425">
        <v>4</v>
      </c>
      <c r="G74" s="425" t="s">
        <v>69</v>
      </c>
      <c r="H74" s="425">
        <v>4</v>
      </c>
      <c r="I74" s="425" t="s">
        <v>69</v>
      </c>
      <c r="J74" s="425" t="s">
        <v>69</v>
      </c>
      <c r="K74" s="425">
        <v>3</v>
      </c>
      <c r="L74" s="425">
        <v>3</v>
      </c>
      <c r="M74" s="425" t="s">
        <v>69</v>
      </c>
      <c r="N74" s="425" t="s">
        <v>69</v>
      </c>
      <c r="O74" s="425">
        <v>3</v>
      </c>
      <c r="P74" s="425" t="s">
        <v>69</v>
      </c>
      <c r="Q74" s="425" t="s">
        <v>69</v>
      </c>
      <c r="R74" s="425" t="s">
        <v>69</v>
      </c>
      <c r="S74" s="425" t="s">
        <v>69</v>
      </c>
      <c r="T74" s="425" t="s">
        <v>69</v>
      </c>
      <c r="U74" s="425" t="s">
        <v>69</v>
      </c>
      <c r="V74" s="425" t="s">
        <v>69</v>
      </c>
      <c r="W74" s="425" t="s">
        <v>69</v>
      </c>
      <c r="X74" s="425" t="s">
        <v>69</v>
      </c>
      <c r="Y74" s="425" t="s">
        <v>69</v>
      </c>
      <c r="Z74" s="425" t="s">
        <v>69</v>
      </c>
      <c r="AA74" s="425" t="s">
        <v>69</v>
      </c>
      <c r="AB74" s="425" t="s">
        <v>69</v>
      </c>
      <c r="AC74" s="425" t="s">
        <v>69</v>
      </c>
      <c r="AD74" s="425" t="s">
        <v>69</v>
      </c>
      <c r="AE74" s="425" t="s">
        <v>69</v>
      </c>
      <c r="AF74" s="425" t="s">
        <v>69</v>
      </c>
      <c r="AG74" s="425" t="s">
        <v>69</v>
      </c>
      <c r="AH74" s="425" t="s">
        <v>69</v>
      </c>
      <c r="AI74" s="425" t="s">
        <v>69</v>
      </c>
      <c r="AJ74" s="425" t="s">
        <v>69</v>
      </c>
      <c r="AK74" s="425" t="s">
        <v>69</v>
      </c>
      <c r="AL74" s="425" t="s">
        <v>69</v>
      </c>
      <c r="AM74" s="425" t="s">
        <v>69</v>
      </c>
      <c r="AN74" s="425" t="s">
        <v>69</v>
      </c>
      <c r="AO74" s="425" t="s">
        <v>69</v>
      </c>
      <c r="AP74" s="425" t="s">
        <v>69</v>
      </c>
      <c r="AQ74" s="425" t="s">
        <v>69</v>
      </c>
      <c r="AR74" s="425" t="s">
        <v>69</v>
      </c>
      <c r="AS74" s="425" t="s">
        <v>69</v>
      </c>
      <c r="AT74" s="425" t="s">
        <v>69</v>
      </c>
      <c r="AU74" s="425">
        <v>3</v>
      </c>
      <c r="AV74" s="425" t="s">
        <v>69</v>
      </c>
      <c r="AW74" s="425" t="s">
        <v>69</v>
      </c>
      <c r="AX74" s="425">
        <v>4</v>
      </c>
      <c r="AY74" s="425" t="s">
        <v>69</v>
      </c>
      <c r="AZ74" s="425" t="s">
        <v>69</v>
      </c>
      <c r="BA74" s="425" t="s">
        <v>69</v>
      </c>
      <c r="BB74" s="425" t="s">
        <v>69</v>
      </c>
      <c r="BC74" s="425" t="s">
        <v>69</v>
      </c>
      <c r="BD74" s="425">
        <v>4</v>
      </c>
      <c r="BE74" s="425"/>
      <c r="BF74" s="425" t="s">
        <v>69</v>
      </c>
      <c r="BG74" s="425" t="s">
        <v>69</v>
      </c>
      <c r="BH74" s="425" t="s">
        <v>69</v>
      </c>
      <c r="BI74" s="425" t="s">
        <v>69</v>
      </c>
      <c r="BJ74" s="425" t="s">
        <v>69</v>
      </c>
      <c r="BK74" s="425" t="s">
        <v>69</v>
      </c>
      <c r="BL74" s="425" t="s">
        <v>69</v>
      </c>
      <c r="BM74" s="425" t="s">
        <v>69</v>
      </c>
      <c r="BN74" s="425" t="s">
        <v>69</v>
      </c>
      <c r="BO74" s="425" t="s">
        <v>69</v>
      </c>
      <c r="BP74" s="425" t="s">
        <v>69</v>
      </c>
      <c r="BQ74" s="425" t="s">
        <v>69</v>
      </c>
      <c r="BR74" s="425">
        <v>4</v>
      </c>
      <c r="BS74" s="425">
        <v>2</v>
      </c>
      <c r="BT74" s="425" t="s">
        <v>69</v>
      </c>
      <c r="BU74" s="425" t="s">
        <v>69</v>
      </c>
      <c r="BV74" s="425" t="s">
        <v>69</v>
      </c>
      <c r="BW74" s="425" t="s">
        <v>69</v>
      </c>
      <c r="BX74" s="425" t="s">
        <v>69</v>
      </c>
      <c r="BY74" s="425">
        <v>2</v>
      </c>
      <c r="BZ74" s="425" t="s">
        <v>69</v>
      </c>
      <c r="CA74" s="425" t="s">
        <v>69</v>
      </c>
      <c r="CB74" s="425" t="s">
        <v>69</v>
      </c>
      <c r="CC74" s="425" t="s">
        <v>69</v>
      </c>
      <c r="CD74" s="425" t="s">
        <v>69</v>
      </c>
      <c r="CE74" s="425" t="s">
        <v>69</v>
      </c>
      <c r="CF74" s="425" t="s">
        <v>69</v>
      </c>
      <c r="CG74" s="425">
        <v>3</v>
      </c>
      <c r="CH74" s="425" t="s">
        <v>69</v>
      </c>
      <c r="CI74" s="425" t="s">
        <v>69</v>
      </c>
      <c r="CJ74" s="425" t="s">
        <v>69</v>
      </c>
      <c r="CK74" s="425" t="s">
        <v>69</v>
      </c>
      <c r="CL74" s="425" t="s">
        <v>69</v>
      </c>
      <c r="CM74" s="425" t="s">
        <v>69</v>
      </c>
      <c r="CN74" s="425" t="s">
        <v>69</v>
      </c>
      <c r="CO74" s="425" t="s">
        <v>69</v>
      </c>
      <c r="CP74" s="425" t="s">
        <v>69</v>
      </c>
      <c r="CQ74" s="425" t="s">
        <v>69</v>
      </c>
      <c r="CR74" s="425" t="s">
        <v>69</v>
      </c>
      <c r="CS74" s="425" t="s">
        <v>69</v>
      </c>
      <c r="CT74" s="425" t="s">
        <v>69</v>
      </c>
      <c r="CU74" s="425" t="s">
        <v>69</v>
      </c>
      <c r="CV74" s="425" t="s">
        <v>69</v>
      </c>
      <c r="CW74" s="425" t="s">
        <v>69</v>
      </c>
      <c r="CX74" s="425" t="s">
        <v>69</v>
      </c>
      <c r="CY74" s="425" t="s">
        <v>69</v>
      </c>
      <c r="CZ74" s="425" t="s">
        <v>69</v>
      </c>
      <c r="DA74" s="425" t="s">
        <v>69</v>
      </c>
      <c r="DB74" s="425" t="s">
        <v>69</v>
      </c>
      <c r="DC74" s="425" t="s">
        <v>69</v>
      </c>
      <c r="DD74" s="425" t="s">
        <v>69</v>
      </c>
      <c r="DE74" s="425" t="s">
        <v>69</v>
      </c>
      <c r="DF74" s="425" t="s">
        <v>69</v>
      </c>
      <c r="DG74" s="425" t="s">
        <v>69</v>
      </c>
      <c r="DH74" s="425" t="s">
        <v>69</v>
      </c>
      <c r="DI74" s="425" t="s">
        <v>69</v>
      </c>
      <c r="DJ74" s="425" t="s">
        <v>69</v>
      </c>
      <c r="DK74" s="425" t="s">
        <v>69</v>
      </c>
      <c r="DL74" s="425" t="s">
        <v>69</v>
      </c>
      <c r="DM74" s="425" t="s">
        <v>69</v>
      </c>
      <c r="DN74" s="425" t="s">
        <v>69</v>
      </c>
      <c r="DO74" s="425" t="s">
        <v>69</v>
      </c>
      <c r="DP74" s="425" t="s">
        <v>69</v>
      </c>
      <c r="DQ74" s="425" t="s">
        <v>69</v>
      </c>
      <c r="DR74" s="425" t="s">
        <v>69</v>
      </c>
      <c r="DS74" s="425" t="s">
        <v>69</v>
      </c>
      <c r="DT74" s="425" t="s">
        <v>69</v>
      </c>
      <c r="DU74" s="422" t="s">
        <v>69</v>
      </c>
      <c r="DV74" s="425" t="s">
        <v>69</v>
      </c>
      <c r="DW74" s="425" t="s">
        <v>69</v>
      </c>
      <c r="DX74" s="425" t="s">
        <v>69</v>
      </c>
      <c r="DY74" s="423">
        <f t="shared" ref="DY74:DY96" si="4">COUNTIF(F74:DX74,"&gt;0")/63</f>
        <v>0.19047619047619047</v>
      </c>
      <c r="DZ74" s="424">
        <f t="shared" ref="DZ74:DZ96" si="5">+COUNTIF(F74:DX74,"&gt;2")/COUNTIF(F74:DX74,"&gt;1")</f>
        <v>0.83333333333333337</v>
      </c>
      <c r="EA74" s="519"/>
    </row>
    <row r="75" spans="1:131" s="18" customFormat="1" ht="66.599999999999994" thickBot="1">
      <c r="A75" s="520" t="s">
        <v>866</v>
      </c>
      <c r="B75" s="521" t="s">
        <v>867</v>
      </c>
      <c r="C75" s="522">
        <v>45965</v>
      </c>
      <c r="D75" s="418" t="s">
        <v>1183</v>
      </c>
      <c r="E75" s="429" t="s">
        <v>900</v>
      </c>
      <c r="F75" s="425">
        <v>4</v>
      </c>
      <c r="G75" s="425" t="s">
        <v>69</v>
      </c>
      <c r="H75" s="425">
        <v>4</v>
      </c>
      <c r="I75" s="425" t="s">
        <v>69</v>
      </c>
      <c r="J75" s="425" t="s">
        <v>69</v>
      </c>
      <c r="K75" s="425" t="s">
        <v>69</v>
      </c>
      <c r="L75" s="425" t="s">
        <v>69</v>
      </c>
      <c r="M75" s="425" t="s">
        <v>69</v>
      </c>
      <c r="N75" s="425" t="s">
        <v>69</v>
      </c>
      <c r="O75" s="425" t="s">
        <v>69</v>
      </c>
      <c r="P75" s="425" t="s">
        <v>69</v>
      </c>
      <c r="Q75" s="425" t="s">
        <v>69</v>
      </c>
      <c r="R75" s="425" t="s">
        <v>69</v>
      </c>
      <c r="S75" s="425" t="s">
        <v>69</v>
      </c>
      <c r="T75" s="425" t="s">
        <v>69</v>
      </c>
      <c r="U75" s="425" t="s">
        <v>69</v>
      </c>
      <c r="V75" s="425" t="s">
        <v>69</v>
      </c>
      <c r="W75" s="425" t="s">
        <v>69</v>
      </c>
      <c r="X75" s="425" t="s">
        <v>69</v>
      </c>
      <c r="Y75" s="425" t="s">
        <v>69</v>
      </c>
      <c r="Z75" s="425" t="s">
        <v>69</v>
      </c>
      <c r="AA75" s="425" t="s">
        <v>69</v>
      </c>
      <c r="AB75" s="425" t="s">
        <v>69</v>
      </c>
      <c r="AC75" s="425" t="s">
        <v>69</v>
      </c>
      <c r="AD75" s="425" t="s">
        <v>69</v>
      </c>
      <c r="AE75" s="425" t="s">
        <v>69</v>
      </c>
      <c r="AF75" s="425" t="s">
        <v>69</v>
      </c>
      <c r="AG75" s="425" t="s">
        <v>69</v>
      </c>
      <c r="AH75" s="425">
        <v>4</v>
      </c>
      <c r="AI75" s="425">
        <v>3</v>
      </c>
      <c r="AJ75" s="425" t="s">
        <v>69</v>
      </c>
      <c r="AK75" s="425" t="s">
        <v>69</v>
      </c>
      <c r="AL75" s="425">
        <v>2</v>
      </c>
      <c r="AM75" s="425" t="s">
        <v>69</v>
      </c>
      <c r="AN75" s="425" t="s">
        <v>69</v>
      </c>
      <c r="AO75" s="425" t="s">
        <v>69</v>
      </c>
      <c r="AP75" s="425" t="s">
        <v>69</v>
      </c>
      <c r="AQ75" s="425" t="s">
        <v>69</v>
      </c>
      <c r="AR75" s="425" t="s">
        <v>69</v>
      </c>
      <c r="AS75" s="425">
        <v>4</v>
      </c>
      <c r="AT75" s="425" t="s">
        <v>69</v>
      </c>
      <c r="AU75" s="425">
        <v>4</v>
      </c>
      <c r="AV75" s="425">
        <v>4</v>
      </c>
      <c r="AW75" s="425" t="s">
        <v>69</v>
      </c>
      <c r="AX75" s="425" t="s">
        <v>69</v>
      </c>
      <c r="AY75" s="425">
        <v>4</v>
      </c>
      <c r="AZ75" s="425" t="s">
        <v>69</v>
      </c>
      <c r="BA75" s="425" t="s">
        <v>69</v>
      </c>
      <c r="BB75" s="425" t="s">
        <v>69</v>
      </c>
      <c r="BC75" s="425" t="s">
        <v>69</v>
      </c>
      <c r="BD75" s="425">
        <v>3</v>
      </c>
      <c r="BE75" s="425">
        <v>4</v>
      </c>
      <c r="BF75" s="425" t="s">
        <v>69</v>
      </c>
      <c r="BG75" s="425" t="s">
        <v>69</v>
      </c>
      <c r="BH75" s="425" t="s">
        <v>69</v>
      </c>
      <c r="BI75" s="425" t="s">
        <v>69</v>
      </c>
      <c r="BJ75" s="425" t="s">
        <v>69</v>
      </c>
      <c r="BK75" s="425" t="s">
        <v>69</v>
      </c>
      <c r="BL75" s="425" t="s">
        <v>69</v>
      </c>
      <c r="BM75" s="425" t="s">
        <v>69</v>
      </c>
      <c r="BN75" s="425" t="s">
        <v>69</v>
      </c>
      <c r="BO75" s="425" t="s">
        <v>69</v>
      </c>
      <c r="BP75" s="425" t="s">
        <v>69</v>
      </c>
      <c r="BQ75" s="425" t="s">
        <v>69</v>
      </c>
      <c r="BR75" s="425" t="s">
        <v>69</v>
      </c>
      <c r="BS75" s="425" t="s">
        <v>69</v>
      </c>
      <c r="BT75" s="425" t="s">
        <v>69</v>
      </c>
      <c r="BU75" s="425" t="s">
        <v>69</v>
      </c>
      <c r="BV75" s="425" t="s">
        <v>69</v>
      </c>
      <c r="BW75" s="425" t="s">
        <v>69</v>
      </c>
      <c r="BX75" s="425" t="s">
        <v>69</v>
      </c>
      <c r="BY75" s="425" t="s">
        <v>69</v>
      </c>
      <c r="BZ75" s="425" t="s">
        <v>69</v>
      </c>
      <c r="CA75" s="425" t="s">
        <v>69</v>
      </c>
      <c r="CB75" s="425" t="s">
        <v>69</v>
      </c>
      <c r="CC75" s="425" t="s">
        <v>69</v>
      </c>
      <c r="CD75" s="425" t="s">
        <v>69</v>
      </c>
      <c r="CE75" s="425" t="s">
        <v>69</v>
      </c>
      <c r="CF75" s="425" t="s">
        <v>69</v>
      </c>
      <c r="CG75" s="425" t="s">
        <v>69</v>
      </c>
      <c r="CH75" s="425" t="s">
        <v>69</v>
      </c>
      <c r="CI75" s="425" t="s">
        <v>69</v>
      </c>
      <c r="CJ75" s="425" t="s">
        <v>69</v>
      </c>
      <c r="CK75" s="425" t="s">
        <v>69</v>
      </c>
      <c r="CL75" s="425" t="s">
        <v>69</v>
      </c>
      <c r="CM75" s="425" t="s">
        <v>69</v>
      </c>
      <c r="CN75" s="425" t="s">
        <v>69</v>
      </c>
      <c r="CO75" s="425" t="s">
        <v>69</v>
      </c>
      <c r="CP75" s="425" t="s">
        <v>69</v>
      </c>
      <c r="CQ75" s="425" t="s">
        <v>69</v>
      </c>
      <c r="CR75" s="425" t="s">
        <v>69</v>
      </c>
      <c r="CS75" s="425" t="s">
        <v>69</v>
      </c>
      <c r="CT75" s="425" t="s">
        <v>69</v>
      </c>
      <c r="CU75" s="425" t="s">
        <v>69</v>
      </c>
      <c r="CV75" s="425" t="s">
        <v>69</v>
      </c>
      <c r="CW75" s="425" t="s">
        <v>69</v>
      </c>
      <c r="CX75" s="425" t="s">
        <v>69</v>
      </c>
      <c r="CY75" s="425" t="s">
        <v>69</v>
      </c>
      <c r="CZ75" s="425" t="s">
        <v>69</v>
      </c>
      <c r="DA75" s="425" t="s">
        <v>69</v>
      </c>
      <c r="DB75" s="425" t="s">
        <v>69</v>
      </c>
      <c r="DC75" s="425" t="s">
        <v>69</v>
      </c>
      <c r="DD75" s="425" t="s">
        <v>69</v>
      </c>
      <c r="DE75" s="425" t="s">
        <v>69</v>
      </c>
      <c r="DF75" s="425">
        <v>3</v>
      </c>
      <c r="DG75" s="425" t="s">
        <v>69</v>
      </c>
      <c r="DH75" s="425" t="s">
        <v>69</v>
      </c>
      <c r="DI75" s="425" t="s">
        <v>69</v>
      </c>
      <c r="DJ75" s="425" t="s">
        <v>69</v>
      </c>
      <c r="DK75" s="425" t="s">
        <v>69</v>
      </c>
      <c r="DL75" s="425" t="s">
        <v>69</v>
      </c>
      <c r="DM75" s="425" t="s">
        <v>69</v>
      </c>
      <c r="DN75" s="425" t="s">
        <v>69</v>
      </c>
      <c r="DO75" s="425" t="s">
        <v>69</v>
      </c>
      <c r="DP75" s="425" t="s">
        <v>69</v>
      </c>
      <c r="DQ75" s="425" t="s">
        <v>69</v>
      </c>
      <c r="DR75" s="425" t="s">
        <v>69</v>
      </c>
      <c r="DS75" s="425" t="s">
        <v>69</v>
      </c>
      <c r="DT75" s="425" t="s">
        <v>69</v>
      </c>
      <c r="DU75" s="422" t="s">
        <v>69</v>
      </c>
      <c r="DV75" s="425" t="s">
        <v>69</v>
      </c>
      <c r="DW75" s="425" t="s">
        <v>69</v>
      </c>
      <c r="DX75" s="425" t="s">
        <v>69</v>
      </c>
      <c r="DY75" s="423">
        <f t="shared" si="4"/>
        <v>0.19047619047619047</v>
      </c>
      <c r="DZ75" s="424">
        <f t="shared" si="5"/>
        <v>0.91666666666666663</v>
      </c>
      <c r="EA75" s="519"/>
    </row>
    <row r="76" spans="1:131" s="18" customFormat="1" ht="61.8" thickBot="1">
      <c r="A76" s="520" t="s">
        <v>870</v>
      </c>
      <c r="B76" s="521" t="s">
        <v>871</v>
      </c>
      <c r="C76" s="522">
        <v>45965</v>
      </c>
      <c r="D76" s="418" t="s">
        <v>1183</v>
      </c>
      <c r="E76" s="429" t="s">
        <v>900</v>
      </c>
      <c r="F76" s="425">
        <v>4</v>
      </c>
      <c r="G76" s="425" t="s">
        <v>69</v>
      </c>
      <c r="H76" s="425">
        <v>4</v>
      </c>
      <c r="I76" s="425" t="s">
        <v>69</v>
      </c>
      <c r="J76" s="425" t="s">
        <v>69</v>
      </c>
      <c r="K76" s="425" t="s">
        <v>69</v>
      </c>
      <c r="L76" s="425" t="s">
        <v>69</v>
      </c>
      <c r="M76" s="425" t="s">
        <v>69</v>
      </c>
      <c r="N76" s="425" t="s">
        <v>69</v>
      </c>
      <c r="O76" s="425">
        <v>3</v>
      </c>
      <c r="P76" s="425" t="s">
        <v>69</v>
      </c>
      <c r="Q76" s="425" t="s">
        <v>69</v>
      </c>
      <c r="R76" s="425" t="s">
        <v>69</v>
      </c>
      <c r="S76" s="425" t="s">
        <v>69</v>
      </c>
      <c r="T76" s="425" t="s">
        <v>69</v>
      </c>
      <c r="U76" s="425" t="s">
        <v>69</v>
      </c>
      <c r="V76" s="425" t="s">
        <v>69</v>
      </c>
      <c r="W76" s="425" t="s">
        <v>69</v>
      </c>
      <c r="X76" s="425" t="s">
        <v>69</v>
      </c>
      <c r="Y76" s="425" t="s">
        <v>69</v>
      </c>
      <c r="Z76" s="425" t="s">
        <v>69</v>
      </c>
      <c r="AA76" s="425">
        <v>3</v>
      </c>
      <c r="AB76" s="425" t="s">
        <v>69</v>
      </c>
      <c r="AC76" s="425" t="s">
        <v>69</v>
      </c>
      <c r="AD76" s="425" t="s">
        <v>69</v>
      </c>
      <c r="AE76" s="425" t="s">
        <v>69</v>
      </c>
      <c r="AF76" s="425" t="s">
        <v>69</v>
      </c>
      <c r="AG76" s="425" t="s">
        <v>69</v>
      </c>
      <c r="AH76" s="425" t="s">
        <v>69</v>
      </c>
      <c r="AI76" s="425" t="s">
        <v>69</v>
      </c>
      <c r="AJ76" s="425" t="s">
        <v>69</v>
      </c>
      <c r="AK76" s="425" t="s">
        <v>69</v>
      </c>
      <c r="AL76" s="425" t="s">
        <v>69</v>
      </c>
      <c r="AM76" s="425" t="s">
        <v>69</v>
      </c>
      <c r="AN76" s="425">
        <v>2</v>
      </c>
      <c r="AO76" s="425" t="s">
        <v>69</v>
      </c>
      <c r="AP76" s="425" t="s">
        <v>69</v>
      </c>
      <c r="AQ76" s="425" t="s">
        <v>69</v>
      </c>
      <c r="AR76" s="425">
        <v>4</v>
      </c>
      <c r="AS76" s="425" t="s">
        <v>69</v>
      </c>
      <c r="AT76" s="425" t="s">
        <v>69</v>
      </c>
      <c r="AU76" s="425">
        <v>4</v>
      </c>
      <c r="AV76" s="425" t="s">
        <v>69</v>
      </c>
      <c r="AW76" s="425" t="s">
        <v>69</v>
      </c>
      <c r="AX76" s="425">
        <v>4</v>
      </c>
      <c r="AY76" s="425" t="s">
        <v>69</v>
      </c>
      <c r="AZ76" s="425" t="s">
        <v>69</v>
      </c>
      <c r="BA76" s="425" t="s">
        <v>69</v>
      </c>
      <c r="BB76" s="425" t="s">
        <v>69</v>
      </c>
      <c r="BC76" s="425" t="s">
        <v>69</v>
      </c>
      <c r="BD76" s="425">
        <v>4</v>
      </c>
      <c r="BE76" s="425" t="s">
        <v>69</v>
      </c>
      <c r="BF76" s="425" t="s">
        <v>69</v>
      </c>
      <c r="BG76" s="425" t="s">
        <v>69</v>
      </c>
      <c r="BH76" s="425" t="s">
        <v>69</v>
      </c>
      <c r="BI76" s="425" t="s">
        <v>69</v>
      </c>
      <c r="BJ76" s="425" t="s">
        <v>69</v>
      </c>
      <c r="BK76" s="425" t="s">
        <v>69</v>
      </c>
      <c r="BL76" s="425" t="s">
        <v>69</v>
      </c>
      <c r="BM76" s="425" t="s">
        <v>69</v>
      </c>
      <c r="BN76" s="425" t="s">
        <v>69</v>
      </c>
      <c r="BO76" s="425" t="s">
        <v>69</v>
      </c>
      <c r="BP76" s="425" t="s">
        <v>69</v>
      </c>
      <c r="BQ76" s="425" t="s">
        <v>69</v>
      </c>
      <c r="BR76" s="425">
        <v>4</v>
      </c>
      <c r="BS76" s="425" t="s">
        <v>69</v>
      </c>
      <c r="BT76" s="425" t="s">
        <v>69</v>
      </c>
      <c r="BU76" s="425" t="s">
        <v>69</v>
      </c>
      <c r="BV76" s="425" t="s">
        <v>69</v>
      </c>
      <c r="BW76" s="425" t="s">
        <v>69</v>
      </c>
      <c r="BX76" s="425" t="s">
        <v>69</v>
      </c>
      <c r="BY76" s="425" t="s">
        <v>69</v>
      </c>
      <c r="BZ76" s="425" t="s">
        <v>69</v>
      </c>
      <c r="CA76" s="425" t="s">
        <v>69</v>
      </c>
      <c r="CB76" s="425" t="s">
        <v>69</v>
      </c>
      <c r="CC76" s="425" t="s">
        <v>69</v>
      </c>
      <c r="CD76" s="425" t="s">
        <v>69</v>
      </c>
      <c r="CE76" s="425" t="s">
        <v>69</v>
      </c>
      <c r="CF76" s="425" t="s">
        <v>69</v>
      </c>
      <c r="CG76" s="425" t="s">
        <v>69</v>
      </c>
      <c r="CH76" s="425" t="s">
        <v>69</v>
      </c>
      <c r="CI76" s="425" t="s">
        <v>69</v>
      </c>
      <c r="CJ76" s="425" t="s">
        <v>69</v>
      </c>
      <c r="CK76" s="425" t="s">
        <v>69</v>
      </c>
      <c r="CL76" s="425" t="s">
        <v>69</v>
      </c>
      <c r="CM76" s="425" t="s">
        <v>69</v>
      </c>
      <c r="CN76" s="425" t="s">
        <v>69</v>
      </c>
      <c r="CO76" s="425">
        <v>3</v>
      </c>
      <c r="CP76" s="425" t="s">
        <v>69</v>
      </c>
      <c r="CQ76" s="425" t="s">
        <v>69</v>
      </c>
      <c r="CR76" s="425" t="s">
        <v>69</v>
      </c>
      <c r="CS76" s="425" t="s">
        <v>69</v>
      </c>
      <c r="CT76" s="425" t="s">
        <v>69</v>
      </c>
      <c r="CU76" s="425" t="s">
        <v>69</v>
      </c>
      <c r="CV76" s="425" t="s">
        <v>69</v>
      </c>
      <c r="CW76" s="425" t="s">
        <v>69</v>
      </c>
      <c r="CX76" s="425" t="s">
        <v>69</v>
      </c>
      <c r="CY76" s="425" t="s">
        <v>69</v>
      </c>
      <c r="CZ76" s="425" t="s">
        <v>69</v>
      </c>
      <c r="DA76" s="425" t="s">
        <v>69</v>
      </c>
      <c r="DB76" s="425" t="s">
        <v>69</v>
      </c>
      <c r="DC76" s="425" t="s">
        <v>69</v>
      </c>
      <c r="DD76" s="425" t="s">
        <v>69</v>
      </c>
      <c r="DE76" s="425" t="s">
        <v>69</v>
      </c>
      <c r="DF76" s="425" t="s">
        <v>69</v>
      </c>
      <c r="DG76" s="425" t="s">
        <v>69</v>
      </c>
      <c r="DH76" s="425" t="s">
        <v>69</v>
      </c>
      <c r="DI76" s="425" t="s">
        <v>69</v>
      </c>
      <c r="DJ76" s="425" t="s">
        <v>69</v>
      </c>
      <c r="DK76" s="425" t="s">
        <v>69</v>
      </c>
      <c r="DL76" s="425" t="s">
        <v>69</v>
      </c>
      <c r="DM76" s="425" t="s">
        <v>69</v>
      </c>
      <c r="DN76" s="425" t="s">
        <v>69</v>
      </c>
      <c r="DO76" s="425" t="s">
        <v>69</v>
      </c>
      <c r="DP76" s="425" t="s">
        <v>69</v>
      </c>
      <c r="DQ76" s="425" t="s">
        <v>69</v>
      </c>
      <c r="DR76" s="425" t="s">
        <v>69</v>
      </c>
      <c r="DS76" s="425" t="s">
        <v>69</v>
      </c>
      <c r="DT76" s="425" t="s">
        <v>69</v>
      </c>
      <c r="DU76" s="422" t="s">
        <v>69</v>
      </c>
      <c r="DV76" s="425" t="s">
        <v>69</v>
      </c>
      <c r="DW76" s="425" t="s">
        <v>69</v>
      </c>
      <c r="DX76" s="425">
        <v>2</v>
      </c>
      <c r="DY76" s="423">
        <f t="shared" si="4"/>
        <v>0.19047619047619047</v>
      </c>
      <c r="DZ76" s="424">
        <f t="shared" si="5"/>
        <v>0.83333333333333337</v>
      </c>
      <c r="EA76" s="519"/>
    </row>
    <row r="77" spans="1:131" s="18" customFormat="1" ht="66.599999999999994" thickBot="1">
      <c r="A77" s="520" t="s">
        <v>890</v>
      </c>
      <c r="B77" s="521" t="s">
        <v>891</v>
      </c>
      <c r="C77" s="522">
        <v>45965</v>
      </c>
      <c r="D77" s="418" t="s">
        <v>1183</v>
      </c>
      <c r="E77" s="429" t="s">
        <v>900</v>
      </c>
      <c r="F77" s="425">
        <v>4</v>
      </c>
      <c r="G77" s="425" t="s">
        <v>69</v>
      </c>
      <c r="H77" s="425">
        <v>3</v>
      </c>
      <c r="I77" s="425" t="s">
        <v>69</v>
      </c>
      <c r="J77" s="425" t="s">
        <v>69</v>
      </c>
      <c r="K77" s="425" t="s">
        <v>69</v>
      </c>
      <c r="L77" s="425" t="s">
        <v>69</v>
      </c>
      <c r="M77" s="425" t="s">
        <v>69</v>
      </c>
      <c r="N77" s="425" t="s">
        <v>69</v>
      </c>
      <c r="O77" s="425">
        <v>4</v>
      </c>
      <c r="P77" s="425" t="s">
        <v>69</v>
      </c>
      <c r="Q77" s="425" t="s">
        <v>69</v>
      </c>
      <c r="R77" s="425" t="s">
        <v>69</v>
      </c>
      <c r="S77" s="425" t="s">
        <v>69</v>
      </c>
      <c r="T77" s="425" t="s">
        <v>69</v>
      </c>
      <c r="U77" s="425" t="s">
        <v>69</v>
      </c>
      <c r="V77" s="425" t="s">
        <v>69</v>
      </c>
      <c r="W77" s="425" t="s">
        <v>69</v>
      </c>
      <c r="X77" s="425" t="s">
        <v>69</v>
      </c>
      <c r="Y77" s="425" t="s">
        <v>69</v>
      </c>
      <c r="Z77" s="425" t="s">
        <v>69</v>
      </c>
      <c r="AA77" s="425" t="s">
        <v>69</v>
      </c>
      <c r="AB77" s="425" t="s">
        <v>69</v>
      </c>
      <c r="AC77" s="425">
        <v>3</v>
      </c>
      <c r="AD77" s="425" t="s">
        <v>69</v>
      </c>
      <c r="AE77" s="425" t="s">
        <v>69</v>
      </c>
      <c r="AF77" s="425" t="s">
        <v>69</v>
      </c>
      <c r="AG77" s="425" t="s">
        <v>69</v>
      </c>
      <c r="AH77" s="425" t="s">
        <v>69</v>
      </c>
      <c r="AI77" s="425" t="s">
        <v>69</v>
      </c>
      <c r="AJ77" s="425" t="s">
        <v>69</v>
      </c>
      <c r="AK77" s="425" t="s">
        <v>69</v>
      </c>
      <c r="AL77" s="425" t="s">
        <v>69</v>
      </c>
      <c r="AM77" s="425" t="s">
        <v>69</v>
      </c>
      <c r="AN77" s="425" t="s">
        <v>69</v>
      </c>
      <c r="AO77" s="425" t="s">
        <v>69</v>
      </c>
      <c r="AP77" s="425" t="s">
        <v>69</v>
      </c>
      <c r="AQ77" s="425" t="s">
        <v>69</v>
      </c>
      <c r="AR77" s="425">
        <v>4</v>
      </c>
      <c r="AS77" s="425" t="s">
        <v>69</v>
      </c>
      <c r="AT77" s="425" t="s">
        <v>69</v>
      </c>
      <c r="AU77" s="425" t="s">
        <v>69</v>
      </c>
      <c r="AV77" s="425" t="s">
        <v>69</v>
      </c>
      <c r="AW77" s="425" t="s">
        <v>69</v>
      </c>
      <c r="AX77" s="425">
        <v>4</v>
      </c>
      <c r="AY77" s="425" t="s">
        <v>69</v>
      </c>
      <c r="AZ77" s="425" t="s">
        <v>69</v>
      </c>
      <c r="BA77" s="425" t="s">
        <v>69</v>
      </c>
      <c r="BB77" s="425" t="s">
        <v>69</v>
      </c>
      <c r="BC77" s="425" t="s">
        <v>69</v>
      </c>
      <c r="BD77" s="425" t="s">
        <v>69</v>
      </c>
      <c r="BE77" s="425" t="s">
        <v>69</v>
      </c>
      <c r="BF77" s="425" t="s">
        <v>69</v>
      </c>
      <c r="BG77" s="425" t="s">
        <v>69</v>
      </c>
      <c r="BH77" s="425" t="s">
        <v>69</v>
      </c>
      <c r="BI77" s="425" t="s">
        <v>69</v>
      </c>
      <c r="BJ77" s="425" t="s">
        <v>69</v>
      </c>
      <c r="BK77" s="425" t="s">
        <v>69</v>
      </c>
      <c r="BL77" s="425" t="s">
        <v>69</v>
      </c>
      <c r="BM77" s="425" t="s">
        <v>69</v>
      </c>
      <c r="BN77" s="425" t="s">
        <v>69</v>
      </c>
      <c r="BO77" s="425" t="s">
        <v>69</v>
      </c>
      <c r="BP77" s="425" t="s">
        <v>69</v>
      </c>
      <c r="BQ77" s="425" t="s">
        <v>69</v>
      </c>
      <c r="BR77" s="425">
        <v>3</v>
      </c>
      <c r="BS77" s="425" t="s">
        <v>69</v>
      </c>
      <c r="BT77" s="425" t="s">
        <v>69</v>
      </c>
      <c r="BU77" s="425" t="s">
        <v>69</v>
      </c>
      <c r="BV77" s="425" t="s">
        <v>69</v>
      </c>
      <c r="BW77" s="425" t="s">
        <v>69</v>
      </c>
      <c r="BX77" s="425" t="s">
        <v>69</v>
      </c>
      <c r="BY77" s="425" t="s">
        <v>69</v>
      </c>
      <c r="BZ77" s="425" t="s">
        <v>69</v>
      </c>
      <c r="CA77" s="425" t="s">
        <v>69</v>
      </c>
      <c r="CB77" s="425" t="s">
        <v>69</v>
      </c>
      <c r="CC77" s="425" t="s">
        <v>69</v>
      </c>
      <c r="CD77" s="425" t="s">
        <v>69</v>
      </c>
      <c r="CE77" s="425" t="s">
        <v>69</v>
      </c>
      <c r="CF77" s="425" t="s">
        <v>69</v>
      </c>
      <c r="CG77" s="425">
        <v>3</v>
      </c>
      <c r="CH77" s="425" t="s">
        <v>69</v>
      </c>
      <c r="CI77" s="425">
        <v>3</v>
      </c>
      <c r="CJ77" s="425">
        <v>3</v>
      </c>
      <c r="CK77" s="425">
        <v>3</v>
      </c>
      <c r="CL77" s="425" t="s">
        <v>69</v>
      </c>
      <c r="CM77" s="425" t="s">
        <v>69</v>
      </c>
      <c r="CN77" s="425" t="s">
        <v>69</v>
      </c>
      <c r="CO77" s="425" t="s">
        <v>69</v>
      </c>
      <c r="CP77" s="425" t="s">
        <v>69</v>
      </c>
      <c r="CQ77" s="425" t="s">
        <v>69</v>
      </c>
      <c r="CR77" s="425" t="s">
        <v>69</v>
      </c>
      <c r="CS77" s="425" t="s">
        <v>69</v>
      </c>
      <c r="CT77" s="425" t="s">
        <v>69</v>
      </c>
      <c r="CU77" s="425" t="s">
        <v>69</v>
      </c>
      <c r="CV77" s="425" t="s">
        <v>69</v>
      </c>
      <c r="CW77" s="425" t="s">
        <v>69</v>
      </c>
      <c r="CX77" s="425" t="s">
        <v>69</v>
      </c>
      <c r="CY77" s="425" t="s">
        <v>69</v>
      </c>
      <c r="CZ77" s="425" t="s">
        <v>69</v>
      </c>
      <c r="DA77" s="425" t="s">
        <v>69</v>
      </c>
      <c r="DB77" s="425" t="s">
        <v>69</v>
      </c>
      <c r="DC77" s="425" t="s">
        <v>69</v>
      </c>
      <c r="DD77" s="425" t="s">
        <v>69</v>
      </c>
      <c r="DE77" s="425" t="s">
        <v>69</v>
      </c>
      <c r="DF77" s="425" t="s">
        <v>69</v>
      </c>
      <c r="DG77" s="425" t="s">
        <v>69</v>
      </c>
      <c r="DH77" s="425" t="s">
        <v>69</v>
      </c>
      <c r="DI77" s="425" t="s">
        <v>69</v>
      </c>
      <c r="DJ77" s="425" t="s">
        <v>69</v>
      </c>
      <c r="DK77" s="425" t="s">
        <v>69</v>
      </c>
      <c r="DL77" s="425" t="s">
        <v>69</v>
      </c>
      <c r="DM77" s="425" t="s">
        <v>69</v>
      </c>
      <c r="DN77" s="425" t="s">
        <v>69</v>
      </c>
      <c r="DO77" s="425" t="s">
        <v>69</v>
      </c>
      <c r="DP77" s="425" t="s">
        <v>69</v>
      </c>
      <c r="DQ77" s="425" t="s">
        <v>69</v>
      </c>
      <c r="DR77" s="425" t="s">
        <v>69</v>
      </c>
      <c r="DS77" s="425" t="s">
        <v>69</v>
      </c>
      <c r="DT77" s="425" t="s">
        <v>69</v>
      </c>
      <c r="DU77" s="422" t="s">
        <v>69</v>
      </c>
      <c r="DV77" s="425" t="s">
        <v>69</v>
      </c>
      <c r="DW77" s="425" t="s">
        <v>69</v>
      </c>
      <c r="DX77" s="425">
        <v>2</v>
      </c>
      <c r="DY77" s="423">
        <f t="shared" si="4"/>
        <v>0.19047619047619047</v>
      </c>
      <c r="DZ77" s="424">
        <f t="shared" si="5"/>
        <v>0.91666666666666663</v>
      </c>
      <c r="EA77" s="519"/>
    </row>
    <row r="78" spans="1:131" s="18" customFormat="1" ht="66.599999999999994" thickBot="1">
      <c r="A78" s="420" t="s">
        <v>315</v>
      </c>
      <c r="B78" s="414" t="s">
        <v>316</v>
      </c>
      <c r="C78" s="419">
        <v>44292</v>
      </c>
      <c r="D78" s="418" t="s">
        <v>1183</v>
      </c>
      <c r="E78" s="429" t="s">
        <v>897</v>
      </c>
      <c r="F78" s="425">
        <v>4</v>
      </c>
      <c r="G78" s="425">
        <v>4</v>
      </c>
      <c r="H78" s="425" t="s">
        <v>69</v>
      </c>
      <c r="I78" s="425" t="s">
        <v>69</v>
      </c>
      <c r="J78" s="425">
        <v>4</v>
      </c>
      <c r="K78" s="425" t="s">
        <v>69</v>
      </c>
      <c r="L78" s="425" t="s">
        <v>69</v>
      </c>
      <c r="M78" s="425" t="s">
        <v>69</v>
      </c>
      <c r="N78" s="425" t="s">
        <v>69</v>
      </c>
      <c r="O78" s="425">
        <v>4</v>
      </c>
      <c r="P78" s="425">
        <v>4</v>
      </c>
      <c r="Q78" s="425" t="s">
        <v>69</v>
      </c>
      <c r="R78" s="425" t="s">
        <v>69</v>
      </c>
      <c r="S78" s="425">
        <v>4</v>
      </c>
      <c r="T78" s="425" t="s">
        <v>69</v>
      </c>
      <c r="U78" s="425" t="s">
        <v>69</v>
      </c>
      <c r="V78" s="425" t="s">
        <v>69</v>
      </c>
      <c r="W78" s="425" t="s">
        <v>69</v>
      </c>
      <c r="X78" s="425" t="s">
        <v>69</v>
      </c>
      <c r="Y78" s="425">
        <v>4</v>
      </c>
      <c r="Z78" s="425">
        <v>4</v>
      </c>
      <c r="AA78" s="425" t="s">
        <v>69</v>
      </c>
      <c r="AB78" s="425" t="s">
        <v>69</v>
      </c>
      <c r="AC78" s="425">
        <v>4</v>
      </c>
      <c r="AD78" s="425" t="s">
        <v>69</v>
      </c>
      <c r="AE78" s="425" t="s">
        <v>69</v>
      </c>
      <c r="AF78" s="425" t="s">
        <v>69</v>
      </c>
      <c r="AG78" s="425" t="s">
        <v>69</v>
      </c>
      <c r="AH78" s="425" t="s">
        <v>69</v>
      </c>
      <c r="AI78" s="425" t="s">
        <v>69</v>
      </c>
      <c r="AJ78" s="425" t="s">
        <v>69</v>
      </c>
      <c r="AK78" s="425" t="s">
        <v>69</v>
      </c>
      <c r="AL78" s="425" t="s">
        <v>69</v>
      </c>
      <c r="AM78" s="425" t="s">
        <v>69</v>
      </c>
      <c r="AN78" s="425" t="s">
        <v>69</v>
      </c>
      <c r="AO78" s="425" t="s">
        <v>69</v>
      </c>
      <c r="AP78" s="425">
        <v>4</v>
      </c>
      <c r="AQ78" s="425">
        <v>4</v>
      </c>
      <c r="AR78" s="425" t="s">
        <v>69</v>
      </c>
      <c r="AS78" s="425" t="s">
        <v>69</v>
      </c>
      <c r="AT78" s="425">
        <v>4</v>
      </c>
      <c r="AU78" s="425" t="s">
        <v>69</v>
      </c>
      <c r="AV78" s="425" t="s">
        <v>69</v>
      </c>
      <c r="AW78" s="425">
        <v>4</v>
      </c>
      <c r="AX78" s="425" t="s">
        <v>69</v>
      </c>
      <c r="AY78" s="425" t="s">
        <v>69</v>
      </c>
      <c r="AZ78" s="425">
        <v>4</v>
      </c>
      <c r="BA78" s="425" t="s">
        <v>69</v>
      </c>
      <c r="BB78" s="425" t="s">
        <v>69</v>
      </c>
      <c r="BC78" s="425">
        <v>4</v>
      </c>
      <c r="BD78" s="425" t="s">
        <v>69</v>
      </c>
      <c r="BE78" s="425" t="s">
        <v>69</v>
      </c>
      <c r="BF78" s="425">
        <v>4</v>
      </c>
      <c r="BG78" s="425" t="s">
        <v>69</v>
      </c>
      <c r="BH78" s="425" t="s">
        <v>69</v>
      </c>
      <c r="BI78" s="425" t="s">
        <v>69</v>
      </c>
      <c r="BJ78" s="425" t="s">
        <v>69</v>
      </c>
      <c r="BK78" s="425" t="s">
        <v>69</v>
      </c>
      <c r="BL78" s="425" t="s">
        <v>69</v>
      </c>
      <c r="BM78" s="425" t="s">
        <v>69</v>
      </c>
      <c r="BN78" s="425" t="s">
        <v>69</v>
      </c>
      <c r="BO78" s="425" t="s">
        <v>69</v>
      </c>
      <c r="BP78" s="425" t="s">
        <v>69</v>
      </c>
      <c r="BQ78" s="425">
        <v>4</v>
      </c>
      <c r="BR78" s="425">
        <v>4</v>
      </c>
      <c r="BS78" s="425">
        <v>4</v>
      </c>
      <c r="BT78" s="425" t="s">
        <v>69</v>
      </c>
      <c r="BU78" s="425" t="s">
        <v>69</v>
      </c>
      <c r="BV78" s="425" t="s">
        <v>69</v>
      </c>
      <c r="BW78" s="425" t="s">
        <v>69</v>
      </c>
      <c r="BX78" s="425" t="s">
        <v>69</v>
      </c>
      <c r="BY78" s="425" t="s">
        <v>69</v>
      </c>
      <c r="BZ78" s="425" t="s">
        <v>69</v>
      </c>
      <c r="CA78" s="425" t="s">
        <v>69</v>
      </c>
      <c r="CB78" s="425">
        <v>4</v>
      </c>
      <c r="CC78" s="425">
        <v>4</v>
      </c>
      <c r="CD78" s="425" t="s">
        <v>69</v>
      </c>
      <c r="CE78" s="425" t="s">
        <v>69</v>
      </c>
      <c r="CF78" s="425" t="s">
        <v>69</v>
      </c>
      <c r="CG78" s="425">
        <v>4</v>
      </c>
      <c r="CH78" s="425">
        <v>4</v>
      </c>
      <c r="CI78" s="425">
        <v>4</v>
      </c>
      <c r="CJ78" s="425">
        <v>4</v>
      </c>
      <c r="CK78" s="425" t="s">
        <v>69</v>
      </c>
      <c r="CL78" s="425" t="s">
        <v>69</v>
      </c>
      <c r="CM78" s="425" t="s">
        <v>69</v>
      </c>
      <c r="CN78" s="425" t="s">
        <v>69</v>
      </c>
      <c r="CO78" s="425" t="s">
        <v>69</v>
      </c>
      <c r="CP78" s="425" t="s">
        <v>69</v>
      </c>
      <c r="CQ78" s="425" t="s">
        <v>69</v>
      </c>
      <c r="CR78" s="425" t="s">
        <v>69</v>
      </c>
      <c r="CS78" s="425" t="s">
        <v>69</v>
      </c>
      <c r="CT78" s="425" t="s">
        <v>69</v>
      </c>
      <c r="CU78" s="425" t="s">
        <v>69</v>
      </c>
      <c r="CV78" s="425" t="s">
        <v>69</v>
      </c>
      <c r="CW78" s="425" t="s">
        <v>69</v>
      </c>
      <c r="CX78" s="425" t="s">
        <v>69</v>
      </c>
      <c r="CY78" s="425" t="s">
        <v>69</v>
      </c>
      <c r="CZ78" s="425" t="s">
        <v>69</v>
      </c>
      <c r="DA78" s="425">
        <v>4</v>
      </c>
      <c r="DB78" s="425" t="s">
        <v>69</v>
      </c>
      <c r="DC78" s="425" t="s">
        <v>69</v>
      </c>
      <c r="DD78" s="425" t="s">
        <v>69</v>
      </c>
      <c r="DE78" s="425">
        <v>4</v>
      </c>
      <c r="DF78" s="425">
        <v>2</v>
      </c>
      <c r="DG78" s="425" t="s">
        <v>69</v>
      </c>
      <c r="DH78" s="425" t="s">
        <v>69</v>
      </c>
      <c r="DI78" s="425" t="s">
        <v>69</v>
      </c>
      <c r="DJ78" s="425" t="s">
        <v>69</v>
      </c>
      <c r="DK78" s="425" t="s">
        <v>69</v>
      </c>
      <c r="DL78" s="425">
        <v>4</v>
      </c>
      <c r="DM78" s="425">
        <v>4</v>
      </c>
      <c r="DN78" s="425">
        <v>4</v>
      </c>
      <c r="DO78" s="425">
        <v>4</v>
      </c>
      <c r="DP78" s="425" t="s">
        <v>69</v>
      </c>
      <c r="DQ78" s="425" t="s">
        <v>69</v>
      </c>
      <c r="DR78" s="425" t="s">
        <v>69</v>
      </c>
      <c r="DS78" s="425" t="s">
        <v>69</v>
      </c>
      <c r="DT78" s="425" t="s">
        <v>69</v>
      </c>
      <c r="DU78" s="422" t="s">
        <v>69</v>
      </c>
      <c r="DV78" s="425">
        <v>3</v>
      </c>
      <c r="DW78" s="425" t="s">
        <v>69</v>
      </c>
      <c r="DX78" s="425">
        <v>4</v>
      </c>
      <c r="DY78" s="423">
        <f t="shared" si="4"/>
        <v>0.53968253968253965</v>
      </c>
      <c r="DZ78" s="424">
        <f t="shared" si="5"/>
        <v>0.97058823529411764</v>
      </c>
      <c r="EA78" s="519"/>
    </row>
    <row r="79" spans="1:131" s="18" customFormat="1" ht="99.6" thickBot="1">
      <c r="A79" s="520" t="s">
        <v>893</v>
      </c>
      <c r="B79" s="521" t="s">
        <v>894</v>
      </c>
      <c r="C79" s="522">
        <v>45965</v>
      </c>
      <c r="D79" s="418" t="s">
        <v>1183</v>
      </c>
      <c r="E79" s="429" t="s">
        <v>900</v>
      </c>
      <c r="F79" s="425">
        <v>3</v>
      </c>
      <c r="G79" s="425" t="s">
        <v>69</v>
      </c>
      <c r="H79" s="425" t="s">
        <v>69</v>
      </c>
      <c r="I79" s="425" t="s">
        <v>69</v>
      </c>
      <c r="J79" s="425" t="s">
        <v>69</v>
      </c>
      <c r="K79" s="425" t="s">
        <v>69</v>
      </c>
      <c r="L79" s="425" t="s">
        <v>69</v>
      </c>
      <c r="M79" s="425" t="s">
        <v>69</v>
      </c>
      <c r="N79" s="425" t="s">
        <v>69</v>
      </c>
      <c r="O79" s="425" t="s">
        <v>69</v>
      </c>
      <c r="P79" s="425" t="s">
        <v>69</v>
      </c>
      <c r="Q79" s="425" t="s">
        <v>69</v>
      </c>
      <c r="R79" s="425" t="s">
        <v>69</v>
      </c>
      <c r="S79" s="425" t="s">
        <v>69</v>
      </c>
      <c r="T79" s="425" t="s">
        <v>69</v>
      </c>
      <c r="U79" s="425" t="s">
        <v>69</v>
      </c>
      <c r="V79" s="425" t="s">
        <v>69</v>
      </c>
      <c r="W79" s="425" t="s">
        <v>69</v>
      </c>
      <c r="X79" s="425" t="s">
        <v>69</v>
      </c>
      <c r="Y79" s="425" t="s">
        <v>69</v>
      </c>
      <c r="Z79" s="425" t="s">
        <v>69</v>
      </c>
      <c r="AA79" s="425">
        <v>2</v>
      </c>
      <c r="AB79" s="425" t="s">
        <v>69</v>
      </c>
      <c r="AC79" s="425" t="s">
        <v>69</v>
      </c>
      <c r="AD79" s="425" t="s">
        <v>69</v>
      </c>
      <c r="AE79" s="425" t="s">
        <v>69</v>
      </c>
      <c r="AF79" s="425" t="s">
        <v>69</v>
      </c>
      <c r="AG79" s="425" t="s">
        <v>69</v>
      </c>
      <c r="AH79" s="425" t="s">
        <v>69</v>
      </c>
      <c r="AI79" s="425" t="s">
        <v>69</v>
      </c>
      <c r="AJ79" s="425" t="s">
        <v>69</v>
      </c>
      <c r="AK79" s="425" t="s">
        <v>69</v>
      </c>
      <c r="AL79" s="425" t="s">
        <v>69</v>
      </c>
      <c r="AM79" s="425" t="s">
        <v>69</v>
      </c>
      <c r="AN79" s="425" t="s">
        <v>69</v>
      </c>
      <c r="AO79" s="425" t="s">
        <v>69</v>
      </c>
      <c r="AP79" s="425" t="s">
        <v>69</v>
      </c>
      <c r="AQ79" s="425" t="s">
        <v>69</v>
      </c>
      <c r="AR79" s="425">
        <v>3</v>
      </c>
      <c r="AS79" s="425" t="s">
        <v>69</v>
      </c>
      <c r="AT79" s="425" t="s">
        <v>69</v>
      </c>
      <c r="AU79" s="425" t="s">
        <v>69</v>
      </c>
      <c r="AV79" s="425" t="s">
        <v>69</v>
      </c>
      <c r="AW79" s="425" t="s">
        <v>69</v>
      </c>
      <c r="AX79" s="425" t="s">
        <v>69</v>
      </c>
      <c r="AY79" s="425" t="s">
        <v>69</v>
      </c>
      <c r="AZ79" s="425" t="s">
        <v>69</v>
      </c>
      <c r="BA79" s="425" t="s">
        <v>69</v>
      </c>
      <c r="BB79" s="425" t="s">
        <v>69</v>
      </c>
      <c r="BC79" s="425" t="s">
        <v>69</v>
      </c>
      <c r="BD79" s="425" t="s">
        <v>69</v>
      </c>
      <c r="BE79" s="425" t="s">
        <v>69</v>
      </c>
      <c r="BF79" s="425" t="s">
        <v>69</v>
      </c>
      <c r="BG79" s="425" t="s">
        <v>69</v>
      </c>
      <c r="BH79" s="425" t="s">
        <v>69</v>
      </c>
      <c r="BI79" s="425" t="s">
        <v>69</v>
      </c>
      <c r="BJ79" s="425" t="s">
        <v>69</v>
      </c>
      <c r="BK79" s="425" t="s">
        <v>69</v>
      </c>
      <c r="BL79" s="425" t="s">
        <v>69</v>
      </c>
      <c r="BM79" s="425" t="s">
        <v>69</v>
      </c>
      <c r="BN79" s="425" t="s">
        <v>69</v>
      </c>
      <c r="BO79" s="425" t="s">
        <v>69</v>
      </c>
      <c r="BP79" s="425" t="s">
        <v>69</v>
      </c>
      <c r="BQ79" s="425" t="s">
        <v>69</v>
      </c>
      <c r="BR79" s="425" t="s">
        <v>69</v>
      </c>
      <c r="BS79" s="425" t="s">
        <v>69</v>
      </c>
      <c r="BT79" s="425" t="s">
        <v>69</v>
      </c>
      <c r="BU79" s="425" t="s">
        <v>69</v>
      </c>
      <c r="BV79" s="425" t="s">
        <v>69</v>
      </c>
      <c r="BW79" s="425" t="s">
        <v>69</v>
      </c>
      <c r="BX79" s="425" t="s">
        <v>69</v>
      </c>
      <c r="BY79" s="425" t="s">
        <v>69</v>
      </c>
      <c r="BZ79" s="425" t="s">
        <v>69</v>
      </c>
      <c r="CA79" s="425" t="s">
        <v>69</v>
      </c>
      <c r="CB79" s="425" t="s">
        <v>69</v>
      </c>
      <c r="CC79" s="425" t="s">
        <v>69</v>
      </c>
      <c r="CD79" s="425" t="s">
        <v>69</v>
      </c>
      <c r="CE79" s="425" t="s">
        <v>69</v>
      </c>
      <c r="CF79" s="425" t="s">
        <v>69</v>
      </c>
      <c r="CG79" s="425" t="s">
        <v>69</v>
      </c>
      <c r="CH79" s="425" t="s">
        <v>69</v>
      </c>
      <c r="CI79" s="425">
        <v>3</v>
      </c>
      <c r="CJ79" s="425">
        <v>3</v>
      </c>
      <c r="CK79" s="425">
        <v>3</v>
      </c>
      <c r="CL79" s="425" t="s">
        <v>69</v>
      </c>
      <c r="CM79" s="425" t="s">
        <v>69</v>
      </c>
      <c r="CN79" s="425" t="s">
        <v>69</v>
      </c>
      <c r="CO79" s="425">
        <v>3</v>
      </c>
      <c r="CP79" s="425">
        <v>4</v>
      </c>
      <c r="CQ79" s="425">
        <v>2</v>
      </c>
      <c r="CR79" s="425" t="s">
        <v>69</v>
      </c>
      <c r="CS79" s="425" t="s">
        <v>69</v>
      </c>
      <c r="CT79" s="425" t="s">
        <v>69</v>
      </c>
      <c r="CU79" s="425" t="s">
        <v>69</v>
      </c>
      <c r="CV79" s="425" t="s">
        <v>69</v>
      </c>
      <c r="CW79" s="425" t="s">
        <v>69</v>
      </c>
      <c r="CX79" s="425" t="s">
        <v>69</v>
      </c>
      <c r="CY79" s="425" t="s">
        <v>69</v>
      </c>
      <c r="CZ79" s="425" t="s">
        <v>69</v>
      </c>
      <c r="DA79" s="425" t="s">
        <v>69</v>
      </c>
      <c r="DB79" s="425" t="s">
        <v>69</v>
      </c>
      <c r="DC79" s="425" t="s">
        <v>69</v>
      </c>
      <c r="DD79" s="425" t="s">
        <v>69</v>
      </c>
      <c r="DE79" s="425" t="s">
        <v>69</v>
      </c>
      <c r="DF79" s="425" t="s">
        <v>69</v>
      </c>
      <c r="DG79" s="425" t="s">
        <v>69</v>
      </c>
      <c r="DH79" s="425" t="s">
        <v>69</v>
      </c>
      <c r="DI79" s="425" t="s">
        <v>69</v>
      </c>
      <c r="DJ79" s="425" t="s">
        <v>69</v>
      </c>
      <c r="DK79" s="425" t="s">
        <v>69</v>
      </c>
      <c r="DL79" s="425" t="s">
        <v>69</v>
      </c>
      <c r="DM79" s="425" t="s">
        <v>69</v>
      </c>
      <c r="DN79" s="425">
        <v>2</v>
      </c>
      <c r="DO79" s="425" t="s">
        <v>69</v>
      </c>
      <c r="DP79" s="425" t="s">
        <v>69</v>
      </c>
      <c r="DQ79" s="425" t="s">
        <v>69</v>
      </c>
      <c r="DR79" s="425" t="s">
        <v>69</v>
      </c>
      <c r="DS79" s="425" t="s">
        <v>69</v>
      </c>
      <c r="DT79" s="425" t="s">
        <v>69</v>
      </c>
      <c r="DU79" s="422" t="s">
        <v>69</v>
      </c>
      <c r="DV79" s="425" t="s">
        <v>69</v>
      </c>
      <c r="DW79" s="425" t="s">
        <v>69</v>
      </c>
      <c r="DX79" s="425" t="s">
        <v>69</v>
      </c>
      <c r="DY79" s="423">
        <f t="shared" si="4"/>
        <v>0.15873015873015872</v>
      </c>
      <c r="DZ79" s="424">
        <f t="shared" si="5"/>
        <v>0.7</v>
      </c>
      <c r="EA79" s="519"/>
    </row>
    <row r="80" spans="1:131" s="18" customFormat="1" ht="66.599999999999994" thickBot="1">
      <c r="A80" s="420" t="s">
        <v>140</v>
      </c>
      <c r="B80" s="414" t="s">
        <v>144</v>
      </c>
      <c r="C80" s="419">
        <v>44175</v>
      </c>
      <c r="D80" s="418" t="s">
        <v>1183</v>
      </c>
      <c r="E80" s="429" t="s">
        <v>216</v>
      </c>
      <c r="F80" s="425">
        <v>4</v>
      </c>
      <c r="G80" s="425" t="s">
        <v>69</v>
      </c>
      <c r="H80" s="425">
        <v>4</v>
      </c>
      <c r="I80" s="425">
        <v>4</v>
      </c>
      <c r="J80" s="425" t="s">
        <v>69</v>
      </c>
      <c r="K80" s="425" t="s">
        <v>69</v>
      </c>
      <c r="L80" s="425" t="s">
        <v>69</v>
      </c>
      <c r="M80" s="425" t="s">
        <v>69</v>
      </c>
      <c r="N80" s="425" t="s">
        <v>69</v>
      </c>
      <c r="O80" s="425" t="s">
        <v>69</v>
      </c>
      <c r="P80" s="425" t="s">
        <v>69</v>
      </c>
      <c r="Q80" s="425">
        <v>4</v>
      </c>
      <c r="R80" s="425" t="s">
        <v>69</v>
      </c>
      <c r="S80" s="425">
        <v>4</v>
      </c>
      <c r="T80" s="425">
        <v>4</v>
      </c>
      <c r="U80" s="425">
        <v>4</v>
      </c>
      <c r="V80" s="425" t="s">
        <v>69</v>
      </c>
      <c r="W80" s="425" t="s">
        <v>69</v>
      </c>
      <c r="X80" s="425" t="s">
        <v>69</v>
      </c>
      <c r="Y80" s="425" t="s">
        <v>69</v>
      </c>
      <c r="Z80" s="425" t="s">
        <v>69</v>
      </c>
      <c r="AA80" s="425" t="s">
        <v>69</v>
      </c>
      <c r="AB80" s="425" t="s">
        <v>69</v>
      </c>
      <c r="AC80" s="425" t="s">
        <v>69</v>
      </c>
      <c r="AD80" s="425" t="s">
        <v>69</v>
      </c>
      <c r="AE80" s="425" t="s">
        <v>69</v>
      </c>
      <c r="AF80" s="425" t="s">
        <v>69</v>
      </c>
      <c r="AG80" s="425" t="s">
        <v>69</v>
      </c>
      <c r="AH80" s="425" t="s">
        <v>69</v>
      </c>
      <c r="AI80" s="425" t="s">
        <v>69</v>
      </c>
      <c r="AJ80" s="425" t="s">
        <v>69</v>
      </c>
      <c r="AK80" s="425" t="s">
        <v>69</v>
      </c>
      <c r="AL80" s="425" t="s">
        <v>69</v>
      </c>
      <c r="AM80" s="425" t="s">
        <v>69</v>
      </c>
      <c r="AN80" s="425" t="s">
        <v>69</v>
      </c>
      <c r="AO80" s="425" t="s">
        <v>69</v>
      </c>
      <c r="AP80" s="425" t="s">
        <v>69</v>
      </c>
      <c r="AQ80" s="425">
        <v>4</v>
      </c>
      <c r="AR80" s="425">
        <v>4</v>
      </c>
      <c r="AS80" s="425" t="s">
        <v>69</v>
      </c>
      <c r="AT80" s="425" t="s">
        <v>69</v>
      </c>
      <c r="AU80" s="425" t="s">
        <v>69</v>
      </c>
      <c r="AV80" s="425" t="s">
        <v>69</v>
      </c>
      <c r="AW80" s="425" t="s">
        <v>69</v>
      </c>
      <c r="AX80" s="425">
        <v>4</v>
      </c>
      <c r="AY80" s="425" t="s">
        <v>69</v>
      </c>
      <c r="AZ80" s="425" t="s">
        <v>69</v>
      </c>
      <c r="BA80" s="425" t="s">
        <v>69</v>
      </c>
      <c r="BB80" s="425" t="s">
        <v>69</v>
      </c>
      <c r="BC80" s="425" t="s">
        <v>69</v>
      </c>
      <c r="BD80" s="425" t="s">
        <v>69</v>
      </c>
      <c r="BE80" s="425" t="s">
        <v>69</v>
      </c>
      <c r="BF80" s="425" t="s">
        <v>69</v>
      </c>
      <c r="BG80" s="425" t="s">
        <v>69</v>
      </c>
      <c r="BH80" s="425" t="s">
        <v>69</v>
      </c>
      <c r="BI80" s="425" t="s">
        <v>69</v>
      </c>
      <c r="BJ80" s="425" t="s">
        <v>69</v>
      </c>
      <c r="BK80" s="425" t="s">
        <v>69</v>
      </c>
      <c r="BL80" s="425" t="s">
        <v>69</v>
      </c>
      <c r="BM80" s="425" t="s">
        <v>69</v>
      </c>
      <c r="BN80" s="425" t="s">
        <v>69</v>
      </c>
      <c r="BO80" s="425" t="s">
        <v>69</v>
      </c>
      <c r="BP80" s="425" t="s">
        <v>69</v>
      </c>
      <c r="BQ80" s="425" t="s">
        <v>69</v>
      </c>
      <c r="BR80" s="425">
        <v>4</v>
      </c>
      <c r="BS80" s="425" t="s">
        <v>69</v>
      </c>
      <c r="BT80" s="425" t="s">
        <v>69</v>
      </c>
      <c r="BU80" s="425" t="s">
        <v>69</v>
      </c>
      <c r="BV80" s="425" t="s">
        <v>69</v>
      </c>
      <c r="BW80" s="425" t="s">
        <v>69</v>
      </c>
      <c r="BX80" s="425" t="s">
        <v>69</v>
      </c>
      <c r="BY80" s="425" t="s">
        <v>69</v>
      </c>
      <c r="BZ80" s="425" t="s">
        <v>69</v>
      </c>
      <c r="CA80" s="425" t="s">
        <v>69</v>
      </c>
      <c r="CB80" s="425" t="s">
        <v>69</v>
      </c>
      <c r="CC80" s="425" t="s">
        <v>69</v>
      </c>
      <c r="CD80" s="425" t="s">
        <v>69</v>
      </c>
      <c r="CE80" s="425" t="s">
        <v>69</v>
      </c>
      <c r="CF80" s="425" t="s">
        <v>69</v>
      </c>
      <c r="CG80" s="425" t="s">
        <v>69</v>
      </c>
      <c r="CH80" s="425" t="s">
        <v>69</v>
      </c>
      <c r="CI80" s="425" t="s">
        <v>69</v>
      </c>
      <c r="CJ80" s="425" t="s">
        <v>69</v>
      </c>
      <c r="CK80" s="425" t="s">
        <v>69</v>
      </c>
      <c r="CL80" s="425" t="s">
        <v>69</v>
      </c>
      <c r="CM80" s="425" t="s">
        <v>69</v>
      </c>
      <c r="CN80" s="425" t="s">
        <v>69</v>
      </c>
      <c r="CO80" s="425">
        <v>4</v>
      </c>
      <c r="CP80" s="425">
        <v>4</v>
      </c>
      <c r="CQ80" s="425" t="s">
        <v>69</v>
      </c>
      <c r="CR80" s="425" t="s">
        <v>69</v>
      </c>
      <c r="CS80" s="425" t="s">
        <v>69</v>
      </c>
      <c r="CT80" s="425" t="s">
        <v>69</v>
      </c>
      <c r="CU80" s="425" t="s">
        <v>69</v>
      </c>
      <c r="CV80" s="425" t="s">
        <v>69</v>
      </c>
      <c r="CW80" s="425" t="s">
        <v>69</v>
      </c>
      <c r="CX80" s="425" t="s">
        <v>69</v>
      </c>
      <c r="CY80" s="425" t="s">
        <v>69</v>
      </c>
      <c r="CZ80" s="425" t="s">
        <v>69</v>
      </c>
      <c r="DA80" s="425" t="s">
        <v>69</v>
      </c>
      <c r="DB80" s="425" t="s">
        <v>69</v>
      </c>
      <c r="DC80" s="425" t="s">
        <v>69</v>
      </c>
      <c r="DD80" s="425" t="s">
        <v>69</v>
      </c>
      <c r="DE80" s="425" t="s">
        <v>69</v>
      </c>
      <c r="DF80" s="425" t="s">
        <v>69</v>
      </c>
      <c r="DG80" s="425" t="s">
        <v>69</v>
      </c>
      <c r="DH80" s="425" t="s">
        <v>69</v>
      </c>
      <c r="DI80" s="425" t="s">
        <v>69</v>
      </c>
      <c r="DJ80" s="425" t="s">
        <v>69</v>
      </c>
      <c r="DK80" s="425" t="s">
        <v>69</v>
      </c>
      <c r="DL80" s="425" t="s">
        <v>69</v>
      </c>
      <c r="DM80" s="425" t="s">
        <v>69</v>
      </c>
      <c r="DN80" s="425" t="s">
        <v>69</v>
      </c>
      <c r="DO80" s="425" t="s">
        <v>69</v>
      </c>
      <c r="DP80" s="425" t="s">
        <v>69</v>
      </c>
      <c r="DQ80" s="425" t="s">
        <v>69</v>
      </c>
      <c r="DR80" s="425" t="s">
        <v>69</v>
      </c>
      <c r="DS80" s="425" t="s">
        <v>69</v>
      </c>
      <c r="DT80" s="425" t="s">
        <v>69</v>
      </c>
      <c r="DU80" s="422" t="s">
        <v>69</v>
      </c>
      <c r="DV80" s="425" t="s">
        <v>69</v>
      </c>
      <c r="DW80" s="425" t="s">
        <v>69</v>
      </c>
      <c r="DX80" s="425">
        <v>4</v>
      </c>
      <c r="DY80" s="423">
        <f t="shared" si="4"/>
        <v>0.22222222222222221</v>
      </c>
      <c r="DZ80" s="424">
        <f t="shared" si="5"/>
        <v>1</v>
      </c>
      <c r="EA80" s="519"/>
    </row>
    <row r="81" spans="1:131" s="18" customFormat="1" ht="64.2" thickBot="1">
      <c r="A81" s="420" t="s">
        <v>236</v>
      </c>
      <c r="B81" s="414" t="s">
        <v>237</v>
      </c>
      <c r="C81" s="419">
        <v>44441</v>
      </c>
      <c r="D81" s="418" t="s">
        <v>1183</v>
      </c>
      <c r="E81" s="429" t="s">
        <v>216</v>
      </c>
      <c r="F81" s="425" t="s">
        <v>69</v>
      </c>
      <c r="G81" s="425" t="s">
        <v>69</v>
      </c>
      <c r="H81" s="425" t="s">
        <v>69</v>
      </c>
      <c r="I81" s="425" t="s">
        <v>69</v>
      </c>
      <c r="J81" s="425" t="s">
        <v>69</v>
      </c>
      <c r="K81" s="425" t="s">
        <v>69</v>
      </c>
      <c r="L81" s="425" t="s">
        <v>69</v>
      </c>
      <c r="M81" s="425" t="s">
        <v>69</v>
      </c>
      <c r="N81" s="425" t="s">
        <v>69</v>
      </c>
      <c r="O81" s="425">
        <v>4</v>
      </c>
      <c r="P81" s="425">
        <v>4</v>
      </c>
      <c r="Q81" s="425" t="s">
        <v>69</v>
      </c>
      <c r="R81" s="425" t="s">
        <v>69</v>
      </c>
      <c r="S81" s="425" t="s">
        <v>69</v>
      </c>
      <c r="T81" s="425" t="s">
        <v>69</v>
      </c>
      <c r="U81" s="425" t="s">
        <v>69</v>
      </c>
      <c r="V81" s="425" t="s">
        <v>69</v>
      </c>
      <c r="W81" s="425" t="s">
        <v>69</v>
      </c>
      <c r="X81" s="425" t="s">
        <v>69</v>
      </c>
      <c r="Y81" s="425" t="s">
        <v>69</v>
      </c>
      <c r="Z81" s="425" t="s">
        <v>69</v>
      </c>
      <c r="AA81" s="425">
        <v>4</v>
      </c>
      <c r="AB81" s="425" t="s">
        <v>69</v>
      </c>
      <c r="AC81" s="425">
        <v>4</v>
      </c>
      <c r="AD81" s="425" t="s">
        <v>69</v>
      </c>
      <c r="AE81" s="425" t="s">
        <v>69</v>
      </c>
      <c r="AF81" s="425" t="s">
        <v>69</v>
      </c>
      <c r="AG81" s="425" t="s">
        <v>69</v>
      </c>
      <c r="AH81" s="425" t="s">
        <v>69</v>
      </c>
      <c r="AI81" s="425" t="s">
        <v>69</v>
      </c>
      <c r="AJ81" s="425" t="s">
        <v>69</v>
      </c>
      <c r="AK81" s="425" t="s">
        <v>69</v>
      </c>
      <c r="AL81" s="425">
        <v>4</v>
      </c>
      <c r="AM81" s="425">
        <v>4</v>
      </c>
      <c r="AN81" s="425">
        <v>4</v>
      </c>
      <c r="AO81" s="425">
        <v>4</v>
      </c>
      <c r="AP81" s="425" t="s">
        <v>69</v>
      </c>
      <c r="AQ81" s="425" t="s">
        <v>69</v>
      </c>
      <c r="AR81" s="425">
        <v>4</v>
      </c>
      <c r="AS81" s="425">
        <v>4</v>
      </c>
      <c r="AT81" s="425">
        <v>4</v>
      </c>
      <c r="AU81" s="425" t="s">
        <v>69</v>
      </c>
      <c r="AV81" s="425" t="s">
        <v>69</v>
      </c>
      <c r="AW81" s="425" t="s">
        <v>69</v>
      </c>
      <c r="AX81" s="425" t="s">
        <v>69</v>
      </c>
      <c r="AY81" s="425" t="s">
        <v>69</v>
      </c>
      <c r="AZ81" s="425">
        <v>4</v>
      </c>
      <c r="BA81" s="425" t="s">
        <v>69</v>
      </c>
      <c r="BB81" s="425" t="s">
        <v>69</v>
      </c>
      <c r="BC81" s="425" t="s">
        <v>69</v>
      </c>
      <c r="BD81" s="425" t="s">
        <v>69</v>
      </c>
      <c r="BE81" s="425" t="s">
        <v>69</v>
      </c>
      <c r="BF81" s="425" t="s">
        <v>69</v>
      </c>
      <c r="BG81" s="425" t="s">
        <v>69</v>
      </c>
      <c r="BH81" s="425" t="s">
        <v>69</v>
      </c>
      <c r="BI81" s="425" t="s">
        <v>69</v>
      </c>
      <c r="BJ81" s="425" t="s">
        <v>69</v>
      </c>
      <c r="BK81" s="425">
        <v>4</v>
      </c>
      <c r="BL81" s="425" t="s">
        <v>69</v>
      </c>
      <c r="BM81" s="425" t="s">
        <v>69</v>
      </c>
      <c r="BN81" s="425" t="s">
        <v>69</v>
      </c>
      <c r="BO81" s="425" t="s">
        <v>69</v>
      </c>
      <c r="BP81" s="425" t="s">
        <v>69</v>
      </c>
      <c r="BQ81" s="425" t="s">
        <v>69</v>
      </c>
      <c r="BR81" s="425">
        <v>4</v>
      </c>
      <c r="BS81" s="425">
        <v>4</v>
      </c>
      <c r="BT81" s="425" t="s">
        <v>69</v>
      </c>
      <c r="BU81" s="425" t="s">
        <v>69</v>
      </c>
      <c r="BV81" s="425" t="s">
        <v>69</v>
      </c>
      <c r="BW81" s="425" t="s">
        <v>69</v>
      </c>
      <c r="BX81" s="425" t="s">
        <v>69</v>
      </c>
      <c r="BY81" s="425" t="s">
        <v>69</v>
      </c>
      <c r="BZ81" s="425" t="s">
        <v>69</v>
      </c>
      <c r="CA81" s="425" t="s">
        <v>69</v>
      </c>
      <c r="CB81" s="425" t="s">
        <v>69</v>
      </c>
      <c r="CC81" s="425" t="s">
        <v>69</v>
      </c>
      <c r="CD81" s="425" t="s">
        <v>69</v>
      </c>
      <c r="CE81" s="425" t="s">
        <v>69</v>
      </c>
      <c r="CF81" s="425" t="s">
        <v>69</v>
      </c>
      <c r="CG81" s="425">
        <v>4</v>
      </c>
      <c r="CH81" s="425" t="s">
        <v>69</v>
      </c>
      <c r="CI81" s="425" t="s">
        <v>69</v>
      </c>
      <c r="CJ81" s="425" t="s">
        <v>69</v>
      </c>
      <c r="CK81" s="425" t="s">
        <v>69</v>
      </c>
      <c r="CL81" s="425" t="s">
        <v>69</v>
      </c>
      <c r="CM81" s="425" t="s">
        <v>69</v>
      </c>
      <c r="CN81" s="425" t="s">
        <v>69</v>
      </c>
      <c r="CO81" s="425" t="s">
        <v>69</v>
      </c>
      <c r="CP81" s="425" t="s">
        <v>69</v>
      </c>
      <c r="CQ81" s="425" t="s">
        <v>69</v>
      </c>
      <c r="CR81" s="425" t="s">
        <v>69</v>
      </c>
      <c r="CS81" s="425" t="s">
        <v>69</v>
      </c>
      <c r="CT81" s="425" t="s">
        <v>69</v>
      </c>
      <c r="CU81" s="425" t="s">
        <v>69</v>
      </c>
      <c r="CV81" s="425">
        <v>4</v>
      </c>
      <c r="CW81" s="425" t="s">
        <v>69</v>
      </c>
      <c r="CX81" s="425">
        <v>4</v>
      </c>
      <c r="CY81" s="425" t="s">
        <v>69</v>
      </c>
      <c r="CZ81" s="425" t="s">
        <v>69</v>
      </c>
      <c r="DA81" s="425" t="s">
        <v>69</v>
      </c>
      <c r="DB81" s="425" t="s">
        <v>69</v>
      </c>
      <c r="DC81" s="425">
        <v>4</v>
      </c>
      <c r="DD81" s="425" t="s">
        <v>69</v>
      </c>
      <c r="DE81" s="425" t="s">
        <v>69</v>
      </c>
      <c r="DF81" s="425" t="s">
        <v>69</v>
      </c>
      <c r="DG81" s="425" t="s">
        <v>69</v>
      </c>
      <c r="DH81" s="425" t="s">
        <v>69</v>
      </c>
      <c r="DI81" s="425" t="s">
        <v>69</v>
      </c>
      <c r="DJ81" s="425" t="s">
        <v>69</v>
      </c>
      <c r="DK81" s="425" t="s">
        <v>69</v>
      </c>
      <c r="DL81" s="425" t="s">
        <v>69</v>
      </c>
      <c r="DM81" s="425">
        <v>4</v>
      </c>
      <c r="DN81" s="425">
        <v>4</v>
      </c>
      <c r="DO81" s="425">
        <v>4</v>
      </c>
      <c r="DP81" s="425" t="s">
        <v>69</v>
      </c>
      <c r="DQ81" s="425" t="s">
        <v>69</v>
      </c>
      <c r="DR81" s="425" t="s">
        <v>69</v>
      </c>
      <c r="DS81" s="425" t="s">
        <v>69</v>
      </c>
      <c r="DT81" s="425" t="s">
        <v>69</v>
      </c>
      <c r="DU81" s="422" t="s">
        <v>69</v>
      </c>
      <c r="DV81" s="425" t="s">
        <v>69</v>
      </c>
      <c r="DW81" s="425" t="s">
        <v>69</v>
      </c>
      <c r="DX81" s="425" t="s">
        <v>69</v>
      </c>
      <c r="DY81" s="423">
        <f t="shared" si="4"/>
        <v>0.34920634920634919</v>
      </c>
      <c r="DZ81" s="424">
        <f t="shared" si="5"/>
        <v>1</v>
      </c>
      <c r="EA81" s="519"/>
    </row>
    <row r="82" spans="1:131" s="18" customFormat="1" ht="61.8" thickBot="1">
      <c r="A82" s="520" t="s">
        <v>907</v>
      </c>
      <c r="B82" s="521" t="s">
        <v>906</v>
      </c>
      <c r="C82" s="419">
        <v>45976</v>
      </c>
      <c r="D82" s="418" t="s">
        <v>1183</v>
      </c>
      <c r="E82" s="429" t="s">
        <v>900</v>
      </c>
      <c r="F82" s="425">
        <v>4</v>
      </c>
      <c r="G82" s="425" t="s">
        <v>69</v>
      </c>
      <c r="H82" s="425">
        <v>4</v>
      </c>
      <c r="I82" s="425">
        <v>4</v>
      </c>
      <c r="J82" s="425" t="s">
        <v>69</v>
      </c>
      <c r="K82" s="425" t="s">
        <v>69</v>
      </c>
      <c r="L82" s="425" t="s">
        <v>69</v>
      </c>
      <c r="M82" s="425" t="s">
        <v>69</v>
      </c>
      <c r="N82" s="425" t="s">
        <v>69</v>
      </c>
      <c r="O82" s="425">
        <v>3</v>
      </c>
      <c r="P82" s="425" t="s">
        <v>69</v>
      </c>
      <c r="Q82" s="425" t="s">
        <v>69</v>
      </c>
      <c r="R82" s="425" t="s">
        <v>69</v>
      </c>
      <c r="S82" s="425" t="s">
        <v>69</v>
      </c>
      <c r="T82" s="425" t="s">
        <v>69</v>
      </c>
      <c r="U82" s="425" t="s">
        <v>69</v>
      </c>
      <c r="V82" s="425" t="s">
        <v>69</v>
      </c>
      <c r="W82" s="425" t="s">
        <v>69</v>
      </c>
      <c r="X82" s="425" t="s">
        <v>69</v>
      </c>
      <c r="Y82" s="425" t="s">
        <v>69</v>
      </c>
      <c r="Z82" s="425" t="s">
        <v>69</v>
      </c>
      <c r="AA82" s="425" t="s">
        <v>69</v>
      </c>
      <c r="AB82" s="425" t="s">
        <v>69</v>
      </c>
      <c r="AC82" s="425" t="s">
        <v>69</v>
      </c>
      <c r="AD82" s="425" t="s">
        <v>69</v>
      </c>
      <c r="AE82" s="425" t="s">
        <v>69</v>
      </c>
      <c r="AF82" s="425" t="s">
        <v>69</v>
      </c>
      <c r="AG82" s="425" t="s">
        <v>69</v>
      </c>
      <c r="AH82" s="425" t="s">
        <v>69</v>
      </c>
      <c r="AI82" s="425" t="s">
        <v>69</v>
      </c>
      <c r="AJ82" s="425" t="s">
        <v>69</v>
      </c>
      <c r="AK82" s="425" t="s">
        <v>69</v>
      </c>
      <c r="AL82" s="425" t="s">
        <v>69</v>
      </c>
      <c r="AM82" s="425" t="s">
        <v>69</v>
      </c>
      <c r="AN82" s="425" t="s">
        <v>69</v>
      </c>
      <c r="AO82" s="425" t="s">
        <v>69</v>
      </c>
      <c r="AP82" s="425" t="s">
        <v>69</v>
      </c>
      <c r="AQ82" s="425" t="s">
        <v>69</v>
      </c>
      <c r="AR82" s="425" t="s">
        <v>69</v>
      </c>
      <c r="AS82" s="425">
        <v>4</v>
      </c>
      <c r="AT82" s="425" t="s">
        <v>69</v>
      </c>
      <c r="AU82" s="425">
        <v>4</v>
      </c>
      <c r="AV82" s="425">
        <v>4</v>
      </c>
      <c r="AW82" s="425">
        <v>3</v>
      </c>
      <c r="AX82" s="425" t="s">
        <v>69</v>
      </c>
      <c r="AY82" s="425">
        <v>4</v>
      </c>
      <c r="AZ82" s="425" t="s">
        <v>69</v>
      </c>
      <c r="BA82" s="425" t="s">
        <v>69</v>
      </c>
      <c r="BB82" s="425" t="s">
        <v>69</v>
      </c>
      <c r="BC82" s="425" t="s">
        <v>69</v>
      </c>
      <c r="BD82" s="425" t="s">
        <v>69</v>
      </c>
      <c r="BE82" s="425" t="s">
        <v>69</v>
      </c>
      <c r="BF82" s="425" t="s">
        <v>69</v>
      </c>
      <c r="BG82" s="425" t="s">
        <v>69</v>
      </c>
      <c r="BH82" s="425" t="s">
        <v>69</v>
      </c>
      <c r="BI82" s="425" t="s">
        <v>69</v>
      </c>
      <c r="BJ82" s="425" t="s">
        <v>69</v>
      </c>
      <c r="BK82" s="425" t="s">
        <v>69</v>
      </c>
      <c r="BL82" s="425" t="s">
        <v>69</v>
      </c>
      <c r="BM82" s="425" t="s">
        <v>69</v>
      </c>
      <c r="BN82" s="425" t="s">
        <v>69</v>
      </c>
      <c r="BO82" s="425" t="s">
        <v>69</v>
      </c>
      <c r="BP82" s="425" t="s">
        <v>69</v>
      </c>
      <c r="BQ82" s="425" t="s">
        <v>69</v>
      </c>
      <c r="BR82" s="425">
        <v>4</v>
      </c>
      <c r="BS82" s="425" t="s">
        <v>69</v>
      </c>
      <c r="BT82" s="425" t="s">
        <v>69</v>
      </c>
      <c r="BU82" s="425" t="s">
        <v>69</v>
      </c>
      <c r="BV82" s="425" t="s">
        <v>69</v>
      </c>
      <c r="BW82" s="425" t="s">
        <v>69</v>
      </c>
      <c r="BX82" s="425" t="s">
        <v>69</v>
      </c>
      <c r="BY82" s="425" t="s">
        <v>69</v>
      </c>
      <c r="BZ82" s="425" t="s">
        <v>69</v>
      </c>
      <c r="CA82" s="425" t="s">
        <v>69</v>
      </c>
      <c r="CB82" s="425" t="s">
        <v>69</v>
      </c>
      <c r="CC82" s="425" t="s">
        <v>69</v>
      </c>
      <c r="CD82" s="425" t="s">
        <v>69</v>
      </c>
      <c r="CE82" s="425" t="s">
        <v>69</v>
      </c>
      <c r="CF82" s="425" t="s">
        <v>69</v>
      </c>
      <c r="CG82" s="425" t="s">
        <v>69</v>
      </c>
      <c r="CH82" s="425" t="s">
        <v>69</v>
      </c>
      <c r="CI82" s="425" t="s">
        <v>69</v>
      </c>
      <c r="CJ82" s="425" t="s">
        <v>69</v>
      </c>
      <c r="CK82" s="425" t="s">
        <v>69</v>
      </c>
      <c r="CL82" s="425" t="s">
        <v>69</v>
      </c>
      <c r="CM82" s="425" t="s">
        <v>69</v>
      </c>
      <c r="CN82" s="425" t="s">
        <v>69</v>
      </c>
      <c r="CO82" s="425" t="s">
        <v>69</v>
      </c>
      <c r="CP82" s="425" t="s">
        <v>69</v>
      </c>
      <c r="CQ82" s="425" t="s">
        <v>69</v>
      </c>
      <c r="CR82" s="425" t="s">
        <v>69</v>
      </c>
      <c r="CS82" s="425" t="s">
        <v>69</v>
      </c>
      <c r="CT82" s="425" t="s">
        <v>69</v>
      </c>
      <c r="CU82" s="425" t="s">
        <v>69</v>
      </c>
      <c r="CV82" s="425" t="s">
        <v>69</v>
      </c>
      <c r="CW82" s="425" t="s">
        <v>69</v>
      </c>
      <c r="CX82" s="425" t="s">
        <v>69</v>
      </c>
      <c r="CY82" s="425" t="s">
        <v>69</v>
      </c>
      <c r="CZ82" s="425" t="s">
        <v>69</v>
      </c>
      <c r="DA82" s="425" t="s">
        <v>69</v>
      </c>
      <c r="DB82" s="425" t="s">
        <v>69</v>
      </c>
      <c r="DC82" s="425" t="s">
        <v>69</v>
      </c>
      <c r="DD82" s="425" t="s">
        <v>69</v>
      </c>
      <c r="DE82" s="425" t="s">
        <v>69</v>
      </c>
      <c r="DF82" s="425" t="s">
        <v>69</v>
      </c>
      <c r="DG82" s="425" t="s">
        <v>69</v>
      </c>
      <c r="DH82" s="425" t="s">
        <v>69</v>
      </c>
      <c r="DI82" s="425" t="s">
        <v>69</v>
      </c>
      <c r="DJ82" s="425" t="s">
        <v>69</v>
      </c>
      <c r="DK82" s="425" t="s">
        <v>69</v>
      </c>
      <c r="DL82" s="425" t="s">
        <v>69</v>
      </c>
      <c r="DM82" s="425" t="s">
        <v>69</v>
      </c>
      <c r="DN82" s="425" t="s">
        <v>69</v>
      </c>
      <c r="DO82" s="425" t="s">
        <v>69</v>
      </c>
      <c r="DP82" s="425" t="s">
        <v>69</v>
      </c>
      <c r="DQ82" s="425" t="s">
        <v>69</v>
      </c>
      <c r="DR82" s="425" t="s">
        <v>69</v>
      </c>
      <c r="DS82" s="425" t="s">
        <v>69</v>
      </c>
      <c r="DT82" s="425" t="s">
        <v>69</v>
      </c>
      <c r="DU82" s="422" t="s">
        <v>69</v>
      </c>
      <c r="DV82" s="425" t="s">
        <v>69</v>
      </c>
      <c r="DW82" s="425" t="s">
        <v>69</v>
      </c>
      <c r="DX82" s="425" t="s">
        <v>69</v>
      </c>
      <c r="DY82" s="423">
        <f t="shared" si="4"/>
        <v>0.15873015873015872</v>
      </c>
      <c r="DZ82" s="424">
        <f t="shared" si="5"/>
        <v>1</v>
      </c>
      <c r="EA82" s="519"/>
    </row>
    <row r="83" spans="1:131" s="18" customFormat="1" ht="61.8" thickBot="1">
      <c r="A83" s="520" t="s">
        <v>905</v>
      </c>
      <c r="B83" s="521" t="s">
        <v>904</v>
      </c>
      <c r="C83" s="419">
        <v>45976</v>
      </c>
      <c r="D83" s="418" t="s">
        <v>1183</v>
      </c>
      <c r="E83" s="429" t="s">
        <v>900</v>
      </c>
      <c r="F83" s="425" t="s">
        <v>69</v>
      </c>
      <c r="G83" s="425" t="s">
        <v>69</v>
      </c>
      <c r="H83" s="425" t="s">
        <v>69</v>
      </c>
      <c r="I83" s="425" t="s">
        <v>69</v>
      </c>
      <c r="J83" s="425" t="s">
        <v>69</v>
      </c>
      <c r="K83" s="425" t="s">
        <v>69</v>
      </c>
      <c r="L83" s="425" t="s">
        <v>69</v>
      </c>
      <c r="M83" s="425" t="s">
        <v>69</v>
      </c>
      <c r="N83" s="425" t="s">
        <v>69</v>
      </c>
      <c r="O83" s="425" t="s">
        <v>69</v>
      </c>
      <c r="P83" s="425" t="s">
        <v>69</v>
      </c>
      <c r="Q83" s="425" t="s">
        <v>69</v>
      </c>
      <c r="R83" s="425" t="s">
        <v>69</v>
      </c>
      <c r="S83" s="425" t="s">
        <v>69</v>
      </c>
      <c r="T83" s="425" t="s">
        <v>69</v>
      </c>
      <c r="U83" s="425" t="s">
        <v>69</v>
      </c>
      <c r="V83" s="425" t="s">
        <v>69</v>
      </c>
      <c r="W83" s="425" t="s">
        <v>69</v>
      </c>
      <c r="X83" s="425" t="s">
        <v>69</v>
      </c>
      <c r="Y83" s="425" t="s">
        <v>69</v>
      </c>
      <c r="Z83" s="425" t="s">
        <v>69</v>
      </c>
      <c r="AA83" s="425" t="s">
        <v>69</v>
      </c>
      <c r="AB83" s="425" t="s">
        <v>69</v>
      </c>
      <c r="AC83" s="425" t="s">
        <v>69</v>
      </c>
      <c r="AD83" s="425" t="s">
        <v>69</v>
      </c>
      <c r="AE83" s="425" t="s">
        <v>69</v>
      </c>
      <c r="AF83" s="425" t="s">
        <v>69</v>
      </c>
      <c r="AG83" s="425" t="s">
        <v>69</v>
      </c>
      <c r="AH83" s="425">
        <v>3</v>
      </c>
      <c r="AI83" s="425" t="s">
        <v>69</v>
      </c>
      <c r="AJ83" s="425" t="s">
        <v>69</v>
      </c>
      <c r="AK83" s="425" t="s">
        <v>69</v>
      </c>
      <c r="AL83" s="425" t="s">
        <v>69</v>
      </c>
      <c r="AM83" s="425" t="s">
        <v>69</v>
      </c>
      <c r="AN83" s="425" t="s">
        <v>69</v>
      </c>
      <c r="AO83" s="425" t="s">
        <v>69</v>
      </c>
      <c r="AP83" s="425" t="s">
        <v>69</v>
      </c>
      <c r="AQ83" s="425" t="s">
        <v>69</v>
      </c>
      <c r="AR83" s="425" t="s">
        <v>69</v>
      </c>
      <c r="AS83" s="425" t="s">
        <v>69</v>
      </c>
      <c r="AT83" s="425" t="s">
        <v>69</v>
      </c>
      <c r="AU83" s="425" t="s">
        <v>69</v>
      </c>
      <c r="AV83" s="425" t="s">
        <v>69</v>
      </c>
      <c r="AW83" s="425" t="s">
        <v>69</v>
      </c>
      <c r="AX83" s="425" t="s">
        <v>69</v>
      </c>
      <c r="AY83" s="425" t="s">
        <v>69</v>
      </c>
      <c r="AZ83" s="425" t="s">
        <v>69</v>
      </c>
      <c r="BA83" s="425" t="s">
        <v>69</v>
      </c>
      <c r="BB83" s="425" t="s">
        <v>69</v>
      </c>
      <c r="BC83" s="425" t="s">
        <v>69</v>
      </c>
      <c r="BD83" s="425" t="s">
        <v>69</v>
      </c>
      <c r="BE83" s="425" t="s">
        <v>69</v>
      </c>
      <c r="BF83" s="425" t="s">
        <v>69</v>
      </c>
      <c r="BG83" s="425" t="s">
        <v>69</v>
      </c>
      <c r="BH83" s="425" t="s">
        <v>69</v>
      </c>
      <c r="BI83" s="425" t="s">
        <v>69</v>
      </c>
      <c r="BJ83" s="425" t="s">
        <v>69</v>
      </c>
      <c r="BK83" s="425" t="s">
        <v>69</v>
      </c>
      <c r="BL83" s="425" t="s">
        <v>69</v>
      </c>
      <c r="BM83" s="425" t="s">
        <v>69</v>
      </c>
      <c r="BN83" s="425" t="s">
        <v>69</v>
      </c>
      <c r="BO83" s="425" t="s">
        <v>69</v>
      </c>
      <c r="BP83" s="425" t="s">
        <v>69</v>
      </c>
      <c r="BQ83" s="425" t="s">
        <v>69</v>
      </c>
      <c r="BR83" s="425" t="s">
        <v>69</v>
      </c>
      <c r="BS83" s="425" t="s">
        <v>69</v>
      </c>
      <c r="BT83" s="425" t="s">
        <v>69</v>
      </c>
      <c r="BU83" s="425" t="s">
        <v>69</v>
      </c>
      <c r="BV83" s="425" t="s">
        <v>69</v>
      </c>
      <c r="BW83" s="425" t="s">
        <v>69</v>
      </c>
      <c r="BX83" s="425" t="s">
        <v>69</v>
      </c>
      <c r="BY83" s="425" t="s">
        <v>69</v>
      </c>
      <c r="BZ83" s="425" t="s">
        <v>69</v>
      </c>
      <c r="CA83" s="425" t="s">
        <v>69</v>
      </c>
      <c r="CB83" s="425" t="s">
        <v>69</v>
      </c>
      <c r="CC83" s="425" t="s">
        <v>69</v>
      </c>
      <c r="CD83" s="425" t="s">
        <v>69</v>
      </c>
      <c r="CE83" s="425" t="s">
        <v>69</v>
      </c>
      <c r="CF83" s="425" t="s">
        <v>69</v>
      </c>
      <c r="CG83" s="425" t="s">
        <v>69</v>
      </c>
      <c r="CH83" s="425" t="s">
        <v>69</v>
      </c>
      <c r="CI83" s="425" t="s">
        <v>69</v>
      </c>
      <c r="CJ83" s="425" t="s">
        <v>69</v>
      </c>
      <c r="CK83" s="425" t="s">
        <v>69</v>
      </c>
      <c r="CL83" s="425" t="s">
        <v>69</v>
      </c>
      <c r="CM83" s="425">
        <v>4</v>
      </c>
      <c r="CN83" s="425">
        <v>3</v>
      </c>
      <c r="CO83" s="425" t="s">
        <v>69</v>
      </c>
      <c r="CP83" s="425" t="s">
        <v>69</v>
      </c>
      <c r="CQ83" s="425" t="s">
        <v>69</v>
      </c>
      <c r="CR83" s="425" t="s">
        <v>69</v>
      </c>
      <c r="CS83" s="425" t="s">
        <v>69</v>
      </c>
      <c r="CT83" s="425" t="s">
        <v>69</v>
      </c>
      <c r="CU83" s="425" t="s">
        <v>69</v>
      </c>
      <c r="CV83" s="425">
        <v>3</v>
      </c>
      <c r="CW83" s="425" t="s">
        <v>69</v>
      </c>
      <c r="CX83" s="425">
        <v>3</v>
      </c>
      <c r="CY83" s="425" t="s">
        <v>69</v>
      </c>
      <c r="CZ83" s="425" t="s">
        <v>69</v>
      </c>
      <c r="DA83" s="425" t="s">
        <v>69</v>
      </c>
      <c r="DB83" s="425" t="s">
        <v>69</v>
      </c>
      <c r="DC83" s="425" t="s">
        <v>69</v>
      </c>
      <c r="DD83" s="425" t="s">
        <v>69</v>
      </c>
      <c r="DE83" s="425">
        <v>3</v>
      </c>
      <c r="DF83" s="425" t="s">
        <v>69</v>
      </c>
      <c r="DG83" s="425" t="s">
        <v>69</v>
      </c>
      <c r="DH83" s="425" t="s">
        <v>69</v>
      </c>
      <c r="DI83" s="425" t="s">
        <v>69</v>
      </c>
      <c r="DJ83" s="425" t="s">
        <v>69</v>
      </c>
      <c r="DK83" s="425" t="s">
        <v>69</v>
      </c>
      <c r="DL83" s="425" t="s">
        <v>69</v>
      </c>
      <c r="DM83" s="425" t="s">
        <v>69</v>
      </c>
      <c r="DN83" s="425" t="s">
        <v>69</v>
      </c>
      <c r="DO83" s="425" t="s">
        <v>69</v>
      </c>
      <c r="DP83" s="425" t="s">
        <v>69</v>
      </c>
      <c r="DQ83" s="425" t="s">
        <v>69</v>
      </c>
      <c r="DR83" s="425" t="s">
        <v>69</v>
      </c>
      <c r="DS83" s="425" t="s">
        <v>69</v>
      </c>
      <c r="DT83" s="425" t="s">
        <v>69</v>
      </c>
      <c r="DU83" s="422" t="s">
        <v>69</v>
      </c>
      <c r="DV83" s="425" t="s">
        <v>69</v>
      </c>
      <c r="DW83" s="425" t="s">
        <v>69</v>
      </c>
      <c r="DX83" s="425" t="s">
        <v>69</v>
      </c>
      <c r="DY83" s="423">
        <f t="shared" si="4"/>
        <v>9.5238095238095233E-2</v>
      </c>
      <c r="DZ83" s="424">
        <f t="shared" si="5"/>
        <v>1</v>
      </c>
      <c r="EA83" s="519"/>
    </row>
    <row r="84" spans="1:131" s="18" customFormat="1" ht="66.599999999999994" thickBot="1">
      <c r="A84" s="520" t="s">
        <v>903</v>
      </c>
      <c r="B84" s="521" t="s">
        <v>902</v>
      </c>
      <c r="C84" s="419">
        <v>45976</v>
      </c>
      <c r="D84" s="418" t="s">
        <v>1183</v>
      </c>
      <c r="E84" s="429" t="s">
        <v>900</v>
      </c>
      <c r="F84" s="425">
        <v>3</v>
      </c>
      <c r="G84" s="425" t="s">
        <v>69</v>
      </c>
      <c r="H84" s="425">
        <v>3</v>
      </c>
      <c r="I84" s="425" t="s">
        <v>69</v>
      </c>
      <c r="J84" s="425" t="s">
        <v>69</v>
      </c>
      <c r="K84" s="425" t="s">
        <v>69</v>
      </c>
      <c r="L84" s="425" t="s">
        <v>69</v>
      </c>
      <c r="M84" s="425" t="s">
        <v>69</v>
      </c>
      <c r="N84" s="425" t="s">
        <v>69</v>
      </c>
      <c r="O84" s="425" t="s">
        <v>69</v>
      </c>
      <c r="P84" s="425" t="s">
        <v>69</v>
      </c>
      <c r="Q84" s="425">
        <v>3</v>
      </c>
      <c r="R84" s="425" t="s">
        <v>69</v>
      </c>
      <c r="S84" s="425" t="s">
        <v>69</v>
      </c>
      <c r="T84" s="425" t="s">
        <v>69</v>
      </c>
      <c r="U84" s="425" t="s">
        <v>69</v>
      </c>
      <c r="V84" s="425" t="s">
        <v>69</v>
      </c>
      <c r="W84" s="425">
        <v>3</v>
      </c>
      <c r="X84" s="425" t="s">
        <v>69</v>
      </c>
      <c r="Y84" s="425" t="s">
        <v>69</v>
      </c>
      <c r="Z84" s="425" t="s">
        <v>69</v>
      </c>
      <c r="AA84" s="425" t="s">
        <v>69</v>
      </c>
      <c r="AB84" s="425" t="s">
        <v>69</v>
      </c>
      <c r="AC84" s="425" t="s">
        <v>69</v>
      </c>
      <c r="AD84" s="425" t="s">
        <v>69</v>
      </c>
      <c r="AE84" s="425" t="s">
        <v>69</v>
      </c>
      <c r="AF84" s="425">
        <v>3</v>
      </c>
      <c r="AG84" s="425" t="s">
        <v>69</v>
      </c>
      <c r="AH84" s="425" t="s">
        <v>69</v>
      </c>
      <c r="AI84" s="425" t="s">
        <v>69</v>
      </c>
      <c r="AJ84" s="425" t="s">
        <v>69</v>
      </c>
      <c r="AK84" s="425" t="s">
        <v>69</v>
      </c>
      <c r="AL84" s="425" t="s">
        <v>69</v>
      </c>
      <c r="AM84" s="425" t="s">
        <v>69</v>
      </c>
      <c r="AN84" s="425" t="s">
        <v>69</v>
      </c>
      <c r="AO84" s="425" t="s">
        <v>69</v>
      </c>
      <c r="AP84" s="425" t="s">
        <v>69</v>
      </c>
      <c r="AQ84" s="425" t="s">
        <v>69</v>
      </c>
      <c r="AR84" s="425" t="s">
        <v>69</v>
      </c>
      <c r="AS84" s="425" t="s">
        <v>69</v>
      </c>
      <c r="AT84" s="425" t="s">
        <v>69</v>
      </c>
      <c r="AU84" s="425" t="s">
        <v>69</v>
      </c>
      <c r="AV84" s="425" t="s">
        <v>69</v>
      </c>
      <c r="AW84" s="425" t="s">
        <v>69</v>
      </c>
      <c r="AX84" s="425">
        <v>3</v>
      </c>
      <c r="AY84" s="425" t="s">
        <v>69</v>
      </c>
      <c r="AZ84" s="425" t="s">
        <v>69</v>
      </c>
      <c r="BA84" s="425" t="s">
        <v>69</v>
      </c>
      <c r="BB84" s="425" t="s">
        <v>69</v>
      </c>
      <c r="BC84" s="425" t="s">
        <v>69</v>
      </c>
      <c r="BD84" s="425" t="s">
        <v>69</v>
      </c>
      <c r="BE84" s="425" t="s">
        <v>69</v>
      </c>
      <c r="BF84" s="425" t="s">
        <v>69</v>
      </c>
      <c r="BG84" s="425" t="s">
        <v>69</v>
      </c>
      <c r="BH84" s="425" t="s">
        <v>69</v>
      </c>
      <c r="BI84" s="425" t="s">
        <v>69</v>
      </c>
      <c r="BJ84" s="425" t="s">
        <v>69</v>
      </c>
      <c r="BK84" s="425" t="s">
        <v>69</v>
      </c>
      <c r="BL84" s="425" t="s">
        <v>69</v>
      </c>
      <c r="BM84" s="425" t="s">
        <v>69</v>
      </c>
      <c r="BN84" s="425" t="s">
        <v>69</v>
      </c>
      <c r="BO84" s="425" t="s">
        <v>69</v>
      </c>
      <c r="BP84" s="425" t="s">
        <v>69</v>
      </c>
      <c r="BQ84" s="425" t="s">
        <v>69</v>
      </c>
      <c r="BR84" s="425" t="s">
        <v>69</v>
      </c>
      <c r="BS84" s="425" t="s">
        <v>69</v>
      </c>
      <c r="BT84" s="425" t="s">
        <v>69</v>
      </c>
      <c r="BU84" s="425" t="s">
        <v>69</v>
      </c>
      <c r="BV84" s="425" t="s">
        <v>69</v>
      </c>
      <c r="BW84" s="425" t="s">
        <v>69</v>
      </c>
      <c r="BX84" s="425" t="s">
        <v>69</v>
      </c>
      <c r="BY84" s="425" t="s">
        <v>69</v>
      </c>
      <c r="BZ84" s="425" t="s">
        <v>69</v>
      </c>
      <c r="CA84" s="425" t="s">
        <v>69</v>
      </c>
      <c r="CB84" s="425" t="s">
        <v>69</v>
      </c>
      <c r="CC84" s="425" t="s">
        <v>69</v>
      </c>
      <c r="CD84" s="425" t="s">
        <v>69</v>
      </c>
      <c r="CE84" s="425" t="s">
        <v>69</v>
      </c>
      <c r="CF84" s="425" t="s">
        <v>69</v>
      </c>
      <c r="CG84" s="425">
        <v>3</v>
      </c>
      <c r="CH84" s="425" t="s">
        <v>69</v>
      </c>
      <c r="CI84" s="425" t="s">
        <v>69</v>
      </c>
      <c r="CJ84" s="425" t="s">
        <v>69</v>
      </c>
      <c r="CK84" s="425" t="s">
        <v>69</v>
      </c>
      <c r="CL84" s="425" t="s">
        <v>69</v>
      </c>
      <c r="CM84" s="425" t="s">
        <v>69</v>
      </c>
      <c r="CN84" s="425" t="s">
        <v>69</v>
      </c>
      <c r="CO84" s="425" t="s">
        <v>69</v>
      </c>
      <c r="CP84" s="425" t="s">
        <v>69</v>
      </c>
      <c r="CQ84" s="425" t="s">
        <v>69</v>
      </c>
      <c r="CR84" s="425" t="s">
        <v>69</v>
      </c>
      <c r="CS84" s="425" t="s">
        <v>69</v>
      </c>
      <c r="CT84" s="425" t="s">
        <v>69</v>
      </c>
      <c r="CU84" s="425" t="s">
        <v>69</v>
      </c>
      <c r="CV84" s="425" t="s">
        <v>69</v>
      </c>
      <c r="CW84" s="425" t="s">
        <v>69</v>
      </c>
      <c r="CX84" s="425" t="s">
        <v>69</v>
      </c>
      <c r="CY84" s="425" t="s">
        <v>69</v>
      </c>
      <c r="CZ84" s="425" t="s">
        <v>69</v>
      </c>
      <c r="DA84" s="425" t="s">
        <v>69</v>
      </c>
      <c r="DB84" s="425" t="s">
        <v>69</v>
      </c>
      <c r="DC84" s="425" t="s">
        <v>69</v>
      </c>
      <c r="DD84" s="425" t="s">
        <v>69</v>
      </c>
      <c r="DE84" s="425">
        <v>3</v>
      </c>
      <c r="DF84" s="425" t="s">
        <v>69</v>
      </c>
      <c r="DG84" s="425" t="s">
        <v>69</v>
      </c>
      <c r="DH84" s="425" t="s">
        <v>69</v>
      </c>
      <c r="DI84" s="425" t="s">
        <v>69</v>
      </c>
      <c r="DJ84" s="425" t="s">
        <v>69</v>
      </c>
      <c r="DK84" s="425" t="s">
        <v>69</v>
      </c>
      <c r="DL84" s="425">
        <v>3</v>
      </c>
      <c r="DM84" s="425" t="s">
        <v>69</v>
      </c>
      <c r="DN84" s="425" t="s">
        <v>69</v>
      </c>
      <c r="DO84" s="425" t="s">
        <v>69</v>
      </c>
      <c r="DP84" s="425" t="s">
        <v>69</v>
      </c>
      <c r="DQ84" s="425" t="s">
        <v>69</v>
      </c>
      <c r="DR84" s="425" t="s">
        <v>69</v>
      </c>
      <c r="DS84" s="425" t="s">
        <v>69</v>
      </c>
      <c r="DT84" s="425" t="s">
        <v>69</v>
      </c>
      <c r="DU84" s="422" t="s">
        <v>69</v>
      </c>
      <c r="DV84" s="425" t="s">
        <v>69</v>
      </c>
      <c r="DW84" s="425" t="s">
        <v>69</v>
      </c>
      <c r="DX84" s="425" t="s">
        <v>69</v>
      </c>
      <c r="DY84" s="423">
        <f t="shared" si="4"/>
        <v>0.14285714285714285</v>
      </c>
      <c r="DZ84" s="424">
        <f t="shared" si="5"/>
        <v>1</v>
      </c>
      <c r="EA84" s="519"/>
    </row>
    <row r="85" spans="1:131" s="18" customFormat="1" ht="66.599999999999994" thickBot="1">
      <c r="A85" s="520" t="s">
        <v>943</v>
      </c>
      <c r="B85" s="521" t="s">
        <v>944</v>
      </c>
      <c r="C85" s="419">
        <v>45992</v>
      </c>
      <c r="D85" s="418" t="s">
        <v>1183</v>
      </c>
      <c r="E85" s="429" t="s">
        <v>900</v>
      </c>
      <c r="F85" s="425">
        <v>4</v>
      </c>
      <c r="G85" s="425" t="s">
        <v>69</v>
      </c>
      <c r="H85" s="425">
        <v>4</v>
      </c>
      <c r="I85" s="425" t="s">
        <v>69</v>
      </c>
      <c r="J85" s="425" t="s">
        <v>69</v>
      </c>
      <c r="K85" s="425" t="s">
        <v>69</v>
      </c>
      <c r="L85" s="425" t="s">
        <v>69</v>
      </c>
      <c r="M85" s="425" t="s">
        <v>69</v>
      </c>
      <c r="N85" s="425" t="s">
        <v>69</v>
      </c>
      <c r="O85" s="425" t="s">
        <v>69</v>
      </c>
      <c r="P85" s="425">
        <v>3</v>
      </c>
      <c r="Q85" s="425" t="s">
        <v>69</v>
      </c>
      <c r="R85" s="425" t="s">
        <v>69</v>
      </c>
      <c r="S85" s="425" t="s">
        <v>69</v>
      </c>
      <c r="T85" s="425" t="s">
        <v>69</v>
      </c>
      <c r="U85" s="425" t="s">
        <v>69</v>
      </c>
      <c r="V85" s="425" t="s">
        <v>69</v>
      </c>
      <c r="W85" s="425" t="s">
        <v>69</v>
      </c>
      <c r="X85" s="425" t="s">
        <v>69</v>
      </c>
      <c r="Y85" s="425" t="s">
        <v>69</v>
      </c>
      <c r="Z85" s="425" t="s">
        <v>69</v>
      </c>
      <c r="AA85" s="425" t="s">
        <v>69</v>
      </c>
      <c r="AB85" s="425" t="s">
        <v>69</v>
      </c>
      <c r="AC85" s="425" t="s">
        <v>69</v>
      </c>
      <c r="AD85" s="425" t="s">
        <v>69</v>
      </c>
      <c r="AE85" s="425" t="s">
        <v>69</v>
      </c>
      <c r="AF85" s="425" t="s">
        <v>69</v>
      </c>
      <c r="AG85" s="425" t="s">
        <v>69</v>
      </c>
      <c r="AH85" s="425" t="s">
        <v>69</v>
      </c>
      <c r="AI85" s="425" t="s">
        <v>69</v>
      </c>
      <c r="AJ85" s="425" t="s">
        <v>69</v>
      </c>
      <c r="AK85" s="425" t="s">
        <v>69</v>
      </c>
      <c r="AL85" s="425" t="s">
        <v>69</v>
      </c>
      <c r="AM85" s="425" t="s">
        <v>69</v>
      </c>
      <c r="AN85" s="425" t="s">
        <v>69</v>
      </c>
      <c r="AO85" s="425" t="s">
        <v>69</v>
      </c>
      <c r="AP85" s="425" t="s">
        <v>69</v>
      </c>
      <c r="AQ85" s="425" t="s">
        <v>69</v>
      </c>
      <c r="AR85" s="425">
        <v>3</v>
      </c>
      <c r="AS85" s="425" t="s">
        <v>69</v>
      </c>
      <c r="AT85" s="425" t="s">
        <v>69</v>
      </c>
      <c r="AU85" s="425">
        <v>3</v>
      </c>
      <c r="AV85" s="425" t="s">
        <v>69</v>
      </c>
      <c r="AW85" s="425" t="s">
        <v>69</v>
      </c>
      <c r="AX85" s="425">
        <v>3</v>
      </c>
      <c r="AY85" s="425" t="s">
        <v>69</v>
      </c>
      <c r="AZ85" s="425" t="s">
        <v>69</v>
      </c>
      <c r="BA85" s="425" t="s">
        <v>69</v>
      </c>
      <c r="BB85" s="425" t="s">
        <v>69</v>
      </c>
      <c r="BC85" s="425" t="s">
        <v>69</v>
      </c>
      <c r="BD85" s="425" t="s">
        <v>69</v>
      </c>
      <c r="BE85" s="425" t="s">
        <v>69</v>
      </c>
      <c r="BF85" s="425" t="s">
        <v>69</v>
      </c>
      <c r="BG85" s="425" t="s">
        <v>69</v>
      </c>
      <c r="BH85" s="425" t="s">
        <v>69</v>
      </c>
      <c r="BI85" s="425" t="s">
        <v>69</v>
      </c>
      <c r="BJ85" s="425" t="s">
        <v>69</v>
      </c>
      <c r="BK85" s="425" t="s">
        <v>69</v>
      </c>
      <c r="BL85" s="425" t="s">
        <v>69</v>
      </c>
      <c r="BM85" s="425" t="s">
        <v>69</v>
      </c>
      <c r="BN85" s="425" t="s">
        <v>69</v>
      </c>
      <c r="BO85" s="425" t="s">
        <v>69</v>
      </c>
      <c r="BP85" s="425" t="s">
        <v>69</v>
      </c>
      <c r="BQ85" s="425" t="s">
        <v>69</v>
      </c>
      <c r="BR85" s="425">
        <v>3</v>
      </c>
      <c r="BS85" s="425" t="s">
        <v>69</v>
      </c>
      <c r="BT85" s="425" t="s">
        <v>69</v>
      </c>
      <c r="BU85" s="425" t="s">
        <v>69</v>
      </c>
      <c r="BV85" s="425" t="s">
        <v>69</v>
      </c>
      <c r="BW85" s="425" t="s">
        <v>69</v>
      </c>
      <c r="BX85" s="425" t="s">
        <v>69</v>
      </c>
      <c r="BY85" s="425" t="s">
        <v>69</v>
      </c>
      <c r="BZ85" s="425" t="s">
        <v>69</v>
      </c>
      <c r="CA85" s="425" t="s">
        <v>69</v>
      </c>
      <c r="CB85" s="425" t="s">
        <v>69</v>
      </c>
      <c r="CC85" s="425" t="s">
        <v>69</v>
      </c>
      <c r="CD85" s="425" t="s">
        <v>69</v>
      </c>
      <c r="CE85" s="425" t="s">
        <v>69</v>
      </c>
      <c r="CF85" s="425" t="s">
        <v>69</v>
      </c>
      <c r="CG85" s="425" t="s">
        <v>69</v>
      </c>
      <c r="CH85" s="425" t="s">
        <v>69</v>
      </c>
      <c r="CI85" s="425" t="s">
        <v>69</v>
      </c>
      <c r="CJ85" s="425" t="s">
        <v>69</v>
      </c>
      <c r="CK85" s="425" t="s">
        <v>69</v>
      </c>
      <c r="CL85" s="425" t="s">
        <v>69</v>
      </c>
      <c r="CM85" s="425" t="s">
        <v>69</v>
      </c>
      <c r="CN85" s="425" t="s">
        <v>69</v>
      </c>
      <c r="CO85" s="425" t="s">
        <v>69</v>
      </c>
      <c r="CP85" s="425" t="s">
        <v>69</v>
      </c>
      <c r="CQ85" s="425" t="s">
        <v>69</v>
      </c>
      <c r="CR85" s="425" t="s">
        <v>69</v>
      </c>
      <c r="CS85" s="425" t="s">
        <v>69</v>
      </c>
      <c r="CT85" s="425" t="s">
        <v>69</v>
      </c>
      <c r="CU85" s="425" t="s">
        <v>69</v>
      </c>
      <c r="CV85" s="425" t="s">
        <v>69</v>
      </c>
      <c r="CW85" s="425" t="s">
        <v>69</v>
      </c>
      <c r="CX85" s="425" t="s">
        <v>69</v>
      </c>
      <c r="CY85" s="425" t="s">
        <v>69</v>
      </c>
      <c r="CZ85" s="425">
        <v>3</v>
      </c>
      <c r="DA85" s="425" t="s">
        <v>69</v>
      </c>
      <c r="DB85" s="425" t="s">
        <v>69</v>
      </c>
      <c r="DC85" s="425" t="s">
        <v>69</v>
      </c>
      <c r="DD85" s="425" t="s">
        <v>69</v>
      </c>
      <c r="DE85" s="425" t="s">
        <v>69</v>
      </c>
      <c r="DF85" s="425" t="s">
        <v>69</v>
      </c>
      <c r="DG85" s="425" t="s">
        <v>69</v>
      </c>
      <c r="DH85" s="425" t="s">
        <v>69</v>
      </c>
      <c r="DI85" s="425" t="s">
        <v>69</v>
      </c>
      <c r="DJ85" s="425" t="s">
        <v>69</v>
      </c>
      <c r="DK85" s="425" t="s">
        <v>69</v>
      </c>
      <c r="DL85" s="425" t="s">
        <v>69</v>
      </c>
      <c r="DM85" s="425" t="s">
        <v>69</v>
      </c>
      <c r="DN85" s="425" t="s">
        <v>69</v>
      </c>
      <c r="DO85" s="425" t="s">
        <v>69</v>
      </c>
      <c r="DP85" s="425" t="s">
        <v>69</v>
      </c>
      <c r="DQ85" s="425" t="s">
        <v>69</v>
      </c>
      <c r="DR85" s="425" t="s">
        <v>69</v>
      </c>
      <c r="DS85" s="425" t="s">
        <v>69</v>
      </c>
      <c r="DT85" s="425" t="s">
        <v>69</v>
      </c>
      <c r="DU85" s="422" t="s">
        <v>69</v>
      </c>
      <c r="DV85" s="425" t="s">
        <v>69</v>
      </c>
      <c r="DW85" s="425" t="s">
        <v>69</v>
      </c>
      <c r="DX85" s="425" t="s">
        <v>69</v>
      </c>
      <c r="DY85" s="423">
        <f t="shared" si="4"/>
        <v>0.12698412698412698</v>
      </c>
      <c r="DZ85" s="424">
        <f t="shared" si="5"/>
        <v>1</v>
      </c>
      <c r="EA85" s="519"/>
    </row>
    <row r="86" spans="1:131" s="18" customFormat="1" ht="66.599999999999994" thickBot="1">
      <c r="A86" s="520" t="s">
        <v>945</v>
      </c>
      <c r="B86" s="521" t="s">
        <v>946</v>
      </c>
      <c r="C86" s="522">
        <v>45992</v>
      </c>
      <c r="D86" s="418" t="s">
        <v>1183</v>
      </c>
      <c r="E86" s="429" t="s">
        <v>900</v>
      </c>
      <c r="F86" s="425">
        <v>3</v>
      </c>
      <c r="G86" s="425" t="s">
        <v>69</v>
      </c>
      <c r="H86" s="425">
        <v>3</v>
      </c>
      <c r="I86" s="425" t="s">
        <v>69</v>
      </c>
      <c r="J86" s="425" t="s">
        <v>69</v>
      </c>
      <c r="K86" s="425" t="s">
        <v>69</v>
      </c>
      <c r="L86" s="425" t="s">
        <v>69</v>
      </c>
      <c r="M86" s="425" t="s">
        <v>69</v>
      </c>
      <c r="N86" s="425" t="s">
        <v>69</v>
      </c>
      <c r="O86" s="425">
        <v>3</v>
      </c>
      <c r="P86" s="425" t="s">
        <v>69</v>
      </c>
      <c r="Q86" s="425" t="s">
        <v>69</v>
      </c>
      <c r="R86" s="425" t="s">
        <v>69</v>
      </c>
      <c r="S86" s="425" t="s">
        <v>69</v>
      </c>
      <c r="T86" s="425" t="s">
        <v>69</v>
      </c>
      <c r="U86" s="425" t="s">
        <v>69</v>
      </c>
      <c r="V86" s="425" t="s">
        <v>69</v>
      </c>
      <c r="W86" s="425" t="s">
        <v>69</v>
      </c>
      <c r="X86" s="425" t="s">
        <v>69</v>
      </c>
      <c r="Y86" s="425" t="s">
        <v>69</v>
      </c>
      <c r="Z86" s="425" t="s">
        <v>69</v>
      </c>
      <c r="AA86" s="425" t="s">
        <v>69</v>
      </c>
      <c r="AB86" s="425" t="s">
        <v>69</v>
      </c>
      <c r="AC86" s="425" t="s">
        <v>69</v>
      </c>
      <c r="AD86" s="425" t="s">
        <v>69</v>
      </c>
      <c r="AE86" s="425" t="s">
        <v>69</v>
      </c>
      <c r="AF86" s="425" t="s">
        <v>69</v>
      </c>
      <c r="AG86" s="425" t="s">
        <v>69</v>
      </c>
      <c r="AH86" s="425" t="s">
        <v>69</v>
      </c>
      <c r="AI86" s="425" t="s">
        <v>69</v>
      </c>
      <c r="AJ86" s="425" t="s">
        <v>69</v>
      </c>
      <c r="AK86" s="425" t="s">
        <v>69</v>
      </c>
      <c r="AL86" s="425" t="s">
        <v>69</v>
      </c>
      <c r="AM86" s="425" t="s">
        <v>69</v>
      </c>
      <c r="AN86" s="425" t="s">
        <v>69</v>
      </c>
      <c r="AO86" s="425" t="s">
        <v>69</v>
      </c>
      <c r="AP86" s="425" t="s">
        <v>69</v>
      </c>
      <c r="AQ86" s="425" t="s">
        <v>69</v>
      </c>
      <c r="AR86" s="425" t="s">
        <v>69</v>
      </c>
      <c r="AS86" s="425" t="s">
        <v>69</v>
      </c>
      <c r="AT86" s="425" t="s">
        <v>69</v>
      </c>
      <c r="AU86" s="425" t="s">
        <v>69</v>
      </c>
      <c r="AV86" s="425" t="s">
        <v>69</v>
      </c>
      <c r="AW86" s="425" t="s">
        <v>69</v>
      </c>
      <c r="AX86" s="425">
        <v>3</v>
      </c>
      <c r="AY86" s="425" t="s">
        <v>69</v>
      </c>
      <c r="AZ86" s="425" t="s">
        <v>69</v>
      </c>
      <c r="BA86" s="425" t="s">
        <v>69</v>
      </c>
      <c r="BB86" s="425" t="s">
        <v>69</v>
      </c>
      <c r="BC86" s="425" t="s">
        <v>69</v>
      </c>
      <c r="BD86" s="425">
        <v>3</v>
      </c>
      <c r="BE86" s="425">
        <v>3</v>
      </c>
      <c r="BF86" s="425" t="s">
        <v>69</v>
      </c>
      <c r="BG86" s="425" t="s">
        <v>69</v>
      </c>
      <c r="BH86" s="425" t="s">
        <v>69</v>
      </c>
      <c r="BI86" s="425" t="s">
        <v>69</v>
      </c>
      <c r="BJ86" s="425" t="s">
        <v>69</v>
      </c>
      <c r="BK86" s="425" t="s">
        <v>69</v>
      </c>
      <c r="BL86" s="425" t="s">
        <v>69</v>
      </c>
      <c r="BM86" s="425" t="s">
        <v>69</v>
      </c>
      <c r="BN86" s="425" t="s">
        <v>69</v>
      </c>
      <c r="BO86" s="425" t="s">
        <v>69</v>
      </c>
      <c r="BP86" s="425" t="s">
        <v>69</v>
      </c>
      <c r="BQ86" s="425" t="s">
        <v>69</v>
      </c>
      <c r="BR86" s="425">
        <v>3</v>
      </c>
      <c r="BS86" s="425" t="s">
        <v>69</v>
      </c>
      <c r="BT86" s="425" t="s">
        <v>69</v>
      </c>
      <c r="BU86" s="425" t="s">
        <v>69</v>
      </c>
      <c r="BV86" s="425" t="s">
        <v>69</v>
      </c>
      <c r="BW86" s="425" t="s">
        <v>69</v>
      </c>
      <c r="BX86" s="425" t="s">
        <v>69</v>
      </c>
      <c r="BY86" s="425">
        <v>3</v>
      </c>
      <c r="BZ86" s="425">
        <v>3</v>
      </c>
      <c r="CA86" s="425" t="s">
        <v>69</v>
      </c>
      <c r="CB86" s="425" t="s">
        <v>69</v>
      </c>
      <c r="CC86" s="425" t="s">
        <v>69</v>
      </c>
      <c r="CD86" s="425" t="s">
        <v>69</v>
      </c>
      <c r="CE86" s="425" t="s">
        <v>69</v>
      </c>
      <c r="CF86" s="425" t="s">
        <v>69</v>
      </c>
      <c r="CG86" s="425" t="s">
        <v>69</v>
      </c>
      <c r="CH86" s="425" t="s">
        <v>69</v>
      </c>
      <c r="CI86" s="425" t="s">
        <v>69</v>
      </c>
      <c r="CJ86" s="425" t="s">
        <v>69</v>
      </c>
      <c r="CK86" s="425" t="s">
        <v>69</v>
      </c>
      <c r="CL86" s="425" t="s">
        <v>69</v>
      </c>
      <c r="CM86" s="425" t="s">
        <v>69</v>
      </c>
      <c r="CN86" s="425" t="s">
        <v>69</v>
      </c>
      <c r="CO86" s="425" t="s">
        <v>69</v>
      </c>
      <c r="CP86" s="425">
        <v>3</v>
      </c>
      <c r="CQ86" s="425" t="s">
        <v>69</v>
      </c>
      <c r="CR86" s="425" t="s">
        <v>69</v>
      </c>
      <c r="CS86" s="425" t="s">
        <v>69</v>
      </c>
      <c r="CT86" s="425" t="s">
        <v>69</v>
      </c>
      <c r="CU86" s="425" t="s">
        <v>69</v>
      </c>
      <c r="CV86" s="425" t="s">
        <v>69</v>
      </c>
      <c r="CW86" s="425" t="s">
        <v>69</v>
      </c>
      <c r="CX86" s="425" t="s">
        <v>69</v>
      </c>
      <c r="CY86" s="425" t="s">
        <v>69</v>
      </c>
      <c r="CZ86" s="425" t="s">
        <v>69</v>
      </c>
      <c r="DA86" s="425" t="s">
        <v>69</v>
      </c>
      <c r="DB86" s="425" t="s">
        <v>69</v>
      </c>
      <c r="DC86" s="425" t="s">
        <v>69</v>
      </c>
      <c r="DD86" s="425" t="s">
        <v>69</v>
      </c>
      <c r="DE86" s="425" t="s">
        <v>69</v>
      </c>
      <c r="DF86" s="425" t="s">
        <v>69</v>
      </c>
      <c r="DG86" s="425" t="s">
        <v>69</v>
      </c>
      <c r="DH86" s="425" t="s">
        <v>69</v>
      </c>
      <c r="DI86" s="425" t="s">
        <v>69</v>
      </c>
      <c r="DJ86" s="425" t="s">
        <v>69</v>
      </c>
      <c r="DK86" s="425" t="s">
        <v>69</v>
      </c>
      <c r="DL86" s="425" t="s">
        <v>69</v>
      </c>
      <c r="DM86" s="425" t="s">
        <v>69</v>
      </c>
      <c r="DN86" s="425">
        <v>3</v>
      </c>
      <c r="DO86" s="425" t="s">
        <v>69</v>
      </c>
      <c r="DP86" s="425" t="s">
        <v>69</v>
      </c>
      <c r="DQ86" s="425" t="s">
        <v>69</v>
      </c>
      <c r="DR86" s="425" t="s">
        <v>69</v>
      </c>
      <c r="DS86" s="425" t="s">
        <v>69</v>
      </c>
      <c r="DT86" s="425" t="s">
        <v>69</v>
      </c>
      <c r="DU86" s="422" t="s">
        <v>69</v>
      </c>
      <c r="DV86" s="425" t="s">
        <v>69</v>
      </c>
      <c r="DW86" s="425" t="s">
        <v>69</v>
      </c>
      <c r="DX86" s="425" t="s">
        <v>69</v>
      </c>
      <c r="DY86" s="423">
        <f t="shared" si="4"/>
        <v>0.17460317460317459</v>
      </c>
      <c r="DZ86" s="424">
        <f t="shared" si="5"/>
        <v>1</v>
      </c>
      <c r="EA86" s="519"/>
    </row>
    <row r="87" spans="1:131" s="18" customFormat="1" ht="66.599999999999994" thickBot="1">
      <c r="A87" s="520" t="s">
        <v>947</v>
      </c>
      <c r="B87" s="521" t="s">
        <v>948</v>
      </c>
      <c r="C87" s="419">
        <v>45992</v>
      </c>
      <c r="D87" s="418" t="s">
        <v>1183</v>
      </c>
      <c r="E87" s="429" t="s">
        <v>900</v>
      </c>
      <c r="F87" s="425">
        <v>3</v>
      </c>
      <c r="G87" s="425" t="s">
        <v>69</v>
      </c>
      <c r="H87" s="425">
        <v>3</v>
      </c>
      <c r="I87" s="425" t="s">
        <v>69</v>
      </c>
      <c r="J87" s="425" t="s">
        <v>69</v>
      </c>
      <c r="K87" s="425" t="s">
        <v>69</v>
      </c>
      <c r="L87" s="425" t="s">
        <v>69</v>
      </c>
      <c r="M87" s="425" t="s">
        <v>69</v>
      </c>
      <c r="N87" s="425" t="s">
        <v>69</v>
      </c>
      <c r="O87" s="425" t="s">
        <v>69</v>
      </c>
      <c r="P87" s="425" t="s">
        <v>69</v>
      </c>
      <c r="Q87" s="425" t="s">
        <v>69</v>
      </c>
      <c r="R87" s="425" t="s">
        <v>69</v>
      </c>
      <c r="S87" s="425" t="s">
        <v>69</v>
      </c>
      <c r="T87" s="425" t="s">
        <v>69</v>
      </c>
      <c r="U87" s="425" t="s">
        <v>69</v>
      </c>
      <c r="V87" s="425" t="s">
        <v>69</v>
      </c>
      <c r="W87" s="425" t="s">
        <v>69</v>
      </c>
      <c r="X87" s="425" t="s">
        <v>69</v>
      </c>
      <c r="Y87" s="425" t="s">
        <v>69</v>
      </c>
      <c r="Z87" s="425" t="s">
        <v>69</v>
      </c>
      <c r="AA87" s="425" t="s">
        <v>69</v>
      </c>
      <c r="AB87" s="425" t="s">
        <v>69</v>
      </c>
      <c r="AC87" s="425" t="s">
        <v>69</v>
      </c>
      <c r="AD87" s="425" t="s">
        <v>69</v>
      </c>
      <c r="AE87" s="425" t="s">
        <v>69</v>
      </c>
      <c r="AF87" s="425" t="s">
        <v>69</v>
      </c>
      <c r="AG87" s="425" t="s">
        <v>69</v>
      </c>
      <c r="AH87" s="425" t="s">
        <v>69</v>
      </c>
      <c r="AI87" s="425" t="s">
        <v>69</v>
      </c>
      <c r="AJ87" s="425" t="s">
        <v>69</v>
      </c>
      <c r="AK87" s="425" t="s">
        <v>69</v>
      </c>
      <c r="AL87" s="425" t="s">
        <v>69</v>
      </c>
      <c r="AM87" s="425" t="s">
        <v>69</v>
      </c>
      <c r="AN87" s="425" t="s">
        <v>69</v>
      </c>
      <c r="AO87" s="425" t="s">
        <v>69</v>
      </c>
      <c r="AP87" s="425" t="s">
        <v>69</v>
      </c>
      <c r="AQ87" s="425" t="s">
        <v>69</v>
      </c>
      <c r="AR87" s="425" t="s">
        <v>69</v>
      </c>
      <c r="AS87" s="425" t="s">
        <v>69</v>
      </c>
      <c r="AT87" s="425" t="s">
        <v>69</v>
      </c>
      <c r="AU87" s="425" t="s">
        <v>69</v>
      </c>
      <c r="AV87" s="425" t="s">
        <v>69</v>
      </c>
      <c r="AW87" s="425" t="s">
        <v>69</v>
      </c>
      <c r="AX87" s="425" t="s">
        <v>69</v>
      </c>
      <c r="AY87" s="425" t="s">
        <v>69</v>
      </c>
      <c r="AZ87" s="425" t="s">
        <v>69</v>
      </c>
      <c r="BA87" s="425" t="s">
        <v>69</v>
      </c>
      <c r="BB87" s="425" t="s">
        <v>69</v>
      </c>
      <c r="BC87" s="425" t="s">
        <v>69</v>
      </c>
      <c r="BD87" s="425" t="s">
        <v>69</v>
      </c>
      <c r="BE87" s="425" t="s">
        <v>69</v>
      </c>
      <c r="BF87" s="425" t="s">
        <v>69</v>
      </c>
      <c r="BG87" s="425" t="s">
        <v>69</v>
      </c>
      <c r="BH87" s="425" t="s">
        <v>69</v>
      </c>
      <c r="BI87" s="425" t="s">
        <v>69</v>
      </c>
      <c r="BJ87" s="425" t="s">
        <v>69</v>
      </c>
      <c r="BK87" s="425" t="s">
        <v>69</v>
      </c>
      <c r="BL87" s="425" t="s">
        <v>69</v>
      </c>
      <c r="BM87" s="425" t="s">
        <v>69</v>
      </c>
      <c r="BN87" s="425" t="s">
        <v>69</v>
      </c>
      <c r="BO87" s="425" t="s">
        <v>69</v>
      </c>
      <c r="BP87" s="425" t="s">
        <v>69</v>
      </c>
      <c r="BQ87" s="425" t="s">
        <v>69</v>
      </c>
      <c r="BR87" s="425" t="s">
        <v>69</v>
      </c>
      <c r="BS87" s="425" t="s">
        <v>69</v>
      </c>
      <c r="BT87" s="425" t="s">
        <v>69</v>
      </c>
      <c r="BU87" s="425" t="s">
        <v>69</v>
      </c>
      <c r="BV87" s="425" t="s">
        <v>69</v>
      </c>
      <c r="BW87" s="425" t="s">
        <v>69</v>
      </c>
      <c r="BX87" s="425" t="s">
        <v>69</v>
      </c>
      <c r="BY87" s="425" t="s">
        <v>69</v>
      </c>
      <c r="BZ87" s="425" t="s">
        <v>69</v>
      </c>
      <c r="CA87" s="425" t="s">
        <v>69</v>
      </c>
      <c r="CB87" s="425" t="s">
        <v>69</v>
      </c>
      <c r="CC87" s="425" t="s">
        <v>69</v>
      </c>
      <c r="CD87" s="425" t="s">
        <v>69</v>
      </c>
      <c r="CE87" s="425" t="s">
        <v>69</v>
      </c>
      <c r="CF87" s="425" t="s">
        <v>69</v>
      </c>
      <c r="CG87" s="425" t="s">
        <v>69</v>
      </c>
      <c r="CH87" s="425" t="s">
        <v>69</v>
      </c>
      <c r="CI87" s="425" t="s">
        <v>69</v>
      </c>
      <c r="CJ87" s="425" t="s">
        <v>69</v>
      </c>
      <c r="CK87" s="425" t="s">
        <v>69</v>
      </c>
      <c r="CL87" s="425" t="s">
        <v>69</v>
      </c>
      <c r="CM87" s="425">
        <v>4</v>
      </c>
      <c r="CN87" s="425" t="s">
        <v>69</v>
      </c>
      <c r="CO87" s="425" t="s">
        <v>69</v>
      </c>
      <c r="CP87" s="425" t="s">
        <v>69</v>
      </c>
      <c r="CQ87" s="425" t="s">
        <v>69</v>
      </c>
      <c r="CR87" s="425">
        <v>3</v>
      </c>
      <c r="CS87" s="425" t="s">
        <v>69</v>
      </c>
      <c r="CT87" s="425" t="s">
        <v>69</v>
      </c>
      <c r="CU87" s="425" t="s">
        <v>69</v>
      </c>
      <c r="CV87" s="425" t="s">
        <v>69</v>
      </c>
      <c r="CW87" s="425" t="s">
        <v>69</v>
      </c>
      <c r="CX87" s="425" t="s">
        <v>69</v>
      </c>
      <c r="CY87" s="425" t="s">
        <v>69</v>
      </c>
      <c r="CZ87" s="425" t="s">
        <v>69</v>
      </c>
      <c r="DA87" s="425" t="s">
        <v>69</v>
      </c>
      <c r="DB87" s="425" t="s">
        <v>69</v>
      </c>
      <c r="DC87" s="425" t="s">
        <v>69</v>
      </c>
      <c r="DD87" s="425" t="s">
        <v>69</v>
      </c>
      <c r="DE87" s="425" t="s">
        <v>69</v>
      </c>
      <c r="DF87" s="425" t="s">
        <v>69</v>
      </c>
      <c r="DG87" s="425" t="s">
        <v>69</v>
      </c>
      <c r="DH87" s="425" t="s">
        <v>69</v>
      </c>
      <c r="DI87" s="425" t="s">
        <v>69</v>
      </c>
      <c r="DJ87" s="425" t="s">
        <v>69</v>
      </c>
      <c r="DK87" s="425" t="s">
        <v>69</v>
      </c>
      <c r="DL87" s="425" t="s">
        <v>69</v>
      </c>
      <c r="DM87" s="425" t="s">
        <v>69</v>
      </c>
      <c r="DN87" s="425" t="s">
        <v>69</v>
      </c>
      <c r="DO87" s="425" t="s">
        <v>69</v>
      </c>
      <c r="DP87" s="425" t="s">
        <v>69</v>
      </c>
      <c r="DQ87" s="425" t="s">
        <v>69</v>
      </c>
      <c r="DR87" s="425" t="s">
        <v>69</v>
      </c>
      <c r="DS87" s="425" t="s">
        <v>69</v>
      </c>
      <c r="DT87" s="425" t="s">
        <v>69</v>
      </c>
      <c r="DU87" s="422" t="s">
        <v>69</v>
      </c>
      <c r="DV87" s="425" t="s">
        <v>69</v>
      </c>
      <c r="DW87" s="425" t="s">
        <v>69</v>
      </c>
      <c r="DX87" s="425" t="s">
        <v>69</v>
      </c>
      <c r="DY87" s="423">
        <f t="shared" si="4"/>
        <v>6.3492063492063489E-2</v>
      </c>
      <c r="DZ87" s="424">
        <f t="shared" si="5"/>
        <v>1</v>
      </c>
      <c r="EA87" s="519"/>
    </row>
    <row r="88" spans="1:131" s="18" customFormat="1" ht="66.599999999999994" thickBot="1">
      <c r="A88" s="520" t="s">
        <v>949</v>
      </c>
      <c r="B88" s="521" t="s">
        <v>950</v>
      </c>
      <c r="C88" s="419">
        <v>45992</v>
      </c>
      <c r="D88" s="418" t="s">
        <v>1183</v>
      </c>
      <c r="E88" s="429" t="s">
        <v>900</v>
      </c>
      <c r="F88" s="425" t="s">
        <v>69</v>
      </c>
      <c r="G88" s="425" t="s">
        <v>69</v>
      </c>
      <c r="H88" s="425" t="s">
        <v>69</v>
      </c>
      <c r="I88" s="425">
        <v>3</v>
      </c>
      <c r="J88" s="425" t="s">
        <v>69</v>
      </c>
      <c r="K88" s="425">
        <v>3</v>
      </c>
      <c r="L88" s="425" t="s">
        <v>69</v>
      </c>
      <c r="M88" s="425" t="s">
        <v>69</v>
      </c>
      <c r="N88" s="425" t="s">
        <v>69</v>
      </c>
      <c r="O88" s="425">
        <v>3</v>
      </c>
      <c r="P88" s="425" t="s">
        <v>69</v>
      </c>
      <c r="Q88" s="425" t="s">
        <v>69</v>
      </c>
      <c r="R88" s="425" t="s">
        <v>69</v>
      </c>
      <c r="S88" s="425" t="s">
        <v>69</v>
      </c>
      <c r="T88" s="425" t="s">
        <v>69</v>
      </c>
      <c r="U88" s="425" t="s">
        <v>69</v>
      </c>
      <c r="V88" s="425" t="s">
        <v>69</v>
      </c>
      <c r="W88" s="425" t="s">
        <v>69</v>
      </c>
      <c r="X88" s="425" t="s">
        <v>69</v>
      </c>
      <c r="Y88" s="425" t="s">
        <v>69</v>
      </c>
      <c r="Z88" s="425" t="s">
        <v>69</v>
      </c>
      <c r="AA88" s="425" t="s">
        <v>69</v>
      </c>
      <c r="AB88" s="425" t="s">
        <v>69</v>
      </c>
      <c r="AC88" s="425" t="s">
        <v>69</v>
      </c>
      <c r="AD88" s="425" t="s">
        <v>69</v>
      </c>
      <c r="AE88" s="425" t="s">
        <v>69</v>
      </c>
      <c r="AF88" s="425" t="s">
        <v>69</v>
      </c>
      <c r="AG88" s="425" t="s">
        <v>69</v>
      </c>
      <c r="AH88" s="425" t="s">
        <v>69</v>
      </c>
      <c r="AI88" s="425" t="s">
        <v>69</v>
      </c>
      <c r="AJ88" s="425" t="s">
        <v>69</v>
      </c>
      <c r="AK88" s="425" t="s">
        <v>69</v>
      </c>
      <c r="AL88" s="425" t="s">
        <v>69</v>
      </c>
      <c r="AM88" s="425" t="s">
        <v>69</v>
      </c>
      <c r="AN88" s="425" t="s">
        <v>69</v>
      </c>
      <c r="AO88" s="425" t="s">
        <v>69</v>
      </c>
      <c r="AP88" s="425" t="s">
        <v>69</v>
      </c>
      <c r="AQ88" s="425" t="s">
        <v>69</v>
      </c>
      <c r="AR88" s="425">
        <v>3</v>
      </c>
      <c r="AS88" s="425">
        <v>3</v>
      </c>
      <c r="AT88" s="425" t="s">
        <v>69</v>
      </c>
      <c r="AU88" s="425">
        <v>3</v>
      </c>
      <c r="AV88" s="425">
        <v>3</v>
      </c>
      <c r="AW88" s="425" t="s">
        <v>69</v>
      </c>
      <c r="AX88" s="425">
        <v>3</v>
      </c>
      <c r="AY88" s="425" t="s">
        <v>69</v>
      </c>
      <c r="AZ88" s="425" t="s">
        <v>69</v>
      </c>
      <c r="BA88" s="425" t="s">
        <v>69</v>
      </c>
      <c r="BB88" s="425" t="s">
        <v>69</v>
      </c>
      <c r="BC88" s="425" t="s">
        <v>69</v>
      </c>
      <c r="BD88" s="425" t="s">
        <v>69</v>
      </c>
      <c r="BE88" s="425">
        <v>3</v>
      </c>
      <c r="BF88" s="425" t="s">
        <v>69</v>
      </c>
      <c r="BG88" s="425" t="s">
        <v>69</v>
      </c>
      <c r="BH88" s="425" t="s">
        <v>69</v>
      </c>
      <c r="BI88" s="425" t="s">
        <v>69</v>
      </c>
      <c r="BJ88" s="425" t="s">
        <v>69</v>
      </c>
      <c r="BK88" s="425" t="s">
        <v>69</v>
      </c>
      <c r="BL88" s="425" t="s">
        <v>69</v>
      </c>
      <c r="BM88" s="425" t="s">
        <v>69</v>
      </c>
      <c r="BN88" s="425" t="s">
        <v>69</v>
      </c>
      <c r="BO88" s="425" t="s">
        <v>69</v>
      </c>
      <c r="BP88" s="425" t="s">
        <v>69</v>
      </c>
      <c r="BQ88" s="425" t="s">
        <v>69</v>
      </c>
      <c r="BR88" s="425">
        <v>3</v>
      </c>
      <c r="BS88" s="425" t="s">
        <v>69</v>
      </c>
      <c r="BT88" s="425" t="s">
        <v>69</v>
      </c>
      <c r="BU88" s="425" t="s">
        <v>69</v>
      </c>
      <c r="BV88" s="425" t="s">
        <v>69</v>
      </c>
      <c r="BW88" s="425" t="s">
        <v>69</v>
      </c>
      <c r="BX88" s="425" t="s">
        <v>69</v>
      </c>
      <c r="BY88" s="425" t="s">
        <v>69</v>
      </c>
      <c r="BZ88" s="425" t="s">
        <v>69</v>
      </c>
      <c r="CA88" s="425" t="s">
        <v>69</v>
      </c>
      <c r="CB88" s="425" t="s">
        <v>69</v>
      </c>
      <c r="CC88" s="425" t="s">
        <v>69</v>
      </c>
      <c r="CD88" s="425" t="s">
        <v>69</v>
      </c>
      <c r="CE88" s="425" t="s">
        <v>69</v>
      </c>
      <c r="CF88" s="425" t="s">
        <v>69</v>
      </c>
      <c r="CG88" s="425" t="s">
        <v>69</v>
      </c>
      <c r="CH88" s="425" t="s">
        <v>69</v>
      </c>
      <c r="CI88" s="425" t="s">
        <v>69</v>
      </c>
      <c r="CJ88" s="425" t="s">
        <v>69</v>
      </c>
      <c r="CK88" s="425" t="s">
        <v>69</v>
      </c>
      <c r="CL88" s="425" t="s">
        <v>69</v>
      </c>
      <c r="CM88" s="425" t="s">
        <v>69</v>
      </c>
      <c r="CN88" s="425" t="s">
        <v>69</v>
      </c>
      <c r="CO88" s="425">
        <v>3</v>
      </c>
      <c r="CP88" s="425">
        <v>3</v>
      </c>
      <c r="CQ88" s="425" t="s">
        <v>69</v>
      </c>
      <c r="CR88" s="425" t="s">
        <v>69</v>
      </c>
      <c r="CS88" s="425">
        <v>3</v>
      </c>
      <c r="CT88" s="425" t="s">
        <v>69</v>
      </c>
      <c r="CU88" s="425" t="s">
        <v>69</v>
      </c>
      <c r="CV88" s="425" t="s">
        <v>69</v>
      </c>
      <c r="CW88" s="425" t="s">
        <v>69</v>
      </c>
      <c r="CX88" s="425" t="s">
        <v>69</v>
      </c>
      <c r="CY88" s="425" t="s">
        <v>69</v>
      </c>
      <c r="CZ88" s="425" t="s">
        <v>69</v>
      </c>
      <c r="DA88" s="425" t="s">
        <v>69</v>
      </c>
      <c r="DB88" s="425" t="s">
        <v>69</v>
      </c>
      <c r="DC88" s="425" t="s">
        <v>69</v>
      </c>
      <c r="DD88" s="425" t="s">
        <v>69</v>
      </c>
      <c r="DE88" s="425" t="s">
        <v>69</v>
      </c>
      <c r="DF88" s="425" t="s">
        <v>69</v>
      </c>
      <c r="DG88" s="425" t="s">
        <v>69</v>
      </c>
      <c r="DH88" s="425" t="s">
        <v>69</v>
      </c>
      <c r="DI88" s="425" t="s">
        <v>69</v>
      </c>
      <c r="DJ88" s="425" t="s">
        <v>69</v>
      </c>
      <c r="DK88" s="425" t="s">
        <v>69</v>
      </c>
      <c r="DL88" s="425" t="s">
        <v>69</v>
      </c>
      <c r="DM88" s="425">
        <v>3</v>
      </c>
      <c r="DN88" s="425" t="s">
        <v>69</v>
      </c>
      <c r="DO88" s="425" t="s">
        <v>69</v>
      </c>
      <c r="DP88" s="425" t="s">
        <v>69</v>
      </c>
      <c r="DQ88" s="425" t="s">
        <v>69</v>
      </c>
      <c r="DR88" s="425" t="s">
        <v>69</v>
      </c>
      <c r="DS88" s="425" t="s">
        <v>69</v>
      </c>
      <c r="DT88" s="425" t="s">
        <v>69</v>
      </c>
      <c r="DU88" s="422" t="s">
        <v>69</v>
      </c>
      <c r="DV88" s="425" t="s">
        <v>69</v>
      </c>
      <c r="DW88" s="425" t="s">
        <v>69</v>
      </c>
      <c r="DX88" s="425" t="s">
        <v>69</v>
      </c>
      <c r="DY88" s="423">
        <f t="shared" si="4"/>
        <v>0.22222222222222221</v>
      </c>
      <c r="DZ88" s="424">
        <f t="shared" si="5"/>
        <v>1</v>
      </c>
      <c r="EA88" s="519"/>
    </row>
    <row r="89" spans="1:131" s="18" customFormat="1" ht="61.8" thickBot="1">
      <c r="A89" s="520" t="s">
        <v>951</v>
      </c>
      <c r="B89" s="521" t="s">
        <v>952</v>
      </c>
      <c r="C89" s="419">
        <v>45992</v>
      </c>
      <c r="D89" s="418" t="s">
        <v>1183</v>
      </c>
      <c r="E89" s="429" t="s">
        <v>900</v>
      </c>
      <c r="F89" s="425">
        <v>4</v>
      </c>
      <c r="G89" s="425" t="s">
        <v>69</v>
      </c>
      <c r="H89" s="425">
        <v>4</v>
      </c>
      <c r="I89" s="425">
        <v>4</v>
      </c>
      <c r="J89" s="425" t="s">
        <v>69</v>
      </c>
      <c r="K89" s="425">
        <v>3</v>
      </c>
      <c r="L89" s="425" t="s">
        <v>69</v>
      </c>
      <c r="M89" s="425" t="s">
        <v>69</v>
      </c>
      <c r="N89" s="425" t="s">
        <v>69</v>
      </c>
      <c r="O89" s="425">
        <v>4</v>
      </c>
      <c r="P89" s="425" t="s">
        <v>69</v>
      </c>
      <c r="Q89" s="425" t="s">
        <v>69</v>
      </c>
      <c r="R89" s="425" t="s">
        <v>69</v>
      </c>
      <c r="S89" s="425" t="s">
        <v>69</v>
      </c>
      <c r="T89" s="425" t="s">
        <v>69</v>
      </c>
      <c r="U89" s="425" t="s">
        <v>69</v>
      </c>
      <c r="V89" s="425" t="s">
        <v>69</v>
      </c>
      <c r="W89" s="425" t="s">
        <v>69</v>
      </c>
      <c r="X89" s="425" t="s">
        <v>69</v>
      </c>
      <c r="Y89" s="425" t="s">
        <v>69</v>
      </c>
      <c r="Z89" s="425" t="s">
        <v>69</v>
      </c>
      <c r="AA89" s="425" t="s">
        <v>69</v>
      </c>
      <c r="AB89" s="425" t="s">
        <v>69</v>
      </c>
      <c r="AC89" s="425" t="s">
        <v>69</v>
      </c>
      <c r="AD89" s="425" t="s">
        <v>69</v>
      </c>
      <c r="AE89" s="425" t="s">
        <v>69</v>
      </c>
      <c r="AF89" s="425" t="s">
        <v>69</v>
      </c>
      <c r="AG89" s="425" t="s">
        <v>69</v>
      </c>
      <c r="AH89" s="425" t="s">
        <v>69</v>
      </c>
      <c r="AI89" s="425" t="s">
        <v>69</v>
      </c>
      <c r="AJ89" s="425" t="s">
        <v>69</v>
      </c>
      <c r="AK89" s="425" t="s">
        <v>69</v>
      </c>
      <c r="AL89" s="425" t="s">
        <v>69</v>
      </c>
      <c r="AM89" s="425" t="s">
        <v>69</v>
      </c>
      <c r="AN89" s="425" t="s">
        <v>69</v>
      </c>
      <c r="AO89" s="425" t="s">
        <v>69</v>
      </c>
      <c r="AP89" s="425" t="s">
        <v>69</v>
      </c>
      <c r="AQ89" s="425" t="s">
        <v>69</v>
      </c>
      <c r="AR89" s="425">
        <v>3</v>
      </c>
      <c r="AS89" s="425">
        <v>4</v>
      </c>
      <c r="AT89" s="425" t="s">
        <v>69</v>
      </c>
      <c r="AU89" s="425">
        <v>4</v>
      </c>
      <c r="AV89" s="425">
        <v>4</v>
      </c>
      <c r="AW89" s="425" t="s">
        <v>69</v>
      </c>
      <c r="AX89" s="425">
        <v>3</v>
      </c>
      <c r="AY89" s="425">
        <v>4</v>
      </c>
      <c r="AZ89" s="425" t="s">
        <v>69</v>
      </c>
      <c r="BA89" s="425" t="s">
        <v>69</v>
      </c>
      <c r="BB89" s="425">
        <v>3</v>
      </c>
      <c r="BC89" s="425" t="s">
        <v>69</v>
      </c>
      <c r="BD89" s="425">
        <v>4</v>
      </c>
      <c r="BE89" s="425">
        <v>4</v>
      </c>
      <c r="BF89" s="425" t="s">
        <v>69</v>
      </c>
      <c r="BG89" s="425" t="s">
        <v>69</v>
      </c>
      <c r="BH89" s="425" t="s">
        <v>69</v>
      </c>
      <c r="BI89" s="425" t="s">
        <v>69</v>
      </c>
      <c r="BJ89" s="425" t="s">
        <v>69</v>
      </c>
      <c r="BK89" s="425" t="s">
        <v>69</v>
      </c>
      <c r="BL89" s="425" t="s">
        <v>69</v>
      </c>
      <c r="BM89" s="425" t="s">
        <v>69</v>
      </c>
      <c r="BN89" s="425" t="s">
        <v>69</v>
      </c>
      <c r="BO89" s="425" t="s">
        <v>69</v>
      </c>
      <c r="BP89" s="425" t="s">
        <v>69</v>
      </c>
      <c r="BQ89" s="425" t="s">
        <v>69</v>
      </c>
      <c r="BR89" s="425">
        <v>4</v>
      </c>
      <c r="BS89" s="425" t="s">
        <v>69</v>
      </c>
      <c r="BT89" s="425" t="s">
        <v>69</v>
      </c>
      <c r="BU89" s="425" t="s">
        <v>69</v>
      </c>
      <c r="BV89" s="425" t="s">
        <v>69</v>
      </c>
      <c r="BW89" s="425" t="s">
        <v>69</v>
      </c>
      <c r="BX89" s="425" t="s">
        <v>69</v>
      </c>
      <c r="BY89" s="425" t="s">
        <v>69</v>
      </c>
      <c r="BZ89" s="425" t="s">
        <v>69</v>
      </c>
      <c r="CA89" s="425" t="s">
        <v>69</v>
      </c>
      <c r="CB89" s="425" t="s">
        <v>69</v>
      </c>
      <c r="CC89" s="425" t="s">
        <v>69</v>
      </c>
      <c r="CD89" s="425" t="s">
        <v>69</v>
      </c>
      <c r="CE89" s="425" t="s">
        <v>69</v>
      </c>
      <c r="CF89" s="425" t="s">
        <v>69</v>
      </c>
      <c r="CG89" s="425" t="s">
        <v>69</v>
      </c>
      <c r="CH89" s="425" t="s">
        <v>69</v>
      </c>
      <c r="CI89" s="425" t="s">
        <v>69</v>
      </c>
      <c r="CJ89" s="425" t="s">
        <v>69</v>
      </c>
      <c r="CK89" s="425" t="s">
        <v>69</v>
      </c>
      <c r="CL89" s="425" t="s">
        <v>69</v>
      </c>
      <c r="CM89" s="425" t="s">
        <v>69</v>
      </c>
      <c r="CN89" s="425" t="s">
        <v>69</v>
      </c>
      <c r="CO89" s="425" t="s">
        <v>69</v>
      </c>
      <c r="CP89" s="425" t="s">
        <v>69</v>
      </c>
      <c r="CQ89" s="425" t="s">
        <v>69</v>
      </c>
      <c r="CR89" s="425" t="s">
        <v>69</v>
      </c>
      <c r="CS89" s="425" t="s">
        <v>69</v>
      </c>
      <c r="CT89" s="425" t="s">
        <v>69</v>
      </c>
      <c r="CU89" s="425" t="s">
        <v>69</v>
      </c>
      <c r="CV89" s="425" t="s">
        <v>69</v>
      </c>
      <c r="CW89" s="425" t="s">
        <v>69</v>
      </c>
      <c r="CX89" s="425" t="s">
        <v>69</v>
      </c>
      <c r="CY89" s="425" t="s">
        <v>69</v>
      </c>
      <c r="CZ89" s="425" t="s">
        <v>69</v>
      </c>
      <c r="DA89" s="425" t="s">
        <v>69</v>
      </c>
      <c r="DB89" s="425" t="s">
        <v>69</v>
      </c>
      <c r="DC89" s="425" t="s">
        <v>69</v>
      </c>
      <c r="DD89" s="425" t="s">
        <v>69</v>
      </c>
      <c r="DE89" s="425" t="s">
        <v>69</v>
      </c>
      <c r="DF89" s="425" t="s">
        <v>69</v>
      </c>
      <c r="DG89" s="425" t="s">
        <v>69</v>
      </c>
      <c r="DH89" s="425" t="s">
        <v>69</v>
      </c>
      <c r="DI89" s="425" t="s">
        <v>69</v>
      </c>
      <c r="DJ89" s="425" t="s">
        <v>69</v>
      </c>
      <c r="DK89" s="425" t="s">
        <v>69</v>
      </c>
      <c r="DL89" s="425" t="s">
        <v>69</v>
      </c>
      <c r="DM89" s="425" t="s">
        <v>69</v>
      </c>
      <c r="DN89" s="425" t="s">
        <v>69</v>
      </c>
      <c r="DO89" s="425" t="s">
        <v>69</v>
      </c>
      <c r="DP89" s="425" t="s">
        <v>69</v>
      </c>
      <c r="DQ89" s="425" t="s">
        <v>69</v>
      </c>
      <c r="DR89" s="425" t="s">
        <v>69</v>
      </c>
      <c r="DS89" s="425" t="s">
        <v>69</v>
      </c>
      <c r="DT89" s="425" t="s">
        <v>69</v>
      </c>
      <c r="DU89" s="422" t="s">
        <v>69</v>
      </c>
      <c r="DV89" s="425" t="s">
        <v>69</v>
      </c>
      <c r="DW89" s="425" t="s">
        <v>69</v>
      </c>
      <c r="DX89" s="425" t="s">
        <v>69</v>
      </c>
      <c r="DY89" s="423">
        <f t="shared" si="4"/>
        <v>0.23809523809523808</v>
      </c>
      <c r="DZ89" s="424">
        <f t="shared" si="5"/>
        <v>1</v>
      </c>
      <c r="EA89" s="519"/>
    </row>
    <row r="90" spans="1:131" s="18" customFormat="1" ht="61.8" thickBot="1">
      <c r="A90" s="520" t="s">
        <v>953</v>
      </c>
      <c r="B90" s="521" t="s">
        <v>954</v>
      </c>
      <c r="C90" s="419">
        <v>45992</v>
      </c>
      <c r="D90" s="418" t="s">
        <v>1183</v>
      </c>
      <c r="E90" s="429" t="s">
        <v>900</v>
      </c>
      <c r="F90" s="425" t="s">
        <v>69</v>
      </c>
      <c r="G90" s="425" t="s">
        <v>69</v>
      </c>
      <c r="H90" s="425" t="s">
        <v>69</v>
      </c>
      <c r="I90" s="425" t="s">
        <v>69</v>
      </c>
      <c r="J90" s="425" t="s">
        <v>69</v>
      </c>
      <c r="K90" s="425" t="s">
        <v>69</v>
      </c>
      <c r="L90" s="425" t="s">
        <v>69</v>
      </c>
      <c r="M90" s="425" t="s">
        <v>69</v>
      </c>
      <c r="N90" s="425" t="s">
        <v>69</v>
      </c>
      <c r="O90" s="425" t="s">
        <v>69</v>
      </c>
      <c r="P90" s="425" t="s">
        <v>69</v>
      </c>
      <c r="Q90" s="425" t="s">
        <v>69</v>
      </c>
      <c r="R90" s="425" t="s">
        <v>69</v>
      </c>
      <c r="S90" s="425" t="s">
        <v>69</v>
      </c>
      <c r="T90" s="425" t="s">
        <v>69</v>
      </c>
      <c r="U90" s="425" t="s">
        <v>69</v>
      </c>
      <c r="V90" s="425" t="s">
        <v>69</v>
      </c>
      <c r="W90" s="425" t="s">
        <v>69</v>
      </c>
      <c r="X90" s="425" t="s">
        <v>69</v>
      </c>
      <c r="Y90" s="425" t="s">
        <v>69</v>
      </c>
      <c r="Z90" s="425" t="s">
        <v>69</v>
      </c>
      <c r="AA90" s="425" t="s">
        <v>69</v>
      </c>
      <c r="AB90" s="425" t="s">
        <v>69</v>
      </c>
      <c r="AC90" s="425" t="s">
        <v>69</v>
      </c>
      <c r="AD90" s="425" t="s">
        <v>69</v>
      </c>
      <c r="AE90" s="425" t="s">
        <v>69</v>
      </c>
      <c r="AF90" s="425" t="s">
        <v>69</v>
      </c>
      <c r="AG90" s="425" t="s">
        <v>69</v>
      </c>
      <c r="AH90" s="425" t="s">
        <v>69</v>
      </c>
      <c r="AI90" s="425" t="s">
        <v>69</v>
      </c>
      <c r="AJ90" s="425" t="s">
        <v>69</v>
      </c>
      <c r="AK90" s="425" t="s">
        <v>69</v>
      </c>
      <c r="AL90" s="425" t="s">
        <v>69</v>
      </c>
      <c r="AM90" s="425" t="s">
        <v>69</v>
      </c>
      <c r="AN90" s="425" t="s">
        <v>69</v>
      </c>
      <c r="AO90" s="425" t="s">
        <v>69</v>
      </c>
      <c r="AP90" s="425" t="s">
        <v>69</v>
      </c>
      <c r="AQ90" s="425" t="s">
        <v>69</v>
      </c>
      <c r="AR90" s="425" t="s">
        <v>69</v>
      </c>
      <c r="AS90" s="425" t="s">
        <v>69</v>
      </c>
      <c r="AT90" s="425" t="s">
        <v>69</v>
      </c>
      <c r="AU90" s="425" t="s">
        <v>69</v>
      </c>
      <c r="AV90" s="425" t="s">
        <v>69</v>
      </c>
      <c r="AW90" s="425" t="s">
        <v>69</v>
      </c>
      <c r="AX90" s="425" t="s">
        <v>69</v>
      </c>
      <c r="AY90" s="425" t="s">
        <v>69</v>
      </c>
      <c r="AZ90" s="425" t="s">
        <v>69</v>
      </c>
      <c r="BA90" s="425" t="s">
        <v>69</v>
      </c>
      <c r="BB90" s="425" t="s">
        <v>69</v>
      </c>
      <c r="BC90" s="425" t="s">
        <v>69</v>
      </c>
      <c r="BD90" s="425" t="s">
        <v>69</v>
      </c>
      <c r="BE90" s="425" t="s">
        <v>69</v>
      </c>
      <c r="BF90" s="425" t="s">
        <v>69</v>
      </c>
      <c r="BG90" s="425" t="s">
        <v>69</v>
      </c>
      <c r="BH90" s="425" t="s">
        <v>69</v>
      </c>
      <c r="BI90" s="425" t="s">
        <v>69</v>
      </c>
      <c r="BJ90" s="425" t="s">
        <v>69</v>
      </c>
      <c r="BK90" s="425" t="s">
        <v>69</v>
      </c>
      <c r="BL90" s="425" t="s">
        <v>69</v>
      </c>
      <c r="BM90" s="425" t="s">
        <v>69</v>
      </c>
      <c r="BN90" s="425" t="s">
        <v>69</v>
      </c>
      <c r="BO90" s="425" t="s">
        <v>69</v>
      </c>
      <c r="BP90" s="425" t="s">
        <v>69</v>
      </c>
      <c r="BQ90" s="425" t="s">
        <v>69</v>
      </c>
      <c r="BR90" s="425" t="s">
        <v>69</v>
      </c>
      <c r="BS90" s="425" t="s">
        <v>69</v>
      </c>
      <c r="BT90" s="425" t="s">
        <v>69</v>
      </c>
      <c r="BU90" s="425" t="s">
        <v>69</v>
      </c>
      <c r="BV90" s="425" t="s">
        <v>69</v>
      </c>
      <c r="BW90" s="425" t="s">
        <v>69</v>
      </c>
      <c r="BX90" s="425" t="s">
        <v>69</v>
      </c>
      <c r="BY90" s="425">
        <v>3</v>
      </c>
      <c r="BZ90" s="425" t="s">
        <v>69</v>
      </c>
      <c r="CA90" s="425" t="s">
        <v>69</v>
      </c>
      <c r="CB90" s="425" t="s">
        <v>69</v>
      </c>
      <c r="CC90" s="425" t="s">
        <v>69</v>
      </c>
      <c r="CD90" s="425" t="s">
        <v>69</v>
      </c>
      <c r="CE90" s="425" t="s">
        <v>69</v>
      </c>
      <c r="CF90" s="425" t="s">
        <v>69</v>
      </c>
      <c r="CG90" s="425" t="s">
        <v>69</v>
      </c>
      <c r="CH90" s="425" t="s">
        <v>69</v>
      </c>
      <c r="CI90" s="425" t="s">
        <v>69</v>
      </c>
      <c r="CJ90" s="425" t="s">
        <v>69</v>
      </c>
      <c r="CK90" s="425" t="s">
        <v>69</v>
      </c>
      <c r="CL90" s="425" t="s">
        <v>69</v>
      </c>
      <c r="CM90" s="425" t="s">
        <v>69</v>
      </c>
      <c r="CN90" s="425" t="s">
        <v>69</v>
      </c>
      <c r="CO90" s="425">
        <v>3</v>
      </c>
      <c r="CP90" s="425">
        <v>4</v>
      </c>
      <c r="CQ90" s="425">
        <v>3</v>
      </c>
      <c r="CR90" s="425" t="s">
        <v>69</v>
      </c>
      <c r="CS90" s="425" t="s">
        <v>69</v>
      </c>
      <c r="CT90" s="425" t="s">
        <v>69</v>
      </c>
      <c r="CU90" s="425" t="s">
        <v>69</v>
      </c>
      <c r="CV90" s="425" t="s">
        <v>69</v>
      </c>
      <c r="CW90" s="425" t="s">
        <v>69</v>
      </c>
      <c r="CX90" s="425" t="s">
        <v>69</v>
      </c>
      <c r="CY90" s="425" t="s">
        <v>69</v>
      </c>
      <c r="CZ90" s="425" t="s">
        <v>69</v>
      </c>
      <c r="DA90" s="425" t="s">
        <v>69</v>
      </c>
      <c r="DB90" s="425" t="s">
        <v>69</v>
      </c>
      <c r="DC90" s="425" t="s">
        <v>69</v>
      </c>
      <c r="DD90" s="425" t="s">
        <v>69</v>
      </c>
      <c r="DE90" s="425" t="s">
        <v>69</v>
      </c>
      <c r="DF90" s="425" t="s">
        <v>69</v>
      </c>
      <c r="DG90" s="425" t="s">
        <v>69</v>
      </c>
      <c r="DH90" s="425" t="s">
        <v>69</v>
      </c>
      <c r="DI90" s="425" t="s">
        <v>69</v>
      </c>
      <c r="DJ90" s="425" t="s">
        <v>69</v>
      </c>
      <c r="DK90" s="425" t="s">
        <v>69</v>
      </c>
      <c r="DL90" s="425" t="s">
        <v>69</v>
      </c>
      <c r="DM90" s="425" t="s">
        <v>69</v>
      </c>
      <c r="DN90" s="425" t="s">
        <v>69</v>
      </c>
      <c r="DO90" s="425" t="s">
        <v>69</v>
      </c>
      <c r="DP90" s="425" t="s">
        <v>69</v>
      </c>
      <c r="DQ90" s="425" t="s">
        <v>69</v>
      </c>
      <c r="DR90" s="425" t="s">
        <v>69</v>
      </c>
      <c r="DS90" s="425" t="s">
        <v>69</v>
      </c>
      <c r="DT90" s="425" t="s">
        <v>69</v>
      </c>
      <c r="DU90" s="422" t="s">
        <v>69</v>
      </c>
      <c r="DV90" s="425" t="s">
        <v>69</v>
      </c>
      <c r="DW90" s="425" t="s">
        <v>69</v>
      </c>
      <c r="DX90" s="425" t="s">
        <v>69</v>
      </c>
      <c r="DY90" s="423">
        <f t="shared" si="4"/>
        <v>6.3492063492063489E-2</v>
      </c>
      <c r="DZ90" s="424">
        <f t="shared" si="5"/>
        <v>1</v>
      </c>
      <c r="EA90" s="519"/>
    </row>
    <row r="91" spans="1:131" s="18" customFormat="1" ht="66.599999999999994" thickBot="1">
      <c r="A91" s="520" t="s">
        <v>955</v>
      </c>
      <c r="B91" s="521" t="s">
        <v>956</v>
      </c>
      <c r="C91" s="419">
        <v>45992</v>
      </c>
      <c r="D91" s="418" t="s">
        <v>1183</v>
      </c>
      <c r="E91" s="429" t="s">
        <v>900</v>
      </c>
      <c r="F91" s="425">
        <v>3</v>
      </c>
      <c r="G91" s="425" t="s">
        <v>69</v>
      </c>
      <c r="H91" s="425">
        <v>3</v>
      </c>
      <c r="I91" s="425" t="s">
        <v>69</v>
      </c>
      <c r="J91" s="425" t="s">
        <v>69</v>
      </c>
      <c r="K91" s="425" t="s">
        <v>69</v>
      </c>
      <c r="L91" s="425" t="s">
        <v>69</v>
      </c>
      <c r="M91" s="425" t="s">
        <v>69</v>
      </c>
      <c r="N91" s="425" t="s">
        <v>69</v>
      </c>
      <c r="O91" s="425">
        <v>3</v>
      </c>
      <c r="P91" s="425" t="s">
        <v>69</v>
      </c>
      <c r="Q91" s="425" t="s">
        <v>69</v>
      </c>
      <c r="R91" s="425" t="s">
        <v>69</v>
      </c>
      <c r="S91" s="425" t="s">
        <v>69</v>
      </c>
      <c r="T91" s="425" t="s">
        <v>69</v>
      </c>
      <c r="U91" s="425" t="s">
        <v>69</v>
      </c>
      <c r="V91" s="425" t="s">
        <v>69</v>
      </c>
      <c r="W91" s="425" t="s">
        <v>69</v>
      </c>
      <c r="X91" s="425" t="s">
        <v>69</v>
      </c>
      <c r="Y91" s="425" t="s">
        <v>69</v>
      </c>
      <c r="Z91" s="425" t="s">
        <v>69</v>
      </c>
      <c r="AA91" s="425" t="s">
        <v>69</v>
      </c>
      <c r="AB91" s="425" t="s">
        <v>69</v>
      </c>
      <c r="AC91" s="425" t="s">
        <v>69</v>
      </c>
      <c r="AD91" s="425" t="s">
        <v>69</v>
      </c>
      <c r="AE91" s="425" t="s">
        <v>69</v>
      </c>
      <c r="AF91" s="425" t="s">
        <v>69</v>
      </c>
      <c r="AG91" s="425" t="s">
        <v>69</v>
      </c>
      <c r="AH91" s="425" t="s">
        <v>69</v>
      </c>
      <c r="AI91" s="425" t="s">
        <v>69</v>
      </c>
      <c r="AJ91" s="425" t="s">
        <v>69</v>
      </c>
      <c r="AK91" s="425" t="s">
        <v>69</v>
      </c>
      <c r="AL91" s="425" t="s">
        <v>69</v>
      </c>
      <c r="AM91" s="425" t="s">
        <v>69</v>
      </c>
      <c r="AN91" s="425" t="s">
        <v>69</v>
      </c>
      <c r="AO91" s="425" t="s">
        <v>69</v>
      </c>
      <c r="AP91" s="425" t="s">
        <v>69</v>
      </c>
      <c r="AQ91" s="425" t="s">
        <v>69</v>
      </c>
      <c r="AR91" s="425">
        <v>3</v>
      </c>
      <c r="AS91" s="425" t="s">
        <v>69</v>
      </c>
      <c r="AT91" s="425" t="s">
        <v>69</v>
      </c>
      <c r="AU91" s="425">
        <v>3</v>
      </c>
      <c r="AV91" s="425" t="s">
        <v>69</v>
      </c>
      <c r="AW91" s="425" t="s">
        <v>69</v>
      </c>
      <c r="AX91" s="425">
        <v>3</v>
      </c>
      <c r="AY91" s="425" t="s">
        <v>69</v>
      </c>
      <c r="AZ91" s="425" t="s">
        <v>69</v>
      </c>
      <c r="BA91" s="425" t="s">
        <v>69</v>
      </c>
      <c r="BB91" s="425" t="s">
        <v>69</v>
      </c>
      <c r="BC91" s="425" t="s">
        <v>69</v>
      </c>
      <c r="BD91" s="425">
        <v>3</v>
      </c>
      <c r="BE91" s="425" t="s">
        <v>69</v>
      </c>
      <c r="BF91" s="425" t="s">
        <v>69</v>
      </c>
      <c r="BG91" s="425" t="s">
        <v>69</v>
      </c>
      <c r="BH91" s="425" t="s">
        <v>69</v>
      </c>
      <c r="BI91" s="425" t="s">
        <v>69</v>
      </c>
      <c r="BJ91" s="425" t="s">
        <v>69</v>
      </c>
      <c r="BK91" s="425" t="s">
        <v>69</v>
      </c>
      <c r="BL91" s="425" t="s">
        <v>69</v>
      </c>
      <c r="BM91" s="425" t="s">
        <v>69</v>
      </c>
      <c r="BN91" s="425" t="s">
        <v>69</v>
      </c>
      <c r="BO91" s="425" t="s">
        <v>69</v>
      </c>
      <c r="BP91" s="425" t="s">
        <v>69</v>
      </c>
      <c r="BQ91" s="425" t="s">
        <v>69</v>
      </c>
      <c r="BR91" s="425">
        <v>3</v>
      </c>
      <c r="BS91" s="425" t="s">
        <v>69</v>
      </c>
      <c r="BT91" s="425" t="s">
        <v>69</v>
      </c>
      <c r="BU91" s="425" t="s">
        <v>69</v>
      </c>
      <c r="BV91" s="425" t="s">
        <v>69</v>
      </c>
      <c r="BW91" s="425" t="s">
        <v>69</v>
      </c>
      <c r="BX91" s="425" t="s">
        <v>69</v>
      </c>
      <c r="BY91" s="425" t="s">
        <v>69</v>
      </c>
      <c r="BZ91" s="425" t="s">
        <v>69</v>
      </c>
      <c r="CA91" s="425" t="s">
        <v>69</v>
      </c>
      <c r="CB91" s="425" t="s">
        <v>69</v>
      </c>
      <c r="CC91" s="425" t="s">
        <v>69</v>
      </c>
      <c r="CD91" s="425" t="s">
        <v>69</v>
      </c>
      <c r="CE91" s="425" t="s">
        <v>69</v>
      </c>
      <c r="CF91" s="425" t="s">
        <v>69</v>
      </c>
      <c r="CG91" s="425" t="s">
        <v>69</v>
      </c>
      <c r="CH91" s="425" t="s">
        <v>69</v>
      </c>
      <c r="CI91" s="425" t="s">
        <v>69</v>
      </c>
      <c r="CJ91" s="425" t="s">
        <v>69</v>
      </c>
      <c r="CK91" s="425" t="s">
        <v>69</v>
      </c>
      <c r="CL91" s="425" t="s">
        <v>69</v>
      </c>
      <c r="CM91" s="425">
        <v>4</v>
      </c>
      <c r="CN91" s="425" t="s">
        <v>69</v>
      </c>
      <c r="CO91" s="425" t="s">
        <v>69</v>
      </c>
      <c r="CP91" s="425" t="s">
        <v>69</v>
      </c>
      <c r="CQ91" s="425" t="s">
        <v>69</v>
      </c>
      <c r="CR91" s="425">
        <v>3</v>
      </c>
      <c r="CS91" s="425" t="s">
        <v>69</v>
      </c>
      <c r="CT91" s="425" t="s">
        <v>69</v>
      </c>
      <c r="CU91" s="425" t="s">
        <v>69</v>
      </c>
      <c r="CV91" s="425" t="s">
        <v>69</v>
      </c>
      <c r="CW91" s="425" t="s">
        <v>69</v>
      </c>
      <c r="CX91" s="425" t="s">
        <v>69</v>
      </c>
      <c r="CY91" s="425" t="s">
        <v>69</v>
      </c>
      <c r="CZ91" s="425" t="s">
        <v>69</v>
      </c>
      <c r="DA91" s="425" t="s">
        <v>69</v>
      </c>
      <c r="DB91" s="425" t="s">
        <v>69</v>
      </c>
      <c r="DC91" s="425" t="s">
        <v>69</v>
      </c>
      <c r="DD91" s="425" t="s">
        <v>69</v>
      </c>
      <c r="DE91" s="425" t="s">
        <v>69</v>
      </c>
      <c r="DF91" s="425" t="s">
        <v>69</v>
      </c>
      <c r="DG91" s="425" t="s">
        <v>69</v>
      </c>
      <c r="DH91" s="425" t="s">
        <v>69</v>
      </c>
      <c r="DI91" s="425" t="s">
        <v>69</v>
      </c>
      <c r="DJ91" s="425" t="s">
        <v>69</v>
      </c>
      <c r="DK91" s="425" t="s">
        <v>69</v>
      </c>
      <c r="DL91" s="425" t="s">
        <v>69</v>
      </c>
      <c r="DM91" s="425">
        <v>3</v>
      </c>
      <c r="DN91" s="425" t="s">
        <v>69</v>
      </c>
      <c r="DO91" s="425" t="s">
        <v>69</v>
      </c>
      <c r="DP91" s="425" t="s">
        <v>69</v>
      </c>
      <c r="DQ91" s="425" t="s">
        <v>69</v>
      </c>
      <c r="DR91" s="425" t="s">
        <v>69</v>
      </c>
      <c r="DS91" s="425" t="s">
        <v>69</v>
      </c>
      <c r="DT91" s="425" t="s">
        <v>69</v>
      </c>
      <c r="DU91" s="422" t="s">
        <v>69</v>
      </c>
      <c r="DV91" s="425" t="s">
        <v>69</v>
      </c>
      <c r="DW91" s="425" t="s">
        <v>69</v>
      </c>
      <c r="DX91" s="425" t="s">
        <v>69</v>
      </c>
      <c r="DY91" s="423">
        <f t="shared" si="4"/>
        <v>0.17460317460317459</v>
      </c>
      <c r="DZ91" s="424">
        <f t="shared" si="5"/>
        <v>1</v>
      </c>
      <c r="EA91" s="519"/>
    </row>
    <row r="92" spans="1:131" s="18" customFormat="1" ht="66.599999999999994" thickBot="1">
      <c r="A92" s="520" t="s">
        <v>957</v>
      </c>
      <c r="B92" s="521" t="s">
        <v>958</v>
      </c>
      <c r="C92" s="419">
        <v>46006</v>
      </c>
      <c r="D92" s="418" t="s">
        <v>1183</v>
      </c>
      <c r="E92" s="429" t="s">
        <v>968</v>
      </c>
      <c r="F92" s="425" t="s">
        <v>69</v>
      </c>
      <c r="G92" s="425" t="s">
        <v>69</v>
      </c>
      <c r="H92" s="425" t="s">
        <v>69</v>
      </c>
      <c r="I92" s="425" t="s">
        <v>69</v>
      </c>
      <c r="J92" s="425" t="s">
        <v>69</v>
      </c>
      <c r="K92" s="425" t="s">
        <v>69</v>
      </c>
      <c r="L92" s="425" t="s">
        <v>69</v>
      </c>
      <c r="M92" s="425" t="s">
        <v>69</v>
      </c>
      <c r="N92" s="425" t="s">
        <v>69</v>
      </c>
      <c r="O92" s="425" t="s">
        <v>69</v>
      </c>
      <c r="P92" s="425" t="s">
        <v>69</v>
      </c>
      <c r="Q92" s="425" t="s">
        <v>69</v>
      </c>
      <c r="R92" s="425" t="s">
        <v>69</v>
      </c>
      <c r="S92" s="425" t="s">
        <v>69</v>
      </c>
      <c r="T92" s="425" t="s">
        <v>69</v>
      </c>
      <c r="U92" s="425" t="s">
        <v>69</v>
      </c>
      <c r="V92" s="425" t="s">
        <v>69</v>
      </c>
      <c r="W92" s="425" t="s">
        <v>69</v>
      </c>
      <c r="X92" s="425" t="s">
        <v>69</v>
      </c>
      <c r="Y92" s="425" t="s">
        <v>69</v>
      </c>
      <c r="Z92" s="425" t="s">
        <v>69</v>
      </c>
      <c r="AA92" s="425" t="s">
        <v>69</v>
      </c>
      <c r="AB92" s="425" t="s">
        <v>69</v>
      </c>
      <c r="AC92" s="425" t="s">
        <v>69</v>
      </c>
      <c r="AD92" s="425" t="s">
        <v>69</v>
      </c>
      <c r="AE92" s="425" t="s">
        <v>69</v>
      </c>
      <c r="AF92" s="425">
        <v>3</v>
      </c>
      <c r="AG92" s="425" t="s">
        <v>69</v>
      </c>
      <c r="AH92" s="425">
        <v>3</v>
      </c>
      <c r="AI92" s="425" t="s">
        <v>69</v>
      </c>
      <c r="AJ92" s="425" t="s">
        <v>69</v>
      </c>
      <c r="AK92" s="425" t="s">
        <v>69</v>
      </c>
      <c r="AL92" s="425" t="s">
        <v>69</v>
      </c>
      <c r="AM92" s="425" t="s">
        <v>69</v>
      </c>
      <c r="AN92" s="425" t="s">
        <v>69</v>
      </c>
      <c r="AO92" s="425" t="s">
        <v>69</v>
      </c>
      <c r="AP92" s="425" t="s">
        <v>69</v>
      </c>
      <c r="AQ92" s="425" t="s">
        <v>69</v>
      </c>
      <c r="AR92" s="425" t="s">
        <v>69</v>
      </c>
      <c r="AS92" s="425" t="s">
        <v>69</v>
      </c>
      <c r="AT92" s="425" t="s">
        <v>69</v>
      </c>
      <c r="AU92" s="425" t="s">
        <v>69</v>
      </c>
      <c r="AV92" s="425" t="s">
        <v>69</v>
      </c>
      <c r="AW92" s="425" t="s">
        <v>69</v>
      </c>
      <c r="AX92" s="425" t="s">
        <v>69</v>
      </c>
      <c r="AY92" s="425" t="s">
        <v>69</v>
      </c>
      <c r="AZ92" s="425" t="s">
        <v>69</v>
      </c>
      <c r="BA92" s="425" t="s">
        <v>69</v>
      </c>
      <c r="BB92" s="425" t="s">
        <v>69</v>
      </c>
      <c r="BC92" s="425" t="s">
        <v>69</v>
      </c>
      <c r="BD92" s="425" t="s">
        <v>69</v>
      </c>
      <c r="BE92" s="425" t="s">
        <v>69</v>
      </c>
      <c r="BF92" s="425" t="s">
        <v>69</v>
      </c>
      <c r="BG92" s="425" t="s">
        <v>69</v>
      </c>
      <c r="BH92" s="425" t="s">
        <v>69</v>
      </c>
      <c r="BI92" s="425" t="s">
        <v>69</v>
      </c>
      <c r="BJ92" s="425" t="s">
        <v>69</v>
      </c>
      <c r="BK92" s="425" t="s">
        <v>69</v>
      </c>
      <c r="BL92" s="425" t="s">
        <v>69</v>
      </c>
      <c r="BM92" s="425" t="s">
        <v>69</v>
      </c>
      <c r="BN92" s="425" t="s">
        <v>69</v>
      </c>
      <c r="BO92" s="425" t="s">
        <v>69</v>
      </c>
      <c r="BP92" s="425" t="s">
        <v>69</v>
      </c>
      <c r="BQ92" s="425" t="s">
        <v>69</v>
      </c>
      <c r="BR92" s="425" t="s">
        <v>69</v>
      </c>
      <c r="BS92" s="425" t="s">
        <v>69</v>
      </c>
      <c r="BT92" s="425" t="s">
        <v>69</v>
      </c>
      <c r="BU92" s="425" t="s">
        <v>69</v>
      </c>
      <c r="BV92" s="425" t="s">
        <v>69</v>
      </c>
      <c r="BW92" s="425" t="s">
        <v>69</v>
      </c>
      <c r="BX92" s="425" t="s">
        <v>69</v>
      </c>
      <c r="BY92" s="425" t="s">
        <v>69</v>
      </c>
      <c r="BZ92" s="425" t="s">
        <v>69</v>
      </c>
      <c r="CA92" s="425" t="s">
        <v>69</v>
      </c>
      <c r="CB92" s="425" t="s">
        <v>69</v>
      </c>
      <c r="CC92" s="425" t="s">
        <v>69</v>
      </c>
      <c r="CD92" s="425" t="s">
        <v>69</v>
      </c>
      <c r="CE92" s="425" t="s">
        <v>69</v>
      </c>
      <c r="CF92" s="425" t="s">
        <v>69</v>
      </c>
      <c r="CG92" s="425" t="s">
        <v>69</v>
      </c>
      <c r="CH92" s="425" t="s">
        <v>69</v>
      </c>
      <c r="CI92" s="425" t="s">
        <v>69</v>
      </c>
      <c r="CJ92" s="425" t="s">
        <v>69</v>
      </c>
      <c r="CK92" s="425" t="s">
        <v>69</v>
      </c>
      <c r="CL92" s="425" t="s">
        <v>69</v>
      </c>
      <c r="CM92" s="425">
        <v>4</v>
      </c>
      <c r="CN92" s="425">
        <v>3</v>
      </c>
      <c r="CO92" s="425" t="s">
        <v>69</v>
      </c>
      <c r="CP92" s="425" t="s">
        <v>69</v>
      </c>
      <c r="CQ92" s="425" t="s">
        <v>69</v>
      </c>
      <c r="CR92" s="425" t="s">
        <v>69</v>
      </c>
      <c r="CS92" s="425" t="s">
        <v>69</v>
      </c>
      <c r="CT92" s="425" t="s">
        <v>69</v>
      </c>
      <c r="CU92" s="425" t="s">
        <v>69</v>
      </c>
      <c r="CV92" s="425" t="s">
        <v>69</v>
      </c>
      <c r="CW92" s="425" t="s">
        <v>69</v>
      </c>
      <c r="CX92" s="425" t="s">
        <v>69</v>
      </c>
      <c r="CY92" s="425" t="s">
        <v>69</v>
      </c>
      <c r="CZ92" s="425" t="s">
        <v>69</v>
      </c>
      <c r="DA92" s="425" t="s">
        <v>69</v>
      </c>
      <c r="DB92" s="425" t="s">
        <v>69</v>
      </c>
      <c r="DC92" s="425" t="s">
        <v>69</v>
      </c>
      <c r="DD92" s="425" t="s">
        <v>69</v>
      </c>
      <c r="DE92" s="425" t="s">
        <v>69</v>
      </c>
      <c r="DF92" s="425" t="s">
        <v>69</v>
      </c>
      <c r="DG92" s="425" t="s">
        <v>69</v>
      </c>
      <c r="DH92" s="425" t="s">
        <v>69</v>
      </c>
      <c r="DI92" s="425" t="s">
        <v>69</v>
      </c>
      <c r="DJ92" s="425" t="s">
        <v>69</v>
      </c>
      <c r="DK92" s="425" t="s">
        <v>69</v>
      </c>
      <c r="DL92" s="425" t="s">
        <v>69</v>
      </c>
      <c r="DM92" s="425" t="s">
        <v>69</v>
      </c>
      <c r="DN92" s="425" t="s">
        <v>69</v>
      </c>
      <c r="DO92" s="425" t="s">
        <v>69</v>
      </c>
      <c r="DP92" s="425" t="s">
        <v>69</v>
      </c>
      <c r="DQ92" s="425" t="s">
        <v>69</v>
      </c>
      <c r="DR92" s="425" t="s">
        <v>69</v>
      </c>
      <c r="DS92" s="425" t="s">
        <v>69</v>
      </c>
      <c r="DT92" s="425" t="s">
        <v>69</v>
      </c>
      <c r="DU92" s="422" t="s">
        <v>69</v>
      </c>
      <c r="DV92" s="425" t="s">
        <v>69</v>
      </c>
      <c r="DW92" s="425" t="s">
        <v>69</v>
      </c>
      <c r="DX92" s="425" t="s">
        <v>69</v>
      </c>
      <c r="DY92" s="423">
        <f t="shared" si="4"/>
        <v>6.3492063492063489E-2</v>
      </c>
      <c r="DZ92" s="424">
        <f t="shared" si="5"/>
        <v>1</v>
      </c>
      <c r="EA92" s="519"/>
    </row>
    <row r="93" spans="1:131" s="18" customFormat="1" ht="66.599999999999994" thickBot="1">
      <c r="A93" s="520" t="s">
        <v>959</v>
      </c>
      <c r="B93" s="521" t="s">
        <v>960</v>
      </c>
      <c r="C93" s="419">
        <v>46006</v>
      </c>
      <c r="D93" s="418" t="s">
        <v>1183</v>
      </c>
      <c r="E93" s="429" t="s">
        <v>968</v>
      </c>
      <c r="F93" s="425" t="s">
        <v>69</v>
      </c>
      <c r="G93" s="425" t="s">
        <v>69</v>
      </c>
      <c r="H93" s="425" t="s">
        <v>69</v>
      </c>
      <c r="I93" s="425" t="s">
        <v>69</v>
      </c>
      <c r="J93" s="425" t="s">
        <v>69</v>
      </c>
      <c r="K93" s="425">
        <v>3</v>
      </c>
      <c r="L93" s="425" t="s">
        <v>69</v>
      </c>
      <c r="M93" s="425">
        <v>3</v>
      </c>
      <c r="N93" s="425" t="s">
        <v>69</v>
      </c>
      <c r="O93" s="425" t="s">
        <v>69</v>
      </c>
      <c r="P93" s="425" t="s">
        <v>69</v>
      </c>
      <c r="Q93" s="425" t="s">
        <v>69</v>
      </c>
      <c r="R93" s="425" t="s">
        <v>69</v>
      </c>
      <c r="S93" s="425" t="s">
        <v>69</v>
      </c>
      <c r="T93" s="425" t="s">
        <v>69</v>
      </c>
      <c r="U93" s="425" t="s">
        <v>69</v>
      </c>
      <c r="V93" s="425" t="s">
        <v>69</v>
      </c>
      <c r="W93" s="425" t="s">
        <v>69</v>
      </c>
      <c r="X93" s="425" t="s">
        <v>69</v>
      </c>
      <c r="Y93" s="425" t="s">
        <v>69</v>
      </c>
      <c r="Z93" s="425" t="s">
        <v>69</v>
      </c>
      <c r="AA93" s="425">
        <v>3</v>
      </c>
      <c r="AB93" s="425" t="s">
        <v>69</v>
      </c>
      <c r="AC93" s="425" t="s">
        <v>69</v>
      </c>
      <c r="AD93" s="425" t="s">
        <v>69</v>
      </c>
      <c r="AE93" s="425" t="s">
        <v>69</v>
      </c>
      <c r="AF93" s="425" t="s">
        <v>69</v>
      </c>
      <c r="AG93" s="425" t="s">
        <v>69</v>
      </c>
      <c r="AH93" s="425" t="s">
        <v>69</v>
      </c>
      <c r="AI93" s="425" t="s">
        <v>69</v>
      </c>
      <c r="AJ93" s="425" t="s">
        <v>69</v>
      </c>
      <c r="AK93" s="425" t="s">
        <v>69</v>
      </c>
      <c r="AL93" s="425" t="s">
        <v>69</v>
      </c>
      <c r="AM93" s="425" t="s">
        <v>69</v>
      </c>
      <c r="AN93" s="425" t="s">
        <v>69</v>
      </c>
      <c r="AO93" s="425" t="s">
        <v>69</v>
      </c>
      <c r="AP93" s="425" t="s">
        <v>69</v>
      </c>
      <c r="AQ93" s="425" t="s">
        <v>69</v>
      </c>
      <c r="AR93" s="425" t="s">
        <v>69</v>
      </c>
      <c r="AS93" s="425" t="s">
        <v>69</v>
      </c>
      <c r="AT93" s="425" t="s">
        <v>69</v>
      </c>
      <c r="AU93" s="425" t="s">
        <v>69</v>
      </c>
      <c r="AV93" s="425" t="s">
        <v>69</v>
      </c>
      <c r="AW93" s="425" t="s">
        <v>69</v>
      </c>
      <c r="AX93" s="425" t="s">
        <v>69</v>
      </c>
      <c r="AY93" s="425" t="s">
        <v>69</v>
      </c>
      <c r="AZ93" s="425" t="s">
        <v>69</v>
      </c>
      <c r="BA93" s="425" t="s">
        <v>69</v>
      </c>
      <c r="BB93" s="425" t="s">
        <v>69</v>
      </c>
      <c r="BC93" s="425" t="s">
        <v>69</v>
      </c>
      <c r="BD93" s="425" t="s">
        <v>69</v>
      </c>
      <c r="BE93" s="425" t="s">
        <v>69</v>
      </c>
      <c r="BF93" s="425" t="s">
        <v>69</v>
      </c>
      <c r="BG93" s="425" t="s">
        <v>69</v>
      </c>
      <c r="BH93" s="425" t="s">
        <v>69</v>
      </c>
      <c r="BI93" s="425" t="s">
        <v>69</v>
      </c>
      <c r="BJ93" s="425" t="s">
        <v>69</v>
      </c>
      <c r="BK93" s="425" t="s">
        <v>69</v>
      </c>
      <c r="BL93" s="425" t="s">
        <v>69</v>
      </c>
      <c r="BM93" s="425" t="s">
        <v>69</v>
      </c>
      <c r="BN93" s="425" t="s">
        <v>69</v>
      </c>
      <c r="BO93" s="425" t="s">
        <v>69</v>
      </c>
      <c r="BP93" s="425" t="s">
        <v>69</v>
      </c>
      <c r="BQ93" s="425" t="s">
        <v>69</v>
      </c>
      <c r="BR93" s="425" t="s">
        <v>69</v>
      </c>
      <c r="BS93" s="425" t="s">
        <v>69</v>
      </c>
      <c r="BT93" s="425" t="s">
        <v>69</v>
      </c>
      <c r="BU93" s="425" t="s">
        <v>69</v>
      </c>
      <c r="BV93" s="425" t="s">
        <v>69</v>
      </c>
      <c r="BW93" s="425" t="s">
        <v>69</v>
      </c>
      <c r="BX93" s="425" t="s">
        <v>69</v>
      </c>
      <c r="BY93" s="425" t="s">
        <v>69</v>
      </c>
      <c r="BZ93" s="425" t="s">
        <v>69</v>
      </c>
      <c r="CA93" s="425" t="s">
        <v>69</v>
      </c>
      <c r="CB93" s="425" t="s">
        <v>69</v>
      </c>
      <c r="CC93" s="425" t="s">
        <v>69</v>
      </c>
      <c r="CD93" s="425" t="s">
        <v>69</v>
      </c>
      <c r="CE93" s="425" t="s">
        <v>69</v>
      </c>
      <c r="CF93" s="425" t="s">
        <v>69</v>
      </c>
      <c r="CG93" s="425">
        <v>3</v>
      </c>
      <c r="CH93" s="425" t="s">
        <v>69</v>
      </c>
      <c r="CI93" s="425" t="s">
        <v>69</v>
      </c>
      <c r="CJ93" s="425" t="s">
        <v>69</v>
      </c>
      <c r="CK93" s="425" t="s">
        <v>69</v>
      </c>
      <c r="CL93" s="425" t="s">
        <v>69</v>
      </c>
      <c r="CM93" s="425" t="s">
        <v>69</v>
      </c>
      <c r="CN93" s="425" t="s">
        <v>69</v>
      </c>
      <c r="CO93" s="425">
        <v>3</v>
      </c>
      <c r="CP93" s="425">
        <v>3</v>
      </c>
      <c r="CQ93" s="425" t="s">
        <v>69</v>
      </c>
      <c r="CR93" s="425" t="s">
        <v>69</v>
      </c>
      <c r="CS93" s="425" t="s">
        <v>69</v>
      </c>
      <c r="CT93" s="425">
        <v>3</v>
      </c>
      <c r="CU93" s="425" t="s">
        <v>69</v>
      </c>
      <c r="CV93" s="425" t="s">
        <v>69</v>
      </c>
      <c r="CW93" s="425" t="s">
        <v>69</v>
      </c>
      <c r="CX93" s="425" t="s">
        <v>69</v>
      </c>
      <c r="CY93" s="425" t="s">
        <v>69</v>
      </c>
      <c r="CZ93" s="425">
        <v>3</v>
      </c>
      <c r="DA93" s="425" t="s">
        <v>69</v>
      </c>
      <c r="DB93" s="425" t="s">
        <v>69</v>
      </c>
      <c r="DC93" s="425" t="s">
        <v>69</v>
      </c>
      <c r="DD93" s="425" t="s">
        <v>69</v>
      </c>
      <c r="DE93" s="425">
        <v>3</v>
      </c>
      <c r="DF93" s="425" t="s">
        <v>69</v>
      </c>
      <c r="DG93" s="425" t="s">
        <v>69</v>
      </c>
      <c r="DH93" s="425">
        <v>3</v>
      </c>
      <c r="DI93" s="425" t="s">
        <v>69</v>
      </c>
      <c r="DJ93" s="425" t="s">
        <v>69</v>
      </c>
      <c r="DK93" s="425" t="s">
        <v>69</v>
      </c>
      <c r="DL93" s="425" t="s">
        <v>69</v>
      </c>
      <c r="DM93" s="425" t="s">
        <v>69</v>
      </c>
      <c r="DN93" s="425" t="s">
        <v>69</v>
      </c>
      <c r="DO93" s="425" t="s">
        <v>69</v>
      </c>
      <c r="DP93" s="425" t="s">
        <v>69</v>
      </c>
      <c r="DQ93" s="425" t="s">
        <v>69</v>
      </c>
      <c r="DR93" s="425" t="s">
        <v>69</v>
      </c>
      <c r="DS93" s="425" t="s">
        <v>69</v>
      </c>
      <c r="DT93" s="425" t="s">
        <v>69</v>
      </c>
      <c r="DU93" s="422" t="s">
        <v>69</v>
      </c>
      <c r="DV93" s="425" t="s">
        <v>69</v>
      </c>
      <c r="DW93" s="425" t="s">
        <v>69</v>
      </c>
      <c r="DX93" s="425" t="s">
        <v>69</v>
      </c>
      <c r="DY93" s="423">
        <f t="shared" si="4"/>
        <v>0.15873015873015872</v>
      </c>
      <c r="DZ93" s="424">
        <f t="shared" si="5"/>
        <v>1</v>
      </c>
      <c r="EA93" s="519"/>
    </row>
    <row r="94" spans="1:131" s="18" customFormat="1" ht="61.8" thickBot="1">
      <c r="A94" s="520" t="s">
        <v>986</v>
      </c>
      <c r="B94" s="521" t="s">
        <v>961</v>
      </c>
      <c r="C94" s="419">
        <v>46006</v>
      </c>
      <c r="D94" s="418" t="s">
        <v>1183</v>
      </c>
      <c r="E94" s="429" t="s">
        <v>968</v>
      </c>
      <c r="F94" s="425" t="s">
        <v>69</v>
      </c>
      <c r="G94" s="425" t="s">
        <v>69</v>
      </c>
      <c r="H94" s="425" t="s">
        <v>69</v>
      </c>
      <c r="I94" s="425" t="s">
        <v>69</v>
      </c>
      <c r="J94" s="425" t="s">
        <v>69</v>
      </c>
      <c r="K94" s="425">
        <v>3</v>
      </c>
      <c r="L94" s="425" t="s">
        <v>69</v>
      </c>
      <c r="M94" s="425" t="s">
        <v>69</v>
      </c>
      <c r="N94" s="425" t="s">
        <v>69</v>
      </c>
      <c r="O94" s="425" t="s">
        <v>69</v>
      </c>
      <c r="P94" s="425" t="s">
        <v>69</v>
      </c>
      <c r="Q94" s="425" t="s">
        <v>69</v>
      </c>
      <c r="R94" s="425" t="s">
        <v>69</v>
      </c>
      <c r="S94" s="425" t="s">
        <v>69</v>
      </c>
      <c r="T94" s="425" t="s">
        <v>69</v>
      </c>
      <c r="U94" s="425" t="s">
        <v>69</v>
      </c>
      <c r="V94" s="425" t="s">
        <v>69</v>
      </c>
      <c r="W94" s="425" t="s">
        <v>69</v>
      </c>
      <c r="X94" s="425" t="s">
        <v>69</v>
      </c>
      <c r="Y94" s="425" t="s">
        <v>69</v>
      </c>
      <c r="Z94" s="425" t="s">
        <v>69</v>
      </c>
      <c r="AA94" s="425" t="s">
        <v>69</v>
      </c>
      <c r="AB94" s="425" t="s">
        <v>69</v>
      </c>
      <c r="AC94" s="425" t="s">
        <v>69</v>
      </c>
      <c r="AD94" s="425" t="s">
        <v>69</v>
      </c>
      <c r="AE94" s="425" t="s">
        <v>69</v>
      </c>
      <c r="AF94" s="425" t="s">
        <v>69</v>
      </c>
      <c r="AG94" s="425" t="s">
        <v>69</v>
      </c>
      <c r="AH94" s="425">
        <v>3</v>
      </c>
      <c r="AI94" s="425" t="s">
        <v>69</v>
      </c>
      <c r="AJ94" s="425" t="s">
        <v>69</v>
      </c>
      <c r="AK94" s="425" t="s">
        <v>69</v>
      </c>
      <c r="AL94" s="425" t="s">
        <v>69</v>
      </c>
      <c r="AM94" s="425" t="s">
        <v>69</v>
      </c>
      <c r="AN94" s="425" t="s">
        <v>69</v>
      </c>
      <c r="AO94" s="425" t="s">
        <v>69</v>
      </c>
      <c r="AP94" s="425" t="s">
        <v>69</v>
      </c>
      <c r="AQ94" s="425" t="s">
        <v>69</v>
      </c>
      <c r="AR94" s="425" t="s">
        <v>69</v>
      </c>
      <c r="AS94" s="425" t="s">
        <v>69</v>
      </c>
      <c r="AT94" s="425" t="s">
        <v>69</v>
      </c>
      <c r="AU94" s="425" t="s">
        <v>69</v>
      </c>
      <c r="AV94" s="425" t="s">
        <v>69</v>
      </c>
      <c r="AW94" s="425" t="s">
        <v>69</v>
      </c>
      <c r="AX94" s="425" t="s">
        <v>69</v>
      </c>
      <c r="AY94" s="425" t="s">
        <v>69</v>
      </c>
      <c r="AZ94" s="425" t="s">
        <v>69</v>
      </c>
      <c r="BA94" s="425" t="s">
        <v>69</v>
      </c>
      <c r="BB94" s="425" t="s">
        <v>69</v>
      </c>
      <c r="BC94" s="425" t="s">
        <v>69</v>
      </c>
      <c r="BD94" s="425">
        <v>3</v>
      </c>
      <c r="BE94" s="425" t="s">
        <v>69</v>
      </c>
      <c r="BF94" s="425" t="s">
        <v>69</v>
      </c>
      <c r="BG94" s="425" t="s">
        <v>69</v>
      </c>
      <c r="BH94" s="425" t="s">
        <v>69</v>
      </c>
      <c r="BI94" s="425" t="s">
        <v>69</v>
      </c>
      <c r="BJ94" s="425" t="s">
        <v>69</v>
      </c>
      <c r="BK94" s="425" t="s">
        <v>69</v>
      </c>
      <c r="BL94" s="425" t="s">
        <v>69</v>
      </c>
      <c r="BM94" s="425" t="s">
        <v>69</v>
      </c>
      <c r="BN94" s="425" t="s">
        <v>69</v>
      </c>
      <c r="BO94" s="425" t="s">
        <v>69</v>
      </c>
      <c r="BP94" s="425" t="s">
        <v>69</v>
      </c>
      <c r="BQ94" s="425" t="s">
        <v>69</v>
      </c>
      <c r="BR94" s="425" t="s">
        <v>69</v>
      </c>
      <c r="BS94" s="425" t="s">
        <v>69</v>
      </c>
      <c r="BT94" s="425" t="s">
        <v>69</v>
      </c>
      <c r="BU94" s="425" t="s">
        <v>69</v>
      </c>
      <c r="BV94" s="425" t="s">
        <v>69</v>
      </c>
      <c r="BW94" s="425" t="s">
        <v>69</v>
      </c>
      <c r="BX94" s="425" t="s">
        <v>69</v>
      </c>
      <c r="BY94" s="425" t="s">
        <v>69</v>
      </c>
      <c r="BZ94" s="425" t="s">
        <v>69</v>
      </c>
      <c r="CA94" s="425" t="s">
        <v>69</v>
      </c>
      <c r="CB94" s="425" t="s">
        <v>69</v>
      </c>
      <c r="CC94" s="425" t="s">
        <v>69</v>
      </c>
      <c r="CD94" s="425" t="s">
        <v>69</v>
      </c>
      <c r="CE94" s="425" t="s">
        <v>69</v>
      </c>
      <c r="CF94" s="425" t="s">
        <v>69</v>
      </c>
      <c r="CG94" s="425">
        <v>3</v>
      </c>
      <c r="CH94" s="425" t="s">
        <v>69</v>
      </c>
      <c r="CI94" s="425" t="s">
        <v>69</v>
      </c>
      <c r="CJ94" s="425" t="s">
        <v>69</v>
      </c>
      <c r="CK94" s="425" t="s">
        <v>69</v>
      </c>
      <c r="CL94" s="425" t="s">
        <v>69</v>
      </c>
      <c r="CM94" s="425" t="s">
        <v>69</v>
      </c>
      <c r="CN94" s="425" t="s">
        <v>69</v>
      </c>
      <c r="CO94" s="425" t="s">
        <v>69</v>
      </c>
      <c r="CP94" s="425">
        <v>3</v>
      </c>
      <c r="CQ94" s="425">
        <v>3</v>
      </c>
      <c r="CR94" s="425" t="s">
        <v>69</v>
      </c>
      <c r="CS94" s="425" t="s">
        <v>69</v>
      </c>
      <c r="CT94" s="425" t="s">
        <v>69</v>
      </c>
      <c r="CU94" s="425" t="s">
        <v>69</v>
      </c>
      <c r="CV94" s="425" t="s">
        <v>69</v>
      </c>
      <c r="CW94" s="425" t="s">
        <v>69</v>
      </c>
      <c r="CX94" s="425" t="s">
        <v>69</v>
      </c>
      <c r="CY94" s="425" t="s">
        <v>69</v>
      </c>
      <c r="CZ94" s="425">
        <v>3</v>
      </c>
      <c r="DA94" s="425" t="s">
        <v>69</v>
      </c>
      <c r="DB94" s="425" t="s">
        <v>69</v>
      </c>
      <c r="DC94" s="425" t="s">
        <v>69</v>
      </c>
      <c r="DD94" s="425" t="s">
        <v>69</v>
      </c>
      <c r="DE94" s="425" t="s">
        <v>69</v>
      </c>
      <c r="DF94" s="425" t="s">
        <v>69</v>
      </c>
      <c r="DG94" s="425" t="s">
        <v>69</v>
      </c>
      <c r="DH94" s="425" t="s">
        <v>69</v>
      </c>
      <c r="DI94" s="425" t="s">
        <v>69</v>
      </c>
      <c r="DJ94" s="425" t="s">
        <v>69</v>
      </c>
      <c r="DK94" s="425" t="s">
        <v>69</v>
      </c>
      <c r="DL94" s="425" t="s">
        <v>69</v>
      </c>
      <c r="DM94" s="425" t="s">
        <v>69</v>
      </c>
      <c r="DN94" s="425" t="s">
        <v>69</v>
      </c>
      <c r="DO94" s="425" t="s">
        <v>69</v>
      </c>
      <c r="DP94" s="425" t="s">
        <v>69</v>
      </c>
      <c r="DQ94" s="425" t="s">
        <v>69</v>
      </c>
      <c r="DR94" s="425" t="s">
        <v>69</v>
      </c>
      <c r="DS94" s="425" t="s">
        <v>69</v>
      </c>
      <c r="DT94" s="425" t="s">
        <v>69</v>
      </c>
      <c r="DU94" s="422" t="s">
        <v>69</v>
      </c>
      <c r="DV94" s="425" t="s">
        <v>69</v>
      </c>
      <c r="DW94" s="425" t="s">
        <v>69</v>
      </c>
      <c r="DX94" s="425" t="s">
        <v>69</v>
      </c>
      <c r="DY94" s="423">
        <f t="shared" si="4"/>
        <v>0.1111111111111111</v>
      </c>
      <c r="DZ94" s="424">
        <f t="shared" si="5"/>
        <v>1</v>
      </c>
      <c r="EA94" s="519"/>
    </row>
    <row r="95" spans="1:131" s="18" customFormat="1" ht="99.6" thickBot="1">
      <c r="A95" s="520" t="s">
        <v>962</v>
      </c>
      <c r="B95" s="521" t="s">
        <v>963</v>
      </c>
      <c r="C95" s="419">
        <v>46006</v>
      </c>
      <c r="D95" s="418" t="s">
        <v>1183</v>
      </c>
      <c r="E95" s="429" t="s">
        <v>968</v>
      </c>
      <c r="F95" s="425" t="s">
        <v>69</v>
      </c>
      <c r="G95" s="425" t="s">
        <v>69</v>
      </c>
      <c r="H95" s="425" t="s">
        <v>69</v>
      </c>
      <c r="I95" s="425" t="s">
        <v>69</v>
      </c>
      <c r="J95" s="425" t="s">
        <v>69</v>
      </c>
      <c r="K95" s="425" t="s">
        <v>69</v>
      </c>
      <c r="L95" s="425" t="s">
        <v>69</v>
      </c>
      <c r="M95" s="425" t="s">
        <v>69</v>
      </c>
      <c r="N95" s="425" t="s">
        <v>69</v>
      </c>
      <c r="O95" s="425" t="s">
        <v>69</v>
      </c>
      <c r="P95" s="425" t="s">
        <v>69</v>
      </c>
      <c r="Q95" s="425" t="s">
        <v>69</v>
      </c>
      <c r="R95" s="425" t="s">
        <v>69</v>
      </c>
      <c r="S95" s="425" t="s">
        <v>69</v>
      </c>
      <c r="T95" s="425" t="s">
        <v>69</v>
      </c>
      <c r="U95" s="425" t="s">
        <v>69</v>
      </c>
      <c r="V95" s="425" t="s">
        <v>69</v>
      </c>
      <c r="W95" s="425" t="s">
        <v>69</v>
      </c>
      <c r="X95" s="425" t="s">
        <v>69</v>
      </c>
      <c r="Y95" s="425" t="s">
        <v>69</v>
      </c>
      <c r="Z95" s="425" t="s">
        <v>69</v>
      </c>
      <c r="AA95" s="425" t="s">
        <v>69</v>
      </c>
      <c r="AB95" s="425" t="s">
        <v>69</v>
      </c>
      <c r="AC95" s="425" t="s">
        <v>69</v>
      </c>
      <c r="AD95" s="425" t="s">
        <v>69</v>
      </c>
      <c r="AE95" s="425" t="s">
        <v>69</v>
      </c>
      <c r="AF95" s="425" t="s">
        <v>69</v>
      </c>
      <c r="AG95" s="425" t="s">
        <v>69</v>
      </c>
      <c r="AH95" s="425" t="s">
        <v>69</v>
      </c>
      <c r="AI95" s="425" t="s">
        <v>69</v>
      </c>
      <c r="AJ95" s="425" t="s">
        <v>69</v>
      </c>
      <c r="AK95" s="425" t="s">
        <v>69</v>
      </c>
      <c r="AL95" s="425" t="s">
        <v>69</v>
      </c>
      <c r="AM95" s="425" t="s">
        <v>69</v>
      </c>
      <c r="AN95" s="425" t="s">
        <v>69</v>
      </c>
      <c r="AO95" s="425" t="s">
        <v>69</v>
      </c>
      <c r="AP95" s="425" t="s">
        <v>69</v>
      </c>
      <c r="AQ95" s="425" t="s">
        <v>69</v>
      </c>
      <c r="AR95" s="425" t="s">
        <v>69</v>
      </c>
      <c r="AS95" s="425" t="s">
        <v>69</v>
      </c>
      <c r="AT95" s="425" t="s">
        <v>69</v>
      </c>
      <c r="AU95" s="425" t="s">
        <v>69</v>
      </c>
      <c r="AV95" s="425" t="s">
        <v>69</v>
      </c>
      <c r="AW95" s="425" t="s">
        <v>69</v>
      </c>
      <c r="AX95" s="425" t="s">
        <v>69</v>
      </c>
      <c r="AY95" s="425" t="s">
        <v>69</v>
      </c>
      <c r="AZ95" s="425" t="s">
        <v>69</v>
      </c>
      <c r="BA95" s="425" t="s">
        <v>69</v>
      </c>
      <c r="BB95" s="425" t="s">
        <v>69</v>
      </c>
      <c r="BC95" s="425" t="s">
        <v>69</v>
      </c>
      <c r="BD95" s="425" t="s">
        <v>69</v>
      </c>
      <c r="BE95" s="425" t="s">
        <v>69</v>
      </c>
      <c r="BF95" s="425" t="s">
        <v>69</v>
      </c>
      <c r="BG95" s="425" t="s">
        <v>69</v>
      </c>
      <c r="BH95" s="425" t="s">
        <v>69</v>
      </c>
      <c r="BI95" s="425" t="s">
        <v>69</v>
      </c>
      <c r="BJ95" s="425" t="s">
        <v>69</v>
      </c>
      <c r="BK95" s="425" t="s">
        <v>69</v>
      </c>
      <c r="BL95" s="425" t="s">
        <v>69</v>
      </c>
      <c r="BM95" s="425" t="s">
        <v>69</v>
      </c>
      <c r="BN95" s="425" t="s">
        <v>69</v>
      </c>
      <c r="BO95" s="425" t="s">
        <v>69</v>
      </c>
      <c r="BP95" s="425" t="s">
        <v>69</v>
      </c>
      <c r="BQ95" s="425" t="s">
        <v>69</v>
      </c>
      <c r="BR95" s="425" t="s">
        <v>69</v>
      </c>
      <c r="BS95" s="425" t="s">
        <v>69</v>
      </c>
      <c r="BT95" s="425" t="s">
        <v>69</v>
      </c>
      <c r="BU95" s="425" t="s">
        <v>69</v>
      </c>
      <c r="BV95" s="425" t="s">
        <v>69</v>
      </c>
      <c r="BW95" s="425" t="s">
        <v>69</v>
      </c>
      <c r="BX95" s="425" t="s">
        <v>69</v>
      </c>
      <c r="BY95" s="425" t="s">
        <v>69</v>
      </c>
      <c r="BZ95" s="425" t="s">
        <v>69</v>
      </c>
      <c r="CA95" s="425" t="s">
        <v>69</v>
      </c>
      <c r="CB95" s="425" t="s">
        <v>69</v>
      </c>
      <c r="CC95" s="425" t="s">
        <v>69</v>
      </c>
      <c r="CD95" s="425" t="s">
        <v>69</v>
      </c>
      <c r="CE95" s="425" t="s">
        <v>69</v>
      </c>
      <c r="CF95" s="425" t="s">
        <v>69</v>
      </c>
      <c r="CG95" s="425" t="s">
        <v>69</v>
      </c>
      <c r="CH95" s="425" t="s">
        <v>69</v>
      </c>
      <c r="CI95" s="425" t="s">
        <v>69</v>
      </c>
      <c r="CJ95" s="425" t="s">
        <v>69</v>
      </c>
      <c r="CK95" s="425" t="s">
        <v>69</v>
      </c>
      <c r="CL95" s="425" t="s">
        <v>69</v>
      </c>
      <c r="CM95" s="425" t="s">
        <v>69</v>
      </c>
      <c r="CN95" s="425">
        <v>4</v>
      </c>
      <c r="CO95" s="425" t="s">
        <v>69</v>
      </c>
      <c r="CP95" s="425">
        <v>4</v>
      </c>
      <c r="CQ95" s="425">
        <v>3</v>
      </c>
      <c r="CR95" s="425" t="s">
        <v>69</v>
      </c>
      <c r="CS95" s="425" t="s">
        <v>69</v>
      </c>
      <c r="CT95" s="425" t="s">
        <v>69</v>
      </c>
      <c r="CU95" s="425" t="s">
        <v>69</v>
      </c>
      <c r="CV95" s="425" t="s">
        <v>69</v>
      </c>
      <c r="CW95" s="425" t="s">
        <v>69</v>
      </c>
      <c r="CX95" s="425" t="s">
        <v>69</v>
      </c>
      <c r="CY95" s="425" t="s">
        <v>69</v>
      </c>
      <c r="CZ95" s="425" t="s">
        <v>69</v>
      </c>
      <c r="DA95" s="425" t="s">
        <v>69</v>
      </c>
      <c r="DB95" s="425" t="s">
        <v>69</v>
      </c>
      <c r="DC95" s="425" t="s">
        <v>69</v>
      </c>
      <c r="DD95" s="425" t="s">
        <v>69</v>
      </c>
      <c r="DE95" s="425" t="s">
        <v>69</v>
      </c>
      <c r="DF95" s="425" t="s">
        <v>69</v>
      </c>
      <c r="DG95" s="425" t="s">
        <v>69</v>
      </c>
      <c r="DH95" s="425" t="s">
        <v>69</v>
      </c>
      <c r="DI95" s="425" t="s">
        <v>69</v>
      </c>
      <c r="DJ95" s="425" t="s">
        <v>69</v>
      </c>
      <c r="DK95" s="425" t="s">
        <v>69</v>
      </c>
      <c r="DL95" s="425" t="s">
        <v>69</v>
      </c>
      <c r="DM95" s="425" t="s">
        <v>69</v>
      </c>
      <c r="DN95" s="425" t="s">
        <v>69</v>
      </c>
      <c r="DO95" s="425" t="s">
        <v>69</v>
      </c>
      <c r="DP95" s="425" t="s">
        <v>69</v>
      </c>
      <c r="DQ95" s="425" t="s">
        <v>69</v>
      </c>
      <c r="DR95" s="425" t="s">
        <v>69</v>
      </c>
      <c r="DS95" s="425" t="s">
        <v>69</v>
      </c>
      <c r="DT95" s="425" t="s">
        <v>69</v>
      </c>
      <c r="DU95" s="422" t="s">
        <v>69</v>
      </c>
      <c r="DV95" s="425" t="s">
        <v>69</v>
      </c>
      <c r="DW95" s="425" t="s">
        <v>69</v>
      </c>
      <c r="DX95" s="425" t="s">
        <v>69</v>
      </c>
      <c r="DY95" s="423">
        <f t="shared" si="4"/>
        <v>4.7619047619047616E-2</v>
      </c>
      <c r="DZ95" s="424">
        <f t="shared" si="5"/>
        <v>1</v>
      </c>
      <c r="EA95" s="519"/>
    </row>
    <row r="96" spans="1:131" s="18" customFormat="1" ht="66.599999999999994" thickBot="1">
      <c r="A96" s="520" t="s">
        <v>964</v>
      </c>
      <c r="B96" s="521" t="s">
        <v>965</v>
      </c>
      <c r="C96" s="419">
        <v>46006</v>
      </c>
      <c r="D96" s="418" t="s">
        <v>1183</v>
      </c>
      <c r="E96" s="429" t="s">
        <v>968</v>
      </c>
      <c r="F96" s="425">
        <v>3</v>
      </c>
      <c r="G96" s="425">
        <v>3</v>
      </c>
      <c r="H96" s="425">
        <v>3</v>
      </c>
      <c r="I96" s="425">
        <v>3</v>
      </c>
      <c r="J96" s="425" t="s">
        <v>69</v>
      </c>
      <c r="K96" s="425" t="s">
        <v>69</v>
      </c>
      <c r="L96" s="425" t="s">
        <v>69</v>
      </c>
      <c r="M96" s="425" t="s">
        <v>69</v>
      </c>
      <c r="N96" s="425" t="s">
        <v>69</v>
      </c>
      <c r="O96" s="425">
        <v>3</v>
      </c>
      <c r="P96" s="425" t="s">
        <v>69</v>
      </c>
      <c r="Q96" s="425" t="s">
        <v>69</v>
      </c>
      <c r="R96" s="425" t="s">
        <v>69</v>
      </c>
      <c r="S96" s="425" t="s">
        <v>69</v>
      </c>
      <c r="T96" s="425" t="s">
        <v>69</v>
      </c>
      <c r="U96" s="425" t="s">
        <v>69</v>
      </c>
      <c r="V96" s="425" t="s">
        <v>69</v>
      </c>
      <c r="W96" s="425" t="s">
        <v>69</v>
      </c>
      <c r="X96" s="425" t="s">
        <v>69</v>
      </c>
      <c r="Y96" s="425" t="s">
        <v>69</v>
      </c>
      <c r="Z96" s="425" t="s">
        <v>69</v>
      </c>
      <c r="AA96" s="425" t="s">
        <v>69</v>
      </c>
      <c r="AB96" s="425" t="s">
        <v>69</v>
      </c>
      <c r="AC96" s="425" t="s">
        <v>69</v>
      </c>
      <c r="AD96" s="425" t="s">
        <v>69</v>
      </c>
      <c r="AE96" s="425" t="s">
        <v>69</v>
      </c>
      <c r="AF96" s="425" t="s">
        <v>69</v>
      </c>
      <c r="AG96" s="425" t="s">
        <v>69</v>
      </c>
      <c r="AH96" s="425" t="s">
        <v>69</v>
      </c>
      <c r="AI96" s="425" t="s">
        <v>69</v>
      </c>
      <c r="AJ96" s="425" t="s">
        <v>69</v>
      </c>
      <c r="AK96" s="425" t="s">
        <v>69</v>
      </c>
      <c r="AL96" s="425" t="s">
        <v>69</v>
      </c>
      <c r="AM96" s="425" t="s">
        <v>69</v>
      </c>
      <c r="AN96" s="425" t="s">
        <v>69</v>
      </c>
      <c r="AO96" s="425" t="s">
        <v>69</v>
      </c>
      <c r="AP96" s="425" t="s">
        <v>69</v>
      </c>
      <c r="AQ96" s="425" t="s">
        <v>69</v>
      </c>
      <c r="AR96" s="425" t="s">
        <v>69</v>
      </c>
      <c r="AS96" s="425">
        <v>3</v>
      </c>
      <c r="AT96" s="425" t="s">
        <v>69</v>
      </c>
      <c r="AU96" s="425">
        <v>3</v>
      </c>
      <c r="AV96" s="425">
        <v>3</v>
      </c>
      <c r="AW96" s="425" t="s">
        <v>69</v>
      </c>
      <c r="AX96" s="425" t="s">
        <v>69</v>
      </c>
      <c r="AY96" s="425">
        <v>3</v>
      </c>
      <c r="AZ96" s="425" t="s">
        <v>69</v>
      </c>
      <c r="BA96" s="425" t="s">
        <v>69</v>
      </c>
      <c r="BB96" s="425">
        <v>3</v>
      </c>
      <c r="BC96" s="425" t="s">
        <v>69</v>
      </c>
      <c r="BD96" s="425" t="s">
        <v>69</v>
      </c>
      <c r="BE96" s="425">
        <v>3</v>
      </c>
      <c r="BF96" s="425" t="s">
        <v>69</v>
      </c>
      <c r="BG96" s="425" t="s">
        <v>69</v>
      </c>
      <c r="BH96" s="425" t="s">
        <v>69</v>
      </c>
      <c r="BI96" s="425" t="s">
        <v>69</v>
      </c>
      <c r="BJ96" s="425" t="s">
        <v>69</v>
      </c>
      <c r="BK96" s="425" t="s">
        <v>69</v>
      </c>
      <c r="BL96" s="425" t="s">
        <v>69</v>
      </c>
      <c r="BM96" s="425" t="s">
        <v>69</v>
      </c>
      <c r="BN96" s="425" t="s">
        <v>69</v>
      </c>
      <c r="BO96" s="425" t="s">
        <v>69</v>
      </c>
      <c r="BP96" s="425" t="s">
        <v>69</v>
      </c>
      <c r="BQ96" s="425" t="s">
        <v>69</v>
      </c>
      <c r="BR96" s="425" t="s">
        <v>69</v>
      </c>
      <c r="BS96" s="425" t="s">
        <v>69</v>
      </c>
      <c r="BT96" s="425" t="s">
        <v>69</v>
      </c>
      <c r="BU96" s="425" t="s">
        <v>69</v>
      </c>
      <c r="BV96" s="425" t="s">
        <v>69</v>
      </c>
      <c r="BW96" s="425" t="s">
        <v>69</v>
      </c>
      <c r="BX96" s="425" t="s">
        <v>69</v>
      </c>
      <c r="BY96" s="425" t="s">
        <v>69</v>
      </c>
      <c r="BZ96" s="425" t="s">
        <v>69</v>
      </c>
      <c r="CA96" s="425" t="s">
        <v>69</v>
      </c>
      <c r="CB96" s="425" t="s">
        <v>69</v>
      </c>
      <c r="CC96" s="425" t="s">
        <v>69</v>
      </c>
      <c r="CD96" s="425" t="s">
        <v>69</v>
      </c>
      <c r="CE96" s="425" t="s">
        <v>69</v>
      </c>
      <c r="CF96" s="425" t="s">
        <v>69</v>
      </c>
      <c r="CG96" s="425" t="s">
        <v>69</v>
      </c>
      <c r="CH96" s="425" t="s">
        <v>69</v>
      </c>
      <c r="CI96" s="425" t="s">
        <v>69</v>
      </c>
      <c r="CJ96" s="425" t="s">
        <v>69</v>
      </c>
      <c r="CK96" s="425" t="s">
        <v>69</v>
      </c>
      <c r="CL96" s="425" t="s">
        <v>69</v>
      </c>
      <c r="CM96" s="425" t="s">
        <v>69</v>
      </c>
      <c r="CN96" s="425" t="s">
        <v>69</v>
      </c>
      <c r="CO96" s="425" t="s">
        <v>69</v>
      </c>
      <c r="CP96" s="425" t="s">
        <v>69</v>
      </c>
      <c r="CQ96" s="425" t="s">
        <v>69</v>
      </c>
      <c r="CR96" s="425" t="s">
        <v>69</v>
      </c>
      <c r="CS96" s="425" t="s">
        <v>69</v>
      </c>
      <c r="CT96" s="425" t="s">
        <v>69</v>
      </c>
      <c r="CU96" s="425" t="s">
        <v>69</v>
      </c>
      <c r="CV96" s="425" t="s">
        <v>69</v>
      </c>
      <c r="CW96" s="425" t="s">
        <v>69</v>
      </c>
      <c r="CX96" s="425" t="s">
        <v>69</v>
      </c>
      <c r="CY96" s="425" t="s">
        <v>69</v>
      </c>
      <c r="CZ96" s="425" t="s">
        <v>69</v>
      </c>
      <c r="DA96" s="425" t="s">
        <v>69</v>
      </c>
      <c r="DB96" s="425" t="s">
        <v>69</v>
      </c>
      <c r="DC96" s="425" t="s">
        <v>69</v>
      </c>
      <c r="DD96" s="425" t="s">
        <v>69</v>
      </c>
      <c r="DE96" s="425" t="s">
        <v>69</v>
      </c>
      <c r="DF96" s="425" t="s">
        <v>69</v>
      </c>
      <c r="DG96" s="425" t="s">
        <v>69</v>
      </c>
      <c r="DH96" s="425" t="s">
        <v>69</v>
      </c>
      <c r="DI96" s="425" t="s">
        <v>69</v>
      </c>
      <c r="DJ96" s="425" t="s">
        <v>69</v>
      </c>
      <c r="DK96" s="425" t="s">
        <v>69</v>
      </c>
      <c r="DL96" s="425" t="s">
        <v>69</v>
      </c>
      <c r="DM96" s="425" t="s">
        <v>69</v>
      </c>
      <c r="DN96" s="425" t="s">
        <v>69</v>
      </c>
      <c r="DO96" s="425" t="s">
        <v>69</v>
      </c>
      <c r="DP96" s="425" t="s">
        <v>69</v>
      </c>
      <c r="DQ96" s="425" t="s">
        <v>69</v>
      </c>
      <c r="DR96" s="425" t="s">
        <v>69</v>
      </c>
      <c r="DS96" s="425" t="s">
        <v>69</v>
      </c>
      <c r="DT96" s="425" t="s">
        <v>69</v>
      </c>
      <c r="DU96" s="422" t="s">
        <v>69</v>
      </c>
      <c r="DV96" s="425" t="s">
        <v>69</v>
      </c>
      <c r="DW96" s="425" t="s">
        <v>69</v>
      </c>
      <c r="DX96" s="425" t="s">
        <v>69</v>
      </c>
      <c r="DY96" s="423">
        <f t="shared" si="4"/>
        <v>0.17460317460317459</v>
      </c>
      <c r="DZ96" s="424">
        <f t="shared" si="5"/>
        <v>1</v>
      </c>
      <c r="EA96" s="519"/>
    </row>
    <row r="97" spans="1:131" s="18" customFormat="1" ht="66.599999999999994" thickBot="1">
      <c r="A97" s="520" t="s">
        <v>966</v>
      </c>
      <c r="B97" s="521" t="s">
        <v>967</v>
      </c>
      <c r="C97" s="419">
        <v>46006</v>
      </c>
      <c r="D97" s="418" t="s">
        <v>1183</v>
      </c>
      <c r="E97" s="429" t="s">
        <v>968</v>
      </c>
      <c r="F97" s="425">
        <v>3</v>
      </c>
      <c r="G97" s="425" t="s">
        <v>69</v>
      </c>
      <c r="H97" s="425">
        <v>3</v>
      </c>
      <c r="I97" s="425" t="s">
        <v>69</v>
      </c>
      <c r="J97" s="425" t="s">
        <v>69</v>
      </c>
      <c r="K97" s="425" t="s">
        <v>69</v>
      </c>
      <c r="L97" s="425" t="s">
        <v>69</v>
      </c>
      <c r="M97" s="425" t="s">
        <v>69</v>
      </c>
      <c r="N97" s="425" t="s">
        <v>69</v>
      </c>
      <c r="O97" s="425" t="s">
        <v>69</v>
      </c>
      <c r="P97" s="425" t="s">
        <v>69</v>
      </c>
      <c r="Q97" s="425" t="s">
        <v>69</v>
      </c>
      <c r="R97" s="425" t="s">
        <v>69</v>
      </c>
      <c r="S97" s="425" t="s">
        <v>69</v>
      </c>
      <c r="T97" s="425" t="s">
        <v>69</v>
      </c>
      <c r="U97" s="425" t="s">
        <v>69</v>
      </c>
      <c r="V97" s="425" t="s">
        <v>69</v>
      </c>
      <c r="W97" s="425" t="s">
        <v>69</v>
      </c>
      <c r="X97" s="425" t="s">
        <v>69</v>
      </c>
      <c r="Y97" s="425" t="s">
        <v>69</v>
      </c>
      <c r="Z97" s="425" t="s">
        <v>69</v>
      </c>
      <c r="AA97" s="425" t="s">
        <v>69</v>
      </c>
      <c r="AB97" s="425" t="s">
        <v>69</v>
      </c>
      <c r="AC97" s="425" t="s">
        <v>69</v>
      </c>
      <c r="AD97" s="425" t="s">
        <v>69</v>
      </c>
      <c r="AE97" s="425" t="s">
        <v>69</v>
      </c>
      <c r="AF97" s="425" t="s">
        <v>69</v>
      </c>
      <c r="AG97" s="425" t="s">
        <v>69</v>
      </c>
      <c r="AH97" s="425" t="s">
        <v>69</v>
      </c>
      <c r="AI97" s="425" t="s">
        <v>69</v>
      </c>
      <c r="AJ97" s="425" t="s">
        <v>69</v>
      </c>
      <c r="AK97" s="425" t="s">
        <v>69</v>
      </c>
      <c r="AL97" s="425" t="s">
        <v>69</v>
      </c>
      <c r="AM97" s="425" t="s">
        <v>69</v>
      </c>
      <c r="AN97" s="425" t="s">
        <v>69</v>
      </c>
      <c r="AO97" s="425" t="s">
        <v>69</v>
      </c>
      <c r="AP97" s="425" t="s">
        <v>69</v>
      </c>
      <c r="AQ97" s="425" t="s">
        <v>69</v>
      </c>
      <c r="AR97" s="425" t="s">
        <v>69</v>
      </c>
      <c r="AS97" s="425" t="s">
        <v>69</v>
      </c>
      <c r="AT97" s="425" t="s">
        <v>69</v>
      </c>
      <c r="AU97" s="425" t="s">
        <v>69</v>
      </c>
      <c r="AV97" s="425" t="s">
        <v>69</v>
      </c>
      <c r="AW97" s="425" t="s">
        <v>69</v>
      </c>
      <c r="AX97" s="425" t="s">
        <v>69</v>
      </c>
      <c r="AY97" s="425" t="s">
        <v>69</v>
      </c>
      <c r="AZ97" s="425" t="s">
        <v>69</v>
      </c>
      <c r="BA97" s="425" t="s">
        <v>69</v>
      </c>
      <c r="BB97" s="425" t="s">
        <v>69</v>
      </c>
      <c r="BC97" s="425" t="s">
        <v>69</v>
      </c>
      <c r="BD97" s="425" t="s">
        <v>69</v>
      </c>
      <c r="BE97" s="425" t="s">
        <v>69</v>
      </c>
      <c r="BF97" s="425" t="s">
        <v>69</v>
      </c>
      <c r="BG97" s="425" t="s">
        <v>69</v>
      </c>
      <c r="BH97" s="425" t="s">
        <v>69</v>
      </c>
      <c r="BI97" s="425" t="s">
        <v>69</v>
      </c>
      <c r="BJ97" s="425" t="s">
        <v>69</v>
      </c>
      <c r="BK97" s="425" t="s">
        <v>69</v>
      </c>
      <c r="BL97" s="425" t="s">
        <v>69</v>
      </c>
      <c r="BM97" s="425" t="s">
        <v>69</v>
      </c>
      <c r="BN97" s="425" t="s">
        <v>69</v>
      </c>
      <c r="BO97" s="425" t="s">
        <v>69</v>
      </c>
      <c r="BP97" s="425" t="s">
        <v>69</v>
      </c>
      <c r="BQ97" s="425" t="s">
        <v>69</v>
      </c>
      <c r="BR97" s="425" t="s">
        <v>69</v>
      </c>
      <c r="BS97" s="425" t="s">
        <v>69</v>
      </c>
      <c r="BT97" s="425" t="s">
        <v>69</v>
      </c>
      <c r="BU97" s="425" t="s">
        <v>69</v>
      </c>
      <c r="BV97" s="425" t="s">
        <v>69</v>
      </c>
      <c r="BW97" s="425" t="s">
        <v>69</v>
      </c>
      <c r="BX97" s="425" t="s">
        <v>69</v>
      </c>
      <c r="BY97" s="425" t="s">
        <v>69</v>
      </c>
      <c r="BZ97" s="425" t="s">
        <v>69</v>
      </c>
      <c r="CA97" s="425" t="s">
        <v>69</v>
      </c>
      <c r="CB97" s="425" t="s">
        <v>69</v>
      </c>
      <c r="CC97" s="425" t="s">
        <v>69</v>
      </c>
      <c r="CD97" s="425" t="s">
        <v>69</v>
      </c>
      <c r="CE97" s="425" t="s">
        <v>69</v>
      </c>
      <c r="CF97" s="425" t="s">
        <v>69</v>
      </c>
      <c r="CG97" s="425" t="s">
        <v>69</v>
      </c>
      <c r="CH97" s="425" t="s">
        <v>69</v>
      </c>
      <c r="CI97" s="425" t="s">
        <v>69</v>
      </c>
      <c r="CJ97" s="425" t="s">
        <v>69</v>
      </c>
      <c r="CK97" s="425" t="s">
        <v>69</v>
      </c>
      <c r="CL97" s="425" t="s">
        <v>69</v>
      </c>
      <c r="CM97" s="425" t="s">
        <v>69</v>
      </c>
      <c r="CN97" s="425" t="s">
        <v>69</v>
      </c>
      <c r="CO97" s="425" t="s">
        <v>69</v>
      </c>
      <c r="CP97" s="425" t="s">
        <v>69</v>
      </c>
      <c r="CQ97" s="425" t="s">
        <v>69</v>
      </c>
      <c r="CR97" s="425" t="s">
        <v>69</v>
      </c>
      <c r="CS97" s="425" t="s">
        <v>69</v>
      </c>
      <c r="CT97" s="425" t="s">
        <v>69</v>
      </c>
      <c r="CU97" s="425" t="s">
        <v>69</v>
      </c>
      <c r="CV97" s="425" t="s">
        <v>69</v>
      </c>
      <c r="CW97" s="425" t="s">
        <v>69</v>
      </c>
      <c r="CX97" s="425" t="s">
        <v>69</v>
      </c>
      <c r="CY97" s="425" t="s">
        <v>69</v>
      </c>
      <c r="CZ97" s="425" t="s">
        <v>69</v>
      </c>
      <c r="DA97" s="425" t="s">
        <v>69</v>
      </c>
      <c r="DB97" s="425" t="s">
        <v>69</v>
      </c>
      <c r="DC97" s="425" t="s">
        <v>69</v>
      </c>
      <c r="DD97" s="425" t="s">
        <v>69</v>
      </c>
      <c r="DE97" s="425" t="s">
        <v>69</v>
      </c>
      <c r="DF97" s="425" t="s">
        <v>69</v>
      </c>
      <c r="DG97" s="425" t="s">
        <v>69</v>
      </c>
      <c r="DH97" s="425" t="s">
        <v>69</v>
      </c>
      <c r="DI97" s="425" t="s">
        <v>69</v>
      </c>
      <c r="DJ97" s="425" t="s">
        <v>69</v>
      </c>
      <c r="DK97" s="425" t="s">
        <v>69</v>
      </c>
      <c r="DL97" s="425" t="s">
        <v>69</v>
      </c>
      <c r="DM97" s="425" t="s">
        <v>69</v>
      </c>
      <c r="DN97" s="425" t="s">
        <v>69</v>
      </c>
      <c r="DO97" s="425" t="s">
        <v>69</v>
      </c>
      <c r="DP97" s="425" t="s">
        <v>69</v>
      </c>
      <c r="DQ97" s="425" t="s">
        <v>69</v>
      </c>
      <c r="DR97" s="425" t="s">
        <v>69</v>
      </c>
      <c r="DS97" s="425" t="s">
        <v>69</v>
      </c>
      <c r="DT97" s="425" t="s">
        <v>69</v>
      </c>
      <c r="DU97" s="422" t="s">
        <v>69</v>
      </c>
      <c r="DV97" s="425" t="s">
        <v>69</v>
      </c>
      <c r="DW97" s="425" t="s">
        <v>69</v>
      </c>
      <c r="DX97" s="425" t="s">
        <v>69</v>
      </c>
      <c r="DY97" s="423">
        <f t="shared" ref="DY97:DY111" si="6">COUNTIF(F97:DX97,"&gt;0")/63</f>
        <v>3.1746031746031744E-2</v>
      </c>
      <c r="DZ97" s="424">
        <f t="shared" ref="DZ97:DZ111" si="7">+COUNTIF(F97:DX97,"&gt;2")/COUNTIF(F97:DX97,"&gt;1")</f>
        <v>1</v>
      </c>
      <c r="EA97" s="519"/>
    </row>
    <row r="98" spans="1:131" s="18" customFormat="1" ht="66.599999999999994" thickBot="1">
      <c r="A98" s="520" t="s">
        <v>1059</v>
      </c>
      <c r="B98" s="521" t="s">
        <v>1060</v>
      </c>
      <c r="C98" s="522">
        <v>46038</v>
      </c>
      <c r="D98" s="418" t="s">
        <v>1183</v>
      </c>
      <c r="E98" s="429" t="s">
        <v>899</v>
      </c>
      <c r="F98" s="425" t="s">
        <v>69</v>
      </c>
      <c r="G98" s="425" t="s">
        <v>69</v>
      </c>
      <c r="H98" s="425">
        <v>3</v>
      </c>
      <c r="I98" s="425" t="s">
        <v>69</v>
      </c>
      <c r="J98" s="425" t="s">
        <v>69</v>
      </c>
      <c r="K98" s="425" t="s">
        <v>69</v>
      </c>
      <c r="L98" s="425" t="s">
        <v>69</v>
      </c>
      <c r="M98" s="425">
        <v>3</v>
      </c>
      <c r="N98" s="425" t="s">
        <v>69</v>
      </c>
      <c r="O98" s="425" t="s">
        <v>69</v>
      </c>
      <c r="P98" s="425" t="s">
        <v>69</v>
      </c>
      <c r="Q98" s="425" t="s">
        <v>69</v>
      </c>
      <c r="R98" s="425" t="s">
        <v>69</v>
      </c>
      <c r="S98" s="425" t="s">
        <v>69</v>
      </c>
      <c r="T98" s="425" t="s">
        <v>69</v>
      </c>
      <c r="U98" s="425" t="s">
        <v>69</v>
      </c>
      <c r="V98" s="425" t="s">
        <v>69</v>
      </c>
      <c r="W98" s="425" t="s">
        <v>69</v>
      </c>
      <c r="X98" s="425" t="s">
        <v>69</v>
      </c>
      <c r="Y98" s="425" t="s">
        <v>69</v>
      </c>
      <c r="Z98" s="425" t="s">
        <v>69</v>
      </c>
      <c r="AA98" s="425" t="s">
        <v>69</v>
      </c>
      <c r="AB98" s="425" t="s">
        <v>69</v>
      </c>
      <c r="AC98" s="425" t="s">
        <v>69</v>
      </c>
      <c r="AD98" s="425" t="s">
        <v>69</v>
      </c>
      <c r="AE98" s="425" t="s">
        <v>69</v>
      </c>
      <c r="AF98" s="425" t="s">
        <v>69</v>
      </c>
      <c r="AG98" s="425" t="s">
        <v>69</v>
      </c>
      <c r="AH98" s="425" t="s">
        <v>69</v>
      </c>
      <c r="AI98" s="425" t="s">
        <v>69</v>
      </c>
      <c r="AJ98" s="425" t="s">
        <v>69</v>
      </c>
      <c r="AK98" s="425" t="s">
        <v>69</v>
      </c>
      <c r="AL98" s="425" t="s">
        <v>69</v>
      </c>
      <c r="AM98" s="425" t="s">
        <v>69</v>
      </c>
      <c r="AN98" s="425" t="s">
        <v>69</v>
      </c>
      <c r="AO98" s="425" t="s">
        <v>69</v>
      </c>
      <c r="AP98" s="425" t="s">
        <v>69</v>
      </c>
      <c r="AQ98" s="425" t="s">
        <v>69</v>
      </c>
      <c r="AR98" s="425" t="s">
        <v>69</v>
      </c>
      <c r="AS98" s="425" t="s">
        <v>69</v>
      </c>
      <c r="AT98" s="425" t="s">
        <v>69</v>
      </c>
      <c r="AU98" s="425">
        <v>3</v>
      </c>
      <c r="AV98" s="425" t="s">
        <v>69</v>
      </c>
      <c r="AW98" s="425" t="s">
        <v>69</v>
      </c>
      <c r="AX98" s="425" t="s">
        <v>69</v>
      </c>
      <c r="AY98" s="425" t="s">
        <v>69</v>
      </c>
      <c r="AZ98" s="425" t="s">
        <v>69</v>
      </c>
      <c r="BA98" s="425" t="s">
        <v>69</v>
      </c>
      <c r="BB98" s="425" t="s">
        <v>69</v>
      </c>
      <c r="BC98" s="425" t="s">
        <v>69</v>
      </c>
      <c r="BD98" s="425" t="s">
        <v>69</v>
      </c>
      <c r="BE98" s="425" t="s">
        <v>69</v>
      </c>
      <c r="BF98" s="425" t="s">
        <v>69</v>
      </c>
      <c r="BG98" s="425" t="s">
        <v>69</v>
      </c>
      <c r="BH98" s="425" t="s">
        <v>69</v>
      </c>
      <c r="BI98" s="425" t="s">
        <v>69</v>
      </c>
      <c r="BJ98" s="425" t="s">
        <v>69</v>
      </c>
      <c r="BK98" s="425" t="s">
        <v>69</v>
      </c>
      <c r="BL98" s="425" t="s">
        <v>69</v>
      </c>
      <c r="BM98" s="425" t="s">
        <v>69</v>
      </c>
      <c r="BN98" s="425" t="s">
        <v>69</v>
      </c>
      <c r="BO98" s="425" t="s">
        <v>69</v>
      </c>
      <c r="BP98" s="425" t="s">
        <v>69</v>
      </c>
      <c r="BQ98" s="425" t="s">
        <v>69</v>
      </c>
      <c r="BR98" s="425" t="s">
        <v>69</v>
      </c>
      <c r="BS98" s="425" t="s">
        <v>69</v>
      </c>
      <c r="BT98" s="425" t="s">
        <v>69</v>
      </c>
      <c r="BU98" s="425" t="s">
        <v>69</v>
      </c>
      <c r="BV98" s="425" t="s">
        <v>69</v>
      </c>
      <c r="BW98" s="425" t="s">
        <v>69</v>
      </c>
      <c r="BX98" s="425" t="s">
        <v>69</v>
      </c>
      <c r="BY98" s="425" t="s">
        <v>69</v>
      </c>
      <c r="BZ98" s="425" t="s">
        <v>69</v>
      </c>
      <c r="CA98" s="425" t="s">
        <v>69</v>
      </c>
      <c r="CB98" s="425" t="s">
        <v>69</v>
      </c>
      <c r="CC98" s="425" t="s">
        <v>69</v>
      </c>
      <c r="CD98" s="425" t="s">
        <v>69</v>
      </c>
      <c r="CE98" s="425" t="s">
        <v>69</v>
      </c>
      <c r="CF98" s="425" t="s">
        <v>69</v>
      </c>
      <c r="CG98" s="425" t="s">
        <v>69</v>
      </c>
      <c r="CH98" s="425" t="s">
        <v>69</v>
      </c>
      <c r="CI98" s="425" t="s">
        <v>69</v>
      </c>
      <c r="CJ98" s="425" t="s">
        <v>69</v>
      </c>
      <c r="CK98" s="425" t="s">
        <v>69</v>
      </c>
      <c r="CL98" s="425" t="s">
        <v>69</v>
      </c>
      <c r="CM98" s="425" t="s">
        <v>69</v>
      </c>
      <c r="CN98" s="425" t="s">
        <v>69</v>
      </c>
      <c r="CO98" s="425" t="s">
        <v>69</v>
      </c>
      <c r="CP98" s="425" t="s">
        <v>69</v>
      </c>
      <c r="CQ98" s="425" t="s">
        <v>69</v>
      </c>
      <c r="CR98" s="425" t="s">
        <v>69</v>
      </c>
      <c r="CS98" s="425">
        <v>3</v>
      </c>
      <c r="CT98" s="425" t="s">
        <v>69</v>
      </c>
      <c r="CU98" s="425" t="s">
        <v>69</v>
      </c>
      <c r="CV98" s="425">
        <v>3</v>
      </c>
      <c r="CW98" s="425" t="s">
        <v>69</v>
      </c>
      <c r="CX98" s="425">
        <v>3</v>
      </c>
      <c r="CY98" s="425" t="s">
        <v>69</v>
      </c>
      <c r="CZ98" s="425" t="s">
        <v>69</v>
      </c>
      <c r="DA98" s="425" t="s">
        <v>69</v>
      </c>
      <c r="DB98" s="425" t="s">
        <v>69</v>
      </c>
      <c r="DC98" s="425">
        <v>3</v>
      </c>
      <c r="DD98" s="425" t="s">
        <v>69</v>
      </c>
      <c r="DE98" s="425" t="s">
        <v>69</v>
      </c>
      <c r="DF98" s="425" t="s">
        <v>69</v>
      </c>
      <c r="DG98" s="425" t="s">
        <v>69</v>
      </c>
      <c r="DH98" s="425">
        <v>3</v>
      </c>
      <c r="DI98" s="425" t="s">
        <v>69</v>
      </c>
      <c r="DJ98" s="425" t="s">
        <v>69</v>
      </c>
      <c r="DK98" s="425" t="s">
        <v>69</v>
      </c>
      <c r="DL98" s="425" t="s">
        <v>69</v>
      </c>
      <c r="DM98" s="425">
        <v>3</v>
      </c>
      <c r="DN98" s="425" t="s">
        <v>69</v>
      </c>
      <c r="DO98" s="425" t="s">
        <v>69</v>
      </c>
      <c r="DP98" s="425" t="s">
        <v>69</v>
      </c>
      <c r="DQ98" s="425" t="s">
        <v>69</v>
      </c>
      <c r="DR98" s="425" t="s">
        <v>69</v>
      </c>
      <c r="DS98" s="425" t="s">
        <v>69</v>
      </c>
      <c r="DT98" s="425" t="s">
        <v>69</v>
      </c>
      <c r="DU98" s="422" t="s">
        <v>69</v>
      </c>
      <c r="DV98" s="425" t="s">
        <v>69</v>
      </c>
      <c r="DW98" s="425" t="s">
        <v>69</v>
      </c>
      <c r="DX98" s="425" t="s">
        <v>69</v>
      </c>
      <c r="DY98" s="423">
        <f t="shared" si="6"/>
        <v>0.14285714285714285</v>
      </c>
      <c r="DZ98" s="424">
        <f t="shared" si="7"/>
        <v>1</v>
      </c>
      <c r="EA98" s="519"/>
    </row>
    <row r="99" spans="1:131" s="18" customFormat="1" ht="66.599999999999994" thickBot="1">
      <c r="A99" s="520" t="s">
        <v>1061</v>
      </c>
      <c r="B99" s="521" t="s">
        <v>1062</v>
      </c>
      <c r="C99" s="522">
        <v>46038</v>
      </c>
      <c r="D99" s="418" t="s">
        <v>1183</v>
      </c>
      <c r="E99" s="429" t="s">
        <v>899</v>
      </c>
      <c r="F99" s="425">
        <v>3</v>
      </c>
      <c r="G99" s="425" t="s">
        <v>69</v>
      </c>
      <c r="H99" s="425">
        <v>3</v>
      </c>
      <c r="I99" s="425" t="s">
        <v>69</v>
      </c>
      <c r="J99" s="425" t="s">
        <v>69</v>
      </c>
      <c r="K99" s="425">
        <v>3</v>
      </c>
      <c r="L99" s="425" t="s">
        <v>69</v>
      </c>
      <c r="M99" s="425" t="s">
        <v>69</v>
      </c>
      <c r="N99" s="425" t="s">
        <v>69</v>
      </c>
      <c r="O99" s="425">
        <v>2</v>
      </c>
      <c r="P99" s="425" t="s">
        <v>69</v>
      </c>
      <c r="Q99" s="425" t="s">
        <v>69</v>
      </c>
      <c r="R99" s="425" t="s">
        <v>69</v>
      </c>
      <c r="S99" s="425" t="s">
        <v>69</v>
      </c>
      <c r="T99" s="425" t="s">
        <v>69</v>
      </c>
      <c r="U99" s="425" t="s">
        <v>69</v>
      </c>
      <c r="V99" s="425" t="s">
        <v>69</v>
      </c>
      <c r="W99" s="425" t="s">
        <v>69</v>
      </c>
      <c r="X99" s="425" t="s">
        <v>69</v>
      </c>
      <c r="Y99" s="425" t="s">
        <v>69</v>
      </c>
      <c r="Z99" s="425" t="s">
        <v>69</v>
      </c>
      <c r="AA99" s="425" t="s">
        <v>69</v>
      </c>
      <c r="AB99" s="425" t="s">
        <v>69</v>
      </c>
      <c r="AC99" s="425" t="s">
        <v>69</v>
      </c>
      <c r="AD99" s="425" t="s">
        <v>69</v>
      </c>
      <c r="AE99" s="425" t="s">
        <v>69</v>
      </c>
      <c r="AF99" s="425" t="s">
        <v>69</v>
      </c>
      <c r="AG99" s="425" t="s">
        <v>69</v>
      </c>
      <c r="AH99" s="425" t="s">
        <v>69</v>
      </c>
      <c r="AI99" s="425" t="s">
        <v>69</v>
      </c>
      <c r="AJ99" s="425" t="s">
        <v>69</v>
      </c>
      <c r="AK99" s="425" t="s">
        <v>69</v>
      </c>
      <c r="AL99" s="425" t="s">
        <v>69</v>
      </c>
      <c r="AM99" s="425" t="s">
        <v>69</v>
      </c>
      <c r="AN99" s="425" t="s">
        <v>69</v>
      </c>
      <c r="AO99" s="425" t="s">
        <v>69</v>
      </c>
      <c r="AP99" s="425" t="s">
        <v>69</v>
      </c>
      <c r="AQ99" s="425" t="s">
        <v>69</v>
      </c>
      <c r="AR99" s="425" t="s">
        <v>69</v>
      </c>
      <c r="AS99" s="425" t="s">
        <v>69</v>
      </c>
      <c r="AT99" s="425" t="s">
        <v>69</v>
      </c>
      <c r="AU99" s="425" t="s">
        <v>69</v>
      </c>
      <c r="AV99" s="425">
        <v>3</v>
      </c>
      <c r="AW99" s="425" t="s">
        <v>69</v>
      </c>
      <c r="AX99" s="425" t="s">
        <v>69</v>
      </c>
      <c r="AY99" s="425" t="s">
        <v>69</v>
      </c>
      <c r="AZ99" s="425" t="s">
        <v>69</v>
      </c>
      <c r="BA99" s="425" t="s">
        <v>69</v>
      </c>
      <c r="BB99" s="425">
        <v>3</v>
      </c>
      <c r="BC99" s="425" t="s">
        <v>69</v>
      </c>
      <c r="BD99" s="425">
        <v>2</v>
      </c>
      <c r="BE99" s="425">
        <v>3</v>
      </c>
      <c r="BF99" s="425" t="s">
        <v>69</v>
      </c>
      <c r="BG99" s="425" t="s">
        <v>69</v>
      </c>
      <c r="BH99" s="425" t="s">
        <v>69</v>
      </c>
      <c r="BI99" s="425" t="s">
        <v>69</v>
      </c>
      <c r="BJ99" s="425" t="s">
        <v>69</v>
      </c>
      <c r="BK99" s="425" t="s">
        <v>69</v>
      </c>
      <c r="BL99" s="425" t="s">
        <v>69</v>
      </c>
      <c r="BM99" s="425" t="s">
        <v>69</v>
      </c>
      <c r="BN99" s="425" t="s">
        <v>69</v>
      </c>
      <c r="BO99" s="425" t="s">
        <v>69</v>
      </c>
      <c r="BP99" s="425" t="s">
        <v>69</v>
      </c>
      <c r="BQ99" s="425" t="s">
        <v>69</v>
      </c>
      <c r="BR99" s="425" t="s">
        <v>69</v>
      </c>
      <c r="BS99" s="425" t="s">
        <v>69</v>
      </c>
      <c r="BT99" s="425" t="s">
        <v>69</v>
      </c>
      <c r="BU99" s="425" t="s">
        <v>69</v>
      </c>
      <c r="BV99" s="425" t="s">
        <v>69</v>
      </c>
      <c r="BW99" s="425" t="s">
        <v>69</v>
      </c>
      <c r="BX99" s="425" t="s">
        <v>69</v>
      </c>
      <c r="BY99" s="425" t="s">
        <v>69</v>
      </c>
      <c r="BZ99" s="425" t="s">
        <v>69</v>
      </c>
      <c r="CA99" s="425" t="s">
        <v>69</v>
      </c>
      <c r="CB99" s="425" t="s">
        <v>69</v>
      </c>
      <c r="CC99" s="425" t="s">
        <v>69</v>
      </c>
      <c r="CD99" s="425" t="s">
        <v>69</v>
      </c>
      <c r="CE99" s="425" t="s">
        <v>69</v>
      </c>
      <c r="CF99" s="425" t="s">
        <v>69</v>
      </c>
      <c r="CG99" s="425" t="s">
        <v>69</v>
      </c>
      <c r="CH99" s="425" t="s">
        <v>69</v>
      </c>
      <c r="CI99" s="425" t="s">
        <v>69</v>
      </c>
      <c r="CJ99" s="425" t="s">
        <v>69</v>
      </c>
      <c r="CK99" s="425" t="s">
        <v>69</v>
      </c>
      <c r="CL99" s="425" t="s">
        <v>69</v>
      </c>
      <c r="CM99" s="425">
        <v>3</v>
      </c>
      <c r="CN99" s="425">
        <v>3</v>
      </c>
      <c r="CO99" s="425" t="s">
        <v>69</v>
      </c>
      <c r="CP99" s="425" t="s">
        <v>69</v>
      </c>
      <c r="CQ99" s="425" t="s">
        <v>69</v>
      </c>
      <c r="CR99" s="425" t="s">
        <v>69</v>
      </c>
      <c r="CS99" s="425" t="s">
        <v>69</v>
      </c>
      <c r="CT99" s="425" t="s">
        <v>69</v>
      </c>
      <c r="CU99" s="425" t="s">
        <v>69</v>
      </c>
      <c r="CV99" s="425" t="s">
        <v>69</v>
      </c>
      <c r="CW99" s="425" t="s">
        <v>69</v>
      </c>
      <c r="CX99" s="425" t="s">
        <v>69</v>
      </c>
      <c r="CY99" s="425" t="s">
        <v>69</v>
      </c>
      <c r="CZ99" s="425" t="s">
        <v>69</v>
      </c>
      <c r="DA99" s="425" t="s">
        <v>69</v>
      </c>
      <c r="DB99" s="425" t="s">
        <v>69</v>
      </c>
      <c r="DC99" s="425" t="s">
        <v>69</v>
      </c>
      <c r="DD99" s="425" t="s">
        <v>69</v>
      </c>
      <c r="DE99" s="425" t="s">
        <v>69</v>
      </c>
      <c r="DF99" s="425" t="s">
        <v>69</v>
      </c>
      <c r="DG99" s="425" t="s">
        <v>69</v>
      </c>
      <c r="DH99" s="425" t="s">
        <v>69</v>
      </c>
      <c r="DI99" s="425" t="s">
        <v>69</v>
      </c>
      <c r="DJ99" s="425" t="s">
        <v>69</v>
      </c>
      <c r="DK99" s="425" t="s">
        <v>69</v>
      </c>
      <c r="DL99" s="425" t="s">
        <v>69</v>
      </c>
      <c r="DM99" s="425">
        <v>3</v>
      </c>
      <c r="DN99" s="425" t="s">
        <v>69</v>
      </c>
      <c r="DO99" s="425" t="s">
        <v>69</v>
      </c>
      <c r="DP99" s="425" t="s">
        <v>69</v>
      </c>
      <c r="DQ99" s="425" t="s">
        <v>69</v>
      </c>
      <c r="DR99" s="425" t="s">
        <v>69</v>
      </c>
      <c r="DS99" s="425" t="s">
        <v>69</v>
      </c>
      <c r="DT99" s="425" t="s">
        <v>69</v>
      </c>
      <c r="DU99" s="422" t="s">
        <v>69</v>
      </c>
      <c r="DV99" s="425" t="s">
        <v>69</v>
      </c>
      <c r="DW99" s="425" t="s">
        <v>69</v>
      </c>
      <c r="DX99" s="425" t="s">
        <v>69</v>
      </c>
      <c r="DY99" s="423">
        <f t="shared" si="6"/>
        <v>0.17460317460317459</v>
      </c>
      <c r="DZ99" s="424">
        <f t="shared" si="7"/>
        <v>0.81818181818181823</v>
      </c>
      <c r="EA99" s="519"/>
    </row>
    <row r="100" spans="1:131" s="18" customFormat="1" ht="64.2" thickBot="1">
      <c r="A100" s="420" t="s">
        <v>1069</v>
      </c>
      <c r="B100" s="414" t="s">
        <v>1070</v>
      </c>
      <c r="C100" s="419">
        <v>46055</v>
      </c>
      <c r="D100" s="418" t="s">
        <v>1183</v>
      </c>
      <c r="E100" s="429" t="s">
        <v>216</v>
      </c>
      <c r="F100" s="425" t="s">
        <v>69</v>
      </c>
      <c r="G100" s="425" t="s">
        <v>69</v>
      </c>
      <c r="H100" s="425" t="s">
        <v>69</v>
      </c>
      <c r="I100" s="425" t="s">
        <v>69</v>
      </c>
      <c r="J100" s="425" t="s">
        <v>69</v>
      </c>
      <c r="K100" s="425" t="s">
        <v>69</v>
      </c>
      <c r="L100" s="425" t="s">
        <v>69</v>
      </c>
      <c r="M100" s="425">
        <v>3</v>
      </c>
      <c r="N100" s="425" t="s">
        <v>69</v>
      </c>
      <c r="O100" s="425" t="s">
        <v>69</v>
      </c>
      <c r="P100" s="425" t="s">
        <v>69</v>
      </c>
      <c r="Q100" s="425">
        <v>3</v>
      </c>
      <c r="R100" s="425" t="s">
        <v>69</v>
      </c>
      <c r="S100" s="425" t="s">
        <v>69</v>
      </c>
      <c r="T100" s="425" t="s">
        <v>69</v>
      </c>
      <c r="U100" s="425" t="s">
        <v>69</v>
      </c>
      <c r="V100" s="425" t="s">
        <v>69</v>
      </c>
      <c r="W100" s="425" t="s">
        <v>69</v>
      </c>
      <c r="X100" s="425" t="s">
        <v>69</v>
      </c>
      <c r="Y100" s="425">
        <v>3</v>
      </c>
      <c r="Z100" s="425" t="s">
        <v>69</v>
      </c>
      <c r="AA100" s="425" t="s">
        <v>69</v>
      </c>
      <c r="AB100" s="425">
        <v>3</v>
      </c>
      <c r="AC100" s="425" t="s">
        <v>69</v>
      </c>
      <c r="AD100" s="425" t="s">
        <v>69</v>
      </c>
      <c r="AE100" s="425" t="s">
        <v>69</v>
      </c>
      <c r="AF100" s="425" t="s">
        <v>69</v>
      </c>
      <c r="AG100" s="425" t="s">
        <v>69</v>
      </c>
      <c r="AH100" s="425" t="s">
        <v>69</v>
      </c>
      <c r="AI100" s="425" t="s">
        <v>69</v>
      </c>
      <c r="AJ100" s="425" t="s">
        <v>69</v>
      </c>
      <c r="AK100" s="425" t="s">
        <v>69</v>
      </c>
      <c r="AL100" s="425" t="s">
        <v>69</v>
      </c>
      <c r="AM100" s="425" t="s">
        <v>69</v>
      </c>
      <c r="AN100" s="425" t="s">
        <v>69</v>
      </c>
      <c r="AO100" s="425" t="s">
        <v>69</v>
      </c>
      <c r="AP100" s="425" t="s">
        <v>69</v>
      </c>
      <c r="AQ100" s="425" t="s">
        <v>69</v>
      </c>
      <c r="AR100" s="425" t="s">
        <v>69</v>
      </c>
      <c r="AS100" s="425" t="s">
        <v>69</v>
      </c>
      <c r="AT100" s="425" t="s">
        <v>69</v>
      </c>
      <c r="AU100" s="425" t="s">
        <v>69</v>
      </c>
      <c r="AV100" s="425" t="s">
        <v>69</v>
      </c>
      <c r="AW100" s="425" t="s">
        <v>69</v>
      </c>
      <c r="AX100" s="425" t="s">
        <v>69</v>
      </c>
      <c r="AY100" s="425" t="s">
        <v>69</v>
      </c>
      <c r="AZ100" s="425" t="s">
        <v>69</v>
      </c>
      <c r="BA100" s="425" t="s">
        <v>69</v>
      </c>
      <c r="BB100" s="425" t="s">
        <v>69</v>
      </c>
      <c r="BC100" s="425" t="s">
        <v>69</v>
      </c>
      <c r="BD100" s="425" t="s">
        <v>69</v>
      </c>
      <c r="BE100" s="425" t="s">
        <v>69</v>
      </c>
      <c r="BF100" s="425" t="s">
        <v>69</v>
      </c>
      <c r="BG100" s="425" t="s">
        <v>69</v>
      </c>
      <c r="BH100" s="425" t="s">
        <v>69</v>
      </c>
      <c r="BI100" s="425" t="s">
        <v>69</v>
      </c>
      <c r="BJ100" s="425" t="s">
        <v>69</v>
      </c>
      <c r="BK100" s="425" t="s">
        <v>69</v>
      </c>
      <c r="BL100" s="425" t="s">
        <v>69</v>
      </c>
      <c r="BM100" s="425" t="s">
        <v>69</v>
      </c>
      <c r="BN100" s="425" t="s">
        <v>69</v>
      </c>
      <c r="BO100" s="425" t="s">
        <v>69</v>
      </c>
      <c r="BP100" s="425" t="s">
        <v>69</v>
      </c>
      <c r="BQ100" s="425" t="s">
        <v>69</v>
      </c>
      <c r="BR100" s="425" t="s">
        <v>69</v>
      </c>
      <c r="BS100" s="425" t="s">
        <v>69</v>
      </c>
      <c r="BT100" s="425" t="s">
        <v>69</v>
      </c>
      <c r="BU100" s="425" t="s">
        <v>69</v>
      </c>
      <c r="BV100" s="425" t="s">
        <v>69</v>
      </c>
      <c r="BW100" s="425" t="s">
        <v>69</v>
      </c>
      <c r="BX100" s="425" t="s">
        <v>69</v>
      </c>
      <c r="BY100" s="425" t="s">
        <v>69</v>
      </c>
      <c r="BZ100" s="425" t="s">
        <v>69</v>
      </c>
      <c r="CA100" s="425" t="s">
        <v>69</v>
      </c>
      <c r="CB100" s="425" t="s">
        <v>69</v>
      </c>
      <c r="CC100" s="425" t="s">
        <v>69</v>
      </c>
      <c r="CD100" s="425" t="s">
        <v>69</v>
      </c>
      <c r="CE100" s="425" t="s">
        <v>69</v>
      </c>
      <c r="CF100" s="425" t="s">
        <v>69</v>
      </c>
      <c r="CG100" s="425" t="s">
        <v>69</v>
      </c>
      <c r="CH100" s="425" t="s">
        <v>69</v>
      </c>
      <c r="CI100" s="425" t="s">
        <v>69</v>
      </c>
      <c r="CJ100" s="425" t="s">
        <v>69</v>
      </c>
      <c r="CK100" s="425" t="s">
        <v>69</v>
      </c>
      <c r="CL100" s="425" t="s">
        <v>69</v>
      </c>
      <c r="CM100" s="425" t="s">
        <v>69</v>
      </c>
      <c r="CN100" s="425" t="s">
        <v>69</v>
      </c>
      <c r="CO100" s="425" t="s">
        <v>69</v>
      </c>
      <c r="CP100" s="425" t="s">
        <v>69</v>
      </c>
      <c r="CQ100" s="425" t="s">
        <v>69</v>
      </c>
      <c r="CR100" s="425" t="s">
        <v>69</v>
      </c>
      <c r="CS100" s="425" t="s">
        <v>69</v>
      </c>
      <c r="CT100" s="425" t="s">
        <v>69</v>
      </c>
      <c r="CU100" s="425" t="s">
        <v>69</v>
      </c>
      <c r="CV100" s="425" t="s">
        <v>69</v>
      </c>
      <c r="CW100" s="425" t="s">
        <v>69</v>
      </c>
      <c r="CX100" s="425" t="s">
        <v>69</v>
      </c>
      <c r="CY100" s="425" t="s">
        <v>69</v>
      </c>
      <c r="CZ100" s="425" t="s">
        <v>69</v>
      </c>
      <c r="DA100" s="425" t="s">
        <v>69</v>
      </c>
      <c r="DB100" s="425" t="s">
        <v>69</v>
      </c>
      <c r="DC100" s="425" t="s">
        <v>69</v>
      </c>
      <c r="DD100" s="425" t="s">
        <v>69</v>
      </c>
      <c r="DE100" s="425">
        <v>3</v>
      </c>
      <c r="DF100" s="425" t="s">
        <v>69</v>
      </c>
      <c r="DG100" s="425" t="s">
        <v>69</v>
      </c>
      <c r="DH100" s="425">
        <v>3</v>
      </c>
      <c r="DI100" s="425" t="s">
        <v>69</v>
      </c>
      <c r="DJ100" s="425" t="s">
        <v>69</v>
      </c>
      <c r="DK100" s="425" t="s">
        <v>69</v>
      </c>
      <c r="DL100" s="425" t="s">
        <v>69</v>
      </c>
      <c r="DM100" s="425" t="s">
        <v>69</v>
      </c>
      <c r="DN100" s="425" t="s">
        <v>69</v>
      </c>
      <c r="DO100" s="425" t="s">
        <v>69</v>
      </c>
      <c r="DP100" s="425" t="s">
        <v>69</v>
      </c>
      <c r="DQ100" s="425" t="s">
        <v>69</v>
      </c>
      <c r="DR100" s="425" t="s">
        <v>69</v>
      </c>
      <c r="DS100" s="425" t="s">
        <v>69</v>
      </c>
      <c r="DT100" s="425" t="s">
        <v>69</v>
      </c>
      <c r="DU100" s="422">
        <v>0</v>
      </c>
      <c r="DV100" s="425" t="s">
        <v>69</v>
      </c>
      <c r="DW100" s="425" t="s">
        <v>69</v>
      </c>
      <c r="DX100" s="425" t="s">
        <v>69</v>
      </c>
      <c r="DY100" s="423">
        <f t="shared" si="6"/>
        <v>9.5238095238095233E-2</v>
      </c>
      <c r="DZ100" s="424">
        <f t="shared" si="7"/>
        <v>1</v>
      </c>
      <c r="EA100" s="519"/>
    </row>
    <row r="101" spans="1:131" s="18" customFormat="1" ht="66.599999999999994" thickBot="1">
      <c r="A101" s="420" t="s">
        <v>1071</v>
      </c>
      <c r="B101" s="414" t="s">
        <v>1072</v>
      </c>
      <c r="C101" s="419">
        <v>46055</v>
      </c>
      <c r="D101" s="418" t="s">
        <v>1183</v>
      </c>
      <c r="E101" s="429" t="s">
        <v>216</v>
      </c>
      <c r="F101" s="425" t="s">
        <v>69</v>
      </c>
      <c r="G101" s="425" t="s">
        <v>69</v>
      </c>
      <c r="H101" s="425" t="s">
        <v>69</v>
      </c>
      <c r="I101" s="425" t="s">
        <v>69</v>
      </c>
      <c r="J101" s="425" t="s">
        <v>69</v>
      </c>
      <c r="K101" s="425" t="s">
        <v>69</v>
      </c>
      <c r="L101" s="425" t="s">
        <v>69</v>
      </c>
      <c r="M101" s="425" t="s">
        <v>69</v>
      </c>
      <c r="N101" s="425" t="s">
        <v>69</v>
      </c>
      <c r="O101" s="425" t="s">
        <v>69</v>
      </c>
      <c r="P101" s="425" t="s">
        <v>69</v>
      </c>
      <c r="Q101" s="425" t="s">
        <v>69</v>
      </c>
      <c r="R101" s="425" t="s">
        <v>69</v>
      </c>
      <c r="S101" s="425" t="s">
        <v>69</v>
      </c>
      <c r="T101" s="425" t="s">
        <v>69</v>
      </c>
      <c r="U101" s="425" t="s">
        <v>69</v>
      </c>
      <c r="V101" s="425" t="s">
        <v>69</v>
      </c>
      <c r="W101" s="425" t="s">
        <v>69</v>
      </c>
      <c r="X101" s="425" t="s">
        <v>69</v>
      </c>
      <c r="Y101" s="425" t="s">
        <v>69</v>
      </c>
      <c r="Z101" s="425" t="s">
        <v>69</v>
      </c>
      <c r="AA101" s="425" t="s">
        <v>69</v>
      </c>
      <c r="AB101" s="425" t="s">
        <v>69</v>
      </c>
      <c r="AC101" s="425" t="s">
        <v>69</v>
      </c>
      <c r="AD101" s="425" t="s">
        <v>69</v>
      </c>
      <c r="AE101" s="425" t="s">
        <v>69</v>
      </c>
      <c r="AF101" s="425">
        <v>3</v>
      </c>
      <c r="AG101" s="425" t="s">
        <v>69</v>
      </c>
      <c r="AH101" s="425" t="s">
        <v>69</v>
      </c>
      <c r="AI101" s="425" t="s">
        <v>69</v>
      </c>
      <c r="AJ101" s="425" t="s">
        <v>69</v>
      </c>
      <c r="AK101" s="425" t="s">
        <v>69</v>
      </c>
      <c r="AL101" s="425">
        <v>3</v>
      </c>
      <c r="AM101" s="425" t="s">
        <v>69</v>
      </c>
      <c r="AN101" s="425">
        <v>3</v>
      </c>
      <c r="AO101" s="425" t="s">
        <v>69</v>
      </c>
      <c r="AP101" s="425" t="s">
        <v>69</v>
      </c>
      <c r="AQ101" s="425" t="s">
        <v>69</v>
      </c>
      <c r="AR101" s="425" t="s">
        <v>69</v>
      </c>
      <c r="AS101" s="425" t="s">
        <v>69</v>
      </c>
      <c r="AT101" s="425" t="s">
        <v>69</v>
      </c>
      <c r="AU101" s="425" t="s">
        <v>69</v>
      </c>
      <c r="AV101" s="425" t="s">
        <v>69</v>
      </c>
      <c r="AW101" s="425" t="s">
        <v>69</v>
      </c>
      <c r="AX101" s="425" t="s">
        <v>69</v>
      </c>
      <c r="AY101" s="425" t="s">
        <v>69</v>
      </c>
      <c r="AZ101" s="425" t="s">
        <v>69</v>
      </c>
      <c r="BA101" s="425" t="s">
        <v>69</v>
      </c>
      <c r="BB101" s="425" t="s">
        <v>69</v>
      </c>
      <c r="BC101" s="425" t="s">
        <v>69</v>
      </c>
      <c r="BD101" s="425" t="s">
        <v>69</v>
      </c>
      <c r="BE101" s="425" t="s">
        <v>69</v>
      </c>
      <c r="BF101" s="425" t="s">
        <v>69</v>
      </c>
      <c r="BG101" s="425" t="s">
        <v>69</v>
      </c>
      <c r="BH101" s="425" t="s">
        <v>69</v>
      </c>
      <c r="BI101" s="425" t="s">
        <v>69</v>
      </c>
      <c r="BJ101" s="425" t="s">
        <v>69</v>
      </c>
      <c r="BK101" s="425" t="s">
        <v>69</v>
      </c>
      <c r="BL101" s="425" t="s">
        <v>69</v>
      </c>
      <c r="BM101" s="425" t="s">
        <v>69</v>
      </c>
      <c r="BN101" s="425" t="s">
        <v>69</v>
      </c>
      <c r="BO101" s="425" t="s">
        <v>69</v>
      </c>
      <c r="BP101" s="425" t="s">
        <v>69</v>
      </c>
      <c r="BQ101" s="425" t="s">
        <v>69</v>
      </c>
      <c r="BR101" s="425" t="s">
        <v>69</v>
      </c>
      <c r="BS101" s="425" t="s">
        <v>69</v>
      </c>
      <c r="BT101" s="425" t="s">
        <v>69</v>
      </c>
      <c r="BU101" s="425" t="s">
        <v>69</v>
      </c>
      <c r="BV101" s="425" t="s">
        <v>69</v>
      </c>
      <c r="BW101" s="425" t="s">
        <v>69</v>
      </c>
      <c r="BX101" s="425" t="s">
        <v>69</v>
      </c>
      <c r="BY101" s="425" t="s">
        <v>69</v>
      </c>
      <c r="BZ101" s="425" t="s">
        <v>69</v>
      </c>
      <c r="CA101" s="425" t="s">
        <v>69</v>
      </c>
      <c r="CB101" s="425" t="s">
        <v>69</v>
      </c>
      <c r="CC101" s="425" t="s">
        <v>69</v>
      </c>
      <c r="CD101" s="425" t="s">
        <v>69</v>
      </c>
      <c r="CE101" s="425" t="s">
        <v>69</v>
      </c>
      <c r="CF101" s="425" t="s">
        <v>69</v>
      </c>
      <c r="CG101" s="425" t="s">
        <v>69</v>
      </c>
      <c r="CH101" s="425" t="s">
        <v>69</v>
      </c>
      <c r="CI101" s="425" t="s">
        <v>69</v>
      </c>
      <c r="CJ101" s="425" t="s">
        <v>69</v>
      </c>
      <c r="CK101" s="425" t="s">
        <v>69</v>
      </c>
      <c r="CL101" s="425" t="s">
        <v>69</v>
      </c>
      <c r="CM101" s="425" t="s">
        <v>69</v>
      </c>
      <c r="CN101" s="425" t="s">
        <v>69</v>
      </c>
      <c r="CO101" s="425" t="s">
        <v>69</v>
      </c>
      <c r="CP101" s="425" t="s">
        <v>69</v>
      </c>
      <c r="CQ101" s="425" t="s">
        <v>69</v>
      </c>
      <c r="CR101" s="425" t="s">
        <v>69</v>
      </c>
      <c r="CS101" s="425" t="s">
        <v>69</v>
      </c>
      <c r="CT101" s="425" t="s">
        <v>69</v>
      </c>
      <c r="CU101" s="425" t="s">
        <v>69</v>
      </c>
      <c r="CV101" s="425" t="s">
        <v>69</v>
      </c>
      <c r="CW101" s="425" t="s">
        <v>69</v>
      </c>
      <c r="CX101" s="425" t="s">
        <v>69</v>
      </c>
      <c r="CY101" s="425" t="s">
        <v>69</v>
      </c>
      <c r="CZ101" s="425" t="s">
        <v>69</v>
      </c>
      <c r="DA101" s="425" t="s">
        <v>69</v>
      </c>
      <c r="DB101" s="425" t="s">
        <v>69</v>
      </c>
      <c r="DC101" s="425" t="s">
        <v>69</v>
      </c>
      <c r="DD101" s="425" t="s">
        <v>69</v>
      </c>
      <c r="DE101" s="425" t="s">
        <v>69</v>
      </c>
      <c r="DF101" s="425" t="s">
        <v>69</v>
      </c>
      <c r="DG101" s="425">
        <v>3</v>
      </c>
      <c r="DH101" s="425" t="s">
        <v>69</v>
      </c>
      <c r="DI101" s="425" t="s">
        <v>69</v>
      </c>
      <c r="DJ101" s="425" t="s">
        <v>69</v>
      </c>
      <c r="DK101" s="425" t="s">
        <v>69</v>
      </c>
      <c r="DL101" s="425" t="s">
        <v>69</v>
      </c>
      <c r="DM101" s="425">
        <v>3</v>
      </c>
      <c r="DN101" s="425" t="s">
        <v>69</v>
      </c>
      <c r="DO101" s="425" t="s">
        <v>69</v>
      </c>
      <c r="DP101" s="425" t="s">
        <v>69</v>
      </c>
      <c r="DQ101" s="425" t="s">
        <v>69</v>
      </c>
      <c r="DR101" s="425">
        <v>3</v>
      </c>
      <c r="DS101" s="425" t="s">
        <v>69</v>
      </c>
      <c r="DT101" s="425" t="s">
        <v>69</v>
      </c>
      <c r="DU101" s="422" t="s">
        <v>69</v>
      </c>
      <c r="DV101" s="425" t="s">
        <v>69</v>
      </c>
      <c r="DW101" s="425" t="s">
        <v>69</v>
      </c>
      <c r="DX101" s="425" t="s">
        <v>69</v>
      </c>
      <c r="DY101" s="423">
        <f t="shared" si="6"/>
        <v>9.5238095238095233E-2</v>
      </c>
      <c r="DZ101" s="424">
        <f t="shared" si="7"/>
        <v>1</v>
      </c>
      <c r="EA101" s="519"/>
    </row>
    <row r="102" spans="1:131" s="18" customFormat="1" ht="66.599999999999994" thickBot="1">
      <c r="A102" s="420" t="s">
        <v>1073</v>
      </c>
      <c r="B102" s="414" t="s">
        <v>1074</v>
      </c>
      <c r="C102" s="419">
        <v>46055</v>
      </c>
      <c r="D102" s="418" t="s">
        <v>1183</v>
      </c>
      <c r="E102" s="429" t="s">
        <v>216</v>
      </c>
      <c r="F102" s="425">
        <v>3</v>
      </c>
      <c r="G102" s="425" t="s">
        <v>69</v>
      </c>
      <c r="H102" s="425" t="s">
        <v>69</v>
      </c>
      <c r="I102" s="425" t="s">
        <v>69</v>
      </c>
      <c r="J102" s="425" t="s">
        <v>69</v>
      </c>
      <c r="K102" s="425" t="s">
        <v>69</v>
      </c>
      <c r="L102" s="425" t="s">
        <v>69</v>
      </c>
      <c r="M102" s="425" t="s">
        <v>69</v>
      </c>
      <c r="N102" s="425" t="s">
        <v>69</v>
      </c>
      <c r="O102" s="425" t="s">
        <v>69</v>
      </c>
      <c r="P102" s="425" t="s">
        <v>69</v>
      </c>
      <c r="Q102" s="425" t="s">
        <v>69</v>
      </c>
      <c r="R102" s="425" t="s">
        <v>69</v>
      </c>
      <c r="S102" s="425" t="s">
        <v>69</v>
      </c>
      <c r="T102" s="425" t="s">
        <v>69</v>
      </c>
      <c r="U102" s="425" t="s">
        <v>69</v>
      </c>
      <c r="V102" s="425" t="s">
        <v>69</v>
      </c>
      <c r="W102" s="425" t="s">
        <v>69</v>
      </c>
      <c r="X102" s="425" t="s">
        <v>69</v>
      </c>
      <c r="Y102" s="425" t="s">
        <v>69</v>
      </c>
      <c r="Z102" s="425" t="s">
        <v>69</v>
      </c>
      <c r="AA102" s="425" t="s">
        <v>69</v>
      </c>
      <c r="AB102" s="425" t="s">
        <v>69</v>
      </c>
      <c r="AC102" s="425" t="s">
        <v>69</v>
      </c>
      <c r="AD102" s="425" t="s">
        <v>69</v>
      </c>
      <c r="AE102" s="425" t="s">
        <v>69</v>
      </c>
      <c r="AF102" s="425" t="s">
        <v>69</v>
      </c>
      <c r="AG102" s="425" t="s">
        <v>69</v>
      </c>
      <c r="AH102" s="425" t="s">
        <v>69</v>
      </c>
      <c r="AI102" s="425" t="s">
        <v>69</v>
      </c>
      <c r="AJ102" s="425" t="s">
        <v>69</v>
      </c>
      <c r="AK102" s="425" t="s">
        <v>69</v>
      </c>
      <c r="AL102" s="425" t="s">
        <v>69</v>
      </c>
      <c r="AM102" s="425" t="s">
        <v>69</v>
      </c>
      <c r="AN102" s="425" t="s">
        <v>69</v>
      </c>
      <c r="AO102" s="425" t="s">
        <v>69</v>
      </c>
      <c r="AP102" s="425" t="s">
        <v>69</v>
      </c>
      <c r="AQ102" s="425" t="s">
        <v>69</v>
      </c>
      <c r="AR102" s="425" t="s">
        <v>69</v>
      </c>
      <c r="AS102" s="425" t="s">
        <v>69</v>
      </c>
      <c r="AT102" s="425" t="s">
        <v>69</v>
      </c>
      <c r="AU102" s="425" t="s">
        <v>69</v>
      </c>
      <c r="AV102" s="425" t="s">
        <v>69</v>
      </c>
      <c r="AW102" s="425" t="s">
        <v>69</v>
      </c>
      <c r="AX102" s="425">
        <v>3</v>
      </c>
      <c r="AY102" s="425" t="s">
        <v>69</v>
      </c>
      <c r="AZ102" s="425" t="s">
        <v>69</v>
      </c>
      <c r="BA102" s="425" t="s">
        <v>69</v>
      </c>
      <c r="BB102" s="425" t="s">
        <v>69</v>
      </c>
      <c r="BC102" s="425" t="s">
        <v>69</v>
      </c>
      <c r="BD102" s="425" t="s">
        <v>69</v>
      </c>
      <c r="BE102" s="425" t="s">
        <v>69</v>
      </c>
      <c r="BF102" s="425" t="s">
        <v>69</v>
      </c>
      <c r="BG102" s="425" t="s">
        <v>69</v>
      </c>
      <c r="BH102" s="425" t="s">
        <v>69</v>
      </c>
      <c r="BI102" s="425" t="s">
        <v>69</v>
      </c>
      <c r="BJ102" s="425" t="s">
        <v>69</v>
      </c>
      <c r="BK102" s="425" t="s">
        <v>69</v>
      </c>
      <c r="BL102" s="425" t="s">
        <v>69</v>
      </c>
      <c r="BM102" s="425" t="s">
        <v>69</v>
      </c>
      <c r="BN102" s="425" t="s">
        <v>69</v>
      </c>
      <c r="BO102" s="425" t="s">
        <v>69</v>
      </c>
      <c r="BP102" s="425" t="s">
        <v>69</v>
      </c>
      <c r="BQ102" s="425" t="s">
        <v>69</v>
      </c>
      <c r="BR102" s="425" t="s">
        <v>69</v>
      </c>
      <c r="BS102" s="425" t="s">
        <v>69</v>
      </c>
      <c r="BT102" s="425" t="s">
        <v>69</v>
      </c>
      <c r="BU102" s="425" t="s">
        <v>69</v>
      </c>
      <c r="BV102" s="425" t="s">
        <v>69</v>
      </c>
      <c r="BW102" s="425" t="s">
        <v>69</v>
      </c>
      <c r="BX102" s="425" t="s">
        <v>69</v>
      </c>
      <c r="BY102" s="425" t="s">
        <v>69</v>
      </c>
      <c r="BZ102" s="425" t="s">
        <v>69</v>
      </c>
      <c r="CA102" s="425" t="s">
        <v>69</v>
      </c>
      <c r="CB102" s="425" t="s">
        <v>69</v>
      </c>
      <c r="CC102" s="425" t="s">
        <v>69</v>
      </c>
      <c r="CD102" s="425" t="s">
        <v>69</v>
      </c>
      <c r="CE102" s="425" t="s">
        <v>69</v>
      </c>
      <c r="CF102" s="425" t="s">
        <v>69</v>
      </c>
      <c r="CG102" s="425" t="s">
        <v>69</v>
      </c>
      <c r="CH102" s="425" t="s">
        <v>69</v>
      </c>
      <c r="CI102" s="425" t="s">
        <v>69</v>
      </c>
      <c r="CJ102" s="425" t="s">
        <v>69</v>
      </c>
      <c r="CK102" s="425" t="s">
        <v>69</v>
      </c>
      <c r="CL102" s="425" t="s">
        <v>69</v>
      </c>
      <c r="CM102" s="425" t="s">
        <v>69</v>
      </c>
      <c r="CN102" s="425" t="s">
        <v>69</v>
      </c>
      <c r="CO102" s="425" t="s">
        <v>69</v>
      </c>
      <c r="CP102" s="425" t="s">
        <v>69</v>
      </c>
      <c r="CQ102" s="425" t="s">
        <v>69</v>
      </c>
      <c r="CR102" s="425" t="s">
        <v>69</v>
      </c>
      <c r="CS102" s="425" t="s">
        <v>69</v>
      </c>
      <c r="CT102" s="425" t="s">
        <v>69</v>
      </c>
      <c r="CU102" s="425" t="s">
        <v>69</v>
      </c>
      <c r="CV102" s="425" t="s">
        <v>69</v>
      </c>
      <c r="CW102" s="425" t="s">
        <v>69</v>
      </c>
      <c r="CX102" s="425" t="s">
        <v>69</v>
      </c>
      <c r="CY102" s="425" t="s">
        <v>69</v>
      </c>
      <c r="CZ102" s="425" t="s">
        <v>69</v>
      </c>
      <c r="DA102" s="425" t="s">
        <v>69</v>
      </c>
      <c r="DB102" s="425" t="s">
        <v>69</v>
      </c>
      <c r="DC102" s="425" t="s">
        <v>69</v>
      </c>
      <c r="DD102" s="425" t="s">
        <v>69</v>
      </c>
      <c r="DE102" s="425" t="s">
        <v>69</v>
      </c>
      <c r="DF102" s="425" t="s">
        <v>69</v>
      </c>
      <c r="DG102" s="425" t="s">
        <v>69</v>
      </c>
      <c r="DH102" s="425" t="s">
        <v>69</v>
      </c>
      <c r="DI102" s="425" t="s">
        <v>69</v>
      </c>
      <c r="DJ102" s="425" t="s">
        <v>69</v>
      </c>
      <c r="DK102" s="425" t="s">
        <v>69</v>
      </c>
      <c r="DL102" s="425" t="s">
        <v>69</v>
      </c>
      <c r="DM102" s="425" t="s">
        <v>69</v>
      </c>
      <c r="DN102" s="425" t="s">
        <v>69</v>
      </c>
      <c r="DO102" s="425">
        <v>3</v>
      </c>
      <c r="DP102" s="425" t="s">
        <v>69</v>
      </c>
      <c r="DQ102" s="425" t="s">
        <v>69</v>
      </c>
      <c r="DR102" s="425" t="s">
        <v>69</v>
      </c>
      <c r="DS102" s="425" t="s">
        <v>69</v>
      </c>
      <c r="DT102" s="425" t="s">
        <v>69</v>
      </c>
      <c r="DU102" s="422" t="s">
        <v>69</v>
      </c>
      <c r="DV102" s="425" t="s">
        <v>69</v>
      </c>
      <c r="DW102" s="425" t="s">
        <v>69</v>
      </c>
      <c r="DX102" s="425" t="s">
        <v>69</v>
      </c>
      <c r="DY102" s="423">
        <f t="shared" si="6"/>
        <v>4.7619047619047616E-2</v>
      </c>
      <c r="DZ102" s="424">
        <f t="shared" si="7"/>
        <v>1</v>
      </c>
      <c r="EA102" s="519"/>
    </row>
    <row r="103" spans="1:131" s="18" customFormat="1" ht="66.599999999999994" thickBot="1">
      <c r="A103" s="420" t="s">
        <v>1075</v>
      </c>
      <c r="B103" s="414" t="s">
        <v>1076</v>
      </c>
      <c r="C103" s="419">
        <v>46055</v>
      </c>
      <c r="D103" s="418" t="s">
        <v>1183</v>
      </c>
      <c r="E103" s="429" t="s">
        <v>216</v>
      </c>
      <c r="F103" s="425" t="s">
        <v>69</v>
      </c>
      <c r="G103" s="425" t="s">
        <v>69</v>
      </c>
      <c r="H103" s="425" t="s">
        <v>69</v>
      </c>
      <c r="I103" s="425" t="s">
        <v>69</v>
      </c>
      <c r="J103" s="425" t="s">
        <v>69</v>
      </c>
      <c r="K103" s="425" t="s">
        <v>69</v>
      </c>
      <c r="L103" s="425" t="s">
        <v>69</v>
      </c>
      <c r="M103" s="425" t="s">
        <v>69</v>
      </c>
      <c r="N103" s="425" t="s">
        <v>69</v>
      </c>
      <c r="O103" s="425" t="s">
        <v>69</v>
      </c>
      <c r="P103" s="425" t="s">
        <v>69</v>
      </c>
      <c r="Q103" s="425">
        <v>3</v>
      </c>
      <c r="R103" s="425" t="s">
        <v>69</v>
      </c>
      <c r="S103" s="425" t="s">
        <v>69</v>
      </c>
      <c r="T103" s="425" t="s">
        <v>69</v>
      </c>
      <c r="U103" s="425" t="s">
        <v>69</v>
      </c>
      <c r="V103" s="425">
        <v>3</v>
      </c>
      <c r="W103" s="425" t="s">
        <v>69</v>
      </c>
      <c r="X103" s="425" t="s">
        <v>69</v>
      </c>
      <c r="Y103" s="425" t="s">
        <v>69</v>
      </c>
      <c r="Z103" s="425" t="s">
        <v>69</v>
      </c>
      <c r="AA103" s="425" t="s">
        <v>69</v>
      </c>
      <c r="AB103" s="425" t="s">
        <v>69</v>
      </c>
      <c r="AC103" s="425" t="s">
        <v>69</v>
      </c>
      <c r="AD103" s="425" t="s">
        <v>69</v>
      </c>
      <c r="AE103" s="425" t="s">
        <v>69</v>
      </c>
      <c r="AF103" s="425" t="s">
        <v>69</v>
      </c>
      <c r="AG103" s="425" t="s">
        <v>69</v>
      </c>
      <c r="AH103" s="425" t="s">
        <v>69</v>
      </c>
      <c r="AI103" s="425" t="s">
        <v>69</v>
      </c>
      <c r="AJ103" s="425" t="s">
        <v>69</v>
      </c>
      <c r="AK103" s="425" t="s">
        <v>69</v>
      </c>
      <c r="AL103" s="425" t="s">
        <v>69</v>
      </c>
      <c r="AM103" s="425" t="s">
        <v>69</v>
      </c>
      <c r="AN103" s="425" t="s">
        <v>69</v>
      </c>
      <c r="AO103" s="425" t="s">
        <v>69</v>
      </c>
      <c r="AP103" s="425" t="s">
        <v>69</v>
      </c>
      <c r="AQ103" s="425" t="s">
        <v>69</v>
      </c>
      <c r="AR103" s="425" t="s">
        <v>69</v>
      </c>
      <c r="AS103" s="425" t="s">
        <v>69</v>
      </c>
      <c r="AT103" s="425" t="s">
        <v>69</v>
      </c>
      <c r="AU103" s="425" t="s">
        <v>69</v>
      </c>
      <c r="AV103" s="425" t="s">
        <v>69</v>
      </c>
      <c r="AW103" s="425" t="s">
        <v>69</v>
      </c>
      <c r="AX103" s="425" t="s">
        <v>69</v>
      </c>
      <c r="AY103" s="425" t="s">
        <v>69</v>
      </c>
      <c r="AZ103" s="425" t="s">
        <v>69</v>
      </c>
      <c r="BA103" s="425" t="s">
        <v>69</v>
      </c>
      <c r="BB103" s="425" t="s">
        <v>69</v>
      </c>
      <c r="BC103" s="425" t="s">
        <v>69</v>
      </c>
      <c r="BD103" s="425" t="s">
        <v>69</v>
      </c>
      <c r="BE103" s="425" t="s">
        <v>69</v>
      </c>
      <c r="BF103" s="425" t="s">
        <v>69</v>
      </c>
      <c r="BG103" s="425" t="s">
        <v>69</v>
      </c>
      <c r="BH103" s="425" t="s">
        <v>69</v>
      </c>
      <c r="BI103" s="425" t="s">
        <v>69</v>
      </c>
      <c r="BJ103" s="425" t="s">
        <v>69</v>
      </c>
      <c r="BK103" s="425" t="s">
        <v>69</v>
      </c>
      <c r="BL103" s="425" t="s">
        <v>69</v>
      </c>
      <c r="BM103" s="425" t="s">
        <v>69</v>
      </c>
      <c r="BN103" s="425" t="s">
        <v>69</v>
      </c>
      <c r="BO103" s="425" t="s">
        <v>69</v>
      </c>
      <c r="BP103" s="425" t="s">
        <v>69</v>
      </c>
      <c r="BQ103" s="425" t="s">
        <v>69</v>
      </c>
      <c r="BR103" s="425" t="s">
        <v>69</v>
      </c>
      <c r="BS103" s="425" t="s">
        <v>69</v>
      </c>
      <c r="BT103" s="425" t="s">
        <v>69</v>
      </c>
      <c r="BU103" s="425" t="s">
        <v>69</v>
      </c>
      <c r="BV103" s="425" t="s">
        <v>69</v>
      </c>
      <c r="BW103" s="425" t="s">
        <v>69</v>
      </c>
      <c r="BX103" s="425" t="s">
        <v>69</v>
      </c>
      <c r="BY103" s="425" t="s">
        <v>69</v>
      </c>
      <c r="BZ103" s="425" t="s">
        <v>69</v>
      </c>
      <c r="CA103" s="425" t="s">
        <v>69</v>
      </c>
      <c r="CB103" s="425" t="s">
        <v>69</v>
      </c>
      <c r="CC103" s="425" t="s">
        <v>69</v>
      </c>
      <c r="CD103" s="425" t="s">
        <v>69</v>
      </c>
      <c r="CE103" s="425" t="s">
        <v>69</v>
      </c>
      <c r="CF103" s="425" t="s">
        <v>69</v>
      </c>
      <c r="CG103" s="425" t="s">
        <v>69</v>
      </c>
      <c r="CH103" s="425" t="s">
        <v>69</v>
      </c>
      <c r="CI103" s="425" t="s">
        <v>69</v>
      </c>
      <c r="CJ103" s="425" t="s">
        <v>69</v>
      </c>
      <c r="CK103" s="425" t="s">
        <v>69</v>
      </c>
      <c r="CL103" s="425" t="s">
        <v>69</v>
      </c>
      <c r="CM103" s="425" t="s">
        <v>69</v>
      </c>
      <c r="CN103" s="425">
        <v>3</v>
      </c>
      <c r="CO103" s="425">
        <v>3</v>
      </c>
      <c r="CP103" s="425">
        <v>3</v>
      </c>
      <c r="CQ103" s="425" t="s">
        <v>69</v>
      </c>
      <c r="CR103" s="425" t="s">
        <v>69</v>
      </c>
      <c r="CS103" s="425" t="s">
        <v>69</v>
      </c>
      <c r="CT103" s="425" t="s">
        <v>69</v>
      </c>
      <c r="CU103" s="425" t="s">
        <v>69</v>
      </c>
      <c r="CV103" s="425" t="s">
        <v>69</v>
      </c>
      <c r="CW103" s="425" t="s">
        <v>69</v>
      </c>
      <c r="CX103" s="425" t="s">
        <v>69</v>
      </c>
      <c r="CY103" s="425" t="s">
        <v>69</v>
      </c>
      <c r="CZ103" s="425" t="s">
        <v>69</v>
      </c>
      <c r="DA103" s="425" t="s">
        <v>69</v>
      </c>
      <c r="DB103" s="425" t="s">
        <v>69</v>
      </c>
      <c r="DC103" s="425" t="s">
        <v>69</v>
      </c>
      <c r="DD103" s="425" t="s">
        <v>69</v>
      </c>
      <c r="DE103" s="425" t="s">
        <v>69</v>
      </c>
      <c r="DF103" s="425" t="s">
        <v>69</v>
      </c>
      <c r="DG103" s="425" t="s">
        <v>69</v>
      </c>
      <c r="DH103" s="425" t="s">
        <v>69</v>
      </c>
      <c r="DI103" s="425" t="s">
        <v>69</v>
      </c>
      <c r="DJ103" s="425" t="s">
        <v>69</v>
      </c>
      <c r="DK103" s="425" t="s">
        <v>69</v>
      </c>
      <c r="DL103" s="425" t="s">
        <v>69</v>
      </c>
      <c r="DM103" s="425" t="s">
        <v>69</v>
      </c>
      <c r="DN103" s="425" t="s">
        <v>69</v>
      </c>
      <c r="DO103" s="425" t="s">
        <v>69</v>
      </c>
      <c r="DP103" s="425" t="s">
        <v>69</v>
      </c>
      <c r="DQ103" s="425" t="s">
        <v>69</v>
      </c>
      <c r="DR103" s="425" t="s">
        <v>69</v>
      </c>
      <c r="DS103" s="425" t="s">
        <v>69</v>
      </c>
      <c r="DT103" s="425" t="s">
        <v>69</v>
      </c>
      <c r="DU103" s="422" t="s">
        <v>69</v>
      </c>
      <c r="DV103" s="425" t="s">
        <v>69</v>
      </c>
      <c r="DW103" s="425" t="s">
        <v>69</v>
      </c>
      <c r="DX103" s="425" t="s">
        <v>69</v>
      </c>
      <c r="DY103" s="423">
        <f t="shared" si="6"/>
        <v>7.9365079365079361E-2</v>
      </c>
      <c r="DZ103" s="424">
        <f t="shared" si="7"/>
        <v>1</v>
      </c>
      <c r="EA103" s="519"/>
    </row>
    <row r="104" spans="1:131" s="18" customFormat="1" ht="66.599999999999994" thickBot="1">
      <c r="A104" s="420" t="s">
        <v>1077</v>
      </c>
      <c r="B104" s="414" t="s">
        <v>1078</v>
      </c>
      <c r="C104" s="419">
        <v>46055</v>
      </c>
      <c r="D104" s="418" t="s">
        <v>1183</v>
      </c>
      <c r="E104" s="429" t="s">
        <v>216</v>
      </c>
      <c r="F104" s="425" t="s">
        <v>69</v>
      </c>
      <c r="G104" s="425" t="s">
        <v>69</v>
      </c>
      <c r="H104" s="425" t="s">
        <v>69</v>
      </c>
      <c r="I104" s="425" t="s">
        <v>69</v>
      </c>
      <c r="J104" s="425" t="s">
        <v>69</v>
      </c>
      <c r="K104" s="425" t="s">
        <v>69</v>
      </c>
      <c r="L104" s="425" t="s">
        <v>69</v>
      </c>
      <c r="M104" s="425" t="s">
        <v>69</v>
      </c>
      <c r="N104" s="425" t="s">
        <v>69</v>
      </c>
      <c r="O104" s="425" t="s">
        <v>69</v>
      </c>
      <c r="P104" s="425" t="s">
        <v>69</v>
      </c>
      <c r="Q104" s="425" t="s">
        <v>69</v>
      </c>
      <c r="R104" s="425" t="s">
        <v>69</v>
      </c>
      <c r="S104" s="425" t="s">
        <v>69</v>
      </c>
      <c r="T104" s="425" t="s">
        <v>69</v>
      </c>
      <c r="U104" s="425" t="s">
        <v>69</v>
      </c>
      <c r="V104" s="425" t="s">
        <v>69</v>
      </c>
      <c r="W104" s="425" t="s">
        <v>69</v>
      </c>
      <c r="X104" s="425" t="s">
        <v>69</v>
      </c>
      <c r="Y104" s="425" t="s">
        <v>69</v>
      </c>
      <c r="Z104" s="425" t="s">
        <v>69</v>
      </c>
      <c r="AA104" s="425" t="s">
        <v>69</v>
      </c>
      <c r="AB104" s="425" t="s">
        <v>69</v>
      </c>
      <c r="AC104" s="425" t="s">
        <v>69</v>
      </c>
      <c r="AD104" s="425" t="s">
        <v>69</v>
      </c>
      <c r="AE104" s="425" t="s">
        <v>69</v>
      </c>
      <c r="AF104" s="425" t="s">
        <v>69</v>
      </c>
      <c r="AG104" s="425" t="s">
        <v>69</v>
      </c>
      <c r="AH104" s="425" t="s">
        <v>69</v>
      </c>
      <c r="AI104" s="425" t="s">
        <v>69</v>
      </c>
      <c r="AJ104" s="425" t="s">
        <v>69</v>
      </c>
      <c r="AK104" s="425" t="s">
        <v>69</v>
      </c>
      <c r="AL104" s="425" t="s">
        <v>69</v>
      </c>
      <c r="AM104" s="425" t="s">
        <v>69</v>
      </c>
      <c r="AN104" s="425">
        <v>3</v>
      </c>
      <c r="AO104" s="425" t="s">
        <v>69</v>
      </c>
      <c r="AP104" s="425" t="s">
        <v>69</v>
      </c>
      <c r="AQ104" s="425" t="s">
        <v>69</v>
      </c>
      <c r="AR104" s="425" t="s">
        <v>69</v>
      </c>
      <c r="AS104" s="425" t="s">
        <v>69</v>
      </c>
      <c r="AT104" s="425" t="s">
        <v>69</v>
      </c>
      <c r="AU104" s="425" t="s">
        <v>69</v>
      </c>
      <c r="AV104" s="425" t="s">
        <v>69</v>
      </c>
      <c r="AW104" s="425" t="s">
        <v>69</v>
      </c>
      <c r="AX104" s="425" t="s">
        <v>69</v>
      </c>
      <c r="AY104" s="425" t="s">
        <v>69</v>
      </c>
      <c r="AZ104" s="425" t="s">
        <v>69</v>
      </c>
      <c r="BA104" s="425" t="s">
        <v>69</v>
      </c>
      <c r="BB104" s="425" t="s">
        <v>69</v>
      </c>
      <c r="BC104" s="425" t="s">
        <v>69</v>
      </c>
      <c r="BD104" s="425" t="s">
        <v>69</v>
      </c>
      <c r="BE104" s="425" t="s">
        <v>69</v>
      </c>
      <c r="BF104" s="425" t="s">
        <v>69</v>
      </c>
      <c r="BG104" s="425" t="s">
        <v>69</v>
      </c>
      <c r="BH104" s="425" t="s">
        <v>69</v>
      </c>
      <c r="BI104" s="425" t="s">
        <v>69</v>
      </c>
      <c r="BJ104" s="425" t="s">
        <v>69</v>
      </c>
      <c r="BK104" s="425" t="s">
        <v>69</v>
      </c>
      <c r="BL104" s="425" t="s">
        <v>69</v>
      </c>
      <c r="BM104" s="425" t="s">
        <v>69</v>
      </c>
      <c r="BN104" s="425" t="s">
        <v>69</v>
      </c>
      <c r="BO104" s="425" t="s">
        <v>69</v>
      </c>
      <c r="BP104" s="425" t="s">
        <v>69</v>
      </c>
      <c r="BQ104" s="425" t="s">
        <v>69</v>
      </c>
      <c r="BR104" s="425" t="s">
        <v>69</v>
      </c>
      <c r="BS104" s="425" t="s">
        <v>69</v>
      </c>
      <c r="BT104" s="425" t="s">
        <v>69</v>
      </c>
      <c r="BU104" s="425" t="s">
        <v>69</v>
      </c>
      <c r="BV104" s="425" t="s">
        <v>69</v>
      </c>
      <c r="BW104" s="425" t="s">
        <v>69</v>
      </c>
      <c r="BX104" s="425" t="s">
        <v>69</v>
      </c>
      <c r="BY104" s="425" t="s">
        <v>69</v>
      </c>
      <c r="BZ104" s="425" t="s">
        <v>69</v>
      </c>
      <c r="CA104" s="425" t="s">
        <v>69</v>
      </c>
      <c r="CB104" s="425" t="s">
        <v>69</v>
      </c>
      <c r="CC104" s="425" t="s">
        <v>69</v>
      </c>
      <c r="CD104" s="425" t="s">
        <v>69</v>
      </c>
      <c r="CE104" s="425" t="s">
        <v>69</v>
      </c>
      <c r="CF104" s="425" t="s">
        <v>69</v>
      </c>
      <c r="CG104" s="425" t="s">
        <v>69</v>
      </c>
      <c r="CH104" s="425" t="s">
        <v>69</v>
      </c>
      <c r="CI104" s="425" t="s">
        <v>69</v>
      </c>
      <c r="CJ104" s="425" t="s">
        <v>69</v>
      </c>
      <c r="CK104" s="425" t="s">
        <v>69</v>
      </c>
      <c r="CL104" s="425" t="s">
        <v>69</v>
      </c>
      <c r="CM104" s="425">
        <v>3</v>
      </c>
      <c r="CN104" s="425" t="s">
        <v>69</v>
      </c>
      <c r="CO104" s="425" t="s">
        <v>69</v>
      </c>
      <c r="CP104" s="425">
        <v>3</v>
      </c>
      <c r="CQ104" s="425" t="s">
        <v>69</v>
      </c>
      <c r="CR104" s="425" t="s">
        <v>69</v>
      </c>
      <c r="CS104" s="425" t="s">
        <v>69</v>
      </c>
      <c r="CT104" s="425" t="s">
        <v>69</v>
      </c>
      <c r="CU104" s="425" t="s">
        <v>69</v>
      </c>
      <c r="CV104" s="425" t="s">
        <v>69</v>
      </c>
      <c r="CW104" s="425" t="s">
        <v>69</v>
      </c>
      <c r="CX104" s="425">
        <v>3</v>
      </c>
      <c r="CY104" s="425" t="s">
        <v>69</v>
      </c>
      <c r="CZ104" s="425" t="s">
        <v>69</v>
      </c>
      <c r="DA104" s="425" t="s">
        <v>69</v>
      </c>
      <c r="DB104" s="425" t="s">
        <v>69</v>
      </c>
      <c r="DC104" s="425" t="s">
        <v>69</v>
      </c>
      <c r="DD104" s="425" t="s">
        <v>69</v>
      </c>
      <c r="DE104" s="425" t="s">
        <v>69</v>
      </c>
      <c r="DF104" s="425" t="s">
        <v>69</v>
      </c>
      <c r="DG104" s="425" t="s">
        <v>69</v>
      </c>
      <c r="DH104" s="425" t="s">
        <v>69</v>
      </c>
      <c r="DI104" s="425" t="s">
        <v>69</v>
      </c>
      <c r="DJ104" s="425" t="s">
        <v>69</v>
      </c>
      <c r="DK104" s="425" t="s">
        <v>69</v>
      </c>
      <c r="DL104" s="425" t="s">
        <v>69</v>
      </c>
      <c r="DM104" s="425" t="s">
        <v>69</v>
      </c>
      <c r="DN104" s="425" t="s">
        <v>69</v>
      </c>
      <c r="DO104" s="425" t="s">
        <v>69</v>
      </c>
      <c r="DP104" s="425" t="s">
        <v>69</v>
      </c>
      <c r="DQ104" s="425" t="s">
        <v>69</v>
      </c>
      <c r="DR104" s="425" t="s">
        <v>69</v>
      </c>
      <c r="DS104" s="425" t="s">
        <v>69</v>
      </c>
      <c r="DT104" s="425" t="s">
        <v>69</v>
      </c>
      <c r="DU104" s="422" t="s">
        <v>69</v>
      </c>
      <c r="DV104" s="425" t="s">
        <v>69</v>
      </c>
      <c r="DW104" s="425" t="s">
        <v>69</v>
      </c>
      <c r="DX104" s="425" t="s">
        <v>69</v>
      </c>
      <c r="DY104" s="423">
        <f t="shared" si="6"/>
        <v>6.3492063492063489E-2</v>
      </c>
      <c r="DZ104" s="424">
        <f t="shared" si="7"/>
        <v>1</v>
      </c>
      <c r="EA104" s="519"/>
    </row>
    <row r="105" spans="1:131" s="18" customFormat="1" ht="66.599999999999994" thickBot="1">
      <c r="A105" s="420" t="s">
        <v>1121</v>
      </c>
      <c r="B105" s="414" t="s">
        <v>1122</v>
      </c>
      <c r="C105" s="419">
        <v>46083</v>
      </c>
      <c r="D105" s="418" t="s">
        <v>1183</v>
      </c>
      <c r="E105" s="429" t="s">
        <v>216</v>
      </c>
      <c r="F105" s="425" t="s">
        <v>69</v>
      </c>
      <c r="G105" s="425" t="s">
        <v>69</v>
      </c>
      <c r="H105" s="425" t="s">
        <v>69</v>
      </c>
      <c r="I105" s="425" t="s">
        <v>69</v>
      </c>
      <c r="J105" s="425" t="s">
        <v>69</v>
      </c>
      <c r="K105" s="425" t="s">
        <v>69</v>
      </c>
      <c r="L105" s="425" t="s">
        <v>69</v>
      </c>
      <c r="M105" s="425" t="s">
        <v>69</v>
      </c>
      <c r="N105" s="425" t="s">
        <v>69</v>
      </c>
      <c r="O105" s="425" t="s">
        <v>69</v>
      </c>
      <c r="P105" s="425" t="s">
        <v>69</v>
      </c>
      <c r="Q105" s="425" t="s">
        <v>69</v>
      </c>
      <c r="R105" s="425" t="s">
        <v>69</v>
      </c>
      <c r="S105" s="425" t="s">
        <v>69</v>
      </c>
      <c r="T105" s="425" t="s">
        <v>69</v>
      </c>
      <c r="U105" s="425" t="s">
        <v>69</v>
      </c>
      <c r="V105" s="425" t="s">
        <v>69</v>
      </c>
      <c r="W105" s="425" t="s">
        <v>69</v>
      </c>
      <c r="X105" s="425" t="s">
        <v>69</v>
      </c>
      <c r="Y105" s="425" t="s">
        <v>69</v>
      </c>
      <c r="Z105" s="425" t="s">
        <v>69</v>
      </c>
      <c r="AA105" s="425">
        <v>3</v>
      </c>
      <c r="AB105" s="425" t="s">
        <v>69</v>
      </c>
      <c r="AC105" s="425" t="s">
        <v>69</v>
      </c>
      <c r="AD105" s="425" t="s">
        <v>69</v>
      </c>
      <c r="AE105" s="425" t="s">
        <v>69</v>
      </c>
      <c r="AF105" s="425">
        <v>3</v>
      </c>
      <c r="AG105" s="425" t="s">
        <v>69</v>
      </c>
      <c r="AH105" s="425" t="s">
        <v>69</v>
      </c>
      <c r="AI105" s="425" t="s">
        <v>69</v>
      </c>
      <c r="AJ105" s="425" t="s">
        <v>69</v>
      </c>
      <c r="AK105" s="425" t="s">
        <v>69</v>
      </c>
      <c r="AL105" s="425" t="s">
        <v>69</v>
      </c>
      <c r="AM105" s="425" t="s">
        <v>69</v>
      </c>
      <c r="AN105" s="425" t="s">
        <v>69</v>
      </c>
      <c r="AO105" s="425" t="s">
        <v>69</v>
      </c>
      <c r="AP105" s="425" t="s">
        <v>69</v>
      </c>
      <c r="AQ105" s="425" t="s">
        <v>69</v>
      </c>
      <c r="AR105" s="425" t="s">
        <v>69</v>
      </c>
      <c r="AS105" s="425" t="s">
        <v>69</v>
      </c>
      <c r="AT105" s="425" t="s">
        <v>69</v>
      </c>
      <c r="AU105" s="425" t="s">
        <v>69</v>
      </c>
      <c r="AV105" s="425" t="s">
        <v>69</v>
      </c>
      <c r="AW105" s="425" t="s">
        <v>69</v>
      </c>
      <c r="AX105" s="425" t="s">
        <v>69</v>
      </c>
      <c r="AY105" s="425" t="s">
        <v>69</v>
      </c>
      <c r="AZ105" s="425" t="s">
        <v>69</v>
      </c>
      <c r="BA105" s="425" t="s">
        <v>69</v>
      </c>
      <c r="BB105" s="425" t="s">
        <v>69</v>
      </c>
      <c r="BC105" s="425" t="s">
        <v>69</v>
      </c>
      <c r="BD105" s="425" t="s">
        <v>69</v>
      </c>
      <c r="BE105" s="425" t="s">
        <v>69</v>
      </c>
      <c r="BF105" s="425" t="s">
        <v>69</v>
      </c>
      <c r="BG105" s="425" t="s">
        <v>69</v>
      </c>
      <c r="BH105" s="425" t="s">
        <v>69</v>
      </c>
      <c r="BI105" s="425" t="s">
        <v>69</v>
      </c>
      <c r="BJ105" s="425" t="s">
        <v>69</v>
      </c>
      <c r="BK105" s="425" t="s">
        <v>69</v>
      </c>
      <c r="BL105" s="425" t="s">
        <v>69</v>
      </c>
      <c r="BM105" s="425" t="s">
        <v>69</v>
      </c>
      <c r="BN105" s="425" t="s">
        <v>69</v>
      </c>
      <c r="BO105" s="425" t="s">
        <v>69</v>
      </c>
      <c r="BP105" s="425" t="s">
        <v>69</v>
      </c>
      <c r="BQ105" s="425" t="s">
        <v>69</v>
      </c>
      <c r="BR105" s="425">
        <v>3</v>
      </c>
      <c r="BS105" s="425" t="s">
        <v>69</v>
      </c>
      <c r="BT105" s="425" t="s">
        <v>69</v>
      </c>
      <c r="BU105" s="425" t="s">
        <v>69</v>
      </c>
      <c r="BV105" s="425" t="s">
        <v>69</v>
      </c>
      <c r="BW105" s="425" t="s">
        <v>69</v>
      </c>
      <c r="BX105" s="425" t="s">
        <v>69</v>
      </c>
      <c r="BY105" s="425" t="s">
        <v>69</v>
      </c>
      <c r="BZ105" s="425" t="s">
        <v>69</v>
      </c>
      <c r="CA105" s="425" t="s">
        <v>69</v>
      </c>
      <c r="CB105" s="425" t="s">
        <v>69</v>
      </c>
      <c r="CC105" s="425" t="s">
        <v>69</v>
      </c>
      <c r="CD105" s="425" t="s">
        <v>69</v>
      </c>
      <c r="CE105" s="425" t="s">
        <v>69</v>
      </c>
      <c r="CF105" s="425" t="s">
        <v>69</v>
      </c>
      <c r="CG105" s="425">
        <v>3</v>
      </c>
      <c r="CH105" s="425" t="s">
        <v>69</v>
      </c>
      <c r="CI105" s="425" t="s">
        <v>69</v>
      </c>
      <c r="CJ105" s="425" t="s">
        <v>69</v>
      </c>
      <c r="CK105" s="425" t="s">
        <v>69</v>
      </c>
      <c r="CL105" s="425" t="s">
        <v>69</v>
      </c>
      <c r="CM105" s="425">
        <v>3</v>
      </c>
      <c r="CN105" s="425" t="s">
        <v>69</v>
      </c>
      <c r="CO105" s="425" t="s">
        <v>69</v>
      </c>
      <c r="CP105" s="425" t="s">
        <v>69</v>
      </c>
      <c r="CQ105" s="425" t="s">
        <v>69</v>
      </c>
      <c r="CR105" s="425" t="s">
        <v>69</v>
      </c>
      <c r="CS105" s="425" t="s">
        <v>69</v>
      </c>
      <c r="CT105" s="425" t="s">
        <v>69</v>
      </c>
      <c r="CU105" s="425" t="s">
        <v>69</v>
      </c>
      <c r="CV105" s="425" t="s">
        <v>69</v>
      </c>
      <c r="CW105" s="425" t="s">
        <v>69</v>
      </c>
      <c r="CX105" s="425" t="s">
        <v>69</v>
      </c>
      <c r="CY105" s="425" t="s">
        <v>69</v>
      </c>
      <c r="CZ105" s="425">
        <v>3</v>
      </c>
      <c r="DA105" s="425" t="s">
        <v>69</v>
      </c>
      <c r="DB105" s="425" t="s">
        <v>69</v>
      </c>
      <c r="DC105" s="425">
        <v>3</v>
      </c>
      <c r="DD105" s="425" t="s">
        <v>69</v>
      </c>
      <c r="DE105" s="425" t="s">
        <v>69</v>
      </c>
      <c r="DF105" s="425" t="s">
        <v>69</v>
      </c>
      <c r="DG105" s="425" t="s">
        <v>69</v>
      </c>
      <c r="DH105" s="425">
        <v>3</v>
      </c>
      <c r="DI105" s="425" t="s">
        <v>69</v>
      </c>
      <c r="DJ105" s="425" t="s">
        <v>69</v>
      </c>
      <c r="DK105" s="425" t="s">
        <v>69</v>
      </c>
      <c r="DL105" s="425" t="s">
        <v>69</v>
      </c>
      <c r="DM105" s="425" t="s">
        <v>69</v>
      </c>
      <c r="DN105" s="425">
        <v>3</v>
      </c>
      <c r="DO105" s="425" t="s">
        <v>69</v>
      </c>
      <c r="DP105" s="425" t="s">
        <v>69</v>
      </c>
      <c r="DQ105" s="425" t="s">
        <v>69</v>
      </c>
      <c r="DR105" s="425" t="s">
        <v>69</v>
      </c>
      <c r="DS105" s="425" t="s">
        <v>69</v>
      </c>
      <c r="DT105" s="425" t="s">
        <v>69</v>
      </c>
      <c r="DU105" s="422" t="s">
        <v>69</v>
      </c>
      <c r="DV105" s="425" t="s">
        <v>69</v>
      </c>
      <c r="DW105" s="425" t="s">
        <v>69</v>
      </c>
      <c r="DX105" s="425" t="s">
        <v>69</v>
      </c>
      <c r="DY105" s="423">
        <f t="shared" si="6"/>
        <v>0.14285714285714285</v>
      </c>
      <c r="DZ105" s="424">
        <f t="shared" si="7"/>
        <v>1</v>
      </c>
      <c r="EA105" s="519"/>
    </row>
    <row r="106" spans="1:131" s="18" customFormat="1" ht="64.2" thickBot="1">
      <c r="A106" s="420" t="s">
        <v>298</v>
      </c>
      <c r="B106" s="414" t="s">
        <v>299</v>
      </c>
      <c r="C106" s="419">
        <v>46083</v>
      </c>
      <c r="D106" s="418" t="s">
        <v>1183</v>
      </c>
      <c r="E106" s="429" t="s">
        <v>216</v>
      </c>
      <c r="F106" s="425">
        <v>4</v>
      </c>
      <c r="G106" s="425">
        <v>4</v>
      </c>
      <c r="H106" s="425">
        <v>4</v>
      </c>
      <c r="I106" s="425" t="s">
        <v>69</v>
      </c>
      <c r="J106" s="425" t="s">
        <v>69</v>
      </c>
      <c r="K106" s="425">
        <v>3</v>
      </c>
      <c r="L106" s="425">
        <v>3</v>
      </c>
      <c r="M106" s="425" t="s">
        <v>69</v>
      </c>
      <c r="N106" s="425" t="s">
        <v>69</v>
      </c>
      <c r="O106" s="425">
        <v>4</v>
      </c>
      <c r="P106" s="425">
        <v>3</v>
      </c>
      <c r="Q106" s="425">
        <v>4</v>
      </c>
      <c r="R106" s="425" t="s">
        <v>69</v>
      </c>
      <c r="S106" s="425" t="s">
        <v>69</v>
      </c>
      <c r="T106" s="425" t="s">
        <v>69</v>
      </c>
      <c r="U106" s="425" t="s">
        <v>69</v>
      </c>
      <c r="V106" s="425" t="s">
        <v>69</v>
      </c>
      <c r="W106" s="425" t="s">
        <v>69</v>
      </c>
      <c r="X106" s="425" t="s">
        <v>69</v>
      </c>
      <c r="Y106" s="425" t="s">
        <v>69</v>
      </c>
      <c r="Z106" s="425" t="s">
        <v>69</v>
      </c>
      <c r="AA106" s="425" t="s">
        <v>69</v>
      </c>
      <c r="AB106" s="425" t="s">
        <v>69</v>
      </c>
      <c r="AC106" s="425" t="s">
        <v>69</v>
      </c>
      <c r="AD106" s="425">
        <v>4</v>
      </c>
      <c r="AE106" s="425" t="s">
        <v>69</v>
      </c>
      <c r="AF106" s="425">
        <v>4</v>
      </c>
      <c r="AG106" s="425">
        <v>3</v>
      </c>
      <c r="AH106" s="425">
        <v>4</v>
      </c>
      <c r="AI106" s="425" t="s">
        <v>69</v>
      </c>
      <c r="AJ106" s="425" t="s">
        <v>69</v>
      </c>
      <c r="AK106" s="425" t="s">
        <v>69</v>
      </c>
      <c r="AL106" s="425" t="s">
        <v>69</v>
      </c>
      <c r="AM106" s="425" t="s">
        <v>69</v>
      </c>
      <c r="AN106" s="425" t="s">
        <v>69</v>
      </c>
      <c r="AO106" s="425" t="s">
        <v>69</v>
      </c>
      <c r="AP106" s="425" t="s">
        <v>69</v>
      </c>
      <c r="AQ106" s="425" t="s">
        <v>69</v>
      </c>
      <c r="AR106" s="425">
        <v>4</v>
      </c>
      <c r="AS106" s="425" t="s">
        <v>69</v>
      </c>
      <c r="AT106" s="425" t="s">
        <v>69</v>
      </c>
      <c r="AU106" s="425">
        <v>4</v>
      </c>
      <c r="AV106" s="425" t="s">
        <v>69</v>
      </c>
      <c r="AW106" s="425">
        <v>3</v>
      </c>
      <c r="AX106" s="425">
        <v>4</v>
      </c>
      <c r="AY106" s="425" t="s">
        <v>69</v>
      </c>
      <c r="AZ106" s="425" t="s">
        <v>69</v>
      </c>
      <c r="BA106" s="425" t="s">
        <v>69</v>
      </c>
      <c r="BB106" s="425" t="s">
        <v>69</v>
      </c>
      <c r="BC106" s="425" t="s">
        <v>69</v>
      </c>
      <c r="BD106" s="425">
        <v>3</v>
      </c>
      <c r="BE106" s="425">
        <v>4</v>
      </c>
      <c r="BF106" s="425">
        <v>4</v>
      </c>
      <c r="BG106" s="425" t="s">
        <v>69</v>
      </c>
      <c r="BH106" s="425" t="s">
        <v>69</v>
      </c>
      <c r="BI106" s="425" t="s">
        <v>69</v>
      </c>
      <c r="BJ106" s="425" t="s">
        <v>69</v>
      </c>
      <c r="BK106" s="425" t="s">
        <v>69</v>
      </c>
      <c r="BL106" s="425" t="s">
        <v>69</v>
      </c>
      <c r="BM106" s="425" t="s">
        <v>69</v>
      </c>
      <c r="BN106" s="425">
        <v>3</v>
      </c>
      <c r="BO106" s="425" t="s">
        <v>69</v>
      </c>
      <c r="BP106" s="425">
        <v>3</v>
      </c>
      <c r="BQ106" s="425" t="s">
        <v>69</v>
      </c>
      <c r="BR106" s="425">
        <v>4</v>
      </c>
      <c r="BS106" s="425" t="s">
        <v>69</v>
      </c>
      <c r="BT106" s="425" t="s">
        <v>69</v>
      </c>
      <c r="BU106" s="425">
        <v>4</v>
      </c>
      <c r="BV106" s="425">
        <v>4</v>
      </c>
      <c r="BW106" s="425" t="s">
        <v>69</v>
      </c>
      <c r="BX106" s="425" t="s">
        <v>69</v>
      </c>
      <c r="BY106" s="425">
        <v>3</v>
      </c>
      <c r="BZ106" s="425" t="s">
        <v>69</v>
      </c>
      <c r="CA106" s="425">
        <v>4</v>
      </c>
      <c r="CB106" s="425">
        <v>4</v>
      </c>
      <c r="CC106" s="425" t="s">
        <v>69</v>
      </c>
      <c r="CD106" s="425" t="s">
        <v>69</v>
      </c>
      <c r="CE106" s="425" t="s">
        <v>69</v>
      </c>
      <c r="CF106" s="425" t="s">
        <v>69</v>
      </c>
      <c r="CG106" s="425">
        <v>4</v>
      </c>
      <c r="CH106" s="425" t="s">
        <v>69</v>
      </c>
      <c r="CI106" s="425">
        <v>4</v>
      </c>
      <c r="CJ106" s="425">
        <v>4</v>
      </c>
      <c r="CK106" s="425" t="s">
        <v>69</v>
      </c>
      <c r="CL106" s="425" t="s">
        <v>69</v>
      </c>
      <c r="CM106" s="425" t="s">
        <v>69</v>
      </c>
      <c r="CN106" s="425" t="s">
        <v>69</v>
      </c>
      <c r="CO106" s="425" t="s">
        <v>69</v>
      </c>
      <c r="CP106" s="425" t="s">
        <v>69</v>
      </c>
      <c r="CQ106" s="425" t="s">
        <v>69</v>
      </c>
      <c r="CR106" s="425" t="s">
        <v>69</v>
      </c>
      <c r="CS106" s="425" t="s">
        <v>69</v>
      </c>
      <c r="CT106" s="425" t="s">
        <v>69</v>
      </c>
      <c r="CU106" s="425" t="s">
        <v>69</v>
      </c>
      <c r="CV106" s="425" t="s">
        <v>69</v>
      </c>
      <c r="CW106" s="425" t="s">
        <v>69</v>
      </c>
      <c r="CX106" s="425" t="s">
        <v>69</v>
      </c>
      <c r="CY106" s="425" t="s">
        <v>69</v>
      </c>
      <c r="CZ106" s="425">
        <v>3</v>
      </c>
      <c r="DA106" s="425" t="s">
        <v>69</v>
      </c>
      <c r="DB106" s="425" t="s">
        <v>69</v>
      </c>
      <c r="DC106" s="425" t="s">
        <v>69</v>
      </c>
      <c r="DD106" s="425">
        <v>4</v>
      </c>
      <c r="DE106" s="425" t="s">
        <v>69</v>
      </c>
      <c r="DF106" s="425">
        <v>4</v>
      </c>
      <c r="DG106" s="425" t="s">
        <v>69</v>
      </c>
      <c r="DH106" s="425" t="s">
        <v>69</v>
      </c>
      <c r="DI106" s="425" t="s">
        <v>69</v>
      </c>
      <c r="DJ106" s="425">
        <v>4</v>
      </c>
      <c r="DK106" s="425" t="s">
        <v>69</v>
      </c>
      <c r="DL106" s="425" t="s">
        <v>69</v>
      </c>
      <c r="DM106" s="425" t="s">
        <v>69</v>
      </c>
      <c r="DN106" s="425" t="s">
        <v>69</v>
      </c>
      <c r="DO106" s="425" t="s">
        <v>69</v>
      </c>
      <c r="DP106" s="425" t="s">
        <v>69</v>
      </c>
      <c r="DQ106" s="425" t="s">
        <v>69</v>
      </c>
      <c r="DR106" s="425" t="s">
        <v>69</v>
      </c>
      <c r="DS106" s="425" t="s">
        <v>69</v>
      </c>
      <c r="DT106" s="425" t="s">
        <v>69</v>
      </c>
      <c r="DU106" s="422" t="s">
        <v>69</v>
      </c>
      <c r="DV106" s="425" t="s">
        <v>69</v>
      </c>
      <c r="DW106" s="425" t="s">
        <v>69</v>
      </c>
      <c r="DX106" s="425">
        <v>4</v>
      </c>
      <c r="DY106" s="423">
        <f t="shared" si="6"/>
        <v>0.55555555555555558</v>
      </c>
      <c r="DZ106" s="424">
        <f t="shared" si="7"/>
        <v>1</v>
      </c>
      <c r="EA106" s="519"/>
    </row>
    <row r="107" spans="1:131" s="18" customFormat="1" ht="64.2" thickBot="1">
      <c r="A107" s="420" t="s">
        <v>1221</v>
      </c>
      <c r="B107" s="414" t="s">
        <v>1222</v>
      </c>
      <c r="C107" s="419">
        <v>46119</v>
      </c>
      <c r="D107" s="418" t="s">
        <v>1183</v>
      </c>
      <c r="E107" s="429" t="s">
        <v>216</v>
      </c>
      <c r="F107" s="425">
        <v>3</v>
      </c>
      <c r="G107" s="425" t="s">
        <v>69</v>
      </c>
      <c r="H107" s="425">
        <v>3</v>
      </c>
      <c r="I107" s="425" t="s">
        <v>69</v>
      </c>
      <c r="J107" s="425" t="s">
        <v>69</v>
      </c>
      <c r="K107" s="425" t="s">
        <v>69</v>
      </c>
      <c r="L107" s="425" t="s">
        <v>69</v>
      </c>
      <c r="M107" s="425" t="s">
        <v>69</v>
      </c>
      <c r="N107" s="425" t="s">
        <v>69</v>
      </c>
      <c r="O107" s="425" t="s">
        <v>69</v>
      </c>
      <c r="P107" s="425" t="s">
        <v>69</v>
      </c>
      <c r="Q107" s="425" t="s">
        <v>69</v>
      </c>
      <c r="R107" s="425" t="s">
        <v>69</v>
      </c>
      <c r="S107" s="425" t="s">
        <v>69</v>
      </c>
      <c r="T107" s="425" t="s">
        <v>69</v>
      </c>
      <c r="U107" s="425" t="s">
        <v>69</v>
      </c>
      <c r="V107" s="425" t="s">
        <v>69</v>
      </c>
      <c r="W107" s="425" t="s">
        <v>69</v>
      </c>
      <c r="X107" s="425" t="s">
        <v>69</v>
      </c>
      <c r="Y107" s="425" t="s">
        <v>69</v>
      </c>
      <c r="Z107" s="425" t="s">
        <v>69</v>
      </c>
      <c r="AA107" s="425" t="s">
        <v>69</v>
      </c>
      <c r="AB107" s="425" t="s">
        <v>69</v>
      </c>
      <c r="AC107" s="425" t="s">
        <v>69</v>
      </c>
      <c r="AD107" s="425" t="s">
        <v>69</v>
      </c>
      <c r="AE107" s="425" t="s">
        <v>69</v>
      </c>
      <c r="AF107" s="425" t="s">
        <v>69</v>
      </c>
      <c r="AG107" s="425" t="s">
        <v>69</v>
      </c>
      <c r="AH107" s="425" t="s">
        <v>69</v>
      </c>
      <c r="AI107" s="425" t="s">
        <v>69</v>
      </c>
      <c r="AJ107" s="425" t="s">
        <v>69</v>
      </c>
      <c r="AK107" s="425" t="s">
        <v>69</v>
      </c>
      <c r="AL107" s="425" t="s">
        <v>69</v>
      </c>
      <c r="AM107" s="425" t="s">
        <v>69</v>
      </c>
      <c r="AN107" s="425" t="s">
        <v>69</v>
      </c>
      <c r="AO107" s="425" t="s">
        <v>69</v>
      </c>
      <c r="AP107" s="425" t="s">
        <v>69</v>
      </c>
      <c r="AQ107" s="425" t="s">
        <v>69</v>
      </c>
      <c r="AR107" s="425" t="s">
        <v>69</v>
      </c>
      <c r="AS107" s="425" t="s">
        <v>69</v>
      </c>
      <c r="AT107" s="425" t="s">
        <v>69</v>
      </c>
      <c r="AU107" s="425" t="s">
        <v>69</v>
      </c>
      <c r="AV107" s="425" t="s">
        <v>69</v>
      </c>
      <c r="AW107" s="425" t="s">
        <v>69</v>
      </c>
      <c r="AX107" s="425" t="s">
        <v>69</v>
      </c>
      <c r="AY107" s="425" t="s">
        <v>69</v>
      </c>
      <c r="AZ107" s="425" t="s">
        <v>69</v>
      </c>
      <c r="BA107" s="425" t="s">
        <v>69</v>
      </c>
      <c r="BB107" s="425" t="s">
        <v>69</v>
      </c>
      <c r="BC107" s="425" t="s">
        <v>69</v>
      </c>
      <c r="BD107" s="425" t="s">
        <v>69</v>
      </c>
      <c r="BE107" s="425" t="s">
        <v>69</v>
      </c>
      <c r="BF107" s="425" t="s">
        <v>69</v>
      </c>
      <c r="BG107" s="425" t="s">
        <v>69</v>
      </c>
      <c r="BH107" s="425" t="s">
        <v>69</v>
      </c>
      <c r="BI107" s="425" t="s">
        <v>69</v>
      </c>
      <c r="BJ107" s="425" t="s">
        <v>69</v>
      </c>
      <c r="BK107" s="425" t="s">
        <v>69</v>
      </c>
      <c r="BL107" s="425" t="s">
        <v>69</v>
      </c>
      <c r="BM107" s="425" t="s">
        <v>69</v>
      </c>
      <c r="BN107" s="425" t="s">
        <v>69</v>
      </c>
      <c r="BO107" s="425" t="s">
        <v>69</v>
      </c>
      <c r="BP107" s="425" t="s">
        <v>69</v>
      </c>
      <c r="BQ107" s="425" t="s">
        <v>69</v>
      </c>
      <c r="BR107" s="425" t="s">
        <v>69</v>
      </c>
      <c r="BS107" s="425" t="s">
        <v>69</v>
      </c>
      <c r="BT107" s="425" t="s">
        <v>69</v>
      </c>
      <c r="BU107" s="425" t="s">
        <v>69</v>
      </c>
      <c r="BV107" s="425" t="s">
        <v>69</v>
      </c>
      <c r="BW107" s="425" t="s">
        <v>69</v>
      </c>
      <c r="BX107" s="425" t="s">
        <v>69</v>
      </c>
      <c r="BY107" s="425" t="s">
        <v>69</v>
      </c>
      <c r="BZ107" s="425" t="s">
        <v>69</v>
      </c>
      <c r="CA107" s="425" t="s">
        <v>69</v>
      </c>
      <c r="CB107" s="425" t="s">
        <v>69</v>
      </c>
      <c r="CC107" s="425" t="s">
        <v>69</v>
      </c>
      <c r="CD107" s="425" t="s">
        <v>69</v>
      </c>
      <c r="CE107" s="425" t="s">
        <v>69</v>
      </c>
      <c r="CF107" s="425" t="s">
        <v>69</v>
      </c>
      <c r="CG107" s="425" t="s">
        <v>69</v>
      </c>
      <c r="CH107" s="425" t="s">
        <v>69</v>
      </c>
      <c r="CI107" s="425" t="s">
        <v>69</v>
      </c>
      <c r="CJ107" s="425" t="s">
        <v>69</v>
      </c>
      <c r="CK107" s="425" t="s">
        <v>69</v>
      </c>
      <c r="CL107" s="425" t="s">
        <v>69</v>
      </c>
      <c r="CM107" s="425" t="s">
        <v>69</v>
      </c>
      <c r="CN107" s="425">
        <v>3</v>
      </c>
      <c r="CO107" s="425" t="s">
        <v>69</v>
      </c>
      <c r="CP107" s="425" t="s">
        <v>69</v>
      </c>
      <c r="CQ107" s="425" t="s">
        <v>69</v>
      </c>
      <c r="CR107" s="425">
        <v>3</v>
      </c>
      <c r="CS107" s="425" t="s">
        <v>69</v>
      </c>
      <c r="CT107" s="425" t="s">
        <v>69</v>
      </c>
      <c r="CU107" s="425" t="s">
        <v>69</v>
      </c>
      <c r="CV107" s="425" t="s">
        <v>69</v>
      </c>
      <c r="CW107" s="425" t="s">
        <v>69</v>
      </c>
      <c r="CX107" s="425" t="s">
        <v>69</v>
      </c>
      <c r="CY107" s="425" t="s">
        <v>69</v>
      </c>
      <c r="CZ107" s="425">
        <v>3</v>
      </c>
      <c r="DA107" s="425" t="s">
        <v>69</v>
      </c>
      <c r="DB107" s="425" t="s">
        <v>69</v>
      </c>
      <c r="DC107" s="425" t="s">
        <v>69</v>
      </c>
      <c r="DD107" s="425" t="s">
        <v>69</v>
      </c>
      <c r="DE107" s="425" t="s">
        <v>69</v>
      </c>
      <c r="DF107" s="425" t="s">
        <v>69</v>
      </c>
      <c r="DG107" s="425" t="s">
        <v>69</v>
      </c>
      <c r="DH107" s="425" t="s">
        <v>69</v>
      </c>
      <c r="DI107" s="425" t="s">
        <v>69</v>
      </c>
      <c r="DJ107" s="425" t="s">
        <v>69</v>
      </c>
      <c r="DK107" s="425" t="s">
        <v>69</v>
      </c>
      <c r="DL107" s="425" t="s">
        <v>69</v>
      </c>
      <c r="DM107" s="425" t="s">
        <v>69</v>
      </c>
      <c r="DN107" s="425" t="s">
        <v>69</v>
      </c>
      <c r="DO107" s="425" t="s">
        <v>69</v>
      </c>
      <c r="DP107" s="425" t="s">
        <v>69</v>
      </c>
      <c r="DQ107" s="425" t="s">
        <v>69</v>
      </c>
      <c r="DR107" s="425" t="s">
        <v>69</v>
      </c>
      <c r="DS107" s="425" t="s">
        <v>69</v>
      </c>
      <c r="DT107" s="425" t="s">
        <v>69</v>
      </c>
      <c r="DU107" s="422" t="s">
        <v>69</v>
      </c>
      <c r="DV107" s="425" t="s">
        <v>69</v>
      </c>
      <c r="DW107" s="425" t="s">
        <v>69</v>
      </c>
      <c r="DX107" s="425" t="s">
        <v>69</v>
      </c>
      <c r="DY107" s="423">
        <f t="shared" si="6"/>
        <v>7.9365079365079361E-2</v>
      </c>
      <c r="DZ107" s="424">
        <f t="shared" si="7"/>
        <v>1</v>
      </c>
      <c r="EA107" s="519"/>
    </row>
    <row r="108" spans="1:131" s="18" customFormat="1" ht="64.2" thickBot="1">
      <c r="A108" s="420" t="s">
        <v>1223</v>
      </c>
      <c r="B108" s="414" t="s">
        <v>1224</v>
      </c>
      <c r="C108" s="419">
        <v>46119</v>
      </c>
      <c r="D108" s="418" t="s">
        <v>1183</v>
      </c>
      <c r="E108" s="429" t="s">
        <v>216</v>
      </c>
      <c r="F108" s="425">
        <v>3</v>
      </c>
      <c r="G108" s="425" t="s">
        <v>69</v>
      </c>
      <c r="H108" s="425">
        <v>3</v>
      </c>
      <c r="I108" s="425" t="s">
        <v>69</v>
      </c>
      <c r="J108" s="425" t="s">
        <v>69</v>
      </c>
      <c r="K108" s="425" t="s">
        <v>69</v>
      </c>
      <c r="L108" s="425" t="s">
        <v>69</v>
      </c>
      <c r="M108" s="425" t="s">
        <v>69</v>
      </c>
      <c r="N108" s="425" t="s">
        <v>69</v>
      </c>
      <c r="O108" s="425">
        <v>3</v>
      </c>
      <c r="P108" s="425" t="s">
        <v>69</v>
      </c>
      <c r="Q108" s="425" t="s">
        <v>69</v>
      </c>
      <c r="R108" s="425" t="s">
        <v>69</v>
      </c>
      <c r="S108" s="425" t="s">
        <v>69</v>
      </c>
      <c r="T108" s="425" t="s">
        <v>69</v>
      </c>
      <c r="U108" s="425" t="s">
        <v>69</v>
      </c>
      <c r="V108" s="425" t="s">
        <v>69</v>
      </c>
      <c r="W108" s="425" t="s">
        <v>69</v>
      </c>
      <c r="X108" s="425" t="s">
        <v>69</v>
      </c>
      <c r="Y108" s="425" t="s">
        <v>69</v>
      </c>
      <c r="Z108" s="425" t="s">
        <v>69</v>
      </c>
      <c r="AA108" s="425" t="s">
        <v>69</v>
      </c>
      <c r="AB108" s="425" t="s">
        <v>69</v>
      </c>
      <c r="AC108" s="425" t="s">
        <v>69</v>
      </c>
      <c r="AD108" s="425" t="s">
        <v>69</v>
      </c>
      <c r="AE108" s="425" t="s">
        <v>69</v>
      </c>
      <c r="AF108" s="425" t="s">
        <v>69</v>
      </c>
      <c r="AG108" s="425" t="s">
        <v>69</v>
      </c>
      <c r="AH108" s="425" t="s">
        <v>69</v>
      </c>
      <c r="AI108" s="425" t="s">
        <v>69</v>
      </c>
      <c r="AJ108" s="425" t="s">
        <v>69</v>
      </c>
      <c r="AK108" s="425" t="s">
        <v>69</v>
      </c>
      <c r="AL108" s="425" t="s">
        <v>69</v>
      </c>
      <c r="AM108" s="425" t="s">
        <v>69</v>
      </c>
      <c r="AN108" s="425" t="s">
        <v>69</v>
      </c>
      <c r="AO108" s="425" t="s">
        <v>69</v>
      </c>
      <c r="AP108" s="425" t="s">
        <v>69</v>
      </c>
      <c r="AQ108" s="425" t="s">
        <v>69</v>
      </c>
      <c r="AR108" s="425" t="s">
        <v>69</v>
      </c>
      <c r="AS108" s="425" t="s">
        <v>69</v>
      </c>
      <c r="AT108" s="425" t="s">
        <v>69</v>
      </c>
      <c r="AU108" s="425" t="s">
        <v>69</v>
      </c>
      <c r="AV108" s="425" t="s">
        <v>69</v>
      </c>
      <c r="AW108" s="425" t="s">
        <v>69</v>
      </c>
      <c r="AX108" s="425" t="s">
        <v>69</v>
      </c>
      <c r="AY108" s="425" t="s">
        <v>69</v>
      </c>
      <c r="AZ108" s="425" t="s">
        <v>69</v>
      </c>
      <c r="BA108" s="425" t="s">
        <v>69</v>
      </c>
      <c r="BB108" s="425" t="s">
        <v>69</v>
      </c>
      <c r="BC108" s="425" t="s">
        <v>69</v>
      </c>
      <c r="BD108" s="425">
        <v>3</v>
      </c>
      <c r="BE108" s="425" t="s">
        <v>69</v>
      </c>
      <c r="BF108" s="425" t="s">
        <v>69</v>
      </c>
      <c r="BG108" s="425" t="s">
        <v>69</v>
      </c>
      <c r="BH108" s="425" t="s">
        <v>69</v>
      </c>
      <c r="BI108" s="425" t="s">
        <v>69</v>
      </c>
      <c r="BJ108" s="425" t="s">
        <v>69</v>
      </c>
      <c r="BK108" s="425" t="s">
        <v>69</v>
      </c>
      <c r="BL108" s="425" t="s">
        <v>69</v>
      </c>
      <c r="BM108" s="425" t="s">
        <v>69</v>
      </c>
      <c r="BN108" s="425" t="s">
        <v>69</v>
      </c>
      <c r="BO108" s="425" t="s">
        <v>69</v>
      </c>
      <c r="BP108" s="425" t="s">
        <v>69</v>
      </c>
      <c r="BQ108" s="425" t="s">
        <v>69</v>
      </c>
      <c r="BR108" s="425" t="s">
        <v>69</v>
      </c>
      <c r="BS108" s="425" t="s">
        <v>69</v>
      </c>
      <c r="BT108" s="425" t="s">
        <v>69</v>
      </c>
      <c r="BU108" s="425" t="s">
        <v>69</v>
      </c>
      <c r="BV108" s="425" t="s">
        <v>69</v>
      </c>
      <c r="BW108" s="425" t="s">
        <v>69</v>
      </c>
      <c r="BX108" s="425" t="s">
        <v>69</v>
      </c>
      <c r="BY108" s="425" t="s">
        <v>69</v>
      </c>
      <c r="BZ108" s="425" t="s">
        <v>69</v>
      </c>
      <c r="CA108" s="425" t="s">
        <v>69</v>
      </c>
      <c r="CB108" s="425" t="s">
        <v>69</v>
      </c>
      <c r="CC108" s="425" t="s">
        <v>69</v>
      </c>
      <c r="CD108" s="425" t="s">
        <v>69</v>
      </c>
      <c r="CE108" s="425" t="s">
        <v>69</v>
      </c>
      <c r="CF108" s="425" t="s">
        <v>69</v>
      </c>
      <c r="CG108" s="425" t="s">
        <v>69</v>
      </c>
      <c r="CH108" s="425" t="s">
        <v>69</v>
      </c>
      <c r="CI108" s="425" t="s">
        <v>69</v>
      </c>
      <c r="CJ108" s="425" t="s">
        <v>69</v>
      </c>
      <c r="CK108" s="425" t="s">
        <v>69</v>
      </c>
      <c r="CL108" s="425" t="s">
        <v>69</v>
      </c>
      <c r="CM108" s="425" t="s">
        <v>69</v>
      </c>
      <c r="CN108" s="425" t="s">
        <v>69</v>
      </c>
      <c r="CO108" s="425" t="s">
        <v>69</v>
      </c>
      <c r="CP108" s="425" t="s">
        <v>69</v>
      </c>
      <c r="CQ108" s="425" t="s">
        <v>69</v>
      </c>
      <c r="CR108" s="425" t="s">
        <v>69</v>
      </c>
      <c r="CS108" s="425" t="s">
        <v>69</v>
      </c>
      <c r="CT108" s="425" t="s">
        <v>69</v>
      </c>
      <c r="CU108" s="425" t="s">
        <v>69</v>
      </c>
      <c r="CV108" s="425" t="s">
        <v>69</v>
      </c>
      <c r="CW108" s="425" t="s">
        <v>69</v>
      </c>
      <c r="CX108" s="425" t="s">
        <v>69</v>
      </c>
      <c r="CY108" s="425" t="s">
        <v>69</v>
      </c>
      <c r="CZ108" s="425" t="s">
        <v>69</v>
      </c>
      <c r="DA108" s="425" t="s">
        <v>69</v>
      </c>
      <c r="DB108" s="425" t="s">
        <v>69</v>
      </c>
      <c r="DC108" s="425" t="s">
        <v>69</v>
      </c>
      <c r="DD108" s="425" t="s">
        <v>69</v>
      </c>
      <c r="DE108" s="425" t="s">
        <v>69</v>
      </c>
      <c r="DF108" s="425" t="s">
        <v>69</v>
      </c>
      <c r="DG108" s="425" t="s">
        <v>69</v>
      </c>
      <c r="DH108" s="425" t="s">
        <v>69</v>
      </c>
      <c r="DI108" s="425" t="s">
        <v>69</v>
      </c>
      <c r="DJ108" s="425" t="s">
        <v>69</v>
      </c>
      <c r="DK108" s="425" t="s">
        <v>69</v>
      </c>
      <c r="DL108" s="425" t="s">
        <v>69</v>
      </c>
      <c r="DM108" s="425" t="s">
        <v>69</v>
      </c>
      <c r="DN108" s="425" t="s">
        <v>69</v>
      </c>
      <c r="DO108" s="425" t="s">
        <v>69</v>
      </c>
      <c r="DP108" s="425" t="s">
        <v>69</v>
      </c>
      <c r="DQ108" s="425" t="s">
        <v>69</v>
      </c>
      <c r="DR108" s="425" t="s">
        <v>69</v>
      </c>
      <c r="DS108" s="425" t="s">
        <v>69</v>
      </c>
      <c r="DT108" s="425" t="s">
        <v>69</v>
      </c>
      <c r="DU108" s="422" t="s">
        <v>69</v>
      </c>
      <c r="DV108" s="425" t="s">
        <v>69</v>
      </c>
      <c r="DW108" s="425" t="s">
        <v>69</v>
      </c>
      <c r="DX108" s="425" t="s">
        <v>69</v>
      </c>
      <c r="DY108" s="423">
        <f t="shared" si="6"/>
        <v>6.3492063492063489E-2</v>
      </c>
      <c r="DZ108" s="424">
        <f t="shared" si="7"/>
        <v>1</v>
      </c>
      <c r="EA108" s="519"/>
    </row>
    <row r="109" spans="1:131" s="18" customFormat="1" ht="66.599999999999994" thickBot="1">
      <c r="A109" s="420" t="s">
        <v>1225</v>
      </c>
      <c r="B109" s="414" t="s">
        <v>1226</v>
      </c>
      <c r="C109" s="419">
        <v>46119</v>
      </c>
      <c r="D109" s="418" t="s">
        <v>1183</v>
      </c>
      <c r="E109" s="429" t="s">
        <v>216</v>
      </c>
      <c r="F109" s="425" t="s">
        <v>69</v>
      </c>
      <c r="G109" s="425" t="s">
        <v>69</v>
      </c>
      <c r="H109" s="425" t="s">
        <v>69</v>
      </c>
      <c r="I109" s="425" t="s">
        <v>69</v>
      </c>
      <c r="J109" s="425" t="s">
        <v>69</v>
      </c>
      <c r="K109" s="425" t="s">
        <v>69</v>
      </c>
      <c r="L109" s="425" t="s">
        <v>69</v>
      </c>
      <c r="M109" s="425" t="s">
        <v>69</v>
      </c>
      <c r="N109" s="425" t="s">
        <v>69</v>
      </c>
      <c r="O109" s="425" t="s">
        <v>69</v>
      </c>
      <c r="P109" s="425" t="s">
        <v>69</v>
      </c>
      <c r="Q109" s="425" t="s">
        <v>69</v>
      </c>
      <c r="R109" s="425" t="s">
        <v>69</v>
      </c>
      <c r="S109" s="425" t="s">
        <v>69</v>
      </c>
      <c r="T109" s="425" t="s">
        <v>69</v>
      </c>
      <c r="U109" s="425" t="s">
        <v>69</v>
      </c>
      <c r="V109" s="425" t="s">
        <v>69</v>
      </c>
      <c r="W109" s="425" t="s">
        <v>69</v>
      </c>
      <c r="X109" s="425" t="s">
        <v>69</v>
      </c>
      <c r="Y109" s="425" t="s">
        <v>69</v>
      </c>
      <c r="Z109" s="425" t="s">
        <v>69</v>
      </c>
      <c r="AA109" s="425" t="s">
        <v>69</v>
      </c>
      <c r="AB109" s="425" t="s">
        <v>69</v>
      </c>
      <c r="AC109" s="425" t="s">
        <v>69</v>
      </c>
      <c r="AD109" s="425" t="s">
        <v>69</v>
      </c>
      <c r="AE109" s="425" t="s">
        <v>69</v>
      </c>
      <c r="AF109" s="425" t="s">
        <v>69</v>
      </c>
      <c r="AG109" s="425" t="s">
        <v>69</v>
      </c>
      <c r="AH109" s="425" t="s">
        <v>69</v>
      </c>
      <c r="AI109" s="425" t="s">
        <v>69</v>
      </c>
      <c r="AJ109" s="425" t="s">
        <v>69</v>
      </c>
      <c r="AK109" s="425" t="s">
        <v>69</v>
      </c>
      <c r="AL109" s="425">
        <v>3</v>
      </c>
      <c r="AM109" s="425" t="s">
        <v>69</v>
      </c>
      <c r="AN109" s="425" t="s">
        <v>69</v>
      </c>
      <c r="AO109" s="425" t="s">
        <v>69</v>
      </c>
      <c r="AP109" s="425" t="s">
        <v>69</v>
      </c>
      <c r="AQ109" s="425" t="s">
        <v>69</v>
      </c>
      <c r="AR109" s="425" t="s">
        <v>69</v>
      </c>
      <c r="AS109" s="425" t="s">
        <v>69</v>
      </c>
      <c r="AT109" s="425" t="s">
        <v>69</v>
      </c>
      <c r="AU109" s="425" t="s">
        <v>69</v>
      </c>
      <c r="AV109" s="425" t="s">
        <v>69</v>
      </c>
      <c r="AW109" s="425" t="s">
        <v>69</v>
      </c>
      <c r="AX109" s="425" t="s">
        <v>69</v>
      </c>
      <c r="AY109" s="425" t="s">
        <v>69</v>
      </c>
      <c r="AZ109" s="425" t="s">
        <v>69</v>
      </c>
      <c r="BA109" s="425" t="s">
        <v>69</v>
      </c>
      <c r="BB109" s="425" t="s">
        <v>69</v>
      </c>
      <c r="BC109" s="425" t="s">
        <v>69</v>
      </c>
      <c r="BD109" s="425" t="s">
        <v>69</v>
      </c>
      <c r="BE109" s="425" t="s">
        <v>69</v>
      </c>
      <c r="BF109" s="425" t="s">
        <v>69</v>
      </c>
      <c r="BG109" s="425" t="s">
        <v>69</v>
      </c>
      <c r="BH109" s="425" t="s">
        <v>69</v>
      </c>
      <c r="BI109" s="425" t="s">
        <v>69</v>
      </c>
      <c r="BJ109" s="425" t="s">
        <v>69</v>
      </c>
      <c r="BK109" s="425" t="s">
        <v>69</v>
      </c>
      <c r="BL109" s="425" t="s">
        <v>69</v>
      </c>
      <c r="BM109" s="425" t="s">
        <v>69</v>
      </c>
      <c r="BN109" s="425" t="s">
        <v>69</v>
      </c>
      <c r="BO109" s="425" t="s">
        <v>69</v>
      </c>
      <c r="BP109" s="425" t="s">
        <v>69</v>
      </c>
      <c r="BQ109" s="425" t="s">
        <v>69</v>
      </c>
      <c r="BR109" s="425" t="s">
        <v>69</v>
      </c>
      <c r="BS109" s="425" t="s">
        <v>69</v>
      </c>
      <c r="BT109" s="425" t="s">
        <v>69</v>
      </c>
      <c r="BU109" s="425" t="s">
        <v>69</v>
      </c>
      <c r="BV109" s="425" t="s">
        <v>69</v>
      </c>
      <c r="BW109" s="425" t="s">
        <v>69</v>
      </c>
      <c r="BX109" s="425" t="s">
        <v>69</v>
      </c>
      <c r="BY109" s="425">
        <v>3</v>
      </c>
      <c r="BZ109" s="425" t="s">
        <v>69</v>
      </c>
      <c r="CA109" s="425" t="s">
        <v>69</v>
      </c>
      <c r="CB109" s="425" t="s">
        <v>69</v>
      </c>
      <c r="CC109" s="425" t="s">
        <v>69</v>
      </c>
      <c r="CD109" s="425" t="s">
        <v>69</v>
      </c>
      <c r="CE109" s="425" t="s">
        <v>69</v>
      </c>
      <c r="CF109" s="425" t="s">
        <v>69</v>
      </c>
      <c r="CG109" s="425" t="s">
        <v>69</v>
      </c>
      <c r="CH109" s="425" t="s">
        <v>69</v>
      </c>
      <c r="CI109" s="425" t="s">
        <v>69</v>
      </c>
      <c r="CJ109" s="425" t="s">
        <v>69</v>
      </c>
      <c r="CK109" s="425" t="s">
        <v>69</v>
      </c>
      <c r="CL109" s="425" t="s">
        <v>69</v>
      </c>
      <c r="CM109" s="425" t="s">
        <v>69</v>
      </c>
      <c r="CN109" s="425" t="s">
        <v>69</v>
      </c>
      <c r="CO109" s="425" t="s">
        <v>69</v>
      </c>
      <c r="CP109" s="425">
        <v>3</v>
      </c>
      <c r="CQ109" s="425" t="s">
        <v>69</v>
      </c>
      <c r="CR109" s="425" t="s">
        <v>69</v>
      </c>
      <c r="CS109" s="425" t="s">
        <v>69</v>
      </c>
      <c r="CT109" s="425">
        <v>3</v>
      </c>
      <c r="CU109" s="425" t="s">
        <v>69</v>
      </c>
      <c r="CV109" s="425" t="s">
        <v>69</v>
      </c>
      <c r="CW109" s="425" t="s">
        <v>69</v>
      </c>
      <c r="CX109" s="425" t="s">
        <v>69</v>
      </c>
      <c r="CY109" s="425" t="s">
        <v>69</v>
      </c>
      <c r="CZ109" s="425" t="s">
        <v>69</v>
      </c>
      <c r="DA109" s="425" t="s">
        <v>69</v>
      </c>
      <c r="DB109" s="425" t="s">
        <v>69</v>
      </c>
      <c r="DC109" s="425" t="s">
        <v>69</v>
      </c>
      <c r="DD109" s="425" t="s">
        <v>69</v>
      </c>
      <c r="DE109" s="425" t="s">
        <v>69</v>
      </c>
      <c r="DF109" s="425" t="s">
        <v>69</v>
      </c>
      <c r="DG109" s="425" t="s">
        <v>69</v>
      </c>
      <c r="DH109" s="425">
        <v>3</v>
      </c>
      <c r="DI109" s="425" t="s">
        <v>69</v>
      </c>
      <c r="DJ109" s="425" t="s">
        <v>69</v>
      </c>
      <c r="DK109" s="425" t="s">
        <v>69</v>
      </c>
      <c r="DL109" s="425" t="s">
        <v>69</v>
      </c>
      <c r="DM109" s="425" t="s">
        <v>69</v>
      </c>
      <c r="DN109" s="425" t="s">
        <v>69</v>
      </c>
      <c r="DO109" s="425" t="s">
        <v>69</v>
      </c>
      <c r="DP109" s="425" t="s">
        <v>69</v>
      </c>
      <c r="DQ109" s="425" t="s">
        <v>69</v>
      </c>
      <c r="DR109" s="425" t="s">
        <v>69</v>
      </c>
      <c r="DS109" s="425" t="s">
        <v>69</v>
      </c>
      <c r="DT109" s="425" t="s">
        <v>69</v>
      </c>
      <c r="DU109" s="422" t="s">
        <v>69</v>
      </c>
      <c r="DV109" s="425" t="s">
        <v>69</v>
      </c>
      <c r="DW109" s="425" t="s">
        <v>69</v>
      </c>
      <c r="DX109" s="425" t="s">
        <v>69</v>
      </c>
      <c r="DY109" s="423">
        <f t="shared" si="6"/>
        <v>7.9365079365079361E-2</v>
      </c>
      <c r="DZ109" s="424">
        <f t="shared" si="7"/>
        <v>1</v>
      </c>
      <c r="EA109" s="519"/>
    </row>
    <row r="110" spans="1:131" s="18" customFormat="1" ht="64.2" thickBot="1">
      <c r="A110" s="420" t="s">
        <v>1227</v>
      </c>
      <c r="B110" s="414" t="s">
        <v>1228</v>
      </c>
      <c r="C110" s="419">
        <v>46119</v>
      </c>
      <c r="D110" s="418" t="s">
        <v>1183</v>
      </c>
      <c r="E110" s="429" t="s">
        <v>216</v>
      </c>
      <c r="F110" s="425" t="s">
        <v>69</v>
      </c>
      <c r="G110" s="425" t="s">
        <v>69</v>
      </c>
      <c r="H110" s="425" t="s">
        <v>69</v>
      </c>
      <c r="I110" s="425" t="s">
        <v>69</v>
      </c>
      <c r="J110" s="425" t="s">
        <v>69</v>
      </c>
      <c r="K110" s="425" t="s">
        <v>69</v>
      </c>
      <c r="L110" s="425" t="s">
        <v>69</v>
      </c>
      <c r="M110" s="425" t="s">
        <v>69</v>
      </c>
      <c r="N110" s="425" t="s">
        <v>69</v>
      </c>
      <c r="O110" s="425" t="s">
        <v>69</v>
      </c>
      <c r="P110" s="425" t="s">
        <v>69</v>
      </c>
      <c r="Q110" s="425" t="s">
        <v>69</v>
      </c>
      <c r="R110" s="425" t="s">
        <v>69</v>
      </c>
      <c r="S110" s="425" t="s">
        <v>69</v>
      </c>
      <c r="T110" s="425" t="s">
        <v>69</v>
      </c>
      <c r="U110" s="425" t="s">
        <v>69</v>
      </c>
      <c r="V110" s="425" t="s">
        <v>69</v>
      </c>
      <c r="W110" s="425" t="s">
        <v>69</v>
      </c>
      <c r="X110" s="425" t="s">
        <v>69</v>
      </c>
      <c r="Y110" s="425" t="s">
        <v>69</v>
      </c>
      <c r="Z110" s="425" t="s">
        <v>69</v>
      </c>
      <c r="AA110" s="425" t="s">
        <v>69</v>
      </c>
      <c r="AB110" s="425" t="s">
        <v>69</v>
      </c>
      <c r="AC110" s="425" t="s">
        <v>69</v>
      </c>
      <c r="AD110" s="425" t="s">
        <v>69</v>
      </c>
      <c r="AE110" s="425" t="s">
        <v>69</v>
      </c>
      <c r="AF110" s="425" t="s">
        <v>69</v>
      </c>
      <c r="AG110" s="425" t="s">
        <v>69</v>
      </c>
      <c r="AH110" s="425" t="s">
        <v>69</v>
      </c>
      <c r="AI110" s="425" t="s">
        <v>69</v>
      </c>
      <c r="AJ110" s="425" t="s">
        <v>69</v>
      </c>
      <c r="AK110" s="425" t="s">
        <v>69</v>
      </c>
      <c r="AL110" s="425" t="s">
        <v>69</v>
      </c>
      <c r="AM110" s="425" t="s">
        <v>69</v>
      </c>
      <c r="AN110" s="425" t="s">
        <v>69</v>
      </c>
      <c r="AO110" s="425" t="s">
        <v>69</v>
      </c>
      <c r="AP110" s="425" t="s">
        <v>69</v>
      </c>
      <c r="AQ110" s="425" t="s">
        <v>69</v>
      </c>
      <c r="AR110" s="425" t="s">
        <v>69</v>
      </c>
      <c r="AS110" s="425" t="s">
        <v>69</v>
      </c>
      <c r="AT110" s="425" t="s">
        <v>69</v>
      </c>
      <c r="AU110" s="425" t="s">
        <v>69</v>
      </c>
      <c r="AV110" s="425" t="s">
        <v>69</v>
      </c>
      <c r="AW110" s="425" t="s">
        <v>69</v>
      </c>
      <c r="AX110" s="425" t="s">
        <v>69</v>
      </c>
      <c r="AY110" s="425" t="s">
        <v>69</v>
      </c>
      <c r="AZ110" s="425" t="s">
        <v>69</v>
      </c>
      <c r="BA110" s="425" t="s">
        <v>69</v>
      </c>
      <c r="BB110" s="425" t="s">
        <v>69</v>
      </c>
      <c r="BC110" s="425" t="s">
        <v>69</v>
      </c>
      <c r="BD110" s="425" t="s">
        <v>69</v>
      </c>
      <c r="BE110" s="425" t="s">
        <v>69</v>
      </c>
      <c r="BF110" s="425" t="s">
        <v>69</v>
      </c>
      <c r="BG110" s="425" t="s">
        <v>69</v>
      </c>
      <c r="BH110" s="425" t="s">
        <v>69</v>
      </c>
      <c r="BI110" s="425" t="s">
        <v>69</v>
      </c>
      <c r="BJ110" s="425" t="s">
        <v>69</v>
      </c>
      <c r="BK110" s="425" t="s">
        <v>69</v>
      </c>
      <c r="BL110" s="425" t="s">
        <v>69</v>
      </c>
      <c r="BM110" s="425" t="s">
        <v>69</v>
      </c>
      <c r="BN110" s="425" t="s">
        <v>69</v>
      </c>
      <c r="BO110" s="425" t="s">
        <v>69</v>
      </c>
      <c r="BP110" s="425" t="s">
        <v>69</v>
      </c>
      <c r="BQ110" s="425" t="s">
        <v>69</v>
      </c>
      <c r="BR110" s="425" t="s">
        <v>69</v>
      </c>
      <c r="BS110" s="425" t="s">
        <v>69</v>
      </c>
      <c r="BT110" s="425" t="s">
        <v>69</v>
      </c>
      <c r="BU110" s="425" t="s">
        <v>69</v>
      </c>
      <c r="BV110" s="425" t="s">
        <v>69</v>
      </c>
      <c r="BW110" s="425" t="s">
        <v>69</v>
      </c>
      <c r="BX110" s="425" t="s">
        <v>69</v>
      </c>
      <c r="BY110" s="425" t="s">
        <v>69</v>
      </c>
      <c r="BZ110" s="425" t="s">
        <v>69</v>
      </c>
      <c r="CA110" s="425" t="s">
        <v>69</v>
      </c>
      <c r="CB110" s="425" t="s">
        <v>69</v>
      </c>
      <c r="CC110" s="425" t="s">
        <v>69</v>
      </c>
      <c r="CD110" s="425" t="s">
        <v>69</v>
      </c>
      <c r="CE110" s="425" t="s">
        <v>69</v>
      </c>
      <c r="CF110" s="425" t="s">
        <v>69</v>
      </c>
      <c r="CG110" s="425" t="s">
        <v>69</v>
      </c>
      <c r="CH110" s="425" t="s">
        <v>69</v>
      </c>
      <c r="CI110" s="425" t="s">
        <v>69</v>
      </c>
      <c r="CJ110" s="425" t="s">
        <v>69</v>
      </c>
      <c r="CK110" s="425" t="s">
        <v>69</v>
      </c>
      <c r="CL110" s="425" t="s">
        <v>69</v>
      </c>
      <c r="CM110" s="425" t="s">
        <v>69</v>
      </c>
      <c r="CN110" s="425" t="s">
        <v>69</v>
      </c>
      <c r="CO110" s="425" t="s">
        <v>69</v>
      </c>
      <c r="CP110" s="425">
        <v>3</v>
      </c>
      <c r="CQ110" s="425" t="s">
        <v>69</v>
      </c>
      <c r="CR110" s="425" t="s">
        <v>69</v>
      </c>
      <c r="CS110" s="425" t="s">
        <v>69</v>
      </c>
      <c r="CT110" s="425" t="s">
        <v>69</v>
      </c>
      <c r="CU110" s="425" t="s">
        <v>69</v>
      </c>
      <c r="CV110" s="425" t="s">
        <v>69</v>
      </c>
      <c r="CW110" s="425" t="s">
        <v>69</v>
      </c>
      <c r="CX110" s="425" t="s">
        <v>69</v>
      </c>
      <c r="CY110" s="425" t="s">
        <v>69</v>
      </c>
      <c r="CZ110" s="425" t="s">
        <v>69</v>
      </c>
      <c r="DA110" s="425" t="s">
        <v>69</v>
      </c>
      <c r="DB110" s="425" t="s">
        <v>69</v>
      </c>
      <c r="DC110" s="425" t="s">
        <v>69</v>
      </c>
      <c r="DD110" s="425" t="s">
        <v>69</v>
      </c>
      <c r="DE110" s="425" t="s">
        <v>69</v>
      </c>
      <c r="DF110" s="425" t="s">
        <v>69</v>
      </c>
      <c r="DG110" s="425" t="s">
        <v>69</v>
      </c>
      <c r="DH110" s="425" t="s">
        <v>69</v>
      </c>
      <c r="DI110" s="425" t="s">
        <v>69</v>
      </c>
      <c r="DJ110" s="425" t="s">
        <v>69</v>
      </c>
      <c r="DK110" s="425" t="s">
        <v>69</v>
      </c>
      <c r="DL110" s="425" t="s">
        <v>69</v>
      </c>
      <c r="DM110" s="425" t="s">
        <v>69</v>
      </c>
      <c r="DN110" s="425" t="s">
        <v>69</v>
      </c>
      <c r="DO110" s="425" t="s">
        <v>69</v>
      </c>
      <c r="DP110" s="425" t="s">
        <v>69</v>
      </c>
      <c r="DQ110" s="425" t="s">
        <v>69</v>
      </c>
      <c r="DR110" s="425" t="s">
        <v>69</v>
      </c>
      <c r="DS110" s="425" t="s">
        <v>69</v>
      </c>
      <c r="DT110" s="425" t="s">
        <v>69</v>
      </c>
      <c r="DU110" s="422" t="s">
        <v>69</v>
      </c>
      <c r="DV110" s="425" t="s">
        <v>69</v>
      </c>
      <c r="DW110" s="425" t="s">
        <v>69</v>
      </c>
      <c r="DX110" s="425" t="s">
        <v>69</v>
      </c>
      <c r="DY110" s="423">
        <f t="shared" si="6"/>
        <v>1.5873015873015872E-2</v>
      </c>
      <c r="DZ110" s="424">
        <f t="shared" si="7"/>
        <v>1</v>
      </c>
      <c r="EA110" s="519"/>
    </row>
    <row r="111" spans="1:131" s="18" customFormat="1" ht="64.2" thickBot="1">
      <c r="A111" s="420" t="s">
        <v>1229</v>
      </c>
      <c r="B111" s="414" t="s">
        <v>1230</v>
      </c>
      <c r="C111" s="419">
        <v>46119</v>
      </c>
      <c r="D111" s="418" t="s">
        <v>1183</v>
      </c>
      <c r="E111" s="429" t="s">
        <v>216</v>
      </c>
      <c r="F111" s="425" t="s">
        <v>69</v>
      </c>
      <c r="G111" s="425" t="s">
        <v>69</v>
      </c>
      <c r="H111" s="425" t="s">
        <v>69</v>
      </c>
      <c r="I111" s="425" t="s">
        <v>69</v>
      </c>
      <c r="J111" s="425" t="s">
        <v>69</v>
      </c>
      <c r="K111" s="425" t="s">
        <v>69</v>
      </c>
      <c r="L111" s="425" t="s">
        <v>69</v>
      </c>
      <c r="M111" s="425" t="s">
        <v>69</v>
      </c>
      <c r="N111" s="425" t="s">
        <v>69</v>
      </c>
      <c r="O111" s="425" t="s">
        <v>69</v>
      </c>
      <c r="P111" s="425" t="s">
        <v>69</v>
      </c>
      <c r="Q111" s="425" t="s">
        <v>69</v>
      </c>
      <c r="R111" s="425" t="s">
        <v>69</v>
      </c>
      <c r="S111" s="425" t="s">
        <v>69</v>
      </c>
      <c r="T111" s="425" t="s">
        <v>69</v>
      </c>
      <c r="U111" s="425" t="s">
        <v>69</v>
      </c>
      <c r="V111" s="425" t="s">
        <v>69</v>
      </c>
      <c r="W111" s="425" t="s">
        <v>69</v>
      </c>
      <c r="X111" s="425" t="s">
        <v>69</v>
      </c>
      <c r="Y111" s="425" t="s">
        <v>69</v>
      </c>
      <c r="Z111" s="425" t="s">
        <v>69</v>
      </c>
      <c r="AA111" s="425" t="s">
        <v>69</v>
      </c>
      <c r="AB111" s="425" t="s">
        <v>69</v>
      </c>
      <c r="AC111" s="425" t="s">
        <v>69</v>
      </c>
      <c r="AD111" s="425" t="s">
        <v>69</v>
      </c>
      <c r="AE111" s="425" t="s">
        <v>69</v>
      </c>
      <c r="AF111" s="425" t="s">
        <v>69</v>
      </c>
      <c r="AG111" s="425" t="s">
        <v>69</v>
      </c>
      <c r="AH111" s="425" t="s">
        <v>69</v>
      </c>
      <c r="AI111" s="425" t="s">
        <v>69</v>
      </c>
      <c r="AJ111" s="425" t="s">
        <v>69</v>
      </c>
      <c r="AK111" s="425" t="s">
        <v>69</v>
      </c>
      <c r="AL111" s="425" t="s">
        <v>69</v>
      </c>
      <c r="AM111" s="425" t="s">
        <v>69</v>
      </c>
      <c r="AN111" s="425" t="s">
        <v>69</v>
      </c>
      <c r="AO111" s="425" t="s">
        <v>69</v>
      </c>
      <c r="AP111" s="425" t="s">
        <v>69</v>
      </c>
      <c r="AQ111" s="425" t="s">
        <v>69</v>
      </c>
      <c r="AR111" s="425" t="s">
        <v>69</v>
      </c>
      <c r="AS111" s="425" t="s">
        <v>69</v>
      </c>
      <c r="AT111" s="425" t="s">
        <v>69</v>
      </c>
      <c r="AU111" s="425">
        <v>3</v>
      </c>
      <c r="AV111" s="425" t="s">
        <v>69</v>
      </c>
      <c r="AW111" s="425" t="s">
        <v>69</v>
      </c>
      <c r="AX111" s="425" t="s">
        <v>69</v>
      </c>
      <c r="AY111" s="425" t="s">
        <v>69</v>
      </c>
      <c r="AZ111" s="425" t="s">
        <v>69</v>
      </c>
      <c r="BA111" s="425" t="s">
        <v>69</v>
      </c>
      <c r="BB111" s="425" t="s">
        <v>69</v>
      </c>
      <c r="BC111" s="425" t="s">
        <v>69</v>
      </c>
      <c r="BD111" s="425" t="s">
        <v>69</v>
      </c>
      <c r="BE111" s="425" t="s">
        <v>69</v>
      </c>
      <c r="BF111" s="425" t="s">
        <v>69</v>
      </c>
      <c r="BG111" s="425" t="s">
        <v>69</v>
      </c>
      <c r="BH111" s="425" t="s">
        <v>69</v>
      </c>
      <c r="BI111" s="425" t="s">
        <v>69</v>
      </c>
      <c r="BJ111" s="425" t="s">
        <v>69</v>
      </c>
      <c r="BK111" s="425" t="s">
        <v>69</v>
      </c>
      <c r="BL111" s="425" t="s">
        <v>69</v>
      </c>
      <c r="BM111" s="425" t="s">
        <v>69</v>
      </c>
      <c r="BN111" s="425" t="s">
        <v>69</v>
      </c>
      <c r="BO111" s="425" t="s">
        <v>69</v>
      </c>
      <c r="BP111" s="425" t="s">
        <v>69</v>
      </c>
      <c r="BQ111" s="425" t="s">
        <v>69</v>
      </c>
      <c r="BR111" s="425" t="s">
        <v>69</v>
      </c>
      <c r="BS111" s="425" t="s">
        <v>69</v>
      </c>
      <c r="BT111" s="425" t="s">
        <v>69</v>
      </c>
      <c r="BU111" s="425" t="s">
        <v>69</v>
      </c>
      <c r="BV111" s="425" t="s">
        <v>69</v>
      </c>
      <c r="BW111" s="425" t="s">
        <v>69</v>
      </c>
      <c r="BX111" s="425" t="s">
        <v>69</v>
      </c>
      <c r="BY111" s="425" t="s">
        <v>69</v>
      </c>
      <c r="BZ111" s="425" t="s">
        <v>69</v>
      </c>
      <c r="CA111" s="425" t="s">
        <v>69</v>
      </c>
      <c r="CB111" s="425" t="s">
        <v>69</v>
      </c>
      <c r="CC111" s="425" t="s">
        <v>69</v>
      </c>
      <c r="CD111" s="425" t="s">
        <v>69</v>
      </c>
      <c r="CE111" s="425" t="s">
        <v>69</v>
      </c>
      <c r="CF111" s="425" t="s">
        <v>69</v>
      </c>
      <c r="CG111" s="425">
        <v>3</v>
      </c>
      <c r="CH111" s="425" t="s">
        <v>69</v>
      </c>
      <c r="CI111" s="425" t="s">
        <v>69</v>
      </c>
      <c r="CJ111" s="425" t="s">
        <v>69</v>
      </c>
      <c r="CK111" s="425" t="s">
        <v>69</v>
      </c>
      <c r="CL111" s="425" t="s">
        <v>69</v>
      </c>
      <c r="CM111" s="425" t="s">
        <v>69</v>
      </c>
      <c r="CN111" s="425" t="s">
        <v>69</v>
      </c>
      <c r="CO111" s="425" t="s">
        <v>69</v>
      </c>
      <c r="CP111" s="425" t="s">
        <v>69</v>
      </c>
      <c r="CQ111" s="425" t="s">
        <v>69</v>
      </c>
      <c r="CR111" s="425" t="s">
        <v>69</v>
      </c>
      <c r="CS111" s="425" t="s">
        <v>69</v>
      </c>
      <c r="CT111" s="425">
        <v>3</v>
      </c>
      <c r="CU111" s="425" t="s">
        <v>69</v>
      </c>
      <c r="CV111" s="425" t="s">
        <v>69</v>
      </c>
      <c r="CW111" s="425" t="s">
        <v>69</v>
      </c>
      <c r="CX111" s="425" t="s">
        <v>69</v>
      </c>
      <c r="CY111" s="425" t="s">
        <v>69</v>
      </c>
      <c r="CZ111" s="425" t="s">
        <v>69</v>
      </c>
      <c r="DA111" s="425" t="s">
        <v>69</v>
      </c>
      <c r="DB111" s="425" t="s">
        <v>69</v>
      </c>
      <c r="DC111" s="425" t="s">
        <v>69</v>
      </c>
      <c r="DD111" s="425" t="s">
        <v>69</v>
      </c>
      <c r="DE111" s="425" t="s">
        <v>69</v>
      </c>
      <c r="DF111" s="425" t="s">
        <v>69</v>
      </c>
      <c r="DG111" s="425" t="s">
        <v>69</v>
      </c>
      <c r="DH111" s="425">
        <v>3</v>
      </c>
      <c r="DI111" s="425" t="s">
        <v>69</v>
      </c>
      <c r="DJ111" s="425" t="s">
        <v>69</v>
      </c>
      <c r="DK111" s="425" t="s">
        <v>69</v>
      </c>
      <c r="DL111" s="425" t="s">
        <v>69</v>
      </c>
      <c r="DM111" s="425" t="s">
        <v>69</v>
      </c>
      <c r="DN111" s="425" t="s">
        <v>69</v>
      </c>
      <c r="DO111" s="425" t="s">
        <v>69</v>
      </c>
      <c r="DP111" s="425" t="s">
        <v>69</v>
      </c>
      <c r="DQ111" s="425" t="s">
        <v>69</v>
      </c>
      <c r="DR111" s="425" t="s">
        <v>69</v>
      </c>
      <c r="DS111" s="425" t="s">
        <v>69</v>
      </c>
      <c r="DT111" s="425" t="s">
        <v>69</v>
      </c>
      <c r="DU111" s="422" t="s">
        <v>69</v>
      </c>
      <c r="DV111" s="425" t="s">
        <v>69</v>
      </c>
      <c r="DW111" s="425" t="s">
        <v>69</v>
      </c>
      <c r="DX111" s="425">
        <v>2</v>
      </c>
      <c r="DY111" s="423">
        <f t="shared" si="6"/>
        <v>7.9365079365079361E-2</v>
      </c>
      <c r="DZ111" s="424">
        <f t="shared" si="7"/>
        <v>0.8</v>
      </c>
      <c r="EA111" s="519"/>
    </row>
    <row r="112" spans="1:131" s="18" customFormat="1" ht="66.599999999999994" thickBot="1">
      <c r="A112" s="420" t="s">
        <v>1233</v>
      </c>
      <c r="B112" s="414" t="s">
        <v>1234</v>
      </c>
      <c r="C112" s="419">
        <v>46127</v>
      </c>
      <c r="D112" s="418" t="s">
        <v>1183</v>
      </c>
      <c r="E112" s="429" t="s">
        <v>216</v>
      </c>
      <c r="F112" s="425">
        <v>3</v>
      </c>
      <c r="G112" s="425" t="s">
        <v>69</v>
      </c>
      <c r="H112" s="425">
        <v>3</v>
      </c>
      <c r="I112" s="425" t="s">
        <v>69</v>
      </c>
      <c r="J112" s="425" t="s">
        <v>69</v>
      </c>
      <c r="K112" s="425" t="s">
        <v>69</v>
      </c>
      <c r="L112" s="425" t="s">
        <v>69</v>
      </c>
      <c r="M112" s="425" t="s">
        <v>69</v>
      </c>
      <c r="N112" s="425" t="s">
        <v>69</v>
      </c>
      <c r="O112" s="425">
        <v>3</v>
      </c>
      <c r="P112" s="425" t="s">
        <v>69</v>
      </c>
      <c r="Q112" s="425" t="s">
        <v>69</v>
      </c>
      <c r="R112" s="425" t="s">
        <v>69</v>
      </c>
      <c r="S112" s="425" t="s">
        <v>69</v>
      </c>
      <c r="T112" s="425" t="s">
        <v>69</v>
      </c>
      <c r="U112" s="425" t="s">
        <v>69</v>
      </c>
      <c r="V112" s="425" t="s">
        <v>69</v>
      </c>
      <c r="W112" s="425" t="s">
        <v>69</v>
      </c>
      <c r="X112" s="425" t="s">
        <v>69</v>
      </c>
      <c r="Y112" s="425" t="s">
        <v>69</v>
      </c>
      <c r="Z112" s="425" t="s">
        <v>69</v>
      </c>
      <c r="AA112" s="425" t="s">
        <v>69</v>
      </c>
      <c r="AB112" s="425" t="s">
        <v>69</v>
      </c>
      <c r="AC112" s="425" t="s">
        <v>69</v>
      </c>
      <c r="AD112" s="425" t="s">
        <v>69</v>
      </c>
      <c r="AE112" s="425" t="s">
        <v>69</v>
      </c>
      <c r="AF112" s="425" t="s">
        <v>69</v>
      </c>
      <c r="AG112" s="425" t="s">
        <v>69</v>
      </c>
      <c r="AH112" s="425" t="s">
        <v>69</v>
      </c>
      <c r="AI112" s="425" t="s">
        <v>69</v>
      </c>
      <c r="AJ112" s="425" t="s">
        <v>69</v>
      </c>
      <c r="AK112" s="425" t="s">
        <v>69</v>
      </c>
      <c r="AL112" s="425" t="s">
        <v>69</v>
      </c>
      <c r="AM112" s="425" t="s">
        <v>69</v>
      </c>
      <c r="AN112" s="425" t="s">
        <v>69</v>
      </c>
      <c r="AO112" s="425" t="s">
        <v>69</v>
      </c>
      <c r="AP112" s="425" t="s">
        <v>69</v>
      </c>
      <c r="AQ112" s="425" t="s">
        <v>69</v>
      </c>
      <c r="AR112" s="425">
        <v>3</v>
      </c>
      <c r="AS112" s="425" t="s">
        <v>69</v>
      </c>
      <c r="AT112" s="425" t="s">
        <v>69</v>
      </c>
      <c r="AU112" s="425" t="s">
        <v>69</v>
      </c>
      <c r="AV112" s="425" t="s">
        <v>69</v>
      </c>
      <c r="AW112" s="425" t="s">
        <v>69</v>
      </c>
      <c r="AX112" s="425" t="s">
        <v>69</v>
      </c>
      <c r="AY112" s="425" t="s">
        <v>69</v>
      </c>
      <c r="AZ112" s="425" t="s">
        <v>69</v>
      </c>
      <c r="BA112" s="425" t="s">
        <v>69</v>
      </c>
      <c r="BB112" s="425" t="s">
        <v>69</v>
      </c>
      <c r="BC112" s="425" t="s">
        <v>69</v>
      </c>
      <c r="BD112" s="425" t="s">
        <v>69</v>
      </c>
      <c r="BE112" s="425" t="s">
        <v>69</v>
      </c>
      <c r="BF112" s="425" t="s">
        <v>69</v>
      </c>
      <c r="BG112" s="425" t="s">
        <v>69</v>
      </c>
      <c r="BH112" s="425" t="s">
        <v>69</v>
      </c>
      <c r="BI112" s="425" t="s">
        <v>69</v>
      </c>
      <c r="BJ112" s="425" t="s">
        <v>69</v>
      </c>
      <c r="BK112" s="425" t="s">
        <v>69</v>
      </c>
      <c r="BL112" s="425" t="s">
        <v>69</v>
      </c>
      <c r="BM112" s="425" t="s">
        <v>69</v>
      </c>
      <c r="BN112" s="425" t="s">
        <v>69</v>
      </c>
      <c r="BO112" s="425" t="s">
        <v>69</v>
      </c>
      <c r="BP112" s="425" t="s">
        <v>69</v>
      </c>
      <c r="BQ112" s="425" t="s">
        <v>69</v>
      </c>
      <c r="BR112" s="425">
        <v>3</v>
      </c>
      <c r="BS112" s="425" t="s">
        <v>69</v>
      </c>
      <c r="BT112" s="425" t="s">
        <v>69</v>
      </c>
      <c r="BU112" s="425" t="s">
        <v>69</v>
      </c>
      <c r="BV112" s="425" t="s">
        <v>69</v>
      </c>
      <c r="BW112" s="425" t="s">
        <v>69</v>
      </c>
      <c r="BX112" s="425" t="s">
        <v>69</v>
      </c>
      <c r="BY112" s="425" t="s">
        <v>69</v>
      </c>
      <c r="BZ112" s="425" t="s">
        <v>69</v>
      </c>
      <c r="CA112" s="425" t="s">
        <v>69</v>
      </c>
      <c r="CB112" s="425" t="s">
        <v>69</v>
      </c>
      <c r="CC112" s="425" t="s">
        <v>69</v>
      </c>
      <c r="CD112" s="425" t="s">
        <v>69</v>
      </c>
      <c r="CE112" s="425" t="s">
        <v>69</v>
      </c>
      <c r="CF112" s="425" t="s">
        <v>69</v>
      </c>
      <c r="CG112" s="425" t="s">
        <v>69</v>
      </c>
      <c r="CH112" s="425" t="s">
        <v>69</v>
      </c>
      <c r="CI112" s="425" t="s">
        <v>69</v>
      </c>
      <c r="CJ112" s="425" t="s">
        <v>69</v>
      </c>
      <c r="CK112" s="425" t="s">
        <v>69</v>
      </c>
      <c r="CL112" s="425" t="s">
        <v>69</v>
      </c>
      <c r="CM112" s="425" t="s">
        <v>69</v>
      </c>
      <c r="CN112" s="425" t="s">
        <v>69</v>
      </c>
      <c r="CO112" s="425" t="s">
        <v>69</v>
      </c>
      <c r="CP112" s="425" t="s">
        <v>69</v>
      </c>
      <c r="CQ112" s="425" t="s">
        <v>69</v>
      </c>
      <c r="CR112" s="425" t="s">
        <v>69</v>
      </c>
      <c r="CS112" s="425" t="s">
        <v>69</v>
      </c>
      <c r="CT112" s="425" t="s">
        <v>69</v>
      </c>
      <c r="CU112" s="425" t="s">
        <v>69</v>
      </c>
      <c r="CV112" s="425" t="s">
        <v>69</v>
      </c>
      <c r="CW112" s="425" t="s">
        <v>69</v>
      </c>
      <c r="CX112" s="425" t="s">
        <v>69</v>
      </c>
      <c r="CY112" s="425" t="s">
        <v>69</v>
      </c>
      <c r="CZ112" s="425" t="s">
        <v>69</v>
      </c>
      <c r="DA112" s="425" t="s">
        <v>69</v>
      </c>
      <c r="DB112" s="425" t="s">
        <v>69</v>
      </c>
      <c r="DC112" s="425" t="s">
        <v>69</v>
      </c>
      <c r="DD112" s="425" t="s">
        <v>69</v>
      </c>
      <c r="DE112" s="425" t="s">
        <v>69</v>
      </c>
      <c r="DF112" s="425" t="s">
        <v>69</v>
      </c>
      <c r="DG112" s="425" t="s">
        <v>69</v>
      </c>
      <c r="DH112" s="425" t="s">
        <v>69</v>
      </c>
      <c r="DI112" s="425" t="s">
        <v>69</v>
      </c>
      <c r="DJ112" s="425" t="s">
        <v>69</v>
      </c>
      <c r="DK112" s="425" t="s">
        <v>69</v>
      </c>
      <c r="DL112" s="425" t="s">
        <v>69</v>
      </c>
      <c r="DM112" s="425" t="s">
        <v>69</v>
      </c>
      <c r="DN112" s="425" t="s">
        <v>69</v>
      </c>
      <c r="DO112" s="425" t="s">
        <v>69</v>
      </c>
      <c r="DP112" s="425" t="s">
        <v>69</v>
      </c>
      <c r="DQ112" s="425" t="s">
        <v>69</v>
      </c>
      <c r="DR112" s="425" t="s">
        <v>69</v>
      </c>
      <c r="DS112" s="425" t="s">
        <v>69</v>
      </c>
      <c r="DT112" s="425" t="s">
        <v>69</v>
      </c>
      <c r="DU112" s="422" t="s">
        <v>69</v>
      </c>
      <c r="DV112" s="425" t="s">
        <v>69</v>
      </c>
      <c r="DW112" s="425" t="s">
        <v>69</v>
      </c>
      <c r="DX112" s="425" t="s">
        <v>69</v>
      </c>
      <c r="DY112" s="423">
        <f t="shared" ref="DY112:DY120" si="8">COUNTIF(F112:DX112,"&gt;0")/63</f>
        <v>7.9365079365079361E-2</v>
      </c>
      <c r="DZ112" s="424">
        <f t="shared" ref="DZ112:DZ120" si="9">+COUNTIF(F112:DX112,"&gt;2")/COUNTIF(F112:DX112,"&gt;1")</f>
        <v>1</v>
      </c>
      <c r="EA112" s="519"/>
    </row>
    <row r="113" spans="1:131" s="18" customFormat="1" ht="66.599999999999994" thickBot="1">
      <c r="A113" s="420" t="s">
        <v>1235</v>
      </c>
      <c r="B113" s="414" t="s">
        <v>1236</v>
      </c>
      <c r="C113" s="419">
        <v>46127</v>
      </c>
      <c r="D113" s="418" t="s">
        <v>1183</v>
      </c>
      <c r="E113" s="429" t="s">
        <v>216</v>
      </c>
      <c r="F113" s="425" t="s">
        <v>69</v>
      </c>
      <c r="G113" s="425" t="s">
        <v>69</v>
      </c>
      <c r="H113" s="425" t="s">
        <v>69</v>
      </c>
      <c r="I113" s="425" t="s">
        <v>69</v>
      </c>
      <c r="J113" s="425" t="s">
        <v>69</v>
      </c>
      <c r="K113" s="425" t="s">
        <v>69</v>
      </c>
      <c r="L113" s="425" t="s">
        <v>69</v>
      </c>
      <c r="M113" s="425" t="s">
        <v>69</v>
      </c>
      <c r="N113" s="425" t="s">
        <v>69</v>
      </c>
      <c r="O113" s="425" t="s">
        <v>69</v>
      </c>
      <c r="P113" s="425" t="s">
        <v>69</v>
      </c>
      <c r="Q113" s="425" t="s">
        <v>69</v>
      </c>
      <c r="R113" s="425" t="s">
        <v>69</v>
      </c>
      <c r="S113" s="425" t="s">
        <v>69</v>
      </c>
      <c r="T113" s="425" t="s">
        <v>69</v>
      </c>
      <c r="U113" s="425" t="s">
        <v>69</v>
      </c>
      <c r="V113" s="425" t="s">
        <v>69</v>
      </c>
      <c r="W113" s="425" t="s">
        <v>69</v>
      </c>
      <c r="X113" s="425" t="s">
        <v>69</v>
      </c>
      <c r="Y113" s="425" t="s">
        <v>69</v>
      </c>
      <c r="Z113" s="425" t="s">
        <v>69</v>
      </c>
      <c r="AA113" s="425" t="s">
        <v>69</v>
      </c>
      <c r="AB113" s="425" t="s">
        <v>69</v>
      </c>
      <c r="AC113" s="425" t="s">
        <v>69</v>
      </c>
      <c r="AD113" s="425" t="s">
        <v>69</v>
      </c>
      <c r="AE113" s="425" t="s">
        <v>69</v>
      </c>
      <c r="AF113" s="425" t="s">
        <v>69</v>
      </c>
      <c r="AG113" s="425" t="s">
        <v>69</v>
      </c>
      <c r="AH113" s="425" t="s">
        <v>69</v>
      </c>
      <c r="AI113" s="425" t="s">
        <v>69</v>
      </c>
      <c r="AJ113" s="425" t="s">
        <v>69</v>
      </c>
      <c r="AK113" s="425" t="s">
        <v>69</v>
      </c>
      <c r="AL113" s="425" t="s">
        <v>69</v>
      </c>
      <c r="AM113" s="425" t="s">
        <v>69</v>
      </c>
      <c r="AN113" s="425" t="s">
        <v>69</v>
      </c>
      <c r="AO113" s="425" t="s">
        <v>69</v>
      </c>
      <c r="AP113" s="425" t="s">
        <v>69</v>
      </c>
      <c r="AQ113" s="425" t="s">
        <v>69</v>
      </c>
      <c r="AR113" s="425" t="s">
        <v>69</v>
      </c>
      <c r="AS113" s="425" t="s">
        <v>69</v>
      </c>
      <c r="AT113" s="425" t="s">
        <v>69</v>
      </c>
      <c r="AU113" s="425" t="s">
        <v>69</v>
      </c>
      <c r="AV113" s="425" t="s">
        <v>69</v>
      </c>
      <c r="AW113" s="425" t="s">
        <v>69</v>
      </c>
      <c r="AX113" s="425" t="s">
        <v>69</v>
      </c>
      <c r="AY113" s="425" t="s">
        <v>69</v>
      </c>
      <c r="AZ113" s="425" t="s">
        <v>69</v>
      </c>
      <c r="BA113" s="425" t="s">
        <v>69</v>
      </c>
      <c r="BB113" s="425" t="s">
        <v>69</v>
      </c>
      <c r="BC113" s="425" t="s">
        <v>69</v>
      </c>
      <c r="BD113" s="425" t="s">
        <v>69</v>
      </c>
      <c r="BE113" s="425" t="s">
        <v>69</v>
      </c>
      <c r="BF113" s="425" t="s">
        <v>69</v>
      </c>
      <c r="BG113" s="425" t="s">
        <v>69</v>
      </c>
      <c r="BH113" s="425" t="s">
        <v>69</v>
      </c>
      <c r="BI113" s="425" t="s">
        <v>69</v>
      </c>
      <c r="BJ113" s="425" t="s">
        <v>69</v>
      </c>
      <c r="BK113" s="425" t="s">
        <v>69</v>
      </c>
      <c r="BL113" s="425" t="s">
        <v>69</v>
      </c>
      <c r="BM113" s="425" t="s">
        <v>69</v>
      </c>
      <c r="BN113" s="425" t="s">
        <v>69</v>
      </c>
      <c r="BO113" s="425" t="s">
        <v>69</v>
      </c>
      <c r="BP113" s="425" t="s">
        <v>69</v>
      </c>
      <c r="BQ113" s="425" t="s">
        <v>69</v>
      </c>
      <c r="BR113" s="425" t="s">
        <v>69</v>
      </c>
      <c r="BS113" s="425" t="s">
        <v>69</v>
      </c>
      <c r="BT113" s="425" t="s">
        <v>69</v>
      </c>
      <c r="BU113" s="425" t="s">
        <v>69</v>
      </c>
      <c r="BV113" s="425" t="s">
        <v>69</v>
      </c>
      <c r="BW113" s="425" t="s">
        <v>69</v>
      </c>
      <c r="BX113" s="425" t="s">
        <v>69</v>
      </c>
      <c r="BY113" s="425" t="s">
        <v>69</v>
      </c>
      <c r="BZ113" s="425" t="s">
        <v>69</v>
      </c>
      <c r="CA113" s="425" t="s">
        <v>69</v>
      </c>
      <c r="CB113" s="425" t="s">
        <v>69</v>
      </c>
      <c r="CC113" s="425" t="s">
        <v>69</v>
      </c>
      <c r="CD113" s="425" t="s">
        <v>69</v>
      </c>
      <c r="CE113" s="425" t="s">
        <v>69</v>
      </c>
      <c r="CF113" s="425" t="s">
        <v>69</v>
      </c>
      <c r="CG113" s="425" t="s">
        <v>69</v>
      </c>
      <c r="CH113" s="425" t="s">
        <v>69</v>
      </c>
      <c r="CI113" s="425" t="s">
        <v>69</v>
      </c>
      <c r="CJ113" s="425" t="s">
        <v>69</v>
      </c>
      <c r="CK113" s="425" t="s">
        <v>69</v>
      </c>
      <c r="CL113" s="425" t="s">
        <v>69</v>
      </c>
      <c r="CM113" s="425" t="s">
        <v>69</v>
      </c>
      <c r="CN113" s="425" t="s">
        <v>69</v>
      </c>
      <c r="CO113" s="425">
        <v>3</v>
      </c>
      <c r="CP113" s="425" t="s">
        <v>69</v>
      </c>
      <c r="CQ113" s="425" t="s">
        <v>69</v>
      </c>
      <c r="CR113" s="425" t="s">
        <v>69</v>
      </c>
      <c r="CS113" s="425" t="s">
        <v>69</v>
      </c>
      <c r="CT113" s="425" t="s">
        <v>69</v>
      </c>
      <c r="CU113" s="425" t="s">
        <v>69</v>
      </c>
      <c r="CV113" s="425" t="s">
        <v>69</v>
      </c>
      <c r="CW113" s="425" t="s">
        <v>69</v>
      </c>
      <c r="CX113" s="425" t="s">
        <v>69</v>
      </c>
      <c r="CY113" s="425" t="s">
        <v>69</v>
      </c>
      <c r="CZ113" s="425" t="s">
        <v>69</v>
      </c>
      <c r="DA113" s="425" t="s">
        <v>69</v>
      </c>
      <c r="DB113" s="425" t="s">
        <v>69</v>
      </c>
      <c r="DC113" s="425" t="s">
        <v>69</v>
      </c>
      <c r="DD113" s="425" t="s">
        <v>69</v>
      </c>
      <c r="DE113" s="425" t="s">
        <v>69</v>
      </c>
      <c r="DF113" s="425" t="s">
        <v>69</v>
      </c>
      <c r="DG113" s="425" t="s">
        <v>69</v>
      </c>
      <c r="DH113" s="425" t="s">
        <v>69</v>
      </c>
      <c r="DI113" s="425" t="s">
        <v>69</v>
      </c>
      <c r="DJ113" s="425" t="s">
        <v>69</v>
      </c>
      <c r="DK113" s="425" t="s">
        <v>69</v>
      </c>
      <c r="DL113" s="425" t="s">
        <v>69</v>
      </c>
      <c r="DM113" s="425" t="s">
        <v>69</v>
      </c>
      <c r="DN113" s="425" t="s">
        <v>69</v>
      </c>
      <c r="DO113" s="425" t="s">
        <v>69</v>
      </c>
      <c r="DP113" s="425" t="s">
        <v>69</v>
      </c>
      <c r="DQ113" s="425" t="s">
        <v>69</v>
      </c>
      <c r="DR113" s="425" t="s">
        <v>69</v>
      </c>
      <c r="DS113" s="425" t="s">
        <v>69</v>
      </c>
      <c r="DT113" s="425" t="s">
        <v>69</v>
      </c>
      <c r="DU113" s="422" t="s">
        <v>69</v>
      </c>
      <c r="DV113" s="425" t="s">
        <v>69</v>
      </c>
      <c r="DW113" s="425" t="s">
        <v>69</v>
      </c>
      <c r="DX113" s="425" t="s">
        <v>69</v>
      </c>
      <c r="DY113" s="423">
        <f t="shared" si="8"/>
        <v>1.5873015873015872E-2</v>
      </c>
      <c r="DZ113" s="424">
        <f t="shared" si="9"/>
        <v>1</v>
      </c>
      <c r="EA113" s="519"/>
    </row>
    <row r="114" spans="1:131" s="18" customFormat="1" ht="66.599999999999994" thickBot="1">
      <c r="A114" s="420" t="s">
        <v>1237</v>
      </c>
      <c r="B114" s="414" t="s">
        <v>1238</v>
      </c>
      <c r="C114" s="419">
        <v>46127</v>
      </c>
      <c r="D114" s="418" t="s">
        <v>1183</v>
      </c>
      <c r="E114" s="429" t="s">
        <v>216</v>
      </c>
      <c r="F114" s="425" t="s">
        <v>69</v>
      </c>
      <c r="G114" s="425" t="s">
        <v>69</v>
      </c>
      <c r="H114" s="425" t="s">
        <v>69</v>
      </c>
      <c r="I114" s="425" t="s">
        <v>69</v>
      </c>
      <c r="J114" s="425" t="s">
        <v>69</v>
      </c>
      <c r="K114" s="425" t="s">
        <v>69</v>
      </c>
      <c r="L114" s="425" t="s">
        <v>69</v>
      </c>
      <c r="M114" s="425" t="s">
        <v>69</v>
      </c>
      <c r="N114" s="425" t="s">
        <v>69</v>
      </c>
      <c r="O114" s="425" t="s">
        <v>69</v>
      </c>
      <c r="P114" s="425" t="s">
        <v>69</v>
      </c>
      <c r="Q114" s="425" t="s">
        <v>69</v>
      </c>
      <c r="R114" s="425" t="s">
        <v>69</v>
      </c>
      <c r="S114" s="425" t="s">
        <v>69</v>
      </c>
      <c r="T114" s="425" t="s">
        <v>69</v>
      </c>
      <c r="U114" s="425" t="s">
        <v>69</v>
      </c>
      <c r="V114" s="425" t="s">
        <v>69</v>
      </c>
      <c r="W114" s="425" t="s">
        <v>69</v>
      </c>
      <c r="X114" s="425" t="s">
        <v>69</v>
      </c>
      <c r="Y114" s="425" t="s">
        <v>69</v>
      </c>
      <c r="Z114" s="425" t="s">
        <v>69</v>
      </c>
      <c r="AA114" s="425" t="s">
        <v>69</v>
      </c>
      <c r="AB114" s="425" t="s">
        <v>69</v>
      </c>
      <c r="AC114" s="425" t="s">
        <v>69</v>
      </c>
      <c r="AD114" s="425" t="s">
        <v>69</v>
      </c>
      <c r="AE114" s="425" t="s">
        <v>69</v>
      </c>
      <c r="AF114" s="425" t="s">
        <v>69</v>
      </c>
      <c r="AG114" s="425" t="s">
        <v>69</v>
      </c>
      <c r="AH114" s="425" t="s">
        <v>69</v>
      </c>
      <c r="AI114" s="425" t="s">
        <v>69</v>
      </c>
      <c r="AJ114" s="425" t="s">
        <v>69</v>
      </c>
      <c r="AK114" s="425" t="s">
        <v>69</v>
      </c>
      <c r="AL114" s="425" t="s">
        <v>69</v>
      </c>
      <c r="AM114" s="425" t="s">
        <v>69</v>
      </c>
      <c r="AN114" s="425" t="s">
        <v>69</v>
      </c>
      <c r="AO114" s="425" t="s">
        <v>69</v>
      </c>
      <c r="AP114" s="425" t="s">
        <v>69</v>
      </c>
      <c r="AQ114" s="425" t="s">
        <v>69</v>
      </c>
      <c r="AR114" s="425" t="s">
        <v>69</v>
      </c>
      <c r="AS114" s="425" t="s">
        <v>69</v>
      </c>
      <c r="AT114" s="425" t="s">
        <v>69</v>
      </c>
      <c r="AU114" s="425">
        <v>3</v>
      </c>
      <c r="AV114" s="425" t="s">
        <v>69</v>
      </c>
      <c r="AW114" s="425" t="s">
        <v>69</v>
      </c>
      <c r="AX114" s="425" t="s">
        <v>69</v>
      </c>
      <c r="AY114" s="425" t="s">
        <v>69</v>
      </c>
      <c r="AZ114" s="425" t="s">
        <v>69</v>
      </c>
      <c r="BA114" s="425" t="s">
        <v>69</v>
      </c>
      <c r="BB114" s="425" t="s">
        <v>69</v>
      </c>
      <c r="BC114" s="425" t="s">
        <v>69</v>
      </c>
      <c r="BD114" s="425" t="s">
        <v>69</v>
      </c>
      <c r="BE114" s="425" t="s">
        <v>69</v>
      </c>
      <c r="BF114" s="425" t="s">
        <v>69</v>
      </c>
      <c r="BG114" s="425" t="s">
        <v>69</v>
      </c>
      <c r="BH114" s="425" t="s">
        <v>69</v>
      </c>
      <c r="BI114" s="425" t="s">
        <v>69</v>
      </c>
      <c r="BJ114" s="425" t="s">
        <v>69</v>
      </c>
      <c r="BK114" s="425" t="s">
        <v>69</v>
      </c>
      <c r="BL114" s="425" t="s">
        <v>69</v>
      </c>
      <c r="BM114" s="425" t="s">
        <v>69</v>
      </c>
      <c r="BN114" s="425" t="s">
        <v>69</v>
      </c>
      <c r="BO114" s="425" t="s">
        <v>69</v>
      </c>
      <c r="BP114" s="425" t="s">
        <v>69</v>
      </c>
      <c r="BQ114" s="425" t="s">
        <v>69</v>
      </c>
      <c r="BR114" s="425" t="s">
        <v>69</v>
      </c>
      <c r="BS114" s="425" t="s">
        <v>69</v>
      </c>
      <c r="BT114" s="425" t="s">
        <v>69</v>
      </c>
      <c r="BU114" s="425" t="s">
        <v>69</v>
      </c>
      <c r="BV114" s="425" t="s">
        <v>69</v>
      </c>
      <c r="BW114" s="425" t="s">
        <v>69</v>
      </c>
      <c r="BX114" s="425" t="s">
        <v>69</v>
      </c>
      <c r="BY114" s="425">
        <v>3</v>
      </c>
      <c r="BZ114" s="425" t="s">
        <v>69</v>
      </c>
      <c r="CA114" s="425" t="s">
        <v>69</v>
      </c>
      <c r="CB114" s="425" t="s">
        <v>69</v>
      </c>
      <c r="CC114" s="425" t="s">
        <v>69</v>
      </c>
      <c r="CD114" s="425" t="s">
        <v>69</v>
      </c>
      <c r="CE114" s="425" t="s">
        <v>69</v>
      </c>
      <c r="CF114" s="425" t="s">
        <v>69</v>
      </c>
      <c r="CG114" s="425" t="s">
        <v>69</v>
      </c>
      <c r="CH114" s="425" t="s">
        <v>69</v>
      </c>
      <c r="CI114" s="425" t="s">
        <v>69</v>
      </c>
      <c r="CJ114" s="425" t="s">
        <v>69</v>
      </c>
      <c r="CK114" s="425" t="s">
        <v>69</v>
      </c>
      <c r="CL114" s="425" t="s">
        <v>69</v>
      </c>
      <c r="CM114" s="425" t="s">
        <v>69</v>
      </c>
      <c r="CN114" s="425" t="s">
        <v>69</v>
      </c>
      <c r="CO114" s="425" t="s">
        <v>69</v>
      </c>
      <c r="CP114" s="425" t="s">
        <v>69</v>
      </c>
      <c r="CQ114" s="425" t="s">
        <v>69</v>
      </c>
      <c r="CR114" s="425" t="s">
        <v>69</v>
      </c>
      <c r="CS114" s="425" t="s">
        <v>69</v>
      </c>
      <c r="CT114" s="425" t="s">
        <v>69</v>
      </c>
      <c r="CU114" s="425" t="s">
        <v>69</v>
      </c>
      <c r="CV114" s="425" t="s">
        <v>69</v>
      </c>
      <c r="CW114" s="425" t="s">
        <v>69</v>
      </c>
      <c r="CX114" s="425" t="s">
        <v>69</v>
      </c>
      <c r="CY114" s="425" t="s">
        <v>69</v>
      </c>
      <c r="CZ114" s="425" t="s">
        <v>69</v>
      </c>
      <c r="DA114" s="425" t="s">
        <v>69</v>
      </c>
      <c r="DB114" s="425" t="s">
        <v>69</v>
      </c>
      <c r="DC114" s="425" t="s">
        <v>69</v>
      </c>
      <c r="DD114" s="425" t="s">
        <v>69</v>
      </c>
      <c r="DE114" s="425" t="s">
        <v>69</v>
      </c>
      <c r="DF114" s="425" t="s">
        <v>69</v>
      </c>
      <c r="DG114" s="425" t="s">
        <v>69</v>
      </c>
      <c r="DH114" s="425" t="s">
        <v>69</v>
      </c>
      <c r="DI114" s="425" t="s">
        <v>69</v>
      </c>
      <c r="DJ114" s="425" t="s">
        <v>69</v>
      </c>
      <c r="DK114" s="425" t="s">
        <v>69</v>
      </c>
      <c r="DL114" s="425" t="s">
        <v>69</v>
      </c>
      <c r="DM114" s="425" t="s">
        <v>69</v>
      </c>
      <c r="DN114" s="425" t="s">
        <v>69</v>
      </c>
      <c r="DO114" s="425" t="s">
        <v>69</v>
      </c>
      <c r="DP114" s="425" t="s">
        <v>69</v>
      </c>
      <c r="DQ114" s="425" t="s">
        <v>69</v>
      </c>
      <c r="DR114" s="425">
        <v>3</v>
      </c>
      <c r="DS114" s="425" t="s">
        <v>69</v>
      </c>
      <c r="DT114" s="425" t="s">
        <v>69</v>
      </c>
      <c r="DU114" s="422" t="s">
        <v>69</v>
      </c>
      <c r="DV114" s="425" t="s">
        <v>69</v>
      </c>
      <c r="DW114" s="425" t="s">
        <v>69</v>
      </c>
      <c r="DX114" s="425" t="s">
        <v>69</v>
      </c>
      <c r="DY114" s="423">
        <f t="shared" si="8"/>
        <v>4.7619047619047616E-2</v>
      </c>
      <c r="DZ114" s="424">
        <f t="shared" si="9"/>
        <v>1</v>
      </c>
      <c r="EA114" s="519"/>
    </row>
    <row r="115" spans="1:131" s="18" customFormat="1" ht="66.599999999999994" thickBot="1">
      <c r="A115" s="420" t="s">
        <v>1239</v>
      </c>
      <c r="B115" s="414" t="s">
        <v>1240</v>
      </c>
      <c r="C115" s="419">
        <v>46127</v>
      </c>
      <c r="D115" s="418" t="s">
        <v>1183</v>
      </c>
      <c r="E115" s="429" t="s">
        <v>216</v>
      </c>
      <c r="F115" s="425" t="s">
        <v>69</v>
      </c>
      <c r="G115" s="425" t="s">
        <v>69</v>
      </c>
      <c r="H115" s="425" t="s">
        <v>69</v>
      </c>
      <c r="I115" s="425" t="s">
        <v>69</v>
      </c>
      <c r="J115" s="425" t="s">
        <v>69</v>
      </c>
      <c r="K115" s="425" t="s">
        <v>69</v>
      </c>
      <c r="L115" s="425" t="s">
        <v>69</v>
      </c>
      <c r="M115" s="425" t="s">
        <v>69</v>
      </c>
      <c r="N115" s="425" t="s">
        <v>69</v>
      </c>
      <c r="O115" s="425" t="s">
        <v>69</v>
      </c>
      <c r="P115" s="425" t="s">
        <v>69</v>
      </c>
      <c r="Q115" s="425" t="s">
        <v>69</v>
      </c>
      <c r="R115" s="425" t="s">
        <v>69</v>
      </c>
      <c r="S115" s="425" t="s">
        <v>69</v>
      </c>
      <c r="T115" s="425" t="s">
        <v>69</v>
      </c>
      <c r="U115" s="425" t="s">
        <v>69</v>
      </c>
      <c r="V115" s="425" t="s">
        <v>69</v>
      </c>
      <c r="W115" s="425" t="s">
        <v>69</v>
      </c>
      <c r="X115" s="425" t="s">
        <v>69</v>
      </c>
      <c r="Y115" s="425" t="s">
        <v>69</v>
      </c>
      <c r="Z115" s="425" t="s">
        <v>69</v>
      </c>
      <c r="AA115" s="425" t="s">
        <v>69</v>
      </c>
      <c r="AB115" s="425" t="s">
        <v>69</v>
      </c>
      <c r="AC115" s="425" t="s">
        <v>69</v>
      </c>
      <c r="AD115" s="425" t="s">
        <v>69</v>
      </c>
      <c r="AE115" s="425" t="s">
        <v>69</v>
      </c>
      <c r="AF115" s="425" t="s">
        <v>69</v>
      </c>
      <c r="AG115" s="425" t="s">
        <v>69</v>
      </c>
      <c r="AH115" s="425" t="s">
        <v>69</v>
      </c>
      <c r="AI115" s="425" t="s">
        <v>69</v>
      </c>
      <c r="AJ115" s="425" t="s">
        <v>69</v>
      </c>
      <c r="AK115" s="425" t="s">
        <v>69</v>
      </c>
      <c r="AL115" s="425" t="s">
        <v>69</v>
      </c>
      <c r="AM115" s="425" t="s">
        <v>69</v>
      </c>
      <c r="AN115" s="425" t="s">
        <v>69</v>
      </c>
      <c r="AO115" s="425" t="s">
        <v>69</v>
      </c>
      <c r="AP115" s="425" t="s">
        <v>69</v>
      </c>
      <c r="AQ115" s="425" t="s">
        <v>69</v>
      </c>
      <c r="AR115" s="425" t="s">
        <v>69</v>
      </c>
      <c r="AS115" s="425" t="s">
        <v>69</v>
      </c>
      <c r="AT115" s="425" t="s">
        <v>69</v>
      </c>
      <c r="AU115" s="425" t="s">
        <v>69</v>
      </c>
      <c r="AV115" s="425" t="s">
        <v>69</v>
      </c>
      <c r="AW115" s="425" t="s">
        <v>69</v>
      </c>
      <c r="AX115" s="425" t="s">
        <v>69</v>
      </c>
      <c r="AY115" s="425" t="s">
        <v>69</v>
      </c>
      <c r="AZ115" s="425" t="s">
        <v>69</v>
      </c>
      <c r="BA115" s="425" t="s">
        <v>69</v>
      </c>
      <c r="BB115" s="425" t="s">
        <v>69</v>
      </c>
      <c r="BC115" s="425" t="s">
        <v>69</v>
      </c>
      <c r="BD115" s="425" t="s">
        <v>69</v>
      </c>
      <c r="BE115" s="425" t="s">
        <v>69</v>
      </c>
      <c r="BF115" s="425" t="s">
        <v>69</v>
      </c>
      <c r="BG115" s="425" t="s">
        <v>69</v>
      </c>
      <c r="BH115" s="425" t="s">
        <v>69</v>
      </c>
      <c r="BI115" s="425" t="s">
        <v>69</v>
      </c>
      <c r="BJ115" s="425" t="s">
        <v>69</v>
      </c>
      <c r="BK115" s="425" t="s">
        <v>69</v>
      </c>
      <c r="BL115" s="425" t="s">
        <v>69</v>
      </c>
      <c r="BM115" s="425" t="s">
        <v>69</v>
      </c>
      <c r="BN115" s="425" t="s">
        <v>69</v>
      </c>
      <c r="BO115" s="425" t="s">
        <v>69</v>
      </c>
      <c r="BP115" s="425" t="s">
        <v>69</v>
      </c>
      <c r="BQ115" s="425" t="s">
        <v>69</v>
      </c>
      <c r="BR115" s="425" t="s">
        <v>69</v>
      </c>
      <c r="BS115" s="425" t="s">
        <v>69</v>
      </c>
      <c r="BT115" s="425" t="s">
        <v>69</v>
      </c>
      <c r="BU115" s="425" t="s">
        <v>69</v>
      </c>
      <c r="BV115" s="425" t="s">
        <v>69</v>
      </c>
      <c r="BW115" s="425" t="s">
        <v>69</v>
      </c>
      <c r="BX115" s="425" t="s">
        <v>69</v>
      </c>
      <c r="BY115" s="425" t="s">
        <v>69</v>
      </c>
      <c r="BZ115" s="425" t="s">
        <v>69</v>
      </c>
      <c r="CA115" s="425" t="s">
        <v>69</v>
      </c>
      <c r="CB115" s="425" t="s">
        <v>69</v>
      </c>
      <c r="CC115" s="425" t="s">
        <v>69</v>
      </c>
      <c r="CD115" s="425" t="s">
        <v>69</v>
      </c>
      <c r="CE115" s="425" t="s">
        <v>69</v>
      </c>
      <c r="CF115" s="425" t="s">
        <v>69</v>
      </c>
      <c r="CG115" s="425" t="s">
        <v>69</v>
      </c>
      <c r="CH115" s="425" t="s">
        <v>69</v>
      </c>
      <c r="CI115" s="425" t="s">
        <v>69</v>
      </c>
      <c r="CJ115" s="425" t="s">
        <v>69</v>
      </c>
      <c r="CK115" s="425" t="s">
        <v>69</v>
      </c>
      <c r="CL115" s="425" t="s">
        <v>69</v>
      </c>
      <c r="CM115" s="425" t="s">
        <v>69</v>
      </c>
      <c r="CN115" s="425" t="s">
        <v>69</v>
      </c>
      <c r="CO115" s="425" t="s">
        <v>69</v>
      </c>
      <c r="CP115" s="425">
        <v>3</v>
      </c>
      <c r="CQ115" s="425" t="s">
        <v>69</v>
      </c>
      <c r="CR115" s="425" t="s">
        <v>69</v>
      </c>
      <c r="CS115" s="425" t="s">
        <v>69</v>
      </c>
      <c r="CT115" s="425" t="s">
        <v>69</v>
      </c>
      <c r="CU115" s="425" t="s">
        <v>69</v>
      </c>
      <c r="CV115" s="425" t="s">
        <v>69</v>
      </c>
      <c r="CW115" s="425" t="s">
        <v>69</v>
      </c>
      <c r="CX115" s="425" t="s">
        <v>69</v>
      </c>
      <c r="CY115" s="425" t="s">
        <v>69</v>
      </c>
      <c r="CZ115" s="425" t="s">
        <v>69</v>
      </c>
      <c r="DA115" s="425" t="s">
        <v>69</v>
      </c>
      <c r="DB115" s="425" t="s">
        <v>69</v>
      </c>
      <c r="DC115" s="425">
        <v>3</v>
      </c>
      <c r="DD115" s="425" t="s">
        <v>69</v>
      </c>
      <c r="DE115" s="425">
        <v>3</v>
      </c>
      <c r="DF115" s="425" t="s">
        <v>69</v>
      </c>
      <c r="DG115" s="425" t="s">
        <v>69</v>
      </c>
      <c r="DH115" s="425" t="s">
        <v>69</v>
      </c>
      <c r="DI115" s="425" t="s">
        <v>69</v>
      </c>
      <c r="DJ115" s="425" t="s">
        <v>69</v>
      </c>
      <c r="DK115" s="425" t="s">
        <v>69</v>
      </c>
      <c r="DL115" s="425" t="s">
        <v>69</v>
      </c>
      <c r="DM115" s="425" t="s">
        <v>69</v>
      </c>
      <c r="DN115" s="425" t="s">
        <v>69</v>
      </c>
      <c r="DO115" s="425" t="s">
        <v>69</v>
      </c>
      <c r="DP115" s="425" t="s">
        <v>69</v>
      </c>
      <c r="DQ115" s="425" t="s">
        <v>69</v>
      </c>
      <c r="DR115" s="425" t="s">
        <v>69</v>
      </c>
      <c r="DS115" s="425" t="s">
        <v>69</v>
      </c>
      <c r="DT115" s="425" t="s">
        <v>69</v>
      </c>
      <c r="DU115" s="422" t="s">
        <v>69</v>
      </c>
      <c r="DV115" s="425" t="s">
        <v>69</v>
      </c>
      <c r="DW115" s="425" t="s">
        <v>69</v>
      </c>
      <c r="DX115" s="425" t="s">
        <v>69</v>
      </c>
      <c r="DY115" s="423">
        <f t="shared" si="8"/>
        <v>4.7619047619047616E-2</v>
      </c>
      <c r="DZ115" s="424">
        <f t="shared" si="9"/>
        <v>1</v>
      </c>
      <c r="EA115" s="519"/>
    </row>
    <row r="116" spans="1:131" s="18" customFormat="1" ht="64.2" thickBot="1">
      <c r="A116" s="520" t="s">
        <v>1241</v>
      </c>
      <c r="B116" s="521" t="s">
        <v>1242</v>
      </c>
      <c r="C116" s="522">
        <v>46127</v>
      </c>
      <c r="D116" s="418" t="s">
        <v>1183</v>
      </c>
      <c r="E116" s="429" t="s">
        <v>216</v>
      </c>
      <c r="F116" s="425" t="s">
        <v>69</v>
      </c>
      <c r="G116" s="425" t="s">
        <v>69</v>
      </c>
      <c r="H116" s="425" t="s">
        <v>69</v>
      </c>
      <c r="I116" s="425" t="s">
        <v>69</v>
      </c>
      <c r="J116" s="425" t="s">
        <v>69</v>
      </c>
      <c r="K116" s="425" t="s">
        <v>69</v>
      </c>
      <c r="L116" s="425" t="s">
        <v>69</v>
      </c>
      <c r="M116" s="425" t="s">
        <v>69</v>
      </c>
      <c r="N116" s="425" t="s">
        <v>69</v>
      </c>
      <c r="O116" s="425" t="s">
        <v>69</v>
      </c>
      <c r="P116" s="425" t="s">
        <v>69</v>
      </c>
      <c r="Q116" s="425" t="s">
        <v>69</v>
      </c>
      <c r="R116" s="425" t="s">
        <v>69</v>
      </c>
      <c r="S116" s="425" t="s">
        <v>69</v>
      </c>
      <c r="T116" s="425" t="s">
        <v>69</v>
      </c>
      <c r="U116" s="425" t="s">
        <v>69</v>
      </c>
      <c r="V116" s="425" t="s">
        <v>69</v>
      </c>
      <c r="W116" s="425" t="s">
        <v>69</v>
      </c>
      <c r="X116" s="425" t="s">
        <v>69</v>
      </c>
      <c r="Y116" s="425" t="s">
        <v>69</v>
      </c>
      <c r="Z116" s="425" t="s">
        <v>69</v>
      </c>
      <c r="AA116" s="425" t="s">
        <v>69</v>
      </c>
      <c r="AB116" s="425" t="s">
        <v>69</v>
      </c>
      <c r="AC116" s="425" t="s">
        <v>69</v>
      </c>
      <c r="AD116" s="425" t="s">
        <v>69</v>
      </c>
      <c r="AE116" s="425" t="s">
        <v>69</v>
      </c>
      <c r="AF116" s="425">
        <v>3</v>
      </c>
      <c r="AG116" s="425" t="s">
        <v>69</v>
      </c>
      <c r="AH116" s="425" t="s">
        <v>69</v>
      </c>
      <c r="AI116" s="425" t="s">
        <v>69</v>
      </c>
      <c r="AJ116" s="425" t="s">
        <v>69</v>
      </c>
      <c r="AK116" s="425" t="s">
        <v>69</v>
      </c>
      <c r="AL116" s="425" t="s">
        <v>69</v>
      </c>
      <c r="AM116" s="425" t="s">
        <v>69</v>
      </c>
      <c r="AN116" s="425" t="s">
        <v>69</v>
      </c>
      <c r="AO116" s="425" t="s">
        <v>69</v>
      </c>
      <c r="AP116" s="425" t="s">
        <v>69</v>
      </c>
      <c r="AQ116" s="425" t="s">
        <v>69</v>
      </c>
      <c r="AR116" s="425" t="s">
        <v>69</v>
      </c>
      <c r="AS116" s="425" t="s">
        <v>69</v>
      </c>
      <c r="AT116" s="425" t="s">
        <v>69</v>
      </c>
      <c r="AU116" s="425" t="s">
        <v>69</v>
      </c>
      <c r="AV116" s="425" t="s">
        <v>69</v>
      </c>
      <c r="AW116" s="425" t="s">
        <v>69</v>
      </c>
      <c r="AX116" s="425" t="s">
        <v>69</v>
      </c>
      <c r="AY116" s="425" t="s">
        <v>69</v>
      </c>
      <c r="AZ116" s="425" t="s">
        <v>69</v>
      </c>
      <c r="BA116" s="425" t="s">
        <v>69</v>
      </c>
      <c r="BB116" s="425" t="s">
        <v>69</v>
      </c>
      <c r="BC116" s="425" t="s">
        <v>69</v>
      </c>
      <c r="BD116" s="425" t="s">
        <v>69</v>
      </c>
      <c r="BE116" s="425" t="s">
        <v>69</v>
      </c>
      <c r="BF116" s="425" t="s">
        <v>69</v>
      </c>
      <c r="BG116" s="425" t="s">
        <v>69</v>
      </c>
      <c r="BH116" s="425" t="s">
        <v>69</v>
      </c>
      <c r="BI116" s="425" t="s">
        <v>69</v>
      </c>
      <c r="BJ116" s="425" t="s">
        <v>69</v>
      </c>
      <c r="BK116" s="425" t="s">
        <v>69</v>
      </c>
      <c r="BL116" s="425" t="s">
        <v>69</v>
      </c>
      <c r="BM116" s="425" t="s">
        <v>69</v>
      </c>
      <c r="BN116" s="425" t="s">
        <v>69</v>
      </c>
      <c r="BO116" s="425" t="s">
        <v>69</v>
      </c>
      <c r="BP116" s="425" t="s">
        <v>69</v>
      </c>
      <c r="BQ116" s="425">
        <v>3</v>
      </c>
      <c r="BR116" s="425" t="s">
        <v>69</v>
      </c>
      <c r="BS116" s="425" t="s">
        <v>69</v>
      </c>
      <c r="BT116" s="425" t="s">
        <v>69</v>
      </c>
      <c r="BU116" s="425" t="s">
        <v>69</v>
      </c>
      <c r="BV116" s="425" t="s">
        <v>69</v>
      </c>
      <c r="BW116" s="425" t="s">
        <v>69</v>
      </c>
      <c r="BX116" s="425" t="s">
        <v>69</v>
      </c>
      <c r="BY116" s="425" t="s">
        <v>69</v>
      </c>
      <c r="BZ116" s="425" t="s">
        <v>69</v>
      </c>
      <c r="CA116" s="425" t="s">
        <v>69</v>
      </c>
      <c r="CB116" s="425" t="s">
        <v>69</v>
      </c>
      <c r="CC116" s="425" t="s">
        <v>69</v>
      </c>
      <c r="CD116" s="425" t="s">
        <v>69</v>
      </c>
      <c r="CE116" s="425" t="s">
        <v>69</v>
      </c>
      <c r="CF116" s="425" t="s">
        <v>69</v>
      </c>
      <c r="CG116" s="425">
        <v>3</v>
      </c>
      <c r="CH116" s="425" t="s">
        <v>69</v>
      </c>
      <c r="CI116" s="425" t="s">
        <v>69</v>
      </c>
      <c r="CJ116" s="425" t="s">
        <v>69</v>
      </c>
      <c r="CK116" s="425" t="s">
        <v>69</v>
      </c>
      <c r="CL116" s="425" t="s">
        <v>69</v>
      </c>
      <c r="CM116" s="425" t="s">
        <v>69</v>
      </c>
      <c r="CN116" s="425" t="s">
        <v>69</v>
      </c>
      <c r="CO116" s="425">
        <v>3</v>
      </c>
      <c r="CP116" s="425" t="s">
        <v>69</v>
      </c>
      <c r="CQ116" s="425" t="s">
        <v>69</v>
      </c>
      <c r="CR116" s="425" t="s">
        <v>69</v>
      </c>
      <c r="CS116" s="425">
        <v>3</v>
      </c>
      <c r="CT116" s="425" t="s">
        <v>69</v>
      </c>
      <c r="CU116" s="425" t="s">
        <v>69</v>
      </c>
      <c r="CV116" s="425" t="s">
        <v>69</v>
      </c>
      <c r="CW116" s="425" t="s">
        <v>69</v>
      </c>
      <c r="CX116" s="425" t="s">
        <v>69</v>
      </c>
      <c r="CY116" s="425" t="s">
        <v>69</v>
      </c>
      <c r="CZ116" s="425" t="s">
        <v>69</v>
      </c>
      <c r="DA116" s="425" t="s">
        <v>69</v>
      </c>
      <c r="DB116" s="425" t="s">
        <v>69</v>
      </c>
      <c r="DC116" s="425" t="s">
        <v>69</v>
      </c>
      <c r="DD116" s="425" t="s">
        <v>69</v>
      </c>
      <c r="DE116" s="425" t="s">
        <v>69</v>
      </c>
      <c r="DF116" s="425" t="s">
        <v>69</v>
      </c>
      <c r="DG116" s="425" t="s">
        <v>69</v>
      </c>
      <c r="DH116" s="425" t="s">
        <v>69</v>
      </c>
      <c r="DI116" s="425" t="s">
        <v>69</v>
      </c>
      <c r="DJ116" s="425" t="s">
        <v>69</v>
      </c>
      <c r="DK116" s="425" t="s">
        <v>69</v>
      </c>
      <c r="DL116" s="425" t="s">
        <v>69</v>
      </c>
      <c r="DM116" s="425" t="s">
        <v>69</v>
      </c>
      <c r="DN116" s="425" t="s">
        <v>69</v>
      </c>
      <c r="DO116" s="425" t="s">
        <v>69</v>
      </c>
      <c r="DP116" s="425" t="s">
        <v>69</v>
      </c>
      <c r="DQ116" s="425" t="s">
        <v>69</v>
      </c>
      <c r="DR116" s="425" t="s">
        <v>69</v>
      </c>
      <c r="DS116" s="425" t="s">
        <v>69</v>
      </c>
      <c r="DT116" s="425" t="s">
        <v>69</v>
      </c>
      <c r="DU116" s="422" t="s">
        <v>69</v>
      </c>
      <c r="DV116" s="425" t="s">
        <v>69</v>
      </c>
      <c r="DW116" s="425" t="s">
        <v>69</v>
      </c>
      <c r="DX116" s="425" t="s">
        <v>69</v>
      </c>
      <c r="DY116" s="423">
        <f t="shared" si="8"/>
        <v>7.9365079365079361E-2</v>
      </c>
      <c r="DZ116" s="424">
        <f t="shared" si="9"/>
        <v>1</v>
      </c>
      <c r="EA116" s="519"/>
    </row>
    <row r="117" spans="1:131" s="18" customFormat="1" ht="64.2" thickBot="1">
      <c r="A117" s="420" t="s">
        <v>1243</v>
      </c>
      <c r="B117" s="414" t="s">
        <v>1244</v>
      </c>
      <c r="C117" s="419">
        <v>46127</v>
      </c>
      <c r="D117" s="418" t="s">
        <v>1183</v>
      </c>
      <c r="E117" s="429" t="s">
        <v>216</v>
      </c>
      <c r="F117" s="425" t="s">
        <v>69</v>
      </c>
      <c r="G117" s="425" t="s">
        <v>69</v>
      </c>
      <c r="H117" s="425" t="s">
        <v>69</v>
      </c>
      <c r="I117" s="425" t="s">
        <v>69</v>
      </c>
      <c r="J117" s="425" t="s">
        <v>69</v>
      </c>
      <c r="K117" s="425" t="s">
        <v>69</v>
      </c>
      <c r="L117" s="425" t="s">
        <v>69</v>
      </c>
      <c r="M117" s="425" t="s">
        <v>69</v>
      </c>
      <c r="N117" s="425" t="s">
        <v>69</v>
      </c>
      <c r="O117" s="425" t="s">
        <v>69</v>
      </c>
      <c r="P117" s="425" t="s">
        <v>69</v>
      </c>
      <c r="Q117" s="425" t="s">
        <v>69</v>
      </c>
      <c r="R117" s="425" t="s">
        <v>69</v>
      </c>
      <c r="S117" s="425" t="s">
        <v>69</v>
      </c>
      <c r="T117" s="425" t="s">
        <v>69</v>
      </c>
      <c r="U117" s="425" t="s">
        <v>69</v>
      </c>
      <c r="V117" s="425" t="s">
        <v>69</v>
      </c>
      <c r="W117" s="425" t="s">
        <v>69</v>
      </c>
      <c r="X117" s="425" t="s">
        <v>69</v>
      </c>
      <c r="Y117" s="425" t="s">
        <v>69</v>
      </c>
      <c r="Z117" s="425" t="s">
        <v>69</v>
      </c>
      <c r="AA117" s="425" t="s">
        <v>69</v>
      </c>
      <c r="AB117" s="425" t="s">
        <v>69</v>
      </c>
      <c r="AC117" s="425" t="s">
        <v>69</v>
      </c>
      <c r="AD117" s="425" t="s">
        <v>69</v>
      </c>
      <c r="AE117" s="425" t="s">
        <v>69</v>
      </c>
      <c r="AF117" s="425" t="s">
        <v>69</v>
      </c>
      <c r="AG117" s="425" t="s">
        <v>69</v>
      </c>
      <c r="AH117" s="425" t="s">
        <v>69</v>
      </c>
      <c r="AI117" s="425" t="s">
        <v>69</v>
      </c>
      <c r="AJ117" s="425" t="s">
        <v>69</v>
      </c>
      <c r="AK117" s="425" t="s">
        <v>69</v>
      </c>
      <c r="AL117" s="425" t="s">
        <v>69</v>
      </c>
      <c r="AM117" s="425" t="s">
        <v>69</v>
      </c>
      <c r="AN117" s="425" t="s">
        <v>69</v>
      </c>
      <c r="AO117" s="425" t="s">
        <v>69</v>
      </c>
      <c r="AP117" s="425" t="s">
        <v>69</v>
      </c>
      <c r="AQ117" s="425" t="s">
        <v>69</v>
      </c>
      <c r="AR117" s="425" t="s">
        <v>69</v>
      </c>
      <c r="AS117" s="425" t="s">
        <v>69</v>
      </c>
      <c r="AT117" s="425" t="s">
        <v>69</v>
      </c>
      <c r="AU117" s="425" t="s">
        <v>69</v>
      </c>
      <c r="AV117" s="425" t="s">
        <v>69</v>
      </c>
      <c r="AW117" s="425" t="s">
        <v>69</v>
      </c>
      <c r="AX117" s="425" t="s">
        <v>69</v>
      </c>
      <c r="AY117" s="425" t="s">
        <v>69</v>
      </c>
      <c r="AZ117" s="425" t="s">
        <v>69</v>
      </c>
      <c r="BA117" s="425" t="s">
        <v>69</v>
      </c>
      <c r="BB117" s="425" t="s">
        <v>69</v>
      </c>
      <c r="BC117" s="425" t="s">
        <v>69</v>
      </c>
      <c r="BD117" s="425" t="s">
        <v>69</v>
      </c>
      <c r="BE117" s="425" t="s">
        <v>69</v>
      </c>
      <c r="BF117" s="425" t="s">
        <v>69</v>
      </c>
      <c r="BG117" s="425" t="s">
        <v>69</v>
      </c>
      <c r="BH117" s="425" t="s">
        <v>69</v>
      </c>
      <c r="BI117" s="425" t="s">
        <v>69</v>
      </c>
      <c r="BJ117" s="425" t="s">
        <v>69</v>
      </c>
      <c r="BK117" s="425" t="s">
        <v>69</v>
      </c>
      <c r="BL117" s="425" t="s">
        <v>69</v>
      </c>
      <c r="BM117" s="425" t="s">
        <v>69</v>
      </c>
      <c r="BN117" s="425" t="s">
        <v>69</v>
      </c>
      <c r="BO117" s="425" t="s">
        <v>69</v>
      </c>
      <c r="BP117" s="425" t="s">
        <v>69</v>
      </c>
      <c r="BQ117" s="425" t="s">
        <v>69</v>
      </c>
      <c r="BR117" s="425" t="s">
        <v>69</v>
      </c>
      <c r="BS117" s="425" t="s">
        <v>69</v>
      </c>
      <c r="BT117" s="425" t="s">
        <v>69</v>
      </c>
      <c r="BU117" s="425" t="s">
        <v>69</v>
      </c>
      <c r="BV117" s="425" t="s">
        <v>69</v>
      </c>
      <c r="BW117" s="425" t="s">
        <v>69</v>
      </c>
      <c r="BX117" s="425" t="s">
        <v>69</v>
      </c>
      <c r="BY117" s="425" t="s">
        <v>69</v>
      </c>
      <c r="BZ117" s="425" t="s">
        <v>69</v>
      </c>
      <c r="CA117" s="425" t="s">
        <v>69</v>
      </c>
      <c r="CB117" s="425" t="s">
        <v>69</v>
      </c>
      <c r="CC117" s="425" t="s">
        <v>69</v>
      </c>
      <c r="CD117" s="425" t="s">
        <v>69</v>
      </c>
      <c r="CE117" s="425" t="s">
        <v>69</v>
      </c>
      <c r="CF117" s="425" t="s">
        <v>69</v>
      </c>
      <c r="CG117" s="425" t="s">
        <v>69</v>
      </c>
      <c r="CH117" s="425" t="s">
        <v>69</v>
      </c>
      <c r="CI117" s="425" t="s">
        <v>69</v>
      </c>
      <c r="CJ117" s="425" t="s">
        <v>69</v>
      </c>
      <c r="CK117" s="425" t="s">
        <v>69</v>
      </c>
      <c r="CL117" s="425" t="s">
        <v>69</v>
      </c>
      <c r="CM117" s="425" t="s">
        <v>69</v>
      </c>
      <c r="CN117" s="425" t="s">
        <v>69</v>
      </c>
      <c r="CO117" s="425" t="s">
        <v>69</v>
      </c>
      <c r="CP117" s="425">
        <v>3</v>
      </c>
      <c r="CQ117" s="425" t="s">
        <v>69</v>
      </c>
      <c r="CR117" s="425" t="s">
        <v>69</v>
      </c>
      <c r="CS117" s="425" t="s">
        <v>69</v>
      </c>
      <c r="CT117" s="425" t="s">
        <v>69</v>
      </c>
      <c r="CU117" s="425" t="s">
        <v>69</v>
      </c>
      <c r="CV117" s="425" t="s">
        <v>69</v>
      </c>
      <c r="CW117" s="425" t="s">
        <v>69</v>
      </c>
      <c r="CX117" s="425" t="s">
        <v>69</v>
      </c>
      <c r="CY117" s="425" t="s">
        <v>69</v>
      </c>
      <c r="CZ117" s="425" t="s">
        <v>69</v>
      </c>
      <c r="DA117" s="425" t="s">
        <v>69</v>
      </c>
      <c r="DB117" s="425" t="s">
        <v>69</v>
      </c>
      <c r="DC117" s="425" t="s">
        <v>69</v>
      </c>
      <c r="DD117" s="425" t="s">
        <v>69</v>
      </c>
      <c r="DE117" s="425" t="s">
        <v>69</v>
      </c>
      <c r="DF117" s="425" t="s">
        <v>69</v>
      </c>
      <c r="DG117" s="425" t="s">
        <v>69</v>
      </c>
      <c r="DH117" s="425" t="s">
        <v>69</v>
      </c>
      <c r="DI117" s="425" t="s">
        <v>69</v>
      </c>
      <c r="DJ117" s="425" t="s">
        <v>69</v>
      </c>
      <c r="DK117" s="425" t="s">
        <v>69</v>
      </c>
      <c r="DL117" s="425" t="s">
        <v>69</v>
      </c>
      <c r="DM117" s="425" t="s">
        <v>69</v>
      </c>
      <c r="DN117" s="425">
        <v>3</v>
      </c>
      <c r="DO117" s="425" t="s">
        <v>69</v>
      </c>
      <c r="DP117" s="425" t="s">
        <v>69</v>
      </c>
      <c r="DQ117" s="425" t="s">
        <v>69</v>
      </c>
      <c r="DR117" s="425" t="s">
        <v>69</v>
      </c>
      <c r="DS117" s="425" t="s">
        <v>69</v>
      </c>
      <c r="DT117" s="425" t="s">
        <v>69</v>
      </c>
      <c r="DU117" s="422" t="s">
        <v>69</v>
      </c>
      <c r="DV117" s="425" t="s">
        <v>69</v>
      </c>
      <c r="DW117" s="425" t="s">
        <v>69</v>
      </c>
      <c r="DX117" s="425" t="s">
        <v>69</v>
      </c>
      <c r="DY117" s="423">
        <f t="shared" si="8"/>
        <v>3.1746031746031744E-2</v>
      </c>
      <c r="DZ117" s="424">
        <f t="shared" si="9"/>
        <v>1</v>
      </c>
      <c r="EA117" s="519"/>
    </row>
    <row r="118" spans="1:131" s="18" customFormat="1" ht="66.599999999999994" thickBot="1">
      <c r="A118" s="420" t="s">
        <v>1287</v>
      </c>
      <c r="B118" s="414" t="s">
        <v>1288</v>
      </c>
      <c r="C118" s="419">
        <v>46146</v>
      </c>
      <c r="D118" s="418" t="s">
        <v>1183</v>
      </c>
      <c r="E118" s="429" t="s">
        <v>216</v>
      </c>
      <c r="F118" s="425">
        <v>3</v>
      </c>
      <c r="G118" s="425" t="s">
        <v>69</v>
      </c>
      <c r="H118" s="425">
        <v>3</v>
      </c>
      <c r="I118" s="425" t="s">
        <v>69</v>
      </c>
      <c r="J118" s="425" t="s">
        <v>69</v>
      </c>
      <c r="K118" s="425" t="s">
        <v>69</v>
      </c>
      <c r="L118" s="425" t="s">
        <v>69</v>
      </c>
      <c r="M118" s="425" t="s">
        <v>69</v>
      </c>
      <c r="N118" s="425" t="s">
        <v>69</v>
      </c>
      <c r="O118" s="425" t="s">
        <v>69</v>
      </c>
      <c r="P118" s="425" t="s">
        <v>69</v>
      </c>
      <c r="Q118" s="425" t="s">
        <v>69</v>
      </c>
      <c r="R118" s="425" t="s">
        <v>69</v>
      </c>
      <c r="S118" s="425" t="s">
        <v>69</v>
      </c>
      <c r="T118" s="425" t="s">
        <v>69</v>
      </c>
      <c r="U118" s="425" t="s">
        <v>69</v>
      </c>
      <c r="V118" s="425" t="s">
        <v>69</v>
      </c>
      <c r="W118" s="425" t="s">
        <v>69</v>
      </c>
      <c r="X118" s="425" t="s">
        <v>69</v>
      </c>
      <c r="Y118" s="425" t="s">
        <v>69</v>
      </c>
      <c r="Z118" s="425" t="s">
        <v>69</v>
      </c>
      <c r="AA118" s="425" t="s">
        <v>69</v>
      </c>
      <c r="AB118" s="425" t="s">
        <v>69</v>
      </c>
      <c r="AC118" s="425" t="s">
        <v>69</v>
      </c>
      <c r="AD118" s="425" t="s">
        <v>69</v>
      </c>
      <c r="AE118" s="425" t="s">
        <v>69</v>
      </c>
      <c r="AF118" s="425" t="s">
        <v>69</v>
      </c>
      <c r="AG118" s="425" t="s">
        <v>69</v>
      </c>
      <c r="AH118" s="425" t="s">
        <v>69</v>
      </c>
      <c r="AI118" s="425" t="s">
        <v>69</v>
      </c>
      <c r="AJ118" s="425" t="s">
        <v>69</v>
      </c>
      <c r="AK118" s="425" t="s">
        <v>69</v>
      </c>
      <c r="AL118" s="425" t="s">
        <v>69</v>
      </c>
      <c r="AM118" s="425" t="s">
        <v>69</v>
      </c>
      <c r="AN118" s="425" t="s">
        <v>69</v>
      </c>
      <c r="AO118" s="425" t="s">
        <v>69</v>
      </c>
      <c r="AP118" s="425" t="s">
        <v>69</v>
      </c>
      <c r="AQ118" s="425" t="s">
        <v>69</v>
      </c>
      <c r="AR118" s="425" t="s">
        <v>69</v>
      </c>
      <c r="AS118" s="425" t="s">
        <v>69</v>
      </c>
      <c r="AT118" s="425" t="s">
        <v>69</v>
      </c>
      <c r="AU118" s="425" t="s">
        <v>69</v>
      </c>
      <c r="AV118" s="425" t="s">
        <v>69</v>
      </c>
      <c r="AW118" s="425" t="s">
        <v>69</v>
      </c>
      <c r="AX118" s="425" t="s">
        <v>69</v>
      </c>
      <c r="AY118" s="425" t="s">
        <v>69</v>
      </c>
      <c r="AZ118" s="425" t="s">
        <v>69</v>
      </c>
      <c r="BA118" s="425" t="s">
        <v>69</v>
      </c>
      <c r="BB118" s="425" t="s">
        <v>69</v>
      </c>
      <c r="BC118" s="425" t="s">
        <v>69</v>
      </c>
      <c r="BD118" s="425" t="s">
        <v>69</v>
      </c>
      <c r="BE118" s="425" t="s">
        <v>69</v>
      </c>
      <c r="BF118" s="425" t="s">
        <v>69</v>
      </c>
      <c r="BG118" s="425" t="s">
        <v>69</v>
      </c>
      <c r="BH118" s="425" t="s">
        <v>69</v>
      </c>
      <c r="BI118" s="425" t="s">
        <v>69</v>
      </c>
      <c r="BJ118" s="425" t="s">
        <v>69</v>
      </c>
      <c r="BK118" s="425" t="s">
        <v>69</v>
      </c>
      <c r="BL118" s="425" t="s">
        <v>69</v>
      </c>
      <c r="BM118" s="425" t="s">
        <v>69</v>
      </c>
      <c r="BN118" s="425" t="s">
        <v>69</v>
      </c>
      <c r="BO118" s="425" t="s">
        <v>69</v>
      </c>
      <c r="BP118" s="425" t="s">
        <v>69</v>
      </c>
      <c r="BQ118" s="425" t="s">
        <v>69</v>
      </c>
      <c r="BR118" s="425" t="s">
        <v>69</v>
      </c>
      <c r="BS118" s="425" t="s">
        <v>69</v>
      </c>
      <c r="BT118" s="425" t="s">
        <v>69</v>
      </c>
      <c r="BU118" s="425" t="s">
        <v>69</v>
      </c>
      <c r="BV118" s="425" t="s">
        <v>69</v>
      </c>
      <c r="BW118" s="425" t="s">
        <v>69</v>
      </c>
      <c r="BX118" s="425" t="s">
        <v>69</v>
      </c>
      <c r="BY118" s="425" t="s">
        <v>69</v>
      </c>
      <c r="BZ118" s="425" t="s">
        <v>69</v>
      </c>
      <c r="CA118" s="425" t="s">
        <v>69</v>
      </c>
      <c r="CB118" s="425" t="s">
        <v>69</v>
      </c>
      <c r="CC118" s="425" t="s">
        <v>69</v>
      </c>
      <c r="CD118" s="425" t="s">
        <v>69</v>
      </c>
      <c r="CE118" s="425" t="s">
        <v>69</v>
      </c>
      <c r="CF118" s="425" t="s">
        <v>69</v>
      </c>
      <c r="CG118" s="425" t="s">
        <v>69</v>
      </c>
      <c r="CH118" s="425" t="s">
        <v>69</v>
      </c>
      <c r="CI118" s="425" t="s">
        <v>69</v>
      </c>
      <c r="CJ118" s="425" t="s">
        <v>69</v>
      </c>
      <c r="CK118" s="425" t="s">
        <v>69</v>
      </c>
      <c r="CL118" s="425" t="s">
        <v>69</v>
      </c>
      <c r="CM118" s="425" t="s">
        <v>69</v>
      </c>
      <c r="CN118" s="425" t="s">
        <v>69</v>
      </c>
      <c r="CO118" s="425" t="s">
        <v>69</v>
      </c>
      <c r="CP118" s="425" t="s">
        <v>69</v>
      </c>
      <c r="CQ118" s="425" t="s">
        <v>69</v>
      </c>
      <c r="CR118" s="425" t="s">
        <v>69</v>
      </c>
      <c r="CS118" s="425" t="s">
        <v>69</v>
      </c>
      <c r="CT118" s="425" t="s">
        <v>69</v>
      </c>
      <c r="CU118" s="425" t="s">
        <v>69</v>
      </c>
      <c r="CV118" s="425" t="s">
        <v>69</v>
      </c>
      <c r="CW118" s="425" t="s">
        <v>69</v>
      </c>
      <c r="CX118" s="425" t="s">
        <v>69</v>
      </c>
      <c r="CY118" s="425" t="s">
        <v>69</v>
      </c>
      <c r="CZ118" s="425" t="s">
        <v>69</v>
      </c>
      <c r="DA118" s="425" t="s">
        <v>69</v>
      </c>
      <c r="DB118" s="425" t="s">
        <v>69</v>
      </c>
      <c r="DC118" s="425" t="s">
        <v>69</v>
      </c>
      <c r="DD118" s="425" t="s">
        <v>69</v>
      </c>
      <c r="DE118" s="425" t="s">
        <v>69</v>
      </c>
      <c r="DF118" s="425" t="s">
        <v>69</v>
      </c>
      <c r="DG118" s="425" t="s">
        <v>69</v>
      </c>
      <c r="DH118" s="425" t="s">
        <v>69</v>
      </c>
      <c r="DI118" s="425" t="s">
        <v>69</v>
      </c>
      <c r="DJ118" s="425" t="s">
        <v>69</v>
      </c>
      <c r="DK118" s="425" t="s">
        <v>69</v>
      </c>
      <c r="DL118" s="425" t="s">
        <v>69</v>
      </c>
      <c r="DM118" s="425" t="s">
        <v>69</v>
      </c>
      <c r="DN118" s="425" t="s">
        <v>69</v>
      </c>
      <c r="DO118" s="425" t="s">
        <v>69</v>
      </c>
      <c r="DP118" s="425" t="s">
        <v>69</v>
      </c>
      <c r="DQ118" s="425" t="s">
        <v>69</v>
      </c>
      <c r="DR118" s="425" t="s">
        <v>69</v>
      </c>
      <c r="DS118" s="425" t="s">
        <v>69</v>
      </c>
      <c r="DT118" s="425" t="s">
        <v>69</v>
      </c>
      <c r="DU118" s="425" t="s">
        <v>69</v>
      </c>
      <c r="DV118" s="425" t="s">
        <v>69</v>
      </c>
      <c r="DW118" s="425" t="s">
        <v>69</v>
      </c>
      <c r="DX118" s="425" t="s">
        <v>69</v>
      </c>
      <c r="DY118" s="423">
        <f t="shared" si="8"/>
        <v>3.1746031746031744E-2</v>
      </c>
      <c r="DZ118" s="424">
        <f t="shared" si="9"/>
        <v>1</v>
      </c>
      <c r="EA118" s="519"/>
    </row>
    <row r="119" spans="1:131" s="18" customFormat="1" ht="66.599999999999994" thickBot="1">
      <c r="A119" s="420" t="s">
        <v>1289</v>
      </c>
      <c r="B119" s="414" t="s">
        <v>1290</v>
      </c>
      <c r="C119" s="419">
        <v>46146</v>
      </c>
      <c r="D119" s="418" t="s">
        <v>1183</v>
      </c>
      <c r="E119" s="429" t="s">
        <v>216</v>
      </c>
      <c r="F119" s="425">
        <v>3</v>
      </c>
      <c r="G119" s="425" t="s">
        <v>69</v>
      </c>
      <c r="H119" s="425">
        <v>3</v>
      </c>
      <c r="I119" s="425" t="s">
        <v>69</v>
      </c>
      <c r="J119" s="425" t="s">
        <v>69</v>
      </c>
      <c r="K119" s="425" t="s">
        <v>69</v>
      </c>
      <c r="L119" s="425" t="s">
        <v>69</v>
      </c>
      <c r="M119" s="425" t="s">
        <v>69</v>
      </c>
      <c r="N119" s="425" t="s">
        <v>69</v>
      </c>
      <c r="O119" s="425" t="s">
        <v>69</v>
      </c>
      <c r="P119" s="425" t="s">
        <v>69</v>
      </c>
      <c r="Q119" s="425" t="s">
        <v>69</v>
      </c>
      <c r="R119" s="425" t="s">
        <v>69</v>
      </c>
      <c r="S119" s="425" t="s">
        <v>69</v>
      </c>
      <c r="T119" s="425" t="s">
        <v>69</v>
      </c>
      <c r="U119" s="425" t="s">
        <v>69</v>
      </c>
      <c r="V119" s="425" t="s">
        <v>69</v>
      </c>
      <c r="W119" s="425" t="s">
        <v>69</v>
      </c>
      <c r="X119" s="425" t="s">
        <v>69</v>
      </c>
      <c r="Y119" s="425" t="s">
        <v>69</v>
      </c>
      <c r="Z119" s="425" t="s">
        <v>69</v>
      </c>
      <c r="AA119" s="425" t="s">
        <v>69</v>
      </c>
      <c r="AB119" s="425" t="s">
        <v>69</v>
      </c>
      <c r="AC119" s="425" t="s">
        <v>69</v>
      </c>
      <c r="AD119" s="425" t="s">
        <v>69</v>
      </c>
      <c r="AE119" s="425" t="s">
        <v>69</v>
      </c>
      <c r="AF119" s="425" t="s">
        <v>69</v>
      </c>
      <c r="AG119" s="425" t="s">
        <v>69</v>
      </c>
      <c r="AH119" s="425" t="s">
        <v>69</v>
      </c>
      <c r="AI119" s="425" t="s">
        <v>69</v>
      </c>
      <c r="AJ119" s="425" t="s">
        <v>69</v>
      </c>
      <c r="AK119" s="425" t="s">
        <v>69</v>
      </c>
      <c r="AL119" s="425" t="s">
        <v>69</v>
      </c>
      <c r="AM119" s="425" t="s">
        <v>69</v>
      </c>
      <c r="AN119" s="425" t="s">
        <v>69</v>
      </c>
      <c r="AO119" s="425" t="s">
        <v>69</v>
      </c>
      <c r="AP119" s="425" t="s">
        <v>69</v>
      </c>
      <c r="AQ119" s="425" t="s">
        <v>69</v>
      </c>
      <c r="AR119" s="425" t="s">
        <v>69</v>
      </c>
      <c r="AS119" s="425" t="s">
        <v>69</v>
      </c>
      <c r="AT119" s="425" t="s">
        <v>69</v>
      </c>
      <c r="AU119" s="425" t="s">
        <v>69</v>
      </c>
      <c r="AV119" s="425" t="s">
        <v>69</v>
      </c>
      <c r="AW119" s="425" t="s">
        <v>69</v>
      </c>
      <c r="AX119" s="425" t="s">
        <v>69</v>
      </c>
      <c r="AY119" s="425" t="s">
        <v>69</v>
      </c>
      <c r="AZ119" s="425" t="s">
        <v>69</v>
      </c>
      <c r="BA119" s="425" t="s">
        <v>69</v>
      </c>
      <c r="BB119" s="425" t="s">
        <v>69</v>
      </c>
      <c r="BC119" s="425" t="s">
        <v>69</v>
      </c>
      <c r="BD119" s="425" t="s">
        <v>69</v>
      </c>
      <c r="BE119" s="425" t="s">
        <v>69</v>
      </c>
      <c r="BF119" s="425" t="s">
        <v>69</v>
      </c>
      <c r="BG119" s="425" t="s">
        <v>69</v>
      </c>
      <c r="BH119" s="425" t="s">
        <v>69</v>
      </c>
      <c r="BI119" s="425" t="s">
        <v>69</v>
      </c>
      <c r="BJ119" s="425" t="s">
        <v>69</v>
      </c>
      <c r="BK119" s="425" t="s">
        <v>69</v>
      </c>
      <c r="BL119" s="425" t="s">
        <v>69</v>
      </c>
      <c r="BM119" s="425" t="s">
        <v>69</v>
      </c>
      <c r="BN119" s="425" t="s">
        <v>69</v>
      </c>
      <c r="BO119" s="425" t="s">
        <v>69</v>
      </c>
      <c r="BP119" s="425" t="s">
        <v>69</v>
      </c>
      <c r="BQ119" s="425" t="s">
        <v>69</v>
      </c>
      <c r="BR119" s="425" t="s">
        <v>69</v>
      </c>
      <c r="BS119" s="425" t="s">
        <v>69</v>
      </c>
      <c r="BT119" s="425" t="s">
        <v>69</v>
      </c>
      <c r="BU119" s="425" t="s">
        <v>69</v>
      </c>
      <c r="BV119" s="425" t="s">
        <v>69</v>
      </c>
      <c r="BW119" s="425" t="s">
        <v>69</v>
      </c>
      <c r="BX119" s="425" t="s">
        <v>69</v>
      </c>
      <c r="BY119" s="425" t="s">
        <v>69</v>
      </c>
      <c r="BZ119" s="425" t="s">
        <v>69</v>
      </c>
      <c r="CA119" s="425" t="s">
        <v>69</v>
      </c>
      <c r="CB119" s="425" t="s">
        <v>69</v>
      </c>
      <c r="CC119" s="425" t="s">
        <v>69</v>
      </c>
      <c r="CD119" s="425" t="s">
        <v>69</v>
      </c>
      <c r="CE119" s="425" t="s">
        <v>69</v>
      </c>
      <c r="CF119" s="425" t="s">
        <v>69</v>
      </c>
      <c r="CG119" s="425" t="s">
        <v>69</v>
      </c>
      <c r="CH119" s="425" t="s">
        <v>69</v>
      </c>
      <c r="CI119" s="425" t="s">
        <v>69</v>
      </c>
      <c r="CJ119" s="425" t="s">
        <v>69</v>
      </c>
      <c r="CK119" s="425" t="s">
        <v>69</v>
      </c>
      <c r="CL119" s="425" t="s">
        <v>69</v>
      </c>
      <c r="CM119" s="425" t="s">
        <v>69</v>
      </c>
      <c r="CN119" s="425" t="s">
        <v>69</v>
      </c>
      <c r="CO119" s="425" t="s">
        <v>69</v>
      </c>
      <c r="CP119" s="425" t="s">
        <v>69</v>
      </c>
      <c r="CQ119" s="425" t="s">
        <v>69</v>
      </c>
      <c r="CR119" s="425" t="s">
        <v>69</v>
      </c>
      <c r="CS119" s="425" t="s">
        <v>69</v>
      </c>
      <c r="CT119" s="425" t="s">
        <v>69</v>
      </c>
      <c r="CU119" s="425" t="s">
        <v>69</v>
      </c>
      <c r="CV119" s="425" t="s">
        <v>69</v>
      </c>
      <c r="CW119" s="425" t="s">
        <v>69</v>
      </c>
      <c r="CX119" s="425" t="s">
        <v>69</v>
      </c>
      <c r="CY119" s="425" t="s">
        <v>69</v>
      </c>
      <c r="CZ119" s="425" t="s">
        <v>69</v>
      </c>
      <c r="DA119" s="425" t="s">
        <v>69</v>
      </c>
      <c r="DB119" s="425" t="s">
        <v>69</v>
      </c>
      <c r="DC119" s="425" t="s">
        <v>69</v>
      </c>
      <c r="DD119" s="425" t="s">
        <v>69</v>
      </c>
      <c r="DE119" s="425" t="s">
        <v>69</v>
      </c>
      <c r="DF119" s="425" t="s">
        <v>69</v>
      </c>
      <c r="DG119" s="425" t="s">
        <v>69</v>
      </c>
      <c r="DH119" s="425" t="s">
        <v>69</v>
      </c>
      <c r="DI119" s="425" t="s">
        <v>69</v>
      </c>
      <c r="DJ119" s="425" t="s">
        <v>69</v>
      </c>
      <c r="DK119" s="425" t="s">
        <v>69</v>
      </c>
      <c r="DL119" s="425" t="s">
        <v>69</v>
      </c>
      <c r="DM119" s="425" t="s">
        <v>69</v>
      </c>
      <c r="DN119" s="425" t="s">
        <v>69</v>
      </c>
      <c r="DO119" s="425" t="s">
        <v>69</v>
      </c>
      <c r="DP119" s="425" t="s">
        <v>69</v>
      </c>
      <c r="DQ119" s="425" t="s">
        <v>69</v>
      </c>
      <c r="DR119" s="425" t="s">
        <v>69</v>
      </c>
      <c r="DS119" s="425" t="s">
        <v>69</v>
      </c>
      <c r="DT119" s="425" t="s">
        <v>69</v>
      </c>
      <c r="DU119" s="425" t="s">
        <v>69</v>
      </c>
      <c r="DV119" s="425" t="s">
        <v>69</v>
      </c>
      <c r="DW119" s="425" t="s">
        <v>69</v>
      </c>
      <c r="DX119" s="425" t="s">
        <v>69</v>
      </c>
      <c r="DY119" s="423">
        <f t="shared" si="8"/>
        <v>3.1746031746031744E-2</v>
      </c>
      <c r="DZ119" s="424">
        <f>+COUNTIF(F119:DX119,"&gt;2")/COUNTIF(F119:DX119,"&gt;1")</f>
        <v>1</v>
      </c>
      <c r="EA119" s="519"/>
    </row>
    <row r="120" spans="1:131" s="18" customFormat="1" ht="64.2" thickBot="1">
      <c r="A120" s="420" t="s">
        <v>1291</v>
      </c>
      <c r="B120" s="414" t="s">
        <v>1292</v>
      </c>
      <c r="C120" s="419">
        <v>46146</v>
      </c>
      <c r="D120" s="418" t="s">
        <v>1183</v>
      </c>
      <c r="E120" s="429" t="s">
        <v>216</v>
      </c>
      <c r="F120" s="425">
        <v>3</v>
      </c>
      <c r="G120" s="425" t="s">
        <v>69</v>
      </c>
      <c r="H120" s="425">
        <v>3</v>
      </c>
      <c r="I120" s="425" t="s">
        <v>69</v>
      </c>
      <c r="J120" s="425" t="s">
        <v>69</v>
      </c>
      <c r="K120" s="425" t="s">
        <v>69</v>
      </c>
      <c r="L120" s="425" t="s">
        <v>69</v>
      </c>
      <c r="M120" s="425" t="s">
        <v>69</v>
      </c>
      <c r="N120" s="425" t="s">
        <v>69</v>
      </c>
      <c r="O120" s="425" t="s">
        <v>69</v>
      </c>
      <c r="P120" s="425" t="s">
        <v>69</v>
      </c>
      <c r="Q120" s="425" t="s">
        <v>69</v>
      </c>
      <c r="R120" s="425" t="s">
        <v>69</v>
      </c>
      <c r="S120" s="425" t="s">
        <v>69</v>
      </c>
      <c r="T120" s="425" t="s">
        <v>69</v>
      </c>
      <c r="U120" s="425" t="s">
        <v>69</v>
      </c>
      <c r="V120" s="425" t="s">
        <v>69</v>
      </c>
      <c r="W120" s="425" t="s">
        <v>69</v>
      </c>
      <c r="X120" s="425" t="s">
        <v>69</v>
      </c>
      <c r="Y120" s="425" t="s">
        <v>69</v>
      </c>
      <c r="Z120" s="425" t="s">
        <v>69</v>
      </c>
      <c r="AA120" s="425" t="s">
        <v>69</v>
      </c>
      <c r="AB120" s="425" t="s">
        <v>69</v>
      </c>
      <c r="AC120" s="425" t="s">
        <v>69</v>
      </c>
      <c r="AD120" s="425" t="s">
        <v>69</v>
      </c>
      <c r="AE120" s="425" t="s">
        <v>69</v>
      </c>
      <c r="AF120" s="425" t="s">
        <v>69</v>
      </c>
      <c r="AG120" s="425" t="s">
        <v>69</v>
      </c>
      <c r="AH120" s="425" t="s">
        <v>69</v>
      </c>
      <c r="AI120" s="425" t="s">
        <v>69</v>
      </c>
      <c r="AJ120" s="425" t="s">
        <v>69</v>
      </c>
      <c r="AK120" s="425" t="s">
        <v>69</v>
      </c>
      <c r="AL120" s="425" t="s">
        <v>69</v>
      </c>
      <c r="AM120" s="425" t="s">
        <v>69</v>
      </c>
      <c r="AN120" s="425">
        <v>3</v>
      </c>
      <c r="AO120" s="425" t="s">
        <v>69</v>
      </c>
      <c r="AP120" s="425" t="s">
        <v>69</v>
      </c>
      <c r="AQ120" s="425" t="s">
        <v>69</v>
      </c>
      <c r="AR120" s="425" t="s">
        <v>69</v>
      </c>
      <c r="AS120" s="425" t="s">
        <v>69</v>
      </c>
      <c r="AT120" s="425" t="s">
        <v>69</v>
      </c>
      <c r="AU120" s="425" t="s">
        <v>69</v>
      </c>
      <c r="AV120" s="425" t="s">
        <v>69</v>
      </c>
      <c r="AW120" s="425" t="s">
        <v>69</v>
      </c>
      <c r="AX120" s="425" t="s">
        <v>69</v>
      </c>
      <c r="AY120" s="425" t="s">
        <v>69</v>
      </c>
      <c r="AZ120" s="425" t="s">
        <v>69</v>
      </c>
      <c r="BA120" s="425" t="s">
        <v>69</v>
      </c>
      <c r="BB120" s="425" t="s">
        <v>69</v>
      </c>
      <c r="BC120" s="425" t="s">
        <v>69</v>
      </c>
      <c r="BD120" s="425" t="s">
        <v>69</v>
      </c>
      <c r="BE120" s="425" t="s">
        <v>69</v>
      </c>
      <c r="BF120" s="425" t="s">
        <v>69</v>
      </c>
      <c r="BG120" s="425" t="s">
        <v>69</v>
      </c>
      <c r="BH120" s="425" t="s">
        <v>69</v>
      </c>
      <c r="BI120" s="425" t="s">
        <v>69</v>
      </c>
      <c r="BJ120" s="425" t="s">
        <v>69</v>
      </c>
      <c r="BK120" s="425" t="s">
        <v>69</v>
      </c>
      <c r="BL120" s="425" t="s">
        <v>69</v>
      </c>
      <c r="BM120" s="425" t="s">
        <v>69</v>
      </c>
      <c r="BN120" s="425" t="s">
        <v>69</v>
      </c>
      <c r="BO120" s="425" t="s">
        <v>69</v>
      </c>
      <c r="BP120" s="425" t="s">
        <v>69</v>
      </c>
      <c r="BQ120" s="425" t="s">
        <v>69</v>
      </c>
      <c r="BR120" s="425" t="s">
        <v>69</v>
      </c>
      <c r="BS120" s="425" t="s">
        <v>69</v>
      </c>
      <c r="BT120" s="425" t="s">
        <v>69</v>
      </c>
      <c r="BU120" s="425" t="s">
        <v>69</v>
      </c>
      <c r="BV120" s="425" t="s">
        <v>69</v>
      </c>
      <c r="BW120" s="425" t="s">
        <v>69</v>
      </c>
      <c r="BX120" s="425" t="s">
        <v>69</v>
      </c>
      <c r="BY120" s="425" t="s">
        <v>69</v>
      </c>
      <c r="BZ120" s="425" t="s">
        <v>69</v>
      </c>
      <c r="CA120" s="425" t="s">
        <v>69</v>
      </c>
      <c r="CB120" s="425" t="s">
        <v>69</v>
      </c>
      <c r="CC120" s="425" t="s">
        <v>69</v>
      </c>
      <c r="CD120" s="425" t="s">
        <v>69</v>
      </c>
      <c r="CE120" s="425" t="s">
        <v>69</v>
      </c>
      <c r="CF120" s="425" t="s">
        <v>69</v>
      </c>
      <c r="CG120" s="425" t="s">
        <v>69</v>
      </c>
      <c r="CH120" s="425" t="s">
        <v>69</v>
      </c>
      <c r="CI120" s="425" t="s">
        <v>69</v>
      </c>
      <c r="CJ120" s="425" t="s">
        <v>69</v>
      </c>
      <c r="CK120" s="425" t="s">
        <v>69</v>
      </c>
      <c r="CL120" s="425" t="s">
        <v>69</v>
      </c>
      <c r="CM120" s="425" t="s">
        <v>69</v>
      </c>
      <c r="CN120" s="425" t="s">
        <v>69</v>
      </c>
      <c r="CO120" s="425" t="s">
        <v>69</v>
      </c>
      <c r="CP120" s="425" t="s">
        <v>69</v>
      </c>
      <c r="CQ120" s="425" t="s">
        <v>69</v>
      </c>
      <c r="CR120" s="425" t="s">
        <v>69</v>
      </c>
      <c r="CS120" s="425" t="s">
        <v>69</v>
      </c>
      <c r="CT120" s="425" t="s">
        <v>69</v>
      </c>
      <c r="CU120" s="425" t="s">
        <v>69</v>
      </c>
      <c r="CV120" s="425" t="s">
        <v>69</v>
      </c>
      <c r="CW120" s="425" t="s">
        <v>69</v>
      </c>
      <c r="CX120" s="425" t="s">
        <v>69</v>
      </c>
      <c r="CY120" s="425" t="s">
        <v>69</v>
      </c>
      <c r="CZ120" s="425" t="s">
        <v>69</v>
      </c>
      <c r="DA120" s="425" t="s">
        <v>69</v>
      </c>
      <c r="DB120" s="425" t="s">
        <v>69</v>
      </c>
      <c r="DC120" s="425">
        <v>3</v>
      </c>
      <c r="DD120" s="425" t="s">
        <v>69</v>
      </c>
      <c r="DE120" s="425">
        <v>3</v>
      </c>
      <c r="DF120" s="425" t="s">
        <v>69</v>
      </c>
      <c r="DG120" s="425" t="s">
        <v>69</v>
      </c>
      <c r="DH120" s="425" t="s">
        <v>69</v>
      </c>
      <c r="DI120" s="425" t="s">
        <v>69</v>
      </c>
      <c r="DJ120" s="425" t="s">
        <v>69</v>
      </c>
      <c r="DK120" s="425" t="s">
        <v>69</v>
      </c>
      <c r="DL120" s="425" t="s">
        <v>69</v>
      </c>
      <c r="DM120" s="425" t="s">
        <v>69</v>
      </c>
      <c r="DN120" s="425" t="s">
        <v>69</v>
      </c>
      <c r="DO120" s="425" t="s">
        <v>69</v>
      </c>
      <c r="DP120" s="425" t="s">
        <v>69</v>
      </c>
      <c r="DQ120" s="425" t="s">
        <v>69</v>
      </c>
      <c r="DR120" s="425" t="s">
        <v>69</v>
      </c>
      <c r="DS120" s="425" t="s">
        <v>69</v>
      </c>
      <c r="DT120" s="425" t="s">
        <v>69</v>
      </c>
      <c r="DU120" s="425" t="s">
        <v>69</v>
      </c>
      <c r="DV120" s="425" t="s">
        <v>69</v>
      </c>
      <c r="DW120" s="425" t="s">
        <v>69</v>
      </c>
      <c r="DX120" s="425" t="s">
        <v>69</v>
      </c>
      <c r="DY120" s="423">
        <f t="shared" si="8"/>
        <v>7.9365079365079361E-2</v>
      </c>
      <c r="DZ120" s="424">
        <f t="shared" si="9"/>
        <v>1</v>
      </c>
      <c r="EA120" s="519"/>
    </row>
    <row r="121" spans="1:131" s="18" customFormat="1" ht="73.5" customHeight="1" thickBot="1">
      <c r="A121" s="416"/>
      <c r="B121" s="416"/>
      <c r="C121" s="416"/>
      <c r="D121" s="416"/>
      <c r="E121" s="416"/>
      <c r="F121" s="416"/>
      <c r="G121" s="416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J121" s="416"/>
      <c r="AK121" s="416"/>
      <c r="AL121" s="416"/>
      <c r="AM121" s="416"/>
      <c r="AN121" s="416"/>
      <c r="AO121" s="416"/>
      <c r="AP121" s="416"/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/>
      <c r="BA121" s="416"/>
      <c r="BB121" s="416"/>
      <c r="BC121" s="416"/>
      <c r="BD121" s="416"/>
      <c r="BE121" s="416"/>
      <c r="BF121" s="416"/>
      <c r="BG121" s="416"/>
      <c r="BH121" s="416"/>
      <c r="BI121" s="416"/>
      <c r="BJ121" s="416"/>
      <c r="BK121" s="416"/>
      <c r="BL121" s="416"/>
      <c r="BM121" s="416"/>
      <c r="BN121" s="416"/>
      <c r="BO121" s="416"/>
      <c r="BP121" s="416"/>
      <c r="BQ121" s="416"/>
      <c r="BR121" s="416"/>
      <c r="BS121" s="416"/>
      <c r="BT121" s="416"/>
      <c r="BU121" s="416"/>
      <c r="BV121" s="416"/>
      <c r="BW121" s="416"/>
      <c r="BX121" s="416"/>
      <c r="BY121" s="416"/>
      <c r="BZ121" s="416"/>
      <c r="CA121" s="416"/>
      <c r="CB121" s="416"/>
      <c r="CC121" s="416"/>
      <c r="CD121" s="416"/>
      <c r="CE121" s="416"/>
      <c r="CF121" s="416"/>
      <c r="CG121" s="416"/>
      <c r="CH121" s="416"/>
      <c r="CI121" s="416"/>
      <c r="CJ121" s="416"/>
      <c r="CK121" s="416"/>
      <c r="CL121" s="416"/>
      <c r="CM121" s="416"/>
      <c r="CN121" s="416"/>
      <c r="CO121" s="416"/>
      <c r="CP121" s="416"/>
      <c r="CQ121" s="416"/>
      <c r="CR121" s="416"/>
      <c r="CS121" s="416"/>
      <c r="CT121" s="416"/>
      <c r="CU121" s="416"/>
      <c r="CV121" s="416"/>
      <c r="CW121" s="416"/>
      <c r="CX121" s="416"/>
      <c r="CY121" s="416"/>
      <c r="CZ121" s="416"/>
      <c r="DA121" s="416"/>
      <c r="DB121" s="416"/>
      <c r="DC121" s="416"/>
      <c r="DD121" s="416"/>
      <c r="DE121" s="416"/>
      <c r="DF121" s="416"/>
      <c r="DG121" s="416"/>
      <c r="DH121" s="416"/>
      <c r="DI121" s="416"/>
      <c r="DJ121" s="416"/>
      <c r="DK121" s="416"/>
      <c r="DL121" s="416"/>
      <c r="DM121" s="416"/>
      <c r="DN121" s="416"/>
      <c r="DO121" s="416"/>
      <c r="DP121" s="416"/>
      <c r="DQ121" s="416"/>
      <c r="DR121" s="416"/>
      <c r="DS121" s="416"/>
      <c r="DT121" s="416"/>
      <c r="DU121" s="416"/>
      <c r="DV121" s="416"/>
      <c r="DW121" s="416"/>
      <c r="DX121" s="416"/>
      <c r="DY121" s="416"/>
      <c r="DZ121" s="417"/>
      <c r="EA121" s="519"/>
    </row>
    <row r="122" spans="1:131" s="427" customFormat="1" ht="110.25" customHeight="1" thickBot="1">
      <c r="A122" s="563" t="s">
        <v>1188</v>
      </c>
      <c r="B122" s="563"/>
      <c r="C122" s="563"/>
      <c r="D122" s="563"/>
      <c r="E122" s="563"/>
      <c r="F122" s="426">
        <f t="shared" ref="F122:AK122" si="10">COUNTIF(F18:F74,"&gt;1")</f>
        <v>34</v>
      </c>
      <c r="G122" s="426">
        <f t="shared" si="10"/>
        <v>10</v>
      </c>
      <c r="H122" s="426">
        <f t="shared" si="10"/>
        <v>23</v>
      </c>
      <c r="I122" s="426">
        <f t="shared" si="10"/>
        <v>11</v>
      </c>
      <c r="J122" s="426">
        <f t="shared" si="10"/>
        <v>4</v>
      </c>
      <c r="K122" s="426">
        <f t="shared" si="10"/>
        <v>9</v>
      </c>
      <c r="L122" s="426">
        <f t="shared" si="10"/>
        <v>5</v>
      </c>
      <c r="M122" s="426">
        <f t="shared" si="10"/>
        <v>9</v>
      </c>
      <c r="N122" s="426">
        <f t="shared" si="10"/>
        <v>4</v>
      </c>
      <c r="O122" s="426">
        <f t="shared" si="10"/>
        <v>24</v>
      </c>
      <c r="P122" s="426">
        <f t="shared" si="10"/>
        <v>5</v>
      </c>
      <c r="Q122" s="426">
        <f t="shared" si="10"/>
        <v>12</v>
      </c>
      <c r="R122" s="426">
        <f t="shared" si="10"/>
        <v>4</v>
      </c>
      <c r="S122" s="426">
        <f t="shared" si="10"/>
        <v>6</v>
      </c>
      <c r="T122" s="426">
        <f t="shared" si="10"/>
        <v>4</v>
      </c>
      <c r="U122" s="426">
        <f t="shared" si="10"/>
        <v>4</v>
      </c>
      <c r="V122" s="426">
        <f t="shared" si="10"/>
        <v>4</v>
      </c>
      <c r="W122" s="426">
        <f t="shared" si="10"/>
        <v>2</v>
      </c>
      <c r="X122" s="426">
        <f t="shared" si="10"/>
        <v>2</v>
      </c>
      <c r="Y122" s="426">
        <f t="shared" si="10"/>
        <v>4</v>
      </c>
      <c r="Z122" s="426">
        <f t="shared" si="10"/>
        <v>2</v>
      </c>
      <c r="AA122" s="426">
        <f t="shared" si="10"/>
        <v>15</v>
      </c>
      <c r="AB122" s="426">
        <f t="shared" si="10"/>
        <v>4</v>
      </c>
      <c r="AC122" s="426">
        <f t="shared" si="10"/>
        <v>8</v>
      </c>
      <c r="AD122" s="426">
        <f t="shared" si="10"/>
        <v>4</v>
      </c>
      <c r="AE122" s="426">
        <f t="shared" si="10"/>
        <v>1</v>
      </c>
      <c r="AF122" s="426">
        <f t="shared" si="10"/>
        <v>10</v>
      </c>
      <c r="AG122" s="426">
        <f t="shared" si="10"/>
        <v>6</v>
      </c>
      <c r="AH122" s="426">
        <f t="shared" si="10"/>
        <v>9</v>
      </c>
      <c r="AI122" s="426">
        <f t="shared" si="10"/>
        <v>4</v>
      </c>
      <c r="AJ122" s="426">
        <f t="shared" si="10"/>
        <v>3</v>
      </c>
      <c r="AK122" s="426">
        <f t="shared" si="10"/>
        <v>2</v>
      </c>
      <c r="AL122" s="426">
        <f t="shared" ref="AL122:BQ122" si="11">COUNTIF(AL18:AL74,"&gt;1")</f>
        <v>8</v>
      </c>
      <c r="AM122" s="426">
        <f t="shared" si="11"/>
        <v>7</v>
      </c>
      <c r="AN122" s="426">
        <f t="shared" si="11"/>
        <v>13</v>
      </c>
      <c r="AO122" s="426">
        <f t="shared" si="11"/>
        <v>10</v>
      </c>
      <c r="AP122" s="426">
        <f t="shared" si="11"/>
        <v>15</v>
      </c>
      <c r="AQ122" s="426">
        <f t="shared" si="11"/>
        <v>6</v>
      </c>
      <c r="AR122" s="426">
        <f t="shared" si="11"/>
        <v>14</v>
      </c>
      <c r="AS122" s="426">
        <f t="shared" si="11"/>
        <v>12</v>
      </c>
      <c r="AT122" s="426">
        <f t="shared" si="11"/>
        <v>6</v>
      </c>
      <c r="AU122" s="426">
        <f t="shared" si="11"/>
        <v>21</v>
      </c>
      <c r="AV122" s="426">
        <f t="shared" si="11"/>
        <v>11</v>
      </c>
      <c r="AW122" s="426">
        <f t="shared" si="11"/>
        <v>5</v>
      </c>
      <c r="AX122" s="426">
        <f t="shared" si="11"/>
        <v>17</v>
      </c>
      <c r="AY122" s="426">
        <f t="shared" si="11"/>
        <v>11</v>
      </c>
      <c r="AZ122" s="426">
        <f t="shared" si="11"/>
        <v>5</v>
      </c>
      <c r="BA122" s="426">
        <f t="shared" si="11"/>
        <v>3</v>
      </c>
      <c r="BB122" s="426">
        <f t="shared" si="11"/>
        <v>4</v>
      </c>
      <c r="BC122" s="426">
        <f t="shared" si="11"/>
        <v>5</v>
      </c>
      <c r="BD122" s="426">
        <f t="shared" si="11"/>
        <v>15</v>
      </c>
      <c r="BE122" s="426">
        <f t="shared" si="11"/>
        <v>22</v>
      </c>
      <c r="BF122" s="426">
        <f t="shared" si="11"/>
        <v>11</v>
      </c>
      <c r="BG122" s="426">
        <f t="shared" si="11"/>
        <v>4</v>
      </c>
      <c r="BH122" s="426">
        <f t="shared" si="11"/>
        <v>3</v>
      </c>
      <c r="BI122" s="426">
        <f t="shared" si="11"/>
        <v>7</v>
      </c>
      <c r="BJ122" s="426">
        <f t="shared" si="11"/>
        <v>7</v>
      </c>
      <c r="BK122" s="426">
        <f t="shared" si="11"/>
        <v>10</v>
      </c>
      <c r="BL122" s="426">
        <f t="shared" si="11"/>
        <v>5</v>
      </c>
      <c r="BM122" s="426">
        <f t="shared" si="11"/>
        <v>4</v>
      </c>
      <c r="BN122" s="426">
        <f t="shared" si="11"/>
        <v>11</v>
      </c>
      <c r="BO122" s="426">
        <f t="shared" si="11"/>
        <v>1</v>
      </c>
      <c r="BP122" s="426">
        <f t="shared" si="11"/>
        <v>6</v>
      </c>
      <c r="BQ122" s="426">
        <f t="shared" si="11"/>
        <v>5</v>
      </c>
      <c r="BR122" s="426">
        <f t="shared" ref="BR122:CW122" si="12">COUNTIF(BR18:BR74,"&gt;1")</f>
        <v>34</v>
      </c>
      <c r="BS122" s="426">
        <f t="shared" si="12"/>
        <v>4</v>
      </c>
      <c r="BT122" s="426">
        <f t="shared" si="12"/>
        <v>0</v>
      </c>
      <c r="BU122" s="426">
        <f t="shared" si="12"/>
        <v>7</v>
      </c>
      <c r="BV122" s="426">
        <f t="shared" si="12"/>
        <v>7</v>
      </c>
      <c r="BW122" s="426">
        <f t="shared" si="12"/>
        <v>1</v>
      </c>
      <c r="BX122" s="426">
        <f t="shared" si="12"/>
        <v>1</v>
      </c>
      <c r="BY122" s="426">
        <f t="shared" si="12"/>
        <v>19</v>
      </c>
      <c r="BZ122" s="426">
        <f t="shared" si="12"/>
        <v>9</v>
      </c>
      <c r="CA122" s="426">
        <f t="shared" si="12"/>
        <v>9</v>
      </c>
      <c r="CB122" s="426">
        <f t="shared" si="12"/>
        <v>6</v>
      </c>
      <c r="CC122" s="426">
        <f t="shared" si="12"/>
        <v>3</v>
      </c>
      <c r="CD122" s="426">
        <f t="shared" si="12"/>
        <v>0</v>
      </c>
      <c r="CE122" s="426">
        <f t="shared" si="12"/>
        <v>0</v>
      </c>
      <c r="CF122" s="426">
        <f t="shared" si="12"/>
        <v>0</v>
      </c>
      <c r="CG122" s="426">
        <f t="shared" si="12"/>
        <v>28</v>
      </c>
      <c r="CH122" s="426">
        <f t="shared" si="12"/>
        <v>4</v>
      </c>
      <c r="CI122" s="426">
        <f t="shared" si="12"/>
        <v>5</v>
      </c>
      <c r="CJ122" s="426">
        <f t="shared" si="12"/>
        <v>5</v>
      </c>
      <c r="CK122" s="426">
        <f t="shared" si="12"/>
        <v>5</v>
      </c>
      <c r="CL122" s="426">
        <f t="shared" si="12"/>
        <v>2</v>
      </c>
      <c r="CM122" s="426">
        <f t="shared" si="12"/>
        <v>13</v>
      </c>
      <c r="CN122" s="426">
        <f t="shared" si="12"/>
        <v>19</v>
      </c>
      <c r="CO122" s="426">
        <f t="shared" si="12"/>
        <v>24</v>
      </c>
      <c r="CP122" s="426">
        <f t="shared" si="12"/>
        <v>28</v>
      </c>
      <c r="CQ122" s="426">
        <f t="shared" si="12"/>
        <v>14</v>
      </c>
      <c r="CR122" s="426">
        <f t="shared" si="12"/>
        <v>6</v>
      </c>
      <c r="CS122" s="426">
        <f t="shared" si="12"/>
        <v>13</v>
      </c>
      <c r="CT122" s="426">
        <f t="shared" si="12"/>
        <v>18</v>
      </c>
      <c r="CU122" s="426">
        <f t="shared" si="12"/>
        <v>9</v>
      </c>
      <c r="CV122" s="426">
        <f t="shared" si="12"/>
        <v>11</v>
      </c>
      <c r="CW122" s="426">
        <f t="shared" si="12"/>
        <v>5</v>
      </c>
      <c r="CX122" s="426"/>
      <c r="CY122" s="426"/>
      <c r="CZ122" s="426">
        <f t="shared" ref="CZ122:DT122" si="13">COUNTIF(CZ18:CZ74,"&gt;1")</f>
        <v>12</v>
      </c>
      <c r="DA122" s="426">
        <f t="shared" si="13"/>
        <v>4</v>
      </c>
      <c r="DB122" s="426">
        <f t="shared" si="13"/>
        <v>7</v>
      </c>
      <c r="DC122" s="426">
        <f t="shared" si="13"/>
        <v>15</v>
      </c>
      <c r="DD122" s="426">
        <f t="shared" si="13"/>
        <v>12</v>
      </c>
      <c r="DE122" s="426">
        <f t="shared" si="13"/>
        <v>15</v>
      </c>
      <c r="DF122" s="426">
        <f t="shared" si="13"/>
        <v>11</v>
      </c>
      <c r="DG122" s="426">
        <f t="shared" si="13"/>
        <v>4</v>
      </c>
      <c r="DH122" s="426">
        <f t="shared" si="13"/>
        <v>16</v>
      </c>
      <c r="DI122" s="426">
        <f t="shared" si="13"/>
        <v>2</v>
      </c>
      <c r="DJ122" s="426">
        <f t="shared" si="13"/>
        <v>1</v>
      </c>
      <c r="DK122" s="426">
        <f t="shared" si="13"/>
        <v>1</v>
      </c>
      <c r="DL122" s="426">
        <f t="shared" si="13"/>
        <v>3</v>
      </c>
      <c r="DM122" s="426">
        <f t="shared" si="13"/>
        <v>11</v>
      </c>
      <c r="DN122" s="426">
        <f t="shared" si="13"/>
        <v>6</v>
      </c>
      <c r="DO122" s="426">
        <f t="shared" si="13"/>
        <v>4</v>
      </c>
      <c r="DP122" s="426">
        <f t="shared" si="13"/>
        <v>1</v>
      </c>
      <c r="DQ122" s="426">
        <f t="shared" si="13"/>
        <v>3</v>
      </c>
      <c r="DR122" s="426">
        <f t="shared" si="13"/>
        <v>1</v>
      </c>
      <c r="DS122" s="426">
        <f t="shared" si="13"/>
        <v>3</v>
      </c>
      <c r="DT122" s="426">
        <f t="shared" si="13"/>
        <v>2</v>
      </c>
      <c r="DU122" s="426"/>
      <c r="DV122" s="426">
        <f>COUNTIF(DV18:DV74,"&gt;1")</f>
        <v>9</v>
      </c>
      <c r="DW122" s="426">
        <f>COUNTIF(DW18:DW74,"&gt;1")</f>
        <v>11</v>
      </c>
      <c r="DX122" s="426">
        <f>COUNTIF(DX18:DX74,"&gt;1")</f>
        <v>55</v>
      </c>
      <c r="DY122" s="559"/>
      <c r="DZ122" s="560"/>
      <c r="EA122" s="519"/>
    </row>
    <row r="123" spans="1:131" s="427" customFormat="1" ht="105.75" customHeight="1" thickBot="1">
      <c r="A123" s="563" t="s">
        <v>12</v>
      </c>
      <c r="B123" s="563"/>
      <c r="C123" s="563"/>
      <c r="D123" s="563"/>
      <c r="E123" s="563"/>
      <c r="F123" s="426">
        <v>3</v>
      </c>
      <c r="G123" s="426">
        <v>3</v>
      </c>
      <c r="H123" s="426">
        <v>3</v>
      </c>
      <c r="I123" s="426">
        <v>3</v>
      </c>
      <c r="J123" s="426">
        <v>3</v>
      </c>
      <c r="K123" s="426">
        <v>3</v>
      </c>
      <c r="L123" s="426">
        <v>3</v>
      </c>
      <c r="M123" s="426">
        <v>3</v>
      </c>
      <c r="N123" s="426">
        <v>3</v>
      </c>
      <c r="O123" s="426">
        <v>3</v>
      </c>
      <c r="P123" s="426">
        <v>3</v>
      </c>
      <c r="Q123" s="426">
        <v>3</v>
      </c>
      <c r="R123" s="426">
        <v>3</v>
      </c>
      <c r="S123" s="426">
        <v>3</v>
      </c>
      <c r="T123" s="426">
        <v>3</v>
      </c>
      <c r="U123" s="426">
        <v>3</v>
      </c>
      <c r="V123" s="426">
        <v>3</v>
      </c>
      <c r="W123" s="426">
        <v>3</v>
      </c>
      <c r="X123" s="426">
        <v>3</v>
      </c>
      <c r="Y123" s="426">
        <v>3</v>
      </c>
      <c r="Z123" s="426">
        <v>3</v>
      </c>
      <c r="AA123" s="426">
        <v>3</v>
      </c>
      <c r="AB123" s="426">
        <v>3</v>
      </c>
      <c r="AC123" s="426">
        <v>3</v>
      </c>
      <c r="AD123" s="426">
        <v>3</v>
      </c>
      <c r="AE123" s="426">
        <v>3</v>
      </c>
      <c r="AF123" s="426">
        <v>3</v>
      </c>
      <c r="AG123" s="426">
        <v>3</v>
      </c>
      <c r="AH123" s="426">
        <v>3</v>
      </c>
      <c r="AI123" s="426">
        <v>3</v>
      </c>
      <c r="AJ123" s="426">
        <v>3</v>
      </c>
      <c r="AK123" s="426">
        <v>3</v>
      </c>
      <c r="AL123" s="426">
        <v>3</v>
      </c>
      <c r="AM123" s="426">
        <v>3</v>
      </c>
      <c r="AN123" s="426">
        <v>3</v>
      </c>
      <c r="AO123" s="426">
        <v>3</v>
      </c>
      <c r="AP123" s="426">
        <v>3</v>
      </c>
      <c r="AQ123" s="426">
        <v>3</v>
      </c>
      <c r="AR123" s="426">
        <v>3</v>
      </c>
      <c r="AS123" s="426">
        <v>3</v>
      </c>
      <c r="AT123" s="426">
        <v>3</v>
      </c>
      <c r="AU123" s="426">
        <v>3</v>
      </c>
      <c r="AV123" s="426">
        <v>3</v>
      </c>
      <c r="AW123" s="426">
        <v>3</v>
      </c>
      <c r="AX123" s="426">
        <v>3</v>
      </c>
      <c r="AY123" s="426">
        <v>3</v>
      </c>
      <c r="AZ123" s="426">
        <v>3</v>
      </c>
      <c r="BA123" s="426">
        <v>3</v>
      </c>
      <c r="BB123" s="426">
        <v>3</v>
      </c>
      <c r="BC123" s="426">
        <v>3</v>
      </c>
      <c r="BD123" s="426">
        <v>3</v>
      </c>
      <c r="BE123" s="426">
        <v>3</v>
      </c>
      <c r="BF123" s="426">
        <v>3</v>
      </c>
      <c r="BG123" s="426">
        <v>3</v>
      </c>
      <c r="BH123" s="426">
        <v>3</v>
      </c>
      <c r="BI123" s="426">
        <v>3</v>
      </c>
      <c r="BJ123" s="426">
        <v>3</v>
      </c>
      <c r="BK123" s="426">
        <v>3</v>
      </c>
      <c r="BL123" s="426">
        <v>3</v>
      </c>
      <c r="BM123" s="426">
        <v>3</v>
      </c>
      <c r="BN123" s="426">
        <v>3</v>
      </c>
      <c r="BO123" s="426">
        <v>3</v>
      </c>
      <c r="BP123" s="426">
        <v>3</v>
      </c>
      <c r="BQ123" s="426">
        <v>3</v>
      </c>
      <c r="BR123" s="426">
        <v>3</v>
      </c>
      <c r="BS123" s="426">
        <v>3</v>
      </c>
      <c r="BT123" s="426">
        <v>3</v>
      </c>
      <c r="BU123" s="426">
        <v>3</v>
      </c>
      <c r="BV123" s="426">
        <v>3</v>
      </c>
      <c r="BW123" s="426">
        <v>3</v>
      </c>
      <c r="BX123" s="426">
        <v>3</v>
      </c>
      <c r="BY123" s="426">
        <v>3</v>
      </c>
      <c r="BZ123" s="426">
        <v>3</v>
      </c>
      <c r="CA123" s="426">
        <v>3</v>
      </c>
      <c r="CB123" s="426">
        <v>3</v>
      </c>
      <c r="CC123" s="426">
        <v>3</v>
      </c>
      <c r="CD123" s="426">
        <v>3</v>
      </c>
      <c r="CE123" s="426">
        <v>3</v>
      </c>
      <c r="CF123" s="426">
        <v>3</v>
      </c>
      <c r="CG123" s="426">
        <v>3</v>
      </c>
      <c r="CH123" s="426">
        <v>3</v>
      </c>
      <c r="CI123" s="426">
        <v>3</v>
      </c>
      <c r="CJ123" s="426">
        <v>3</v>
      </c>
      <c r="CK123" s="426">
        <v>3</v>
      </c>
      <c r="CL123" s="426">
        <v>3</v>
      </c>
      <c r="CM123" s="426">
        <v>3</v>
      </c>
      <c r="CN123" s="426">
        <v>3</v>
      </c>
      <c r="CO123" s="426">
        <v>3</v>
      </c>
      <c r="CP123" s="426">
        <v>3</v>
      </c>
      <c r="CQ123" s="426">
        <v>3</v>
      </c>
      <c r="CR123" s="426">
        <v>3</v>
      </c>
      <c r="CS123" s="426">
        <v>3</v>
      </c>
      <c r="CT123" s="426">
        <v>3</v>
      </c>
      <c r="CU123" s="426">
        <v>3</v>
      </c>
      <c r="CV123" s="426">
        <v>3</v>
      </c>
      <c r="CW123" s="426">
        <v>3</v>
      </c>
      <c r="CX123" s="426"/>
      <c r="CY123" s="426"/>
      <c r="CZ123" s="426">
        <v>3</v>
      </c>
      <c r="DA123" s="426">
        <v>3</v>
      </c>
      <c r="DB123" s="426">
        <v>3</v>
      </c>
      <c r="DC123" s="426">
        <v>3</v>
      </c>
      <c r="DD123" s="426">
        <v>3</v>
      </c>
      <c r="DE123" s="426">
        <v>3</v>
      </c>
      <c r="DF123" s="426">
        <v>3</v>
      </c>
      <c r="DG123" s="426">
        <v>3</v>
      </c>
      <c r="DH123" s="426">
        <v>3</v>
      </c>
      <c r="DI123" s="426">
        <v>3</v>
      </c>
      <c r="DJ123" s="426">
        <v>3</v>
      </c>
      <c r="DK123" s="426">
        <v>3</v>
      </c>
      <c r="DL123" s="426">
        <v>3</v>
      </c>
      <c r="DM123" s="426">
        <v>3</v>
      </c>
      <c r="DN123" s="426">
        <v>3</v>
      </c>
      <c r="DO123" s="426">
        <v>3</v>
      </c>
      <c r="DP123" s="426">
        <v>3</v>
      </c>
      <c r="DQ123" s="426">
        <v>3</v>
      </c>
      <c r="DR123" s="426">
        <v>3</v>
      </c>
      <c r="DS123" s="426">
        <v>3</v>
      </c>
      <c r="DT123" s="426">
        <v>3</v>
      </c>
      <c r="DU123" s="426"/>
      <c r="DV123" s="426">
        <v>3</v>
      </c>
      <c r="DW123" s="426">
        <v>3</v>
      </c>
      <c r="DX123" s="426">
        <v>3</v>
      </c>
      <c r="DY123" s="561"/>
      <c r="DZ123" s="562"/>
      <c r="EA123" s="519"/>
    </row>
    <row r="124" spans="1:131" s="14" customFormat="1" ht="13.5" customHeight="1">
      <c r="A124" s="146"/>
      <c r="C124" s="146"/>
      <c r="D124" s="146"/>
      <c r="E124" s="1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  <c r="CS124" s="46"/>
      <c r="CT124" s="46"/>
      <c r="CU124" s="194"/>
      <c r="CV124" s="194"/>
      <c r="CW124" s="194"/>
      <c r="CX124" s="194"/>
      <c r="CY124" s="194"/>
      <c r="CZ124" s="194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6"/>
      <c r="DN124" s="46"/>
      <c r="DO124" s="46"/>
      <c r="DP124" s="46"/>
      <c r="DQ124" s="46"/>
      <c r="DR124" s="46"/>
      <c r="DS124" s="46"/>
      <c r="DT124" s="46"/>
      <c r="DU124" s="46"/>
      <c r="DY124" s="509"/>
      <c r="DZ124" s="509"/>
    </row>
    <row r="125" spans="1:131" s="14" customFormat="1" ht="15.75" customHeight="1">
      <c r="A125" s="146"/>
      <c r="B125" s="146" t="s">
        <v>717</v>
      </c>
      <c r="C125" s="146"/>
      <c r="D125" s="146"/>
      <c r="E125" s="1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194"/>
      <c r="CV125" s="194"/>
      <c r="CW125" s="194"/>
      <c r="CX125" s="194"/>
      <c r="CY125" s="194"/>
      <c r="CZ125" s="194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6"/>
      <c r="DN125" s="46"/>
      <c r="DO125" s="46"/>
      <c r="DP125" s="46"/>
      <c r="DQ125" s="46"/>
      <c r="DR125" s="46"/>
      <c r="DS125" s="46"/>
      <c r="DT125" s="46"/>
      <c r="DU125" s="46"/>
      <c r="DY125" s="509"/>
      <c r="DZ125" s="509"/>
    </row>
    <row r="126" spans="1:131" s="14" customFormat="1" ht="15.75" customHeight="1">
      <c r="A126" s="146"/>
      <c r="B126" s="146"/>
      <c r="C126" s="146"/>
      <c r="D126" s="146"/>
      <c r="E126" s="146"/>
      <c r="F126" s="46"/>
      <c r="G126" s="46"/>
      <c r="H126" s="46"/>
      <c r="I126" s="46"/>
      <c r="J126" s="46"/>
      <c r="K126" s="46"/>
      <c r="L126" s="46"/>
      <c r="M126" s="46"/>
      <c r="N126" s="46" t="s">
        <v>213</v>
      </c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194"/>
      <c r="CV126" s="194"/>
      <c r="CW126" s="194"/>
      <c r="CX126" s="194"/>
      <c r="CY126" s="194"/>
      <c r="CZ126" s="194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Y126" s="509"/>
      <c r="DZ126" s="509"/>
    </row>
    <row r="127" spans="1:131" s="14" customFormat="1" ht="15.75" customHeight="1">
      <c r="A127" s="146"/>
      <c r="B127" s="146"/>
      <c r="C127" s="146"/>
      <c r="D127" s="146"/>
      <c r="E127" s="1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  <c r="DK127" s="46"/>
      <c r="DL127" s="46"/>
      <c r="DM127" s="46"/>
      <c r="DN127" s="46"/>
      <c r="DO127" s="46"/>
      <c r="DP127" s="46"/>
      <c r="DQ127" s="46"/>
      <c r="DR127" s="46"/>
      <c r="DS127" s="46"/>
      <c r="DT127" s="46"/>
      <c r="DU127" s="46"/>
      <c r="DY127" s="509"/>
      <c r="DZ127" s="509"/>
    </row>
    <row r="128" spans="1:131" s="14" customFormat="1" ht="15.75" customHeight="1">
      <c r="A128" s="146"/>
      <c r="B128" s="146"/>
      <c r="C128" s="146"/>
      <c r="D128" s="146"/>
      <c r="E128" s="146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46" t="s">
        <v>781</v>
      </c>
      <c r="Z128" s="46"/>
      <c r="AA128" s="46"/>
      <c r="AB128" s="46"/>
      <c r="AC128" s="46"/>
      <c r="AD128" s="46"/>
      <c r="AE128" s="46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46"/>
      <c r="BU128" s="46"/>
      <c r="BV128" s="46"/>
      <c r="BW128" s="46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46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Y128" s="509"/>
      <c r="DZ128" s="509"/>
    </row>
    <row r="129" spans="1:130" s="14" customFormat="1" ht="162" customHeight="1">
      <c r="A129" s="146"/>
      <c r="B129" s="564" t="s">
        <v>13</v>
      </c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4"/>
      <c r="P129" s="564"/>
      <c r="Q129" s="564"/>
      <c r="R129" s="564"/>
      <c r="S129" s="564"/>
      <c r="T129" s="564"/>
      <c r="U129" s="564"/>
      <c r="V129" s="564"/>
      <c r="W129" s="564"/>
      <c r="X129" s="564"/>
      <c r="Y129" s="564"/>
      <c r="Z129" s="564"/>
      <c r="AA129" s="564"/>
      <c r="AB129" s="564"/>
      <c r="AC129" s="564"/>
      <c r="AD129" s="564"/>
      <c r="AE129" s="564"/>
      <c r="AF129" s="564"/>
      <c r="AG129" s="564"/>
      <c r="AH129" s="564"/>
      <c r="AI129" s="564"/>
      <c r="AJ129" s="564"/>
      <c r="AK129" s="564"/>
      <c r="AL129" s="564"/>
      <c r="AM129" s="564"/>
      <c r="AN129" s="564" t="s">
        <v>14</v>
      </c>
      <c r="AO129" s="564"/>
      <c r="AP129" s="564"/>
      <c r="AQ129" s="564"/>
      <c r="AR129" s="564"/>
      <c r="AS129" s="564"/>
      <c r="AT129" s="564"/>
      <c r="AU129" s="564"/>
      <c r="AV129" s="564"/>
      <c r="AW129" s="564"/>
      <c r="AX129" s="564"/>
      <c r="AY129" s="564"/>
      <c r="AZ129" s="564"/>
      <c r="BA129" s="564"/>
      <c r="BB129" s="564"/>
      <c r="BC129" s="564"/>
      <c r="BD129" s="564"/>
      <c r="BE129" s="564"/>
      <c r="BF129" s="564"/>
      <c r="BG129" s="564"/>
      <c r="BH129" s="564"/>
      <c r="BI129" s="564"/>
      <c r="BJ129" s="564"/>
      <c r="BK129" s="564"/>
      <c r="BL129" s="564"/>
      <c r="BM129" s="564"/>
      <c r="BN129" s="564"/>
      <c r="BO129" s="564"/>
      <c r="BP129" s="564"/>
      <c r="BQ129" s="564"/>
      <c r="BR129" s="564"/>
      <c r="BS129" s="564"/>
      <c r="BT129" s="564"/>
      <c r="BU129" s="564"/>
      <c r="BV129" s="564"/>
      <c r="BW129" s="564"/>
      <c r="BX129" s="564"/>
      <c r="BY129" s="564"/>
      <c r="BZ129" s="564" t="s">
        <v>15</v>
      </c>
      <c r="CA129" s="564"/>
      <c r="CB129" s="564"/>
      <c r="CC129" s="564"/>
      <c r="CD129" s="564"/>
      <c r="CE129" s="564"/>
      <c r="CF129" s="564"/>
      <c r="CG129" s="564"/>
      <c r="CH129" s="564"/>
      <c r="CI129" s="564"/>
      <c r="CJ129" s="564"/>
      <c r="CK129" s="564"/>
      <c r="CL129" s="564"/>
      <c r="CM129" s="564"/>
      <c r="CN129" s="564"/>
      <c r="CO129" s="564"/>
      <c r="CP129" s="564"/>
      <c r="CQ129" s="564"/>
      <c r="CR129" s="564"/>
      <c r="CS129" s="564"/>
      <c r="CT129" s="564"/>
      <c r="CU129" s="564"/>
      <c r="CV129" s="564"/>
      <c r="CW129" s="564"/>
      <c r="CX129" s="564"/>
      <c r="CY129" s="564"/>
      <c r="CZ129" s="564"/>
      <c r="DA129" s="564"/>
      <c r="DB129" s="564"/>
      <c r="DC129" s="564"/>
      <c r="DD129" s="564"/>
      <c r="DE129" s="564"/>
      <c r="DF129" s="564"/>
      <c r="DG129" s="564"/>
      <c r="DH129" s="564"/>
      <c r="DI129" s="564"/>
      <c r="DJ129" s="29"/>
      <c r="DK129" s="29"/>
      <c r="DL129" s="29"/>
      <c r="DM129" s="29"/>
      <c r="DN129" s="29"/>
      <c r="DO129" s="29"/>
      <c r="DP129" s="29"/>
      <c r="DY129" s="509"/>
      <c r="DZ129" s="509"/>
    </row>
    <row r="130" spans="1:130" s="14" customFormat="1" ht="162" customHeight="1">
      <c r="A130" s="146"/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64"/>
      <c r="AB130" s="564"/>
      <c r="AC130" s="564"/>
      <c r="AD130" s="564"/>
      <c r="AE130" s="564"/>
      <c r="AF130" s="564"/>
      <c r="AG130" s="564"/>
      <c r="AH130" s="564"/>
      <c r="AI130" s="564"/>
      <c r="AJ130" s="564"/>
      <c r="AK130" s="564"/>
      <c r="AL130" s="564"/>
      <c r="AM130" s="564"/>
      <c r="AN130" s="564"/>
      <c r="AO130" s="564"/>
      <c r="AP130" s="564"/>
      <c r="AQ130" s="564"/>
      <c r="AR130" s="564"/>
      <c r="AS130" s="564"/>
      <c r="AT130" s="564"/>
      <c r="AU130" s="564"/>
      <c r="AV130" s="564"/>
      <c r="AW130" s="564"/>
      <c r="AX130" s="564"/>
      <c r="AY130" s="564"/>
      <c r="AZ130" s="564"/>
      <c r="BA130" s="564"/>
      <c r="BB130" s="564"/>
      <c r="BC130" s="564"/>
      <c r="BD130" s="564"/>
      <c r="BE130" s="564"/>
      <c r="BF130" s="564"/>
      <c r="BG130" s="564"/>
      <c r="BH130" s="564"/>
      <c r="BI130" s="564"/>
      <c r="BJ130" s="564"/>
      <c r="BK130" s="564"/>
      <c r="BL130" s="564"/>
      <c r="BM130" s="564"/>
      <c r="BN130" s="564"/>
      <c r="BO130" s="564"/>
      <c r="BP130" s="564"/>
      <c r="BQ130" s="564"/>
      <c r="BR130" s="564"/>
      <c r="BS130" s="564"/>
      <c r="BT130" s="564"/>
      <c r="BU130" s="564"/>
      <c r="BV130" s="564"/>
      <c r="BW130" s="564"/>
      <c r="BX130" s="564"/>
      <c r="BY130" s="564"/>
      <c r="BZ130" s="564"/>
      <c r="CA130" s="564"/>
      <c r="CB130" s="564"/>
      <c r="CC130" s="564"/>
      <c r="CD130" s="564"/>
      <c r="CE130" s="564"/>
      <c r="CF130" s="564"/>
      <c r="CG130" s="564"/>
      <c r="CH130" s="564"/>
      <c r="CI130" s="564"/>
      <c r="CJ130" s="564"/>
      <c r="CK130" s="564"/>
      <c r="CL130" s="564"/>
      <c r="CM130" s="564"/>
      <c r="CN130" s="564"/>
      <c r="CO130" s="564"/>
      <c r="CP130" s="564"/>
      <c r="CQ130" s="564"/>
      <c r="CR130" s="564"/>
      <c r="CS130" s="564"/>
      <c r="CT130" s="564"/>
      <c r="CU130" s="564"/>
      <c r="CV130" s="564"/>
      <c r="CW130" s="564"/>
      <c r="CX130" s="564"/>
      <c r="CY130" s="564"/>
      <c r="CZ130" s="564"/>
      <c r="DA130" s="564"/>
      <c r="DB130" s="564"/>
      <c r="DC130" s="564"/>
      <c r="DD130" s="564"/>
      <c r="DE130" s="564"/>
      <c r="DF130" s="564"/>
      <c r="DG130" s="564"/>
      <c r="DH130" s="564"/>
      <c r="DI130" s="564"/>
      <c r="DJ130" s="29"/>
      <c r="DK130" s="29"/>
      <c r="DL130" s="29"/>
      <c r="DM130" s="29"/>
      <c r="DN130" s="29"/>
      <c r="DO130" s="29"/>
      <c r="DP130" s="29"/>
      <c r="DY130" s="509"/>
      <c r="DZ130" s="509"/>
    </row>
    <row r="131" spans="1:130" s="14" customFormat="1" ht="29.25" customHeight="1">
      <c r="A131" s="146"/>
      <c r="B131" s="565" t="s">
        <v>1187</v>
      </c>
      <c r="C131" s="565"/>
      <c r="D131" s="565"/>
      <c r="E131" s="565"/>
      <c r="F131" s="565"/>
      <c r="G131" s="565"/>
      <c r="H131" s="565"/>
      <c r="I131" s="565"/>
      <c r="J131" s="565"/>
      <c r="K131" s="565"/>
      <c r="L131" s="565"/>
      <c r="M131" s="565"/>
      <c r="N131" s="565"/>
      <c r="O131" s="565"/>
      <c r="P131" s="565"/>
      <c r="Q131" s="565"/>
      <c r="R131" s="565"/>
      <c r="S131" s="565"/>
      <c r="T131" s="565"/>
      <c r="U131" s="565"/>
      <c r="V131" s="565"/>
      <c r="W131" s="565"/>
      <c r="X131" s="565"/>
      <c r="Y131" s="565"/>
      <c r="Z131" s="565"/>
      <c r="AA131" s="565"/>
      <c r="AB131" s="565"/>
      <c r="AC131" s="565"/>
      <c r="AD131" s="565"/>
      <c r="AE131" s="565"/>
      <c r="AF131" s="565"/>
      <c r="AG131" s="565"/>
      <c r="AH131" s="565"/>
      <c r="AI131" s="565"/>
      <c r="AJ131" s="565"/>
      <c r="AK131" s="565"/>
      <c r="AL131" s="565"/>
      <c r="AM131" s="565"/>
      <c r="AN131" s="565" t="s">
        <v>1187</v>
      </c>
      <c r="AO131" s="565"/>
      <c r="AP131" s="565"/>
      <c r="AQ131" s="565"/>
      <c r="AR131" s="565"/>
      <c r="AS131" s="565"/>
      <c r="AT131" s="565"/>
      <c r="AU131" s="565"/>
      <c r="AV131" s="565"/>
      <c r="AW131" s="565"/>
      <c r="AX131" s="565"/>
      <c r="AY131" s="565"/>
      <c r="AZ131" s="565"/>
      <c r="BA131" s="565"/>
      <c r="BB131" s="565"/>
      <c r="BC131" s="565"/>
      <c r="BD131" s="565"/>
      <c r="BE131" s="565"/>
      <c r="BF131" s="565"/>
      <c r="BG131" s="565"/>
      <c r="BH131" s="565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65"/>
      <c r="BT131" s="565"/>
      <c r="BU131" s="565"/>
      <c r="BV131" s="565"/>
      <c r="BW131" s="565"/>
      <c r="BX131" s="565"/>
      <c r="BY131" s="565"/>
      <c r="BZ131" s="565" t="s">
        <v>1186</v>
      </c>
      <c r="CA131" s="565"/>
      <c r="CB131" s="565"/>
      <c r="CC131" s="565"/>
      <c r="CD131" s="565"/>
      <c r="CE131" s="565"/>
      <c r="CF131" s="565"/>
      <c r="CG131" s="565"/>
      <c r="CH131" s="565"/>
      <c r="CI131" s="565"/>
      <c r="CJ131" s="565"/>
      <c r="CK131" s="565"/>
      <c r="CL131" s="565"/>
      <c r="CM131" s="565"/>
      <c r="CN131" s="565"/>
      <c r="CO131" s="565"/>
      <c r="CP131" s="565"/>
      <c r="CQ131" s="565"/>
      <c r="CR131" s="565"/>
      <c r="CS131" s="565"/>
      <c r="CT131" s="565"/>
      <c r="CU131" s="565"/>
      <c r="CV131" s="565"/>
      <c r="CW131" s="565"/>
      <c r="CX131" s="565"/>
      <c r="CY131" s="565"/>
      <c r="CZ131" s="565"/>
      <c r="DA131" s="565"/>
      <c r="DB131" s="565"/>
      <c r="DC131" s="565"/>
      <c r="DD131" s="565"/>
      <c r="DE131" s="565"/>
      <c r="DF131" s="565"/>
      <c r="DG131" s="565"/>
      <c r="DH131" s="565"/>
      <c r="DI131" s="565"/>
      <c r="DJ131" s="29"/>
      <c r="DK131" s="29"/>
      <c r="DL131" s="29"/>
      <c r="DM131" s="29"/>
      <c r="DN131" s="29"/>
      <c r="DO131" s="29"/>
      <c r="DP131" s="29"/>
      <c r="DY131" s="509"/>
      <c r="DZ131" s="509"/>
    </row>
    <row r="132" spans="1:130" s="14" customFormat="1" ht="29.25" customHeight="1">
      <c r="A132" s="146"/>
      <c r="B132" s="565"/>
      <c r="C132" s="565"/>
      <c r="D132" s="565"/>
      <c r="E132" s="565"/>
      <c r="F132" s="565"/>
      <c r="G132" s="565"/>
      <c r="H132" s="565"/>
      <c r="I132" s="565"/>
      <c r="J132" s="565"/>
      <c r="K132" s="565"/>
      <c r="L132" s="565"/>
      <c r="M132" s="565"/>
      <c r="N132" s="565"/>
      <c r="O132" s="565"/>
      <c r="P132" s="565"/>
      <c r="Q132" s="565"/>
      <c r="R132" s="565"/>
      <c r="S132" s="565"/>
      <c r="T132" s="565"/>
      <c r="U132" s="565"/>
      <c r="V132" s="565"/>
      <c r="W132" s="565"/>
      <c r="X132" s="565"/>
      <c r="Y132" s="565"/>
      <c r="Z132" s="565"/>
      <c r="AA132" s="565"/>
      <c r="AB132" s="565"/>
      <c r="AC132" s="565"/>
      <c r="AD132" s="565"/>
      <c r="AE132" s="565"/>
      <c r="AF132" s="565"/>
      <c r="AG132" s="565"/>
      <c r="AH132" s="565"/>
      <c r="AI132" s="565"/>
      <c r="AJ132" s="565"/>
      <c r="AK132" s="565"/>
      <c r="AL132" s="565"/>
      <c r="AM132" s="565"/>
      <c r="AN132" s="565"/>
      <c r="AO132" s="565"/>
      <c r="AP132" s="565"/>
      <c r="AQ132" s="565"/>
      <c r="AR132" s="565"/>
      <c r="AS132" s="565"/>
      <c r="AT132" s="565"/>
      <c r="AU132" s="565"/>
      <c r="AV132" s="565"/>
      <c r="AW132" s="565"/>
      <c r="AX132" s="565"/>
      <c r="AY132" s="565"/>
      <c r="AZ132" s="565"/>
      <c r="BA132" s="565"/>
      <c r="BB132" s="565"/>
      <c r="BC132" s="565"/>
      <c r="BD132" s="565"/>
      <c r="BE132" s="565"/>
      <c r="BF132" s="565"/>
      <c r="BG132" s="565"/>
      <c r="BH132" s="565"/>
      <c r="BI132" s="565"/>
      <c r="BJ132" s="565"/>
      <c r="BK132" s="565"/>
      <c r="BL132" s="565"/>
      <c r="BM132" s="565"/>
      <c r="BN132" s="565"/>
      <c r="BO132" s="565"/>
      <c r="BP132" s="565"/>
      <c r="BQ132" s="565"/>
      <c r="BR132" s="565"/>
      <c r="BS132" s="565"/>
      <c r="BT132" s="565"/>
      <c r="BU132" s="565"/>
      <c r="BV132" s="565"/>
      <c r="BW132" s="565"/>
      <c r="BX132" s="565"/>
      <c r="BY132" s="565"/>
      <c r="BZ132" s="565"/>
      <c r="CA132" s="565"/>
      <c r="CB132" s="565"/>
      <c r="CC132" s="565"/>
      <c r="CD132" s="565"/>
      <c r="CE132" s="565"/>
      <c r="CF132" s="565"/>
      <c r="CG132" s="565"/>
      <c r="CH132" s="565"/>
      <c r="CI132" s="565"/>
      <c r="CJ132" s="565"/>
      <c r="CK132" s="565"/>
      <c r="CL132" s="565"/>
      <c r="CM132" s="565"/>
      <c r="CN132" s="565"/>
      <c r="CO132" s="565"/>
      <c r="CP132" s="565"/>
      <c r="CQ132" s="565"/>
      <c r="CR132" s="565"/>
      <c r="CS132" s="565"/>
      <c r="CT132" s="565"/>
      <c r="CU132" s="565"/>
      <c r="CV132" s="565"/>
      <c r="CW132" s="565"/>
      <c r="CX132" s="565"/>
      <c r="CY132" s="565"/>
      <c r="CZ132" s="565"/>
      <c r="DA132" s="565"/>
      <c r="DB132" s="565"/>
      <c r="DC132" s="565"/>
      <c r="DD132" s="565"/>
      <c r="DE132" s="565"/>
      <c r="DF132" s="565"/>
      <c r="DG132" s="565"/>
      <c r="DH132" s="565"/>
      <c r="DI132" s="565"/>
      <c r="DJ132" s="29"/>
      <c r="DK132" s="29"/>
      <c r="DL132" s="29"/>
      <c r="DM132" s="29"/>
      <c r="DN132" s="29"/>
      <c r="DO132" s="29"/>
      <c r="DP132" s="29"/>
      <c r="DY132" s="509"/>
      <c r="DZ132" s="509"/>
    </row>
    <row r="133" spans="1:130" s="14" customFormat="1" ht="409.5" customHeight="1">
      <c r="A133" s="146"/>
      <c r="B133" s="565"/>
      <c r="C133" s="565"/>
      <c r="D133" s="565"/>
      <c r="E133" s="565"/>
      <c r="F133" s="565"/>
      <c r="G133" s="565"/>
      <c r="H133" s="565"/>
      <c r="I133" s="565"/>
      <c r="J133" s="565"/>
      <c r="K133" s="565"/>
      <c r="L133" s="565"/>
      <c r="M133" s="565"/>
      <c r="N133" s="565"/>
      <c r="O133" s="565"/>
      <c r="P133" s="565"/>
      <c r="Q133" s="565"/>
      <c r="R133" s="565"/>
      <c r="S133" s="565"/>
      <c r="T133" s="565"/>
      <c r="U133" s="565"/>
      <c r="V133" s="565"/>
      <c r="W133" s="565"/>
      <c r="X133" s="565"/>
      <c r="Y133" s="565"/>
      <c r="Z133" s="565"/>
      <c r="AA133" s="565"/>
      <c r="AB133" s="565"/>
      <c r="AC133" s="565"/>
      <c r="AD133" s="565"/>
      <c r="AE133" s="565"/>
      <c r="AF133" s="565"/>
      <c r="AG133" s="565"/>
      <c r="AH133" s="565"/>
      <c r="AI133" s="565"/>
      <c r="AJ133" s="565"/>
      <c r="AK133" s="565"/>
      <c r="AL133" s="565"/>
      <c r="AM133" s="565"/>
      <c r="AN133" s="565"/>
      <c r="AO133" s="565"/>
      <c r="AP133" s="565"/>
      <c r="AQ133" s="565"/>
      <c r="AR133" s="565"/>
      <c r="AS133" s="565"/>
      <c r="AT133" s="565"/>
      <c r="AU133" s="565"/>
      <c r="AV133" s="565"/>
      <c r="AW133" s="565"/>
      <c r="AX133" s="565"/>
      <c r="AY133" s="565"/>
      <c r="AZ133" s="565"/>
      <c r="BA133" s="565"/>
      <c r="BB133" s="565"/>
      <c r="BC133" s="565"/>
      <c r="BD133" s="565"/>
      <c r="BE133" s="565"/>
      <c r="BF133" s="565"/>
      <c r="BG133" s="565"/>
      <c r="BH133" s="565"/>
      <c r="BI133" s="565"/>
      <c r="BJ133" s="565"/>
      <c r="BK133" s="565"/>
      <c r="BL133" s="565"/>
      <c r="BM133" s="565"/>
      <c r="BN133" s="565"/>
      <c r="BO133" s="565"/>
      <c r="BP133" s="565"/>
      <c r="BQ133" s="565"/>
      <c r="BR133" s="565"/>
      <c r="BS133" s="565"/>
      <c r="BT133" s="565"/>
      <c r="BU133" s="565"/>
      <c r="BV133" s="565"/>
      <c r="BW133" s="565"/>
      <c r="BX133" s="565"/>
      <c r="BY133" s="565"/>
      <c r="BZ133" s="565"/>
      <c r="CA133" s="565"/>
      <c r="CB133" s="565"/>
      <c r="CC133" s="565"/>
      <c r="CD133" s="565"/>
      <c r="CE133" s="565"/>
      <c r="CF133" s="565"/>
      <c r="CG133" s="565"/>
      <c r="CH133" s="565"/>
      <c r="CI133" s="565"/>
      <c r="CJ133" s="565"/>
      <c r="CK133" s="565"/>
      <c r="CL133" s="565"/>
      <c r="CM133" s="565"/>
      <c r="CN133" s="565"/>
      <c r="CO133" s="565"/>
      <c r="CP133" s="565"/>
      <c r="CQ133" s="565"/>
      <c r="CR133" s="565"/>
      <c r="CS133" s="565"/>
      <c r="CT133" s="565"/>
      <c r="CU133" s="565"/>
      <c r="CV133" s="565"/>
      <c r="CW133" s="565"/>
      <c r="CX133" s="565"/>
      <c r="CY133" s="565"/>
      <c r="CZ133" s="565"/>
      <c r="DA133" s="565"/>
      <c r="DB133" s="565"/>
      <c r="DC133" s="565"/>
      <c r="DD133" s="565"/>
      <c r="DE133" s="565"/>
      <c r="DF133" s="565"/>
      <c r="DG133" s="565"/>
      <c r="DH133" s="565"/>
      <c r="DI133" s="565"/>
      <c r="DJ133" s="29"/>
      <c r="DK133" s="29"/>
      <c r="DL133" s="29"/>
      <c r="DM133" s="29"/>
      <c r="DN133" s="29"/>
      <c r="DO133" s="29"/>
      <c r="DP133" s="29"/>
      <c r="DY133" s="509"/>
      <c r="DZ133" s="509"/>
    </row>
    <row r="134" spans="1:130" s="14" customFormat="1" ht="409.5" customHeight="1">
      <c r="A134" s="146"/>
      <c r="B134" s="565"/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565"/>
      <c r="P134" s="565"/>
      <c r="Q134" s="565"/>
      <c r="R134" s="565"/>
      <c r="S134" s="565"/>
      <c r="T134" s="565"/>
      <c r="U134" s="565"/>
      <c r="V134" s="565"/>
      <c r="W134" s="565"/>
      <c r="X134" s="565"/>
      <c r="Y134" s="565"/>
      <c r="Z134" s="565"/>
      <c r="AA134" s="565"/>
      <c r="AB134" s="565"/>
      <c r="AC134" s="565"/>
      <c r="AD134" s="565"/>
      <c r="AE134" s="565"/>
      <c r="AF134" s="565"/>
      <c r="AG134" s="565"/>
      <c r="AH134" s="565"/>
      <c r="AI134" s="565"/>
      <c r="AJ134" s="565"/>
      <c r="AK134" s="565"/>
      <c r="AL134" s="565"/>
      <c r="AM134" s="565"/>
      <c r="AN134" s="565"/>
      <c r="AO134" s="565"/>
      <c r="AP134" s="565"/>
      <c r="AQ134" s="565"/>
      <c r="AR134" s="565"/>
      <c r="AS134" s="565"/>
      <c r="AT134" s="565"/>
      <c r="AU134" s="565"/>
      <c r="AV134" s="565"/>
      <c r="AW134" s="565"/>
      <c r="AX134" s="565"/>
      <c r="AY134" s="565"/>
      <c r="AZ134" s="565"/>
      <c r="BA134" s="565"/>
      <c r="BB134" s="565"/>
      <c r="BC134" s="565"/>
      <c r="BD134" s="565"/>
      <c r="BE134" s="565"/>
      <c r="BF134" s="565"/>
      <c r="BG134" s="565"/>
      <c r="BH134" s="565"/>
      <c r="BI134" s="565"/>
      <c r="BJ134" s="565"/>
      <c r="BK134" s="565"/>
      <c r="BL134" s="565"/>
      <c r="BM134" s="565"/>
      <c r="BN134" s="565"/>
      <c r="BO134" s="565"/>
      <c r="BP134" s="565"/>
      <c r="BQ134" s="565"/>
      <c r="BR134" s="565"/>
      <c r="BS134" s="565"/>
      <c r="BT134" s="565"/>
      <c r="BU134" s="565"/>
      <c r="BV134" s="565"/>
      <c r="BW134" s="565"/>
      <c r="BX134" s="565"/>
      <c r="BY134" s="565"/>
      <c r="BZ134" s="565"/>
      <c r="CA134" s="565"/>
      <c r="CB134" s="565"/>
      <c r="CC134" s="565"/>
      <c r="CD134" s="565"/>
      <c r="CE134" s="565"/>
      <c r="CF134" s="565"/>
      <c r="CG134" s="565"/>
      <c r="CH134" s="565"/>
      <c r="CI134" s="565"/>
      <c r="CJ134" s="565"/>
      <c r="CK134" s="565"/>
      <c r="CL134" s="565"/>
      <c r="CM134" s="565"/>
      <c r="CN134" s="565"/>
      <c r="CO134" s="565"/>
      <c r="CP134" s="565"/>
      <c r="CQ134" s="565"/>
      <c r="CR134" s="565"/>
      <c r="CS134" s="565"/>
      <c r="CT134" s="565"/>
      <c r="CU134" s="565"/>
      <c r="CV134" s="565"/>
      <c r="CW134" s="565"/>
      <c r="CX134" s="565"/>
      <c r="CY134" s="565"/>
      <c r="CZ134" s="565"/>
      <c r="DA134" s="565"/>
      <c r="DB134" s="565"/>
      <c r="DC134" s="565"/>
      <c r="DD134" s="565"/>
      <c r="DE134" s="565"/>
      <c r="DF134" s="565"/>
      <c r="DG134" s="565"/>
      <c r="DH134" s="565"/>
      <c r="DI134" s="565"/>
      <c r="DJ134" s="29"/>
      <c r="DK134" s="29"/>
      <c r="DL134" s="29"/>
      <c r="DM134" s="29"/>
      <c r="DN134" s="29"/>
      <c r="DO134" s="29"/>
      <c r="DP134" s="29"/>
    </row>
    <row r="135" spans="1:130" s="14" customFormat="1" ht="105.75" customHeight="1">
      <c r="A135" s="146"/>
      <c r="B135" s="565"/>
      <c r="C135" s="565"/>
      <c r="D135" s="565"/>
      <c r="E135" s="565"/>
      <c r="F135" s="565"/>
      <c r="G135" s="565"/>
      <c r="H135" s="565"/>
      <c r="I135" s="565"/>
      <c r="J135" s="565"/>
      <c r="K135" s="565"/>
      <c r="L135" s="565"/>
      <c r="M135" s="565"/>
      <c r="N135" s="565"/>
      <c r="O135" s="565"/>
      <c r="P135" s="565"/>
      <c r="Q135" s="565"/>
      <c r="R135" s="565"/>
      <c r="S135" s="565"/>
      <c r="T135" s="565"/>
      <c r="U135" s="565"/>
      <c r="V135" s="565"/>
      <c r="W135" s="565"/>
      <c r="X135" s="565"/>
      <c r="Y135" s="565"/>
      <c r="Z135" s="565"/>
      <c r="AA135" s="565"/>
      <c r="AB135" s="565"/>
      <c r="AC135" s="565"/>
      <c r="AD135" s="565"/>
      <c r="AE135" s="565"/>
      <c r="AF135" s="565"/>
      <c r="AG135" s="565"/>
      <c r="AH135" s="565"/>
      <c r="AI135" s="565"/>
      <c r="AJ135" s="565"/>
      <c r="AK135" s="565"/>
      <c r="AL135" s="565"/>
      <c r="AM135" s="565"/>
      <c r="AN135" s="565"/>
      <c r="AO135" s="565"/>
      <c r="AP135" s="565"/>
      <c r="AQ135" s="565"/>
      <c r="AR135" s="565"/>
      <c r="AS135" s="565"/>
      <c r="AT135" s="565"/>
      <c r="AU135" s="565"/>
      <c r="AV135" s="565"/>
      <c r="AW135" s="565"/>
      <c r="AX135" s="565"/>
      <c r="AY135" s="565"/>
      <c r="AZ135" s="565"/>
      <c r="BA135" s="565"/>
      <c r="BB135" s="565"/>
      <c r="BC135" s="565"/>
      <c r="BD135" s="565"/>
      <c r="BE135" s="565"/>
      <c r="BF135" s="565"/>
      <c r="BG135" s="565"/>
      <c r="BH135" s="565"/>
      <c r="BI135" s="565"/>
      <c r="BJ135" s="565"/>
      <c r="BK135" s="565"/>
      <c r="BL135" s="565"/>
      <c r="BM135" s="565"/>
      <c r="BN135" s="565"/>
      <c r="BO135" s="565"/>
      <c r="BP135" s="565"/>
      <c r="BQ135" s="565"/>
      <c r="BR135" s="565"/>
      <c r="BS135" s="565"/>
      <c r="BT135" s="565"/>
      <c r="BU135" s="565"/>
      <c r="BV135" s="565"/>
      <c r="BW135" s="565"/>
      <c r="BX135" s="565"/>
      <c r="BY135" s="565"/>
      <c r="BZ135" s="565"/>
      <c r="CA135" s="565"/>
      <c r="CB135" s="565"/>
      <c r="CC135" s="565"/>
      <c r="CD135" s="565"/>
      <c r="CE135" s="565"/>
      <c r="CF135" s="565"/>
      <c r="CG135" s="565"/>
      <c r="CH135" s="565"/>
      <c r="CI135" s="565"/>
      <c r="CJ135" s="565"/>
      <c r="CK135" s="565"/>
      <c r="CL135" s="565"/>
      <c r="CM135" s="565"/>
      <c r="CN135" s="565"/>
      <c r="CO135" s="565"/>
      <c r="CP135" s="565"/>
      <c r="CQ135" s="565"/>
      <c r="CR135" s="565"/>
      <c r="CS135" s="565"/>
      <c r="CT135" s="565"/>
      <c r="CU135" s="565"/>
      <c r="CV135" s="565"/>
      <c r="CW135" s="565"/>
      <c r="CX135" s="565"/>
      <c r="CY135" s="565"/>
      <c r="CZ135" s="565"/>
      <c r="DA135" s="565"/>
      <c r="DB135" s="565"/>
      <c r="DC135" s="565"/>
      <c r="DD135" s="565"/>
      <c r="DE135" s="565"/>
      <c r="DF135" s="565"/>
      <c r="DG135" s="565"/>
      <c r="DH135" s="565"/>
      <c r="DI135" s="565"/>
      <c r="DJ135" s="29"/>
      <c r="DK135" s="29"/>
      <c r="DL135" s="29"/>
      <c r="DM135" s="29"/>
      <c r="DN135" s="29"/>
      <c r="DO135" s="29"/>
      <c r="DP135" s="29"/>
    </row>
    <row r="136" spans="1:130" s="14" customFormat="1" ht="76.5" customHeight="1">
      <c r="A136" s="146"/>
      <c r="B136" s="565"/>
      <c r="C136" s="565"/>
      <c r="D136" s="565"/>
      <c r="E136" s="565"/>
      <c r="F136" s="565"/>
      <c r="G136" s="565"/>
      <c r="H136" s="565"/>
      <c r="I136" s="565"/>
      <c r="J136" s="565"/>
      <c r="K136" s="565"/>
      <c r="L136" s="565"/>
      <c r="M136" s="565"/>
      <c r="N136" s="565"/>
      <c r="O136" s="565"/>
      <c r="P136" s="565"/>
      <c r="Q136" s="565"/>
      <c r="R136" s="565"/>
      <c r="S136" s="565"/>
      <c r="T136" s="565"/>
      <c r="U136" s="565"/>
      <c r="V136" s="565"/>
      <c r="W136" s="565"/>
      <c r="X136" s="565"/>
      <c r="Y136" s="565"/>
      <c r="Z136" s="565"/>
      <c r="AA136" s="565"/>
      <c r="AB136" s="565"/>
      <c r="AC136" s="565"/>
      <c r="AD136" s="565"/>
      <c r="AE136" s="565"/>
      <c r="AF136" s="565"/>
      <c r="AG136" s="565"/>
      <c r="AH136" s="565"/>
      <c r="AI136" s="565"/>
      <c r="AJ136" s="565"/>
      <c r="AK136" s="565"/>
      <c r="AL136" s="565"/>
      <c r="AM136" s="565"/>
      <c r="AN136" s="565"/>
      <c r="AO136" s="565"/>
      <c r="AP136" s="565"/>
      <c r="AQ136" s="565"/>
      <c r="AR136" s="565"/>
      <c r="AS136" s="565"/>
      <c r="AT136" s="565"/>
      <c r="AU136" s="565"/>
      <c r="AV136" s="565"/>
      <c r="AW136" s="565"/>
      <c r="AX136" s="565"/>
      <c r="AY136" s="565"/>
      <c r="AZ136" s="565"/>
      <c r="BA136" s="565"/>
      <c r="BB136" s="565"/>
      <c r="BC136" s="565"/>
      <c r="BD136" s="565"/>
      <c r="BE136" s="565"/>
      <c r="BF136" s="565"/>
      <c r="BG136" s="565"/>
      <c r="BH136" s="565"/>
      <c r="BI136" s="565"/>
      <c r="BJ136" s="565"/>
      <c r="BK136" s="565"/>
      <c r="BL136" s="565"/>
      <c r="BM136" s="565"/>
      <c r="BN136" s="565"/>
      <c r="BO136" s="565"/>
      <c r="BP136" s="565"/>
      <c r="BQ136" s="565"/>
      <c r="BR136" s="565"/>
      <c r="BS136" s="565"/>
      <c r="BT136" s="565"/>
      <c r="BU136" s="565"/>
      <c r="BV136" s="565"/>
      <c r="BW136" s="565"/>
      <c r="BX136" s="565"/>
      <c r="BY136" s="565"/>
      <c r="BZ136" s="565"/>
      <c r="CA136" s="565"/>
      <c r="CB136" s="565"/>
      <c r="CC136" s="565"/>
      <c r="CD136" s="565"/>
      <c r="CE136" s="565"/>
      <c r="CF136" s="565"/>
      <c r="CG136" s="565"/>
      <c r="CH136" s="565"/>
      <c r="CI136" s="565"/>
      <c r="CJ136" s="565"/>
      <c r="CK136" s="565"/>
      <c r="CL136" s="565"/>
      <c r="CM136" s="565"/>
      <c r="CN136" s="565"/>
      <c r="CO136" s="565"/>
      <c r="CP136" s="565"/>
      <c r="CQ136" s="565"/>
      <c r="CR136" s="565"/>
      <c r="CS136" s="565"/>
      <c r="CT136" s="565"/>
      <c r="CU136" s="565"/>
      <c r="CV136" s="565"/>
      <c r="CW136" s="565"/>
      <c r="CX136" s="565"/>
      <c r="CY136" s="565"/>
      <c r="CZ136" s="565"/>
      <c r="DA136" s="565"/>
      <c r="DB136" s="565"/>
      <c r="DC136" s="565"/>
      <c r="DD136" s="565"/>
      <c r="DE136" s="565"/>
      <c r="DF136" s="565"/>
      <c r="DG136" s="565"/>
      <c r="DH136" s="565"/>
      <c r="DI136" s="565"/>
      <c r="DJ136" s="29"/>
      <c r="DK136" s="29"/>
      <c r="DL136" s="29"/>
      <c r="DM136" s="29"/>
      <c r="DN136" s="29"/>
      <c r="DO136" s="29"/>
      <c r="DP136" s="29"/>
    </row>
    <row r="137" spans="1:130" s="14" customFormat="1" ht="76.5" customHeight="1">
      <c r="A137" s="146"/>
      <c r="B137" s="565"/>
      <c r="C137" s="565"/>
      <c r="D137" s="565"/>
      <c r="E137" s="565"/>
      <c r="F137" s="565"/>
      <c r="G137" s="565"/>
      <c r="H137" s="565"/>
      <c r="I137" s="565"/>
      <c r="J137" s="565"/>
      <c r="K137" s="565"/>
      <c r="L137" s="565"/>
      <c r="M137" s="565"/>
      <c r="N137" s="565"/>
      <c r="O137" s="565"/>
      <c r="P137" s="565"/>
      <c r="Q137" s="565"/>
      <c r="R137" s="565"/>
      <c r="S137" s="565"/>
      <c r="T137" s="565"/>
      <c r="U137" s="565"/>
      <c r="V137" s="565"/>
      <c r="W137" s="565"/>
      <c r="X137" s="565"/>
      <c r="Y137" s="565"/>
      <c r="Z137" s="565"/>
      <c r="AA137" s="565"/>
      <c r="AB137" s="565"/>
      <c r="AC137" s="565"/>
      <c r="AD137" s="565"/>
      <c r="AE137" s="565"/>
      <c r="AF137" s="565"/>
      <c r="AG137" s="565"/>
      <c r="AH137" s="565"/>
      <c r="AI137" s="565"/>
      <c r="AJ137" s="565"/>
      <c r="AK137" s="565"/>
      <c r="AL137" s="565"/>
      <c r="AM137" s="565"/>
      <c r="AN137" s="565"/>
      <c r="AO137" s="565"/>
      <c r="AP137" s="565"/>
      <c r="AQ137" s="565"/>
      <c r="AR137" s="565"/>
      <c r="AS137" s="565"/>
      <c r="AT137" s="565"/>
      <c r="AU137" s="565"/>
      <c r="AV137" s="565"/>
      <c r="AW137" s="565"/>
      <c r="AX137" s="565"/>
      <c r="AY137" s="565"/>
      <c r="AZ137" s="565"/>
      <c r="BA137" s="565"/>
      <c r="BB137" s="565"/>
      <c r="BC137" s="565"/>
      <c r="BD137" s="565"/>
      <c r="BE137" s="565"/>
      <c r="BF137" s="565"/>
      <c r="BG137" s="565"/>
      <c r="BH137" s="565"/>
      <c r="BI137" s="565"/>
      <c r="BJ137" s="565"/>
      <c r="BK137" s="565"/>
      <c r="BL137" s="565"/>
      <c r="BM137" s="565"/>
      <c r="BN137" s="565"/>
      <c r="BO137" s="565"/>
      <c r="BP137" s="565"/>
      <c r="BQ137" s="565"/>
      <c r="BR137" s="565"/>
      <c r="BS137" s="565"/>
      <c r="BT137" s="565"/>
      <c r="BU137" s="565"/>
      <c r="BV137" s="565"/>
      <c r="BW137" s="565"/>
      <c r="BX137" s="565"/>
      <c r="BY137" s="565"/>
      <c r="BZ137" s="565"/>
      <c r="CA137" s="565"/>
      <c r="CB137" s="565"/>
      <c r="CC137" s="565"/>
      <c r="CD137" s="565"/>
      <c r="CE137" s="565"/>
      <c r="CF137" s="565"/>
      <c r="CG137" s="565"/>
      <c r="CH137" s="565"/>
      <c r="CI137" s="565"/>
      <c r="CJ137" s="565"/>
      <c r="CK137" s="565"/>
      <c r="CL137" s="565"/>
      <c r="CM137" s="565"/>
      <c r="CN137" s="565"/>
      <c r="CO137" s="565"/>
      <c r="CP137" s="565"/>
      <c r="CQ137" s="565"/>
      <c r="CR137" s="565"/>
      <c r="CS137" s="565"/>
      <c r="CT137" s="565"/>
      <c r="CU137" s="565"/>
      <c r="CV137" s="565"/>
      <c r="CW137" s="565"/>
      <c r="CX137" s="565"/>
      <c r="CY137" s="565"/>
      <c r="CZ137" s="565"/>
      <c r="DA137" s="565"/>
      <c r="DB137" s="565"/>
      <c r="DC137" s="565"/>
      <c r="DD137" s="565"/>
      <c r="DE137" s="565"/>
      <c r="DF137" s="565"/>
      <c r="DG137" s="565"/>
      <c r="DH137" s="565"/>
      <c r="DI137" s="565"/>
      <c r="DJ137" s="29"/>
      <c r="DK137" s="29"/>
      <c r="DL137" s="29"/>
      <c r="DM137" s="29"/>
      <c r="DN137" s="29"/>
      <c r="DO137" s="29"/>
      <c r="DP137" s="29"/>
    </row>
    <row r="138" spans="1:130" s="14" customFormat="1" ht="29.25" customHeight="1">
      <c r="A138" s="146"/>
      <c r="B138" s="565"/>
      <c r="C138" s="565"/>
      <c r="D138" s="565"/>
      <c r="E138" s="565"/>
      <c r="F138" s="565"/>
      <c r="G138" s="565"/>
      <c r="H138" s="565"/>
      <c r="I138" s="565"/>
      <c r="J138" s="565"/>
      <c r="K138" s="565"/>
      <c r="L138" s="565"/>
      <c r="M138" s="565"/>
      <c r="N138" s="565"/>
      <c r="O138" s="565"/>
      <c r="P138" s="565"/>
      <c r="Q138" s="565"/>
      <c r="R138" s="565"/>
      <c r="S138" s="565"/>
      <c r="T138" s="565"/>
      <c r="U138" s="565"/>
      <c r="V138" s="565"/>
      <c r="W138" s="565"/>
      <c r="X138" s="565"/>
      <c r="Y138" s="565"/>
      <c r="Z138" s="565"/>
      <c r="AA138" s="565"/>
      <c r="AB138" s="565"/>
      <c r="AC138" s="565"/>
      <c r="AD138" s="565"/>
      <c r="AE138" s="565"/>
      <c r="AF138" s="565"/>
      <c r="AG138" s="565"/>
      <c r="AH138" s="565"/>
      <c r="AI138" s="565"/>
      <c r="AJ138" s="565"/>
      <c r="AK138" s="565"/>
      <c r="AL138" s="565"/>
      <c r="AM138" s="565"/>
      <c r="AN138" s="565"/>
      <c r="AO138" s="565"/>
      <c r="AP138" s="565"/>
      <c r="AQ138" s="565"/>
      <c r="AR138" s="565"/>
      <c r="AS138" s="565"/>
      <c r="AT138" s="565"/>
      <c r="AU138" s="565"/>
      <c r="AV138" s="565"/>
      <c r="AW138" s="565"/>
      <c r="AX138" s="565"/>
      <c r="AY138" s="565"/>
      <c r="AZ138" s="565"/>
      <c r="BA138" s="565"/>
      <c r="BB138" s="565"/>
      <c r="BC138" s="565"/>
      <c r="BD138" s="565"/>
      <c r="BE138" s="565"/>
      <c r="BF138" s="565"/>
      <c r="BG138" s="565"/>
      <c r="BH138" s="565"/>
      <c r="BI138" s="565"/>
      <c r="BJ138" s="565"/>
      <c r="BK138" s="565"/>
      <c r="BL138" s="565"/>
      <c r="BM138" s="565"/>
      <c r="BN138" s="565"/>
      <c r="BO138" s="565"/>
      <c r="BP138" s="565"/>
      <c r="BQ138" s="565"/>
      <c r="BR138" s="565"/>
      <c r="BS138" s="565"/>
      <c r="BT138" s="565"/>
      <c r="BU138" s="565"/>
      <c r="BV138" s="565"/>
      <c r="BW138" s="565"/>
      <c r="BX138" s="565"/>
      <c r="BY138" s="565"/>
      <c r="BZ138" s="565"/>
      <c r="CA138" s="565"/>
      <c r="CB138" s="565"/>
      <c r="CC138" s="565"/>
      <c r="CD138" s="565"/>
      <c r="CE138" s="565"/>
      <c r="CF138" s="565"/>
      <c r="CG138" s="565"/>
      <c r="CH138" s="565"/>
      <c r="CI138" s="565"/>
      <c r="CJ138" s="565"/>
      <c r="CK138" s="565"/>
      <c r="CL138" s="565"/>
      <c r="CM138" s="565"/>
      <c r="CN138" s="565"/>
      <c r="CO138" s="565"/>
      <c r="CP138" s="565"/>
      <c r="CQ138" s="565"/>
      <c r="CR138" s="565"/>
      <c r="CS138" s="565"/>
      <c r="CT138" s="565"/>
      <c r="CU138" s="565"/>
      <c r="CV138" s="565"/>
      <c r="CW138" s="565"/>
      <c r="CX138" s="565"/>
      <c r="CY138" s="565"/>
      <c r="CZ138" s="565"/>
      <c r="DA138" s="565"/>
      <c r="DB138" s="565"/>
      <c r="DC138" s="565"/>
      <c r="DD138" s="565"/>
      <c r="DE138" s="565"/>
      <c r="DF138" s="565"/>
      <c r="DG138" s="565"/>
      <c r="DH138" s="565"/>
      <c r="DI138" s="565"/>
      <c r="DJ138" s="29"/>
      <c r="DK138" s="29"/>
      <c r="DL138" s="29"/>
      <c r="DM138" s="29"/>
      <c r="DN138" s="29"/>
      <c r="DO138" s="29"/>
      <c r="DP138" s="29"/>
    </row>
    <row r="139" spans="1:130" s="14" customFormat="1" ht="29.25" customHeight="1">
      <c r="A139" s="146"/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565"/>
      <c r="P139" s="565"/>
      <c r="Q139" s="565"/>
      <c r="R139" s="565"/>
      <c r="S139" s="565"/>
      <c r="T139" s="565"/>
      <c r="U139" s="565"/>
      <c r="V139" s="565"/>
      <c r="W139" s="565"/>
      <c r="X139" s="565"/>
      <c r="Y139" s="565"/>
      <c r="Z139" s="565"/>
      <c r="AA139" s="565"/>
      <c r="AB139" s="565"/>
      <c r="AC139" s="565"/>
      <c r="AD139" s="565"/>
      <c r="AE139" s="565"/>
      <c r="AF139" s="565"/>
      <c r="AG139" s="565"/>
      <c r="AH139" s="565"/>
      <c r="AI139" s="565"/>
      <c r="AJ139" s="565"/>
      <c r="AK139" s="565"/>
      <c r="AL139" s="565"/>
      <c r="AM139" s="565"/>
      <c r="AN139" s="565"/>
      <c r="AO139" s="565"/>
      <c r="AP139" s="565"/>
      <c r="AQ139" s="565"/>
      <c r="AR139" s="565"/>
      <c r="AS139" s="565"/>
      <c r="AT139" s="565"/>
      <c r="AU139" s="565"/>
      <c r="AV139" s="565"/>
      <c r="AW139" s="565"/>
      <c r="AX139" s="565"/>
      <c r="AY139" s="565"/>
      <c r="AZ139" s="565"/>
      <c r="BA139" s="565"/>
      <c r="BB139" s="565"/>
      <c r="BC139" s="565"/>
      <c r="BD139" s="565"/>
      <c r="BE139" s="565"/>
      <c r="BF139" s="565"/>
      <c r="BG139" s="565"/>
      <c r="BH139" s="565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65"/>
      <c r="BT139" s="565"/>
      <c r="BU139" s="565"/>
      <c r="BV139" s="565"/>
      <c r="BW139" s="565"/>
      <c r="BX139" s="565"/>
      <c r="BY139" s="565"/>
      <c r="BZ139" s="565"/>
      <c r="CA139" s="565"/>
      <c r="CB139" s="565"/>
      <c r="CC139" s="565"/>
      <c r="CD139" s="565"/>
      <c r="CE139" s="565"/>
      <c r="CF139" s="565"/>
      <c r="CG139" s="565"/>
      <c r="CH139" s="565"/>
      <c r="CI139" s="565"/>
      <c r="CJ139" s="565"/>
      <c r="CK139" s="565"/>
      <c r="CL139" s="565"/>
      <c r="CM139" s="565"/>
      <c r="CN139" s="565"/>
      <c r="CO139" s="565"/>
      <c r="CP139" s="565"/>
      <c r="CQ139" s="565"/>
      <c r="CR139" s="565"/>
      <c r="CS139" s="565"/>
      <c r="CT139" s="565"/>
      <c r="CU139" s="565"/>
      <c r="CV139" s="565"/>
      <c r="CW139" s="565"/>
      <c r="CX139" s="565"/>
      <c r="CY139" s="565"/>
      <c r="CZ139" s="565"/>
      <c r="DA139" s="565"/>
      <c r="DB139" s="565"/>
      <c r="DC139" s="565"/>
      <c r="DD139" s="565"/>
      <c r="DE139" s="565"/>
      <c r="DF139" s="565"/>
      <c r="DG139" s="565"/>
      <c r="DH139" s="565"/>
      <c r="DI139" s="565"/>
      <c r="DJ139" s="29"/>
      <c r="DK139" s="29"/>
      <c r="DL139" s="29"/>
      <c r="DM139" s="29"/>
      <c r="DN139" s="29"/>
      <c r="DO139" s="29"/>
      <c r="DP139" s="29"/>
    </row>
    <row r="140" spans="1:130" s="14" customFormat="1" ht="40.5" customHeight="1">
      <c r="A140" s="146"/>
      <c r="B140" s="565"/>
      <c r="C140" s="565"/>
      <c r="D140" s="565"/>
      <c r="E140" s="565"/>
      <c r="F140" s="565"/>
      <c r="G140" s="565"/>
      <c r="H140" s="565"/>
      <c r="I140" s="565"/>
      <c r="J140" s="565"/>
      <c r="K140" s="565"/>
      <c r="L140" s="565"/>
      <c r="M140" s="565"/>
      <c r="N140" s="565"/>
      <c r="O140" s="565"/>
      <c r="P140" s="565"/>
      <c r="Q140" s="565"/>
      <c r="R140" s="565"/>
      <c r="S140" s="565"/>
      <c r="T140" s="565"/>
      <c r="U140" s="565"/>
      <c r="V140" s="565"/>
      <c r="W140" s="565"/>
      <c r="X140" s="565"/>
      <c r="Y140" s="565"/>
      <c r="Z140" s="565"/>
      <c r="AA140" s="565"/>
      <c r="AB140" s="565"/>
      <c r="AC140" s="565"/>
      <c r="AD140" s="565"/>
      <c r="AE140" s="565"/>
      <c r="AF140" s="565"/>
      <c r="AG140" s="565"/>
      <c r="AH140" s="565"/>
      <c r="AI140" s="565"/>
      <c r="AJ140" s="565"/>
      <c r="AK140" s="565"/>
      <c r="AL140" s="565"/>
      <c r="AM140" s="565"/>
      <c r="AN140" s="565"/>
      <c r="AO140" s="565"/>
      <c r="AP140" s="565"/>
      <c r="AQ140" s="565"/>
      <c r="AR140" s="565"/>
      <c r="AS140" s="565"/>
      <c r="AT140" s="565"/>
      <c r="AU140" s="565"/>
      <c r="AV140" s="565"/>
      <c r="AW140" s="565"/>
      <c r="AX140" s="565"/>
      <c r="AY140" s="565"/>
      <c r="AZ140" s="565"/>
      <c r="BA140" s="565"/>
      <c r="BB140" s="565"/>
      <c r="BC140" s="565"/>
      <c r="BD140" s="565"/>
      <c r="BE140" s="565"/>
      <c r="BF140" s="565"/>
      <c r="BG140" s="565"/>
      <c r="BH140" s="565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65"/>
      <c r="BT140" s="565"/>
      <c r="BU140" s="565"/>
      <c r="BV140" s="565"/>
      <c r="BW140" s="565"/>
      <c r="BX140" s="565"/>
      <c r="BY140" s="565"/>
      <c r="BZ140" s="565"/>
      <c r="CA140" s="565"/>
      <c r="CB140" s="565"/>
      <c r="CC140" s="565"/>
      <c r="CD140" s="565"/>
      <c r="CE140" s="565"/>
      <c r="CF140" s="565"/>
      <c r="CG140" s="565"/>
      <c r="CH140" s="565"/>
      <c r="CI140" s="565"/>
      <c r="CJ140" s="565"/>
      <c r="CK140" s="565"/>
      <c r="CL140" s="565"/>
      <c r="CM140" s="565"/>
      <c r="CN140" s="565"/>
      <c r="CO140" s="565"/>
      <c r="CP140" s="565"/>
      <c r="CQ140" s="565"/>
      <c r="CR140" s="565"/>
      <c r="CS140" s="565"/>
      <c r="CT140" s="565"/>
      <c r="CU140" s="565"/>
      <c r="CV140" s="565"/>
      <c r="CW140" s="565"/>
      <c r="CX140" s="565"/>
      <c r="CY140" s="565"/>
      <c r="CZ140" s="565"/>
      <c r="DA140" s="565"/>
      <c r="DB140" s="565"/>
      <c r="DC140" s="565"/>
      <c r="DD140" s="565"/>
      <c r="DE140" s="565"/>
      <c r="DF140" s="565"/>
      <c r="DG140" s="565"/>
      <c r="DH140" s="565"/>
      <c r="DI140" s="565"/>
      <c r="DJ140" s="29"/>
      <c r="DK140" s="29"/>
      <c r="DL140" s="29"/>
      <c r="DM140" s="29"/>
      <c r="DN140" s="29"/>
      <c r="DO140" s="29"/>
      <c r="DP140" s="29"/>
    </row>
    <row r="141" spans="1:130" s="14" customFormat="1">
      <c r="A141" s="146"/>
      <c r="B141" s="146"/>
      <c r="C141" s="146"/>
      <c r="D141" s="146"/>
      <c r="E141" s="146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</row>
    <row r="142" spans="1:130" ht="81" customHeight="1">
      <c r="B142" s="566" t="s">
        <v>18</v>
      </c>
      <c r="C142" s="566"/>
      <c r="D142" s="566"/>
      <c r="E142" s="566"/>
      <c r="F142" s="566"/>
      <c r="G142" s="566"/>
      <c r="H142" s="566"/>
      <c r="I142" s="566"/>
      <c r="J142" s="566"/>
      <c r="K142" s="566"/>
      <c r="L142" s="566"/>
      <c r="M142" s="566"/>
      <c r="N142" s="566"/>
      <c r="O142" s="566"/>
      <c r="P142" s="566"/>
      <c r="Q142" s="566"/>
      <c r="R142" s="566"/>
      <c r="S142" s="566"/>
      <c r="T142" s="566"/>
      <c r="U142" s="566"/>
      <c r="AA142" s="30"/>
      <c r="AB142" s="30"/>
      <c r="AC142" s="30"/>
      <c r="DM142"/>
      <c r="DN142"/>
      <c r="DO142"/>
      <c r="DP142"/>
    </row>
    <row r="143" spans="1:130" ht="61.5" customHeight="1">
      <c r="B143" s="566" t="s">
        <v>19</v>
      </c>
      <c r="C143" s="566"/>
      <c r="D143" s="566"/>
      <c r="E143" s="566"/>
      <c r="F143" s="566"/>
      <c r="G143" s="566"/>
      <c r="H143" s="566"/>
      <c r="I143" s="566"/>
      <c r="J143" s="566"/>
      <c r="K143" s="566"/>
      <c r="L143" s="566"/>
      <c r="M143" s="566"/>
      <c r="N143" s="566"/>
      <c r="O143" s="566"/>
      <c r="P143" s="566"/>
      <c r="Q143" s="566"/>
      <c r="R143" s="566"/>
      <c r="S143" s="566"/>
      <c r="T143" s="566"/>
      <c r="U143" s="566"/>
      <c r="AA143" s="30"/>
      <c r="AB143" s="30"/>
      <c r="AC143" s="30"/>
      <c r="DM143"/>
      <c r="DN143"/>
      <c r="DO143"/>
      <c r="DP143"/>
    </row>
    <row r="144" spans="1:130">
      <c r="AA144" s="30"/>
      <c r="AB144" s="30"/>
      <c r="AC144" s="30"/>
      <c r="DM144"/>
      <c r="DN144"/>
      <c r="DO144"/>
      <c r="DP144"/>
    </row>
    <row r="145" spans="6:120">
      <c r="AA145" s="30"/>
      <c r="AB145" s="30"/>
      <c r="AC145" s="30"/>
      <c r="DM145"/>
      <c r="DN145"/>
      <c r="DO145"/>
      <c r="DP145"/>
    </row>
    <row r="146" spans="6:120">
      <c r="AA146" s="30"/>
      <c r="AB146" s="30"/>
      <c r="AC146" s="30"/>
      <c r="DM146"/>
      <c r="DN146"/>
      <c r="DO146"/>
      <c r="DP146"/>
    </row>
    <row r="147" spans="6:120"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DM147"/>
      <c r="DN147"/>
      <c r="DO147"/>
      <c r="DP147"/>
    </row>
    <row r="148" spans="6:120">
      <c r="AA148" s="30"/>
      <c r="AB148" s="30"/>
      <c r="AC148" s="30"/>
      <c r="DM148"/>
      <c r="DN148"/>
      <c r="DO148"/>
      <c r="DP148"/>
    </row>
    <row r="149" spans="6:120">
      <c r="AA149" s="30"/>
      <c r="AB149" s="30"/>
      <c r="AC149" s="30"/>
      <c r="DM149"/>
      <c r="DN149"/>
      <c r="DO149"/>
      <c r="DP149"/>
    </row>
    <row r="150" spans="6:120">
      <c r="AA150" s="30"/>
      <c r="AB150" s="30"/>
      <c r="AC150" s="30"/>
    </row>
    <row r="151" spans="6:120">
      <c r="AA151" s="30"/>
      <c r="AB151" s="30"/>
      <c r="AC151" s="30"/>
    </row>
    <row r="152" spans="6:120">
      <c r="AA152" s="30"/>
      <c r="AB152" s="30"/>
      <c r="AC152" s="30"/>
    </row>
    <row r="153" spans="6:120">
      <c r="AA153" s="30"/>
      <c r="AB153" s="30"/>
      <c r="AC153" s="30"/>
    </row>
    <row r="154" spans="6:120">
      <c r="AA154" s="30"/>
      <c r="AB154" s="30"/>
      <c r="AC154" s="30"/>
      <c r="DM154"/>
      <c r="DN154"/>
      <c r="DO154"/>
      <c r="DP154"/>
    </row>
    <row r="155" spans="6:120">
      <c r="AA155" s="30"/>
      <c r="AB155" s="30"/>
      <c r="AC155" s="30"/>
      <c r="DM155"/>
      <c r="DN155"/>
      <c r="DO155"/>
      <c r="DP155"/>
    </row>
    <row r="156" spans="6:120">
      <c r="AA156" s="30"/>
      <c r="AB156" s="30"/>
      <c r="AC156" s="30"/>
      <c r="DM156"/>
      <c r="DN156"/>
      <c r="DO156"/>
      <c r="DP156"/>
    </row>
    <row r="157" spans="6:120">
      <c r="AA157" s="30"/>
      <c r="AB157" s="30"/>
      <c r="AC157" s="30"/>
      <c r="DM157"/>
      <c r="DN157"/>
      <c r="DO157"/>
      <c r="DP157"/>
    </row>
    <row r="158" spans="6:120">
      <c r="AA158" s="30"/>
      <c r="AB158" s="30"/>
      <c r="AC158" s="30"/>
      <c r="DM158"/>
      <c r="DN158"/>
      <c r="DO158"/>
      <c r="DP158"/>
    </row>
    <row r="159" spans="6:120">
      <c r="AA159" s="30"/>
      <c r="AB159" s="30"/>
      <c r="AC159" s="30"/>
      <c r="DM159"/>
      <c r="DN159"/>
      <c r="DO159"/>
      <c r="DP159"/>
    </row>
    <row r="160" spans="6:120">
      <c r="AA160" s="30"/>
      <c r="AB160" s="30"/>
      <c r="AC160" s="30"/>
      <c r="DM160"/>
      <c r="DN160"/>
      <c r="DO160"/>
      <c r="DP160"/>
    </row>
    <row r="161" spans="27:120">
      <c r="AA161" s="30"/>
      <c r="AB161" s="30"/>
      <c r="AC161" s="30"/>
      <c r="DM161"/>
      <c r="DN161"/>
      <c r="DO161"/>
      <c r="DP161"/>
    </row>
    <row r="162" spans="27:120">
      <c r="AA162" s="30"/>
      <c r="AB162" s="30"/>
      <c r="AC162" s="30"/>
      <c r="DM162"/>
      <c r="DN162"/>
      <c r="DO162"/>
      <c r="DP162"/>
    </row>
    <row r="163" spans="27:120">
      <c r="AA163" s="30"/>
      <c r="AB163" s="30"/>
      <c r="AC163" s="30"/>
      <c r="DM163"/>
      <c r="DN163"/>
      <c r="DO163"/>
      <c r="DP163"/>
    </row>
    <row r="164" spans="27:120">
      <c r="AA164" s="30"/>
      <c r="AB164" s="30"/>
      <c r="AC164" s="30"/>
      <c r="DM164"/>
      <c r="DN164"/>
      <c r="DO164"/>
      <c r="DP164"/>
    </row>
    <row r="165" spans="27:120">
      <c r="AA165" s="30"/>
      <c r="AB165" s="30"/>
      <c r="AC165" s="30"/>
      <c r="DM165"/>
      <c r="DN165"/>
      <c r="DO165"/>
      <c r="DP165"/>
    </row>
    <row r="166" spans="27:120">
      <c r="AA166" s="30"/>
      <c r="AB166" s="30"/>
      <c r="AC166" s="30"/>
      <c r="DM166"/>
      <c r="DN166"/>
      <c r="DO166"/>
      <c r="DP166"/>
    </row>
    <row r="167" spans="27:120">
      <c r="AA167" s="30"/>
      <c r="AB167" s="30"/>
      <c r="AC167" s="30"/>
      <c r="DM167"/>
      <c r="DN167"/>
      <c r="DO167"/>
      <c r="DP167"/>
    </row>
    <row r="168" spans="27:120">
      <c r="AA168" s="30"/>
      <c r="AB168" s="30"/>
      <c r="AC168" s="30"/>
      <c r="DM168"/>
      <c r="DN168"/>
      <c r="DO168"/>
      <c r="DP168"/>
    </row>
    <row r="169" spans="27:120">
      <c r="AA169" s="30"/>
      <c r="AB169" s="30"/>
      <c r="AC169" s="30"/>
      <c r="DM169"/>
      <c r="DN169"/>
      <c r="DO169"/>
      <c r="DP169"/>
    </row>
    <row r="170" spans="27:120">
      <c r="AA170" s="30"/>
      <c r="AB170" s="30"/>
      <c r="AC170" s="30"/>
      <c r="DM170"/>
      <c r="DN170"/>
      <c r="DO170"/>
      <c r="DP170"/>
    </row>
    <row r="171" spans="27:120">
      <c r="AA171" s="30"/>
      <c r="AB171" s="30"/>
      <c r="AC171" s="30"/>
      <c r="DM171"/>
      <c r="DN171"/>
      <c r="DO171"/>
      <c r="DP171"/>
    </row>
    <row r="172" spans="27:120">
      <c r="AA172" s="30"/>
      <c r="AB172" s="30"/>
      <c r="AC172" s="30"/>
      <c r="DM172"/>
      <c r="DN172"/>
      <c r="DO172"/>
      <c r="DP172"/>
    </row>
    <row r="173" spans="27:120">
      <c r="AA173" s="30"/>
      <c r="AB173" s="30"/>
      <c r="AC173" s="30"/>
      <c r="DM173"/>
      <c r="DN173"/>
      <c r="DO173"/>
      <c r="DP173"/>
    </row>
    <row r="174" spans="27:120">
      <c r="AA174" s="30"/>
      <c r="AB174" s="30"/>
      <c r="AC174" s="30"/>
      <c r="DM174"/>
      <c r="DN174"/>
      <c r="DO174"/>
      <c r="DP174"/>
    </row>
    <row r="175" spans="27:120">
      <c r="AA175" s="30"/>
      <c r="AB175" s="30"/>
      <c r="AC175" s="30"/>
      <c r="DM175"/>
      <c r="DN175"/>
      <c r="DO175"/>
      <c r="DP175"/>
    </row>
    <row r="176" spans="27:120">
      <c r="AA176" s="30"/>
      <c r="AB176" s="30"/>
      <c r="AC176" s="30"/>
      <c r="DM176"/>
      <c r="DN176"/>
      <c r="DO176"/>
      <c r="DP176"/>
    </row>
    <row r="177" spans="27:120">
      <c r="AA177" s="30"/>
      <c r="AB177" s="30"/>
      <c r="AC177" s="30"/>
      <c r="DM177"/>
      <c r="DN177"/>
      <c r="DO177"/>
      <c r="DP177"/>
    </row>
    <row r="178" spans="27:120">
      <c r="AA178" s="30"/>
      <c r="AB178" s="30"/>
      <c r="AC178" s="30"/>
      <c r="DM178"/>
      <c r="DN178"/>
      <c r="DO178"/>
      <c r="DP178"/>
    </row>
    <row r="179" spans="27:120">
      <c r="AA179" s="30"/>
      <c r="AB179" s="30"/>
      <c r="AC179" s="30"/>
      <c r="DM179"/>
      <c r="DN179"/>
      <c r="DO179"/>
      <c r="DP179"/>
    </row>
    <row r="180" spans="27:120">
      <c r="AA180" s="30"/>
      <c r="AB180" s="30"/>
      <c r="AC180" s="30"/>
      <c r="DM180"/>
      <c r="DN180"/>
      <c r="DO180"/>
      <c r="DP180"/>
    </row>
    <row r="181" spans="27:120">
      <c r="AA181" s="30"/>
      <c r="AB181" s="30"/>
      <c r="AC181" s="30"/>
      <c r="DM181"/>
      <c r="DN181"/>
      <c r="DO181"/>
      <c r="DP181"/>
    </row>
    <row r="182" spans="27:120">
      <c r="AA182" s="30"/>
      <c r="AB182" s="30"/>
      <c r="AC182" s="30"/>
      <c r="DM182"/>
      <c r="DN182"/>
      <c r="DO182"/>
      <c r="DP182"/>
    </row>
    <row r="183" spans="27:120">
      <c r="AA183" s="30"/>
      <c r="AB183" s="30"/>
      <c r="AC183" s="30"/>
      <c r="DM183"/>
      <c r="DN183"/>
      <c r="DO183"/>
      <c r="DP183"/>
    </row>
    <row r="184" spans="27:120">
      <c r="AA184" s="30"/>
      <c r="AB184" s="30"/>
      <c r="AC184" s="30"/>
      <c r="DM184"/>
      <c r="DN184"/>
      <c r="DO184"/>
      <c r="DP184"/>
    </row>
    <row r="185" spans="27:120">
      <c r="AA185" s="30"/>
      <c r="AB185" s="30"/>
      <c r="AC185" s="30"/>
      <c r="DM185"/>
      <c r="DN185"/>
      <c r="DO185"/>
      <c r="DP185"/>
    </row>
    <row r="186" spans="27:120">
      <c r="AA186" s="30"/>
      <c r="AB186" s="30"/>
      <c r="AC186" s="30"/>
      <c r="DM186"/>
      <c r="DN186"/>
      <c r="DO186"/>
      <c r="DP186"/>
    </row>
    <row r="187" spans="27:120">
      <c r="AA187" s="30"/>
      <c r="AB187" s="30"/>
      <c r="AC187" s="30"/>
      <c r="DM187"/>
      <c r="DN187"/>
      <c r="DO187"/>
      <c r="DP187"/>
    </row>
    <row r="188" spans="27:120">
      <c r="AA188" s="30"/>
      <c r="AB188" s="30"/>
      <c r="AC188" s="30"/>
      <c r="DM188"/>
      <c r="DN188"/>
      <c r="DO188"/>
      <c r="DP188"/>
    </row>
    <row r="189" spans="27:120">
      <c r="AA189" s="30"/>
      <c r="AB189" s="30"/>
      <c r="AC189" s="30"/>
      <c r="DM189"/>
      <c r="DN189"/>
      <c r="DO189"/>
      <c r="DP189"/>
    </row>
    <row r="190" spans="27:120">
      <c r="AA190" s="30"/>
      <c r="AB190" s="30"/>
      <c r="AC190" s="30"/>
      <c r="DM190"/>
      <c r="DN190"/>
      <c r="DO190"/>
      <c r="DP190"/>
    </row>
    <row r="191" spans="27:120">
      <c r="AA191" s="30"/>
      <c r="AB191" s="30"/>
      <c r="AC191" s="30"/>
      <c r="DM191"/>
      <c r="DN191"/>
      <c r="DO191"/>
      <c r="DP191"/>
    </row>
    <row r="192" spans="27:120">
      <c r="AA192" s="30"/>
      <c r="AB192" s="30"/>
      <c r="AC192" s="30"/>
      <c r="DM192"/>
      <c r="DN192"/>
      <c r="DO192"/>
      <c r="DP192"/>
    </row>
    <row r="193" spans="27:120">
      <c r="AA193" s="30"/>
      <c r="AB193" s="30"/>
      <c r="AC193" s="30"/>
      <c r="DM193"/>
      <c r="DN193"/>
      <c r="DO193"/>
      <c r="DP193"/>
    </row>
    <row r="194" spans="27:120">
      <c r="AA194" s="30"/>
      <c r="AB194" s="30"/>
      <c r="AC194" s="30"/>
      <c r="DM194"/>
      <c r="DN194"/>
      <c r="DO194"/>
      <c r="DP194"/>
    </row>
    <row r="195" spans="27:120">
      <c r="AA195" s="30"/>
      <c r="AB195" s="30"/>
      <c r="AC195" s="30"/>
      <c r="DM195"/>
      <c r="DN195"/>
      <c r="DO195"/>
      <c r="DP195"/>
    </row>
    <row r="196" spans="27:120">
      <c r="AA196" s="30"/>
      <c r="AB196" s="30"/>
      <c r="AC196" s="30"/>
      <c r="DM196"/>
      <c r="DN196"/>
      <c r="DO196"/>
      <c r="DP196"/>
    </row>
    <row r="197" spans="27:120">
      <c r="AA197" s="30"/>
      <c r="AB197" s="30"/>
      <c r="AC197" s="30"/>
      <c r="DM197"/>
      <c r="DN197"/>
      <c r="DO197"/>
      <c r="DP197"/>
    </row>
    <row r="198" spans="27:120">
      <c r="AA198" s="30"/>
      <c r="AB198" s="30"/>
      <c r="AC198" s="30"/>
      <c r="DM198"/>
      <c r="DN198"/>
      <c r="DO198"/>
      <c r="DP198"/>
    </row>
    <row r="199" spans="27:120">
      <c r="AA199" s="30"/>
      <c r="AB199" s="30"/>
      <c r="AC199" s="30"/>
      <c r="DM199"/>
      <c r="DN199"/>
      <c r="DO199"/>
      <c r="DP199"/>
    </row>
    <row r="200" spans="27:120">
      <c r="AA200" s="30"/>
      <c r="AB200" s="30"/>
      <c r="AC200" s="30"/>
      <c r="DM200"/>
      <c r="DN200"/>
      <c r="DO200"/>
      <c r="DP200"/>
    </row>
    <row r="201" spans="27:120">
      <c r="AA201" s="30"/>
      <c r="AB201" s="30"/>
      <c r="AC201" s="30"/>
      <c r="DM201"/>
      <c r="DN201"/>
      <c r="DO201"/>
      <c r="DP201"/>
    </row>
    <row r="202" spans="27:120">
      <c r="AA202" s="30"/>
      <c r="AB202" s="30"/>
      <c r="AC202" s="30"/>
      <c r="DM202"/>
      <c r="DN202"/>
      <c r="DO202"/>
      <c r="DP202"/>
    </row>
    <row r="203" spans="27:120">
      <c r="AA203" s="30"/>
      <c r="AB203" s="30"/>
      <c r="AC203" s="30"/>
      <c r="DM203"/>
      <c r="DN203"/>
      <c r="DO203"/>
      <c r="DP203"/>
    </row>
    <row r="204" spans="27:120">
      <c r="AA204" s="30"/>
      <c r="AB204" s="30"/>
      <c r="AC204" s="30"/>
      <c r="DM204"/>
      <c r="DN204"/>
      <c r="DO204"/>
      <c r="DP204"/>
    </row>
    <row r="205" spans="27:120">
      <c r="AA205" s="30"/>
      <c r="AB205" s="30"/>
      <c r="AC205" s="30"/>
      <c r="DM205"/>
      <c r="DN205"/>
      <c r="DO205"/>
      <c r="DP205"/>
    </row>
    <row r="206" spans="27:120">
      <c r="AA206" s="30"/>
      <c r="AB206" s="30"/>
      <c r="AC206" s="30"/>
      <c r="DM206"/>
      <c r="DN206"/>
      <c r="DO206"/>
      <c r="DP206"/>
    </row>
    <row r="207" spans="27:120">
      <c r="AA207" s="30"/>
      <c r="AB207" s="30"/>
      <c r="AC207" s="30"/>
      <c r="DM207"/>
      <c r="DN207"/>
      <c r="DO207"/>
      <c r="DP207"/>
    </row>
    <row r="208" spans="27:120">
      <c r="AA208" s="30"/>
      <c r="AB208" s="30"/>
      <c r="AC208" s="30"/>
      <c r="DM208"/>
      <c r="DN208"/>
      <c r="DO208"/>
      <c r="DP208"/>
    </row>
    <row r="209" spans="27:120">
      <c r="AA209" s="30"/>
      <c r="AB209" s="30"/>
      <c r="AC209" s="30"/>
      <c r="DM209"/>
      <c r="DN209"/>
      <c r="DO209"/>
      <c r="DP209"/>
    </row>
    <row r="210" spans="27:120">
      <c r="AA210" s="30"/>
      <c r="AB210" s="30"/>
      <c r="AC210" s="30"/>
      <c r="DM210"/>
      <c r="DN210"/>
      <c r="DO210"/>
      <c r="DP210"/>
    </row>
    <row r="211" spans="27:120">
      <c r="AA211" s="30"/>
      <c r="AB211" s="30"/>
      <c r="AC211" s="30"/>
      <c r="DM211"/>
      <c r="DN211"/>
      <c r="DO211"/>
      <c r="DP211"/>
    </row>
    <row r="212" spans="27:120">
      <c r="AA212" s="30"/>
      <c r="AB212" s="30"/>
      <c r="AC212" s="30"/>
      <c r="DM212"/>
      <c r="DN212"/>
      <c r="DO212"/>
      <c r="DP212"/>
    </row>
    <row r="213" spans="27:120">
      <c r="AA213" s="30"/>
      <c r="AB213" s="30"/>
      <c r="AC213" s="30"/>
      <c r="DM213"/>
      <c r="DN213"/>
      <c r="DO213"/>
      <c r="DP213"/>
    </row>
    <row r="214" spans="27:120">
      <c r="AA214" s="30"/>
      <c r="AB214" s="30"/>
      <c r="AC214" s="30"/>
      <c r="DM214"/>
      <c r="DN214"/>
      <c r="DO214"/>
      <c r="DP214"/>
    </row>
    <row r="215" spans="27:120">
      <c r="AA215" s="30"/>
      <c r="AB215" s="30"/>
      <c r="AC215" s="30"/>
      <c r="DM215"/>
      <c r="DN215"/>
      <c r="DO215"/>
      <c r="DP215"/>
    </row>
    <row r="216" spans="27:120">
      <c r="AA216" s="30"/>
      <c r="AB216" s="30"/>
      <c r="AC216" s="30"/>
      <c r="DM216"/>
      <c r="DN216"/>
      <c r="DO216"/>
      <c r="DP216"/>
    </row>
    <row r="217" spans="27:120">
      <c r="AA217" s="30"/>
      <c r="AB217" s="30"/>
      <c r="AC217" s="30"/>
      <c r="DM217"/>
      <c r="DN217"/>
      <c r="DO217"/>
      <c r="DP217"/>
    </row>
    <row r="218" spans="27:120">
      <c r="AA218" s="30"/>
      <c r="AB218" s="30"/>
      <c r="AC218" s="30"/>
      <c r="DM218"/>
      <c r="DN218"/>
      <c r="DO218"/>
      <c r="DP218"/>
    </row>
    <row r="219" spans="27:120">
      <c r="AA219" s="30"/>
      <c r="AB219" s="30"/>
      <c r="AC219" s="30"/>
      <c r="DM219"/>
      <c r="DN219"/>
      <c r="DO219"/>
      <c r="DP219"/>
    </row>
    <row r="220" spans="27:120">
      <c r="AA220" s="30"/>
      <c r="AB220" s="30"/>
      <c r="AC220" s="30"/>
      <c r="DM220"/>
      <c r="DN220"/>
      <c r="DO220"/>
      <c r="DP220"/>
    </row>
    <row r="221" spans="27:120">
      <c r="AA221" s="30"/>
      <c r="AB221" s="30"/>
      <c r="AC221" s="30"/>
      <c r="DM221"/>
      <c r="DN221"/>
      <c r="DO221"/>
      <c r="DP221"/>
    </row>
    <row r="222" spans="27:120">
      <c r="AA222" s="30"/>
      <c r="AB222" s="30"/>
      <c r="AC222" s="30"/>
      <c r="DM222"/>
      <c r="DN222"/>
      <c r="DO222"/>
      <c r="DP222"/>
    </row>
    <row r="223" spans="27:120">
      <c r="AA223" s="30"/>
      <c r="AB223" s="30"/>
      <c r="AC223" s="30"/>
      <c r="DM223"/>
      <c r="DN223"/>
      <c r="DO223"/>
      <c r="DP223"/>
    </row>
    <row r="224" spans="27:120">
      <c r="AA224" s="30"/>
      <c r="AB224" s="30"/>
      <c r="AC224" s="30"/>
      <c r="DM224"/>
      <c r="DN224"/>
      <c r="DO224"/>
      <c r="DP224"/>
    </row>
    <row r="225" spans="27:120">
      <c r="AA225" s="30"/>
      <c r="AB225" s="30"/>
      <c r="AC225" s="30"/>
      <c r="DM225"/>
      <c r="DN225"/>
      <c r="DO225"/>
      <c r="DP225"/>
    </row>
    <row r="226" spans="27:120">
      <c r="AA226" s="30"/>
      <c r="AB226" s="30"/>
      <c r="AC226" s="30"/>
      <c r="DM226"/>
      <c r="DN226"/>
      <c r="DO226"/>
      <c r="DP226"/>
    </row>
    <row r="227" spans="27:120">
      <c r="AA227" s="30"/>
      <c r="AB227" s="30"/>
      <c r="AC227" s="30"/>
      <c r="DM227"/>
      <c r="DN227"/>
      <c r="DO227"/>
      <c r="DP227"/>
    </row>
    <row r="228" spans="27:120">
      <c r="AA228" s="30"/>
      <c r="AB228" s="30"/>
      <c r="AC228" s="30"/>
      <c r="DM228"/>
      <c r="DN228"/>
      <c r="DO228"/>
      <c r="DP228"/>
    </row>
    <row r="229" spans="27:120">
      <c r="AA229" s="30"/>
      <c r="AB229" s="30"/>
      <c r="AC229" s="30"/>
      <c r="DM229"/>
      <c r="DN229"/>
      <c r="DO229"/>
      <c r="DP229"/>
    </row>
    <row r="230" spans="27:120">
      <c r="AA230" s="30"/>
      <c r="AB230" s="30"/>
      <c r="AC230" s="30"/>
      <c r="DM230"/>
      <c r="DN230"/>
      <c r="DO230"/>
      <c r="DP230"/>
    </row>
    <row r="231" spans="27:120">
      <c r="AA231" s="30"/>
      <c r="AB231" s="30"/>
      <c r="AC231" s="30"/>
      <c r="DM231"/>
      <c r="DN231"/>
      <c r="DO231"/>
      <c r="DP231"/>
    </row>
    <row r="232" spans="27:120">
      <c r="AA232" s="30"/>
      <c r="AB232" s="30"/>
      <c r="AC232" s="30"/>
      <c r="DM232"/>
      <c r="DN232"/>
      <c r="DO232"/>
      <c r="DP232"/>
    </row>
    <row r="233" spans="27:120">
      <c r="AA233" s="30"/>
      <c r="AB233" s="30"/>
      <c r="AC233" s="30"/>
      <c r="DM233"/>
      <c r="DN233"/>
      <c r="DO233"/>
      <c r="DP233"/>
    </row>
    <row r="234" spans="27:120">
      <c r="AA234" s="30"/>
      <c r="AB234" s="30"/>
      <c r="AC234" s="30"/>
      <c r="DM234"/>
      <c r="DN234"/>
      <c r="DO234"/>
      <c r="DP234"/>
    </row>
    <row r="235" spans="27:120">
      <c r="AA235" s="30"/>
      <c r="AB235" s="30"/>
      <c r="AC235" s="30"/>
      <c r="DM235"/>
      <c r="DN235"/>
      <c r="DO235"/>
      <c r="DP235"/>
    </row>
    <row r="236" spans="27:120">
      <c r="AA236" s="30"/>
      <c r="AB236" s="30"/>
      <c r="AC236" s="30"/>
      <c r="DM236"/>
      <c r="DN236"/>
      <c r="DO236"/>
      <c r="DP236"/>
    </row>
    <row r="237" spans="27:120">
      <c r="AA237" s="30"/>
      <c r="AB237" s="30"/>
      <c r="AC237" s="30"/>
      <c r="DM237"/>
      <c r="DN237"/>
      <c r="DO237"/>
      <c r="DP237"/>
    </row>
    <row r="238" spans="27:120">
      <c r="AA238" s="30"/>
      <c r="AB238" s="30"/>
      <c r="AC238" s="30"/>
      <c r="DM238"/>
      <c r="DN238"/>
      <c r="DO238"/>
      <c r="DP238"/>
    </row>
    <row r="239" spans="27:120">
      <c r="AA239" s="30"/>
      <c r="AB239" s="30"/>
      <c r="AC239" s="30"/>
      <c r="DM239"/>
      <c r="DN239"/>
      <c r="DO239"/>
      <c r="DP239"/>
    </row>
    <row r="240" spans="27:120">
      <c r="AA240" s="30"/>
      <c r="AB240" s="30"/>
      <c r="AC240" s="30"/>
      <c r="DM240"/>
      <c r="DN240"/>
      <c r="DO240"/>
      <c r="DP240"/>
    </row>
    <row r="241" spans="27:120">
      <c r="AA241" s="30"/>
      <c r="AB241" s="30"/>
      <c r="AC241" s="30"/>
      <c r="DM241"/>
      <c r="DN241"/>
      <c r="DO241"/>
      <c r="DP241"/>
    </row>
    <row r="242" spans="27:120">
      <c r="AA242" s="30"/>
      <c r="AB242" s="30"/>
      <c r="AC242" s="30"/>
      <c r="DM242"/>
      <c r="DN242"/>
      <c r="DO242"/>
      <c r="DP242"/>
    </row>
    <row r="243" spans="27:120">
      <c r="AA243" s="30"/>
      <c r="AB243" s="30"/>
      <c r="AC243" s="30"/>
      <c r="DM243"/>
      <c r="DN243"/>
      <c r="DO243"/>
      <c r="DP243"/>
    </row>
    <row r="244" spans="27:120">
      <c r="AA244" s="30"/>
      <c r="AB244" s="30"/>
      <c r="AC244" s="30"/>
      <c r="DM244"/>
      <c r="DN244"/>
      <c r="DO244"/>
      <c r="DP244"/>
    </row>
    <row r="245" spans="27:120">
      <c r="AA245" s="30"/>
      <c r="AB245" s="30"/>
      <c r="AC245" s="30"/>
      <c r="DM245"/>
      <c r="DN245"/>
      <c r="DO245"/>
      <c r="DP245"/>
    </row>
    <row r="246" spans="27:120">
      <c r="AA246" s="30"/>
      <c r="AB246" s="30"/>
      <c r="AC246" s="30"/>
      <c r="DM246"/>
      <c r="DN246"/>
      <c r="DO246"/>
      <c r="DP246"/>
    </row>
    <row r="247" spans="27:120">
      <c r="AA247" s="30"/>
      <c r="AB247" s="30"/>
      <c r="AC247" s="30"/>
      <c r="DM247"/>
      <c r="DN247"/>
      <c r="DO247"/>
      <c r="DP247"/>
    </row>
    <row r="248" spans="27:120">
      <c r="AA248" s="30"/>
      <c r="AB248" s="30"/>
      <c r="AC248" s="30"/>
      <c r="DM248"/>
      <c r="DN248"/>
      <c r="DO248"/>
      <c r="DP248"/>
    </row>
    <row r="249" spans="27:120">
      <c r="AA249" s="30"/>
      <c r="AB249" s="30"/>
      <c r="AC249" s="30"/>
      <c r="DM249"/>
      <c r="DN249"/>
      <c r="DO249"/>
      <c r="DP249"/>
    </row>
    <row r="250" spans="27:120">
      <c r="AA250" s="30"/>
      <c r="AB250" s="30"/>
      <c r="AC250" s="30"/>
      <c r="DM250"/>
      <c r="DN250"/>
      <c r="DO250"/>
      <c r="DP250"/>
    </row>
    <row r="251" spans="27:120">
      <c r="AA251" s="30"/>
      <c r="AB251" s="30"/>
      <c r="AC251" s="30"/>
      <c r="DM251"/>
      <c r="DN251"/>
      <c r="DO251"/>
      <c r="DP251"/>
    </row>
    <row r="252" spans="27:120">
      <c r="AA252" s="30"/>
      <c r="AB252" s="30"/>
      <c r="AC252" s="30"/>
      <c r="DM252"/>
      <c r="DN252"/>
      <c r="DO252"/>
      <c r="DP252"/>
    </row>
    <row r="253" spans="27:120">
      <c r="AA253" s="30"/>
      <c r="AB253" s="30"/>
      <c r="AC253" s="30"/>
      <c r="DM253"/>
      <c r="DN253"/>
      <c r="DO253"/>
      <c r="DP253"/>
    </row>
    <row r="254" spans="27:120">
      <c r="AA254" s="30"/>
      <c r="AB254" s="30"/>
      <c r="AC254" s="30"/>
      <c r="DM254"/>
      <c r="DN254"/>
      <c r="DO254"/>
      <c r="DP254"/>
    </row>
    <row r="255" spans="27:120">
      <c r="AA255" s="30"/>
      <c r="AB255" s="30"/>
      <c r="AC255" s="30"/>
      <c r="DM255"/>
      <c r="DN255"/>
      <c r="DO255"/>
      <c r="DP255"/>
    </row>
    <row r="256" spans="27:120">
      <c r="AA256" s="30"/>
      <c r="AB256" s="30"/>
      <c r="AC256" s="30"/>
      <c r="DM256"/>
      <c r="DN256"/>
      <c r="DO256"/>
      <c r="DP256"/>
    </row>
    <row r="257" spans="27:120">
      <c r="AA257" s="30"/>
      <c r="AB257" s="30"/>
      <c r="AC257" s="30"/>
      <c r="DM257"/>
      <c r="DN257"/>
      <c r="DO257"/>
      <c r="DP257"/>
    </row>
    <row r="258" spans="27:120">
      <c r="AA258" s="30"/>
      <c r="AB258" s="30"/>
      <c r="AC258" s="30"/>
      <c r="DM258"/>
      <c r="DN258"/>
      <c r="DO258"/>
      <c r="DP258"/>
    </row>
    <row r="259" spans="27:120">
      <c r="AA259" s="30"/>
      <c r="AB259" s="30"/>
      <c r="AC259" s="30"/>
      <c r="DM259"/>
      <c r="DN259"/>
      <c r="DO259"/>
      <c r="DP259"/>
    </row>
    <row r="260" spans="27:120">
      <c r="AA260" s="30"/>
      <c r="AB260" s="30"/>
      <c r="AC260" s="30"/>
      <c r="DM260"/>
      <c r="DN260"/>
      <c r="DO260"/>
      <c r="DP260"/>
    </row>
    <row r="261" spans="27:120">
      <c r="AA261" s="30"/>
      <c r="AB261" s="30"/>
      <c r="AC261" s="30"/>
      <c r="DM261"/>
      <c r="DN261"/>
      <c r="DO261"/>
      <c r="DP261"/>
    </row>
    <row r="262" spans="27:120">
      <c r="AA262" s="30"/>
      <c r="AB262" s="30"/>
      <c r="AC262" s="30"/>
      <c r="DM262"/>
      <c r="DN262"/>
      <c r="DO262"/>
      <c r="DP262"/>
    </row>
    <row r="263" spans="27:120">
      <c r="AA263" s="30"/>
      <c r="AB263" s="30"/>
      <c r="AC263" s="30"/>
      <c r="DM263"/>
      <c r="DN263"/>
      <c r="DO263"/>
      <c r="DP263"/>
    </row>
    <row r="264" spans="27:120">
      <c r="AA264" s="30"/>
      <c r="AB264" s="30"/>
      <c r="AC264" s="30"/>
      <c r="DM264"/>
      <c r="DN264"/>
      <c r="DO264"/>
      <c r="DP264"/>
    </row>
    <row r="265" spans="27:120">
      <c r="AA265" s="30"/>
      <c r="AB265" s="30"/>
      <c r="AC265" s="30"/>
      <c r="DM265"/>
      <c r="DN265"/>
      <c r="DO265"/>
      <c r="DP265"/>
    </row>
    <row r="266" spans="27:120">
      <c r="AA266" s="30"/>
      <c r="AB266" s="30"/>
      <c r="AC266" s="30"/>
      <c r="DM266"/>
      <c r="DN266"/>
      <c r="DO266"/>
      <c r="DP266"/>
    </row>
    <row r="267" spans="27:120">
      <c r="AA267" s="30"/>
      <c r="AB267" s="30"/>
      <c r="AC267" s="30"/>
      <c r="DM267"/>
      <c r="DN267"/>
      <c r="DO267"/>
      <c r="DP267"/>
    </row>
    <row r="268" spans="27:120">
      <c r="AA268" s="30"/>
      <c r="AB268" s="30"/>
      <c r="AC268" s="30"/>
      <c r="DM268"/>
      <c r="DN268"/>
      <c r="DO268"/>
      <c r="DP268"/>
    </row>
    <row r="269" spans="27:120">
      <c r="AA269" s="30"/>
      <c r="AB269" s="30"/>
      <c r="AC269" s="30"/>
      <c r="DM269"/>
      <c r="DN269"/>
      <c r="DO269"/>
      <c r="DP269"/>
    </row>
    <row r="270" spans="27:120">
      <c r="AA270" s="30"/>
      <c r="AB270" s="30"/>
      <c r="AC270" s="30"/>
      <c r="DM270"/>
      <c r="DN270"/>
      <c r="DO270"/>
      <c r="DP270"/>
    </row>
    <row r="271" spans="27:120">
      <c r="AA271" s="30"/>
      <c r="AB271" s="30"/>
      <c r="AC271" s="30"/>
      <c r="DM271"/>
      <c r="DN271"/>
      <c r="DO271"/>
      <c r="DP271"/>
    </row>
    <row r="272" spans="27:120">
      <c r="AA272" s="30"/>
      <c r="AB272" s="30"/>
      <c r="AC272" s="30"/>
      <c r="DM272"/>
      <c r="DN272"/>
      <c r="DO272"/>
      <c r="DP272"/>
    </row>
    <row r="273" spans="27:120">
      <c r="AA273" s="30"/>
      <c r="AB273" s="30"/>
      <c r="AC273" s="30"/>
      <c r="DM273"/>
      <c r="DN273"/>
      <c r="DO273"/>
      <c r="DP273"/>
    </row>
    <row r="274" spans="27:120">
      <c r="AA274" s="30"/>
      <c r="AB274" s="30"/>
      <c r="AC274" s="30"/>
      <c r="DM274"/>
      <c r="DN274"/>
      <c r="DO274"/>
      <c r="DP274"/>
    </row>
    <row r="275" spans="27:120">
      <c r="AA275" s="30"/>
      <c r="AB275" s="30"/>
      <c r="AC275" s="30"/>
      <c r="DM275"/>
      <c r="DN275"/>
      <c r="DO275"/>
      <c r="DP275"/>
    </row>
    <row r="276" spans="27:120">
      <c r="AA276" s="30"/>
      <c r="AB276" s="30"/>
      <c r="AC276" s="30"/>
      <c r="DM276"/>
      <c r="DN276"/>
      <c r="DO276"/>
      <c r="DP276"/>
    </row>
    <row r="277" spans="27:120">
      <c r="AA277" s="30"/>
      <c r="AB277" s="30"/>
      <c r="AC277" s="30"/>
      <c r="DM277"/>
      <c r="DN277"/>
      <c r="DO277"/>
      <c r="DP277"/>
    </row>
    <row r="278" spans="27:120">
      <c r="AA278" s="30"/>
      <c r="AB278" s="30"/>
      <c r="AC278" s="30"/>
      <c r="DM278"/>
      <c r="DN278"/>
      <c r="DO278"/>
      <c r="DP278"/>
    </row>
    <row r="279" spans="27:120">
      <c r="AA279" s="30"/>
      <c r="AB279" s="30"/>
      <c r="AC279" s="30"/>
      <c r="DM279"/>
      <c r="DN279"/>
      <c r="DO279"/>
      <c r="DP279"/>
    </row>
    <row r="280" spans="27:120">
      <c r="AA280" s="30"/>
      <c r="AB280" s="30"/>
      <c r="AC280" s="30"/>
      <c r="DM280"/>
      <c r="DN280"/>
      <c r="DO280"/>
      <c r="DP280"/>
    </row>
    <row r="281" spans="27:120">
      <c r="AA281" s="30"/>
      <c r="AB281" s="30"/>
      <c r="AC281" s="30"/>
      <c r="DM281"/>
      <c r="DN281"/>
      <c r="DO281"/>
      <c r="DP281"/>
    </row>
    <row r="282" spans="27:120">
      <c r="AA282" s="30"/>
      <c r="AB282" s="30"/>
      <c r="AC282" s="30"/>
      <c r="DM282"/>
      <c r="DN282"/>
      <c r="DO282"/>
      <c r="DP282"/>
    </row>
    <row r="283" spans="27:120">
      <c r="AA283" s="30"/>
      <c r="AB283" s="30"/>
      <c r="AC283" s="30"/>
      <c r="DM283"/>
      <c r="DN283"/>
      <c r="DO283"/>
      <c r="DP283"/>
    </row>
    <row r="284" spans="27:120">
      <c r="AA284" s="30"/>
      <c r="AB284" s="30"/>
      <c r="AC284" s="30"/>
      <c r="DM284"/>
      <c r="DN284"/>
      <c r="DO284"/>
      <c r="DP284"/>
    </row>
    <row r="285" spans="27:120">
      <c r="AA285" s="30"/>
      <c r="AB285" s="30"/>
      <c r="AC285" s="30"/>
      <c r="DM285"/>
      <c r="DN285"/>
      <c r="DO285"/>
      <c r="DP285"/>
    </row>
    <row r="286" spans="27:120">
      <c r="AA286" s="30"/>
      <c r="AB286" s="30"/>
      <c r="AC286" s="30"/>
      <c r="DM286"/>
      <c r="DN286"/>
      <c r="DO286"/>
      <c r="DP286"/>
    </row>
    <row r="287" spans="27:120">
      <c r="AA287" s="30"/>
      <c r="AB287" s="30"/>
      <c r="AC287" s="30"/>
      <c r="DM287"/>
      <c r="DN287"/>
      <c r="DO287"/>
      <c r="DP287"/>
    </row>
    <row r="288" spans="27:120">
      <c r="AA288" s="30"/>
      <c r="AB288" s="30"/>
      <c r="AC288" s="30"/>
      <c r="DM288"/>
      <c r="DN288"/>
      <c r="DO288"/>
      <c r="DP288"/>
    </row>
    <row r="289" spans="27:120">
      <c r="AA289" s="30"/>
      <c r="AB289" s="30"/>
      <c r="AC289" s="30"/>
      <c r="DM289"/>
      <c r="DN289"/>
      <c r="DO289"/>
      <c r="DP289"/>
    </row>
    <row r="290" spans="27:120">
      <c r="AA290" s="30"/>
      <c r="AB290" s="30"/>
      <c r="AC290" s="30"/>
      <c r="DM290"/>
      <c r="DN290"/>
      <c r="DO290"/>
      <c r="DP290"/>
    </row>
    <row r="291" spans="27:120">
      <c r="AA291" s="30"/>
      <c r="AB291" s="30"/>
      <c r="AC291" s="30"/>
      <c r="DM291"/>
      <c r="DN291"/>
      <c r="DO291"/>
      <c r="DP291"/>
    </row>
    <row r="292" spans="27:120">
      <c r="AA292" s="30"/>
      <c r="AB292" s="30"/>
      <c r="AC292" s="30"/>
      <c r="DM292"/>
      <c r="DN292"/>
      <c r="DO292"/>
      <c r="DP292"/>
    </row>
    <row r="293" spans="27:120">
      <c r="AA293" s="30"/>
      <c r="AB293" s="30"/>
      <c r="AC293" s="30"/>
      <c r="DM293"/>
      <c r="DN293"/>
      <c r="DO293"/>
      <c r="DP293"/>
    </row>
    <row r="294" spans="27:120">
      <c r="AA294" s="30"/>
      <c r="AB294" s="30"/>
      <c r="AC294" s="30"/>
      <c r="DM294"/>
      <c r="DN294"/>
      <c r="DO294"/>
      <c r="DP294"/>
    </row>
    <row r="295" spans="27:120">
      <c r="AA295" s="30"/>
      <c r="AB295" s="30"/>
      <c r="AC295" s="30"/>
      <c r="DM295"/>
      <c r="DN295"/>
      <c r="DO295"/>
      <c r="DP295"/>
    </row>
    <row r="296" spans="27:120">
      <c r="AA296" s="30"/>
      <c r="AB296" s="30"/>
      <c r="AC296" s="30"/>
      <c r="DM296"/>
      <c r="DN296"/>
      <c r="DO296"/>
      <c r="DP296"/>
    </row>
    <row r="297" spans="27:120">
      <c r="AA297" s="30"/>
      <c r="AB297" s="30"/>
      <c r="AC297" s="30"/>
      <c r="DM297"/>
      <c r="DN297"/>
      <c r="DO297"/>
      <c r="DP297"/>
    </row>
    <row r="298" spans="27:120">
      <c r="AA298" s="30"/>
      <c r="AB298" s="30"/>
      <c r="AC298" s="30"/>
      <c r="DM298"/>
      <c r="DN298"/>
      <c r="DO298"/>
      <c r="DP298"/>
    </row>
    <row r="299" spans="27:120">
      <c r="AA299" s="30"/>
      <c r="AB299" s="30"/>
      <c r="AC299" s="30"/>
      <c r="DM299"/>
      <c r="DN299"/>
      <c r="DO299"/>
      <c r="DP299"/>
    </row>
    <row r="300" spans="27:120">
      <c r="AA300" s="30"/>
      <c r="AB300" s="30"/>
      <c r="AC300" s="30"/>
      <c r="DM300"/>
      <c r="DN300"/>
      <c r="DO300"/>
      <c r="DP300"/>
    </row>
    <row r="301" spans="27:120">
      <c r="AA301" s="30"/>
      <c r="AB301" s="30"/>
      <c r="AC301" s="30"/>
      <c r="DM301"/>
      <c r="DN301"/>
      <c r="DO301"/>
      <c r="DP301"/>
    </row>
    <row r="302" spans="27:120">
      <c r="AA302" s="30"/>
      <c r="AB302" s="30"/>
      <c r="AC302" s="30"/>
      <c r="DM302"/>
      <c r="DN302"/>
      <c r="DO302"/>
      <c r="DP302"/>
    </row>
    <row r="303" spans="27:120">
      <c r="AA303" s="30"/>
      <c r="AB303" s="30"/>
      <c r="AC303" s="30"/>
      <c r="DM303"/>
      <c r="DN303"/>
      <c r="DO303"/>
      <c r="DP303"/>
    </row>
    <row r="304" spans="27:120">
      <c r="AA304" s="30"/>
      <c r="AB304" s="30"/>
      <c r="AC304" s="30"/>
      <c r="DM304"/>
      <c r="DN304"/>
      <c r="DO304"/>
      <c r="DP304"/>
    </row>
    <row r="305" spans="27:120">
      <c r="AA305" s="30"/>
      <c r="AB305" s="30"/>
      <c r="AC305" s="30"/>
      <c r="DM305"/>
      <c r="DN305"/>
      <c r="DO305"/>
      <c r="DP305"/>
    </row>
    <row r="306" spans="27:120">
      <c r="AA306" s="30"/>
      <c r="AB306" s="30"/>
      <c r="AC306" s="30"/>
      <c r="DM306"/>
      <c r="DN306"/>
      <c r="DO306"/>
      <c r="DP306"/>
    </row>
    <row r="307" spans="27:120">
      <c r="AA307" s="30"/>
      <c r="AB307" s="30"/>
      <c r="AC307" s="30"/>
      <c r="DM307"/>
      <c r="DN307"/>
      <c r="DO307"/>
      <c r="DP307"/>
    </row>
    <row r="308" spans="27:120">
      <c r="AA308" s="30"/>
      <c r="AB308" s="30"/>
      <c r="AC308" s="30"/>
      <c r="DM308"/>
      <c r="DN308"/>
      <c r="DO308"/>
      <c r="DP308"/>
    </row>
    <row r="309" spans="27:120">
      <c r="AA309" s="30"/>
      <c r="AB309" s="30"/>
      <c r="AC309" s="30"/>
      <c r="DM309"/>
      <c r="DN309"/>
      <c r="DO309"/>
      <c r="DP309"/>
    </row>
    <row r="310" spans="27:120">
      <c r="AA310" s="30"/>
      <c r="AB310" s="30"/>
      <c r="AC310" s="30"/>
      <c r="DM310"/>
      <c r="DN310"/>
      <c r="DO310"/>
      <c r="DP310"/>
    </row>
    <row r="311" spans="27:120">
      <c r="AA311" s="30"/>
      <c r="AB311" s="30"/>
      <c r="AC311" s="30"/>
      <c r="DM311"/>
      <c r="DN311"/>
      <c r="DO311"/>
      <c r="DP311"/>
    </row>
    <row r="312" spans="27:120">
      <c r="AA312" s="30"/>
      <c r="AB312" s="30"/>
      <c r="AC312" s="30"/>
      <c r="DM312"/>
      <c r="DN312"/>
      <c r="DO312"/>
      <c r="DP312"/>
    </row>
    <row r="313" spans="27:120">
      <c r="AA313" s="30"/>
      <c r="AB313" s="30"/>
      <c r="AC313" s="30"/>
      <c r="DM313"/>
      <c r="DN313"/>
      <c r="DO313"/>
      <c r="DP313"/>
    </row>
    <row r="314" spans="27:120">
      <c r="AA314" s="30"/>
      <c r="AB314" s="30"/>
      <c r="AC314" s="30"/>
      <c r="DM314"/>
      <c r="DN314"/>
      <c r="DO314"/>
      <c r="DP314"/>
    </row>
    <row r="315" spans="27:120">
      <c r="AA315" s="30"/>
      <c r="AB315" s="30"/>
      <c r="AC315" s="30"/>
      <c r="DM315"/>
      <c r="DN315"/>
      <c r="DO315"/>
      <c r="DP315"/>
    </row>
    <row r="316" spans="27:120">
      <c r="AA316" s="30"/>
      <c r="AB316" s="30"/>
      <c r="AC316" s="30"/>
      <c r="DM316"/>
      <c r="DN316"/>
      <c r="DO316"/>
      <c r="DP316"/>
    </row>
    <row r="317" spans="27:120">
      <c r="AA317" s="30"/>
      <c r="AB317" s="30"/>
      <c r="AC317" s="30"/>
      <c r="DM317"/>
      <c r="DN317"/>
      <c r="DO317"/>
      <c r="DP317"/>
    </row>
    <row r="318" spans="27:120">
      <c r="AA318" s="30"/>
      <c r="AB318" s="30"/>
      <c r="AC318" s="30"/>
      <c r="DM318"/>
      <c r="DN318"/>
      <c r="DO318"/>
      <c r="DP318"/>
    </row>
    <row r="319" spans="27:120">
      <c r="AA319" s="30"/>
      <c r="AB319" s="30"/>
      <c r="AC319" s="30"/>
      <c r="DM319"/>
      <c r="DN319"/>
      <c r="DO319"/>
      <c r="DP319"/>
    </row>
    <row r="320" spans="27:120">
      <c r="AA320" s="30"/>
      <c r="AB320" s="30"/>
      <c r="AC320" s="30"/>
      <c r="DM320"/>
      <c r="DN320"/>
      <c r="DO320"/>
      <c r="DP320"/>
    </row>
    <row r="321" spans="27:120">
      <c r="AA321" s="30"/>
      <c r="AB321" s="30"/>
      <c r="AC321" s="30"/>
      <c r="DM321"/>
      <c r="DN321"/>
      <c r="DO321"/>
      <c r="DP321"/>
    </row>
    <row r="322" spans="27:120">
      <c r="AA322" s="30"/>
      <c r="AB322" s="30"/>
      <c r="AC322" s="30"/>
      <c r="DM322"/>
      <c r="DN322"/>
      <c r="DO322"/>
      <c r="DP322"/>
    </row>
    <row r="323" spans="27:120">
      <c r="AA323" s="30"/>
      <c r="AB323" s="30"/>
      <c r="AC323" s="30"/>
      <c r="DM323"/>
      <c r="DN323"/>
      <c r="DO323"/>
      <c r="DP323"/>
    </row>
    <row r="324" spans="27:120">
      <c r="AA324" s="30"/>
      <c r="AB324" s="30"/>
      <c r="AC324" s="30"/>
      <c r="DM324"/>
      <c r="DN324"/>
      <c r="DO324"/>
      <c r="DP324"/>
    </row>
    <row r="325" spans="27:120">
      <c r="AA325" s="30"/>
      <c r="AB325" s="30"/>
      <c r="AC325" s="30"/>
      <c r="DM325"/>
      <c r="DN325"/>
      <c r="DO325"/>
      <c r="DP325"/>
    </row>
    <row r="326" spans="27:120">
      <c r="AA326" s="30"/>
      <c r="AB326" s="30"/>
      <c r="AC326" s="30"/>
      <c r="DM326"/>
      <c r="DN326"/>
      <c r="DO326"/>
      <c r="DP326"/>
    </row>
    <row r="327" spans="27:120">
      <c r="AA327" s="30"/>
      <c r="AB327" s="30"/>
      <c r="AC327" s="30"/>
      <c r="DM327"/>
      <c r="DN327"/>
      <c r="DO327"/>
      <c r="DP327"/>
    </row>
    <row r="328" spans="27:120">
      <c r="AA328" s="30"/>
      <c r="AB328" s="30"/>
      <c r="AC328" s="30"/>
      <c r="DM328"/>
      <c r="DN328"/>
      <c r="DO328"/>
      <c r="DP328"/>
    </row>
    <row r="329" spans="27:120">
      <c r="AA329" s="30"/>
      <c r="AB329" s="30"/>
      <c r="AC329" s="30"/>
      <c r="DM329"/>
      <c r="DN329"/>
      <c r="DO329"/>
      <c r="DP329"/>
    </row>
    <row r="330" spans="27:120">
      <c r="AA330" s="30"/>
      <c r="AB330" s="30"/>
      <c r="AC330" s="30"/>
      <c r="DM330"/>
      <c r="DN330"/>
      <c r="DO330"/>
      <c r="DP330"/>
    </row>
    <row r="331" spans="27:120">
      <c r="AA331" s="30"/>
      <c r="AB331" s="30"/>
      <c r="AC331" s="30"/>
      <c r="DM331"/>
      <c r="DN331"/>
      <c r="DO331"/>
      <c r="DP331"/>
    </row>
    <row r="332" spans="27:120">
      <c r="AA332" s="30"/>
      <c r="AB332" s="30"/>
      <c r="AC332" s="30"/>
      <c r="DM332"/>
      <c r="DN332"/>
      <c r="DO332"/>
      <c r="DP332"/>
    </row>
    <row r="333" spans="27:120">
      <c r="AA333" s="30"/>
      <c r="AB333" s="30"/>
      <c r="AC333" s="30"/>
      <c r="DM333"/>
      <c r="DN333"/>
      <c r="DO333"/>
      <c r="DP333"/>
    </row>
    <row r="334" spans="27:120">
      <c r="AA334" s="30"/>
      <c r="AB334" s="30"/>
      <c r="AC334" s="30"/>
      <c r="DM334"/>
      <c r="DN334"/>
      <c r="DO334"/>
      <c r="DP334"/>
    </row>
    <row r="335" spans="27:120">
      <c r="AA335" s="30"/>
      <c r="AB335" s="30"/>
      <c r="AC335" s="30"/>
      <c r="DM335"/>
      <c r="DN335"/>
      <c r="DO335"/>
      <c r="DP335"/>
    </row>
    <row r="336" spans="27:120">
      <c r="AA336" s="30"/>
      <c r="AB336" s="30"/>
      <c r="AC336" s="30"/>
      <c r="DM336"/>
      <c r="DN336"/>
      <c r="DO336"/>
      <c r="DP336"/>
    </row>
    <row r="337" spans="27:120">
      <c r="AA337" s="30"/>
      <c r="AB337" s="30"/>
      <c r="AC337" s="30"/>
      <c r="DM337"/>
      <c r="DN337"/>
      <c r="DO337"/>
      <c r="DP337"/>
    </row>
    <row r="338" spans="27:120">
      <c r="AA338" s="30"/>
      <c r="AB338" s="30"/>
      <c r="AC338" s="30"/>
      <c r="DM338"/>
      <c r="DN338"/>
      <c r="DO338"/>
      <c r="DP338"/>
    </row>
    <row r="339" spans="27:120">
      <c r="AA339" s="30"/>
      <c r="AB339" s="30"/>
      <c r="AC339" s="30"/>
      <c r="DM339"/>
      <c r="DN339"/>
      <c r="DO339"/>
      <c r="DP339"/>
    </row>
    <row r="340" spans="27:120">
      <c r="AA340" s="30"/>
      <c r="AB340" s="30"/>
      <c r="AC340" s="30"/>
      <c r="DM340"/>
      <c r="DN340"/>
      <c r="DO340"/>
      <c r="DP340"/>
    </row>
    <row r="341" spans="27:120">
      <c r="AA341" s="30"/>
      <c r="AB341" s="30"/>
      <c r="AC341" s="30"/>
      <c r="DM341"/>
      <c r="DN341"/>
      <c r="DO341"/>
      <c r="DP341"/>
    </row>
    <row r="342" spans="27:120">
      <c r="AA342" s="30"/>
      <c r="AB342" s="30"/>
      <c r="AC342" s="30"/>
      <c r="DM342"/>
      <c r="DN342"/>
      <c r="DO342"/>
      <c r="DP342"/>
    </row>
    <row r="343" spans="27:120">
      <c r="AA343" s="30"/>
      <c r="AB343" s="30"/>
      <c r="AC343" s="30"/>
      <c r="DM343"/>
      <c r="DN343"/>
      <c r="DO343"/>
      <c r="DP343"/>
    </row>
    <row r="344" spans="27:120">
      <c r="AA344" s="30"/>
      <c r="AB344" s="30"/>
      <c r="AC344" s="30"/>
      <c r="DM344"/>
      <c r="DN344"/>
      <c r="DO344"/>
      <c r="DP344"/>
    </row>
    <row r="345" spans="27:120">
      <c r="AA345" s="30"/>
      <c r="AB345" s="30"/>
      <c r="AC345" s="30"/>
      <c r="DM345"/>
      <c r="DN345"/>
      <c r="DO345"/>
      <c r="DP345"/>
    </row>
    <row r="346" spans="27:120">
      <c r="AA346" s="30"/>
      <c r="AB346" s="30"/>
      <c r="AC346" s="30"/>
      <c r="DM346"/>
      <c r="DN346"/>
      <c r="DO346"/>
      <c r="DP346"/>
    </row>
    <row r="347" spans="27:120">
      <c r="AA347" s="30"/>
      <c r="AB347" s="30"/>
      <c r="AC347" s="30"/>
      <c r="DM347"/>
      <c r="DN347"/>
      <c r="DO347"/>
      <c r="DP347"/>
    </row>
    <row r="348" spans="27:120">
      <c r="AA348" s="30"/>
      <c r="AB348" s="30"/>
      <c r="AC348" s="30"/>
      <c r="DM348"/>
      <c r="DN348"/>
      <c r="DO348"/>
      <c r="DP348"/>
    </row>
    <row r="349" spans="27:120">
      <c r="AA349" s="30"/>
      <c r="AB349" s="30"/>
      <c r="AC349" s="30"/>
      <c r="DM349"/>
      <c r="DN349"/>
      <c r="DO349"/>
      <c r="DP349"/>
    </row>
    <row r="350" spans="27:120">
      <c r="AA350" s="30"/>
      <c r="AB350" s="30"/>
      <c r="AC350" s="30"/>
      <c r="DM350"/>
      <c r="DN350"/>
      <c r="DO350"/>
      <c r="DP350"/>
    </row>
    <row r="351" spans="27:120">
      <c r="AA351" s="30"/>
      <c r="AB351" s="30"/>
      <c r="AC351" s="30"/>
      <c r="DM351"/>
      <c r="DN351"/>
      <c r="DO351"/>
      <c r="DP351"/>
    </row>
    <row r="352" spans="27:120">
      <c r="AA352" s="30"/>
      <c r="AB352" s="30"/>
      <c r="AC352" s="30"/>
      <c r="DM352"/>
      <c r="DN352"/>
      <c r="DO352"/>
      <c r="DP352"/>
    </row>
    <row r="353" spans="27:120">
      <c r="AA353" s="30"/>
      <c r="AB353" s="30"/>
      <c r="AC353" s="30"/>
      <c r="DM353"/>
      <c r="DN353"/>
      <c r="DO353"/>
      <c r="DP353"/>
    </row>
    <row r="354" spans="27:120">
      <c r="AA354" s="30"/>
      <c r="AB354" s="30"/>
      <c r="AC354" s="30"/>
      <c r="DM354"/>
      <c r="DN354"/>
      <c r="DO354"/>
      <c r="DP354"/>
    </row>
    <row r="355" spans="27:120">
      <c r="AA355" s="30"/>
      <c r="AB355" s="30"/>
      <c r="AC355" s="30"/>
      <c r="DM355"/>
      <c r="DN355"/>
      <c r="DO355"/>
      <c r="DP355"/>
    </row>
    <row r="356" spans="27:120">
      <c r="AA356" s="30"/>
      <c r="AB356" s="30"/>
      <c r="AC356" s="30"/>
      <c r="DM356"/>
      <c r="DN356"/>
      <c r="DO356"/>
      <c r="DP356"/>
    </row>
    <row r="357" spans="27:120">
      <c r="AA357" s="30"/>
      <c r="AB357" s="30"/>
      <c r="AC357" s="30"/>
      <c r="DM357"/>
      <c r="DN357"/>
      <c r="DO357"/>
      <c r="DP357"/>
    </row>
    <row r="358" spans="27:120">
      <c r="AA358" s="30"/>
      <c r="AB358" s="30"/>
      <c r="AC358" s="30"/>
      <c r="DM358"/>
      <c r="DN358"/>
      <c r="DO358"/>
      <c r="DP358"/>
    </row>
    <row r="359" spans="27:120">
      <c r="AA359" s="30"/>
      <c r="AB359" s="30"/>
      <c r="AC359" s="30"/>
      <c r="DM359"/>
      <c r="DN359"/>
      <c r="DO359"/>
      <c r="DP359"/>
    </row>
    <row r="360" spans="27:120">
      <c r="AA360" s="30"/>
      <c r="AB360" s="30"/>
      <c r="AC360" s="30"/>
      <c r="DM360"/>
      <c r="DN360"/>
      <c r="DO360"/>
      <c r="DP360"/>
    </row>
    <row r="361" spans="27:120">
      <c r="AA361" s="30"/>
      <c r="AB361" s="30"/>
      <c r="AC361" s="30"/>
      <c r="DM361"/>
      <c r="DN361"/>
      <c r="DO361"/>
      <c r="DP361"/>
    </row>
    <row r="362" spans="27:120">
      <c r="AA362" s="30"/>
      <c r="AB362" s="30"/>
      <c r="AC362" s="30"/>
      <c r="DM362"/>
      <c r="DN362"/>
      <c r="DO362"/>
      <c r="DP362"/>
    </row>
    <row r="363" spans="27:120">
      <c r="AA363" s="30"/>
      <c r="AB363" s="30"/>
      <c r="AC363" s="30"/>
      <c r="DM363"/>
      <c r="DN363"/>
      <c r="DO363"/>
      <c r="DP363"/>
    </row>
    <row r="364" spans="27:120">
      <c r="AA364" s="30"/>
      <c r="AB364" s="30"/>
      <c r="AC364" s="30"/>
      <c r="DM364"/>
      <c r="DN364"/>
      <c r="DO364"/>
      <c r="DP364"/>
    </row>
    <row r="365" spans="27:120">
      <c r="AA365" s="30"/>
      <c r="AB365" s="30"/>
      <c r="AC365" s="30"/>
      <c r="DM365"/>
      <c r="DN365"/>
      <c r="DO365"/>
      <c r="DP365"/>
    </row>
    <row r="366" spans="27:120">
      <c r="AA366" s="30"/>
      <c r="AB366" s="30"/>
      <c r="AC366" s="30"/>
      <c r="DM366"/>
      <c r="DN366"/>
      <c r="DO366"/>
      <c r="DP366"/>
    </row>
    <row r="367" spans="27:120">
      <c r="AA367" s="30"/>
      <c r="AB367" s="30"/>
      <c r="AC367" s="30"/>
      <c r="DM367"/>
      <c r="DN367"/>
      <c r="DO367"/>
      <c r="DP367"/>
    </row>
    <row r="368" spans="27:120">
      <c r="AA368" s="30"/>
      <c r="AB368" s="30"/>
      <c r="AC368" s="30"/>
      <c r="DM368"/>
      <c r="DN368"/>
      <c r="DO368"/>
      <c r="DP368"/>
    </row>
    <row r="369" spans="27:120">
      <c r="AA369" s="30"/>
      <c r="AB369" s="30"/>
      <c r="AC369" s="30"/>
      <c r="DM369"/>
      <c r="DN369"/>
      <c r="DO369"/>
      <c r="DP369"/>
    </row>
    <row r="370" spans="27:120">
      <c r="AA370" s="30"/>
      <c r="AB370" s="30"/>
      <c r="AC370" s="30"/>
      <c r="DM370"/>
      <c r="DN370"/>
      <c r="DO370"/>
      <c r="DP370"/>
    </row>
    <row r="371" spans="27:120">
      <c r="AA371" s="30"/>
      <c r="AB371" s="30"/>
      <c r="AC371" s="30"/>
      <c r="DM371"/>
      <c r="DN371"/>
      <c r="DO371"/>
      <c r="DP371"/>
    </row>
    <row r="372" spans="27:120">
      <c r="AA372" s="30"/>
      <c r="AB372" s="30"/>
      <c r="AC372" s="30"/>
      <c r="DM372"/>
      <c r="DN372"/>
      <c r="DO372"/>
      <c r="DP372"/>
    </row>
    <row r="373" spans="27:120">
      <c r="AA373" s="30"/>
      <c r="AB373" s="30"/>
      <c r="AC373" s="30"/>
      <c r="DM373"/>
      <c r="DN373"/>
      <c r="DO373"/>
      <c r="DP373"/>
    </row>
    <row r="374" spans="27:120">
      <c r="AA374" s="30"/>
      <c r="AB374" s="30"/>
      <c r="AC374" s="30"/>
      <c r="DM374"/>
      <c r="DN374"/>
      <c r="DO374"/>
      <c r="DP374"/>
    </row>
    <row r="375" spans="27:120">
      <c r="AA375" s="30"/>
      <c r="AB375" s="30"/>
      <c r="AC375" s="30"/>
      <c r="DM375"/>
      <c r="DN375"/>
      <c r="DO375"/>
      <c r="DP375"/>
    </row>
    <row r="376" spans="27:120">
      <c r="AA376" s="30"/>
      <c r="AB376" s="30"/>
      <c r="AC376" s="30"/>
      <c r="DM376"/>
      <c r="DN376"/>
      <c r="DO376"/>
      <c r="DP376"/>
    </row>
    <row r="377" spans="27:120">
      <c r="AA377" s="30"/>
      <c r="AB377" s="30"/>
      <c r="AC377" s="30"/>
      <c r="DM377"/>
      <c r="DN377"/>
      <c r="DO377"/>
      <c r="DP377"/>
    </row>
    <row r="378" spans="27:120">
      <c r="AA378" s="30"/>
      <c r="AB378" s="30"/>
      <c r="AC378" s="30"/>
      <c r="DM378"/>
      <c r="DN378"/>
      <c r="DO378"/>
      <c r="DP378"/>
    </row>
    <row r="379" spans="27:120">
      <c r="AA379" s="30"/>
      <c r="AB379" s="30"/>
      <c r="AC379" s="30"/>
      <c r="DM379"/>
      <c r="DN379"/>
      <c r="DO379"/>
      <c r="DP379"/>
    </row>
    <row r="380" spans="27:120">
      <c r="AA380" s="30"/>
      <c r="AB380" s="30"/>
      <c r="AC380" s="30"/>
      <c r="DM380"/>
      <c r="DN380"/>
      <c r="DO380"/>
      <c r="DP380"/>
    </row>
    <row r="381" spans="27:120">
      <c r="AA381" s="30"/>
      <c r="AB381" s="30"/>
      <c r="AC381" s="30"/>
      <c r="DM381"/>
      <c r="DN381"/>
      <c r="DO381"/>
      <c r="DP381"/>
    </row>
    <row r="382" spans="27:120">
      <c r="AA382" s="30"/>
      <c r="AB382" s="30"/>
      <c r="AC382" s="30"/>
      <c r="DM382"/>
      <c r="DN382"/>
      <c r="DO382"/>
      <c r="DP382"/>
    </row>
    <row r="383" spans="27:120">
      <c r="AA383" s="30"/>
      <c r="AB383" s="30"/>
      <c r="AC383" s="30"/>
      <c r="DM383"/>
      <c r="DN383"/>
      <c r="DO383"/>
      <c r="DP383"/>
    </row>
    <row r="384" spans="27:120">
      <c r="AA384" s="30"/>
      <c r="AB384" s="30"/>
      <c r="AC384" s="30"/>
      <c r="DM384"/>
      <c r="DN384"/>
      <c r="DO384"/>
      <c r="DP384"/>
    </row>
    <row r="385" spans="27:120">
      <c r="AA385" s="30"/>
      <c r="AB385" s="30"/>
      <c r="AC385" s="30"/>
      <c r="DM385"/>
      <c r="DN385"/>
      <c r="DO385"/>
      <c r="DP385"/>
    </row>
    <row r="386" spans="27:120">
      <c r="AA386" s="30"/>
      <c r="AB386" s="30"/>
      <c r="AC386" s="30"/>
      <c r="DM386"/>
      <c r="DN386"/>
      <c r="DO386"/>
      <c r="DP386"/>
    </row>
    <row r="387" spans="27:120">
      <c r="AA387" s="30"/>
      <c r="AB387" s="30"/>
      <c r="AC387" s="30"/>
      <c r="DM387"/>
      <c r="DN387"/>
      <c r="DO387"/>
      <c r="DP387"/>
    </row>
    <row r="388" spans="27:120">
      <c r="AA388" s="30"/>
      <c r="AB388" s="30"/>
      <c r="AC388" s="30"/>
      <c r="DM388"/>
      <c r="DN388"/>
      <c r="DO388"/>
      <c r="DP388"/>
    </row>
    <row r="389" spans="27:120">
      <c r="AA389" s="30"/>
      <c r="AB389" s="30"/>
      <c r="AC389" s="30"/>
      <c r="DM389"/>
      <c r="DN389"/>
      <c r="DO389"/>
      <c r="DP389"/>
    </row>
    <row r="390" spans="27:120">
      <c r="AA390" s="30"/>
      <c r="AB390" s="30"/>
      <c r="AC390" s="30"/>
      <c r="DM390"/>
      <c r="DN390"/>
      <c r="DO390"/>
      <c r="DP390"/>
    </row>
    <row r="391" spans="27:120">
      <c r="AA391" s="30"/>
      <c r="AB391" s="30"/>
      <c r="AC391" s="30"/>
      <c r="DM391"/>
      <c r="DN391"/>
      <c r="DO391"/>
      <c r="DP391"/>
    </row>
    <row r="392" spans="27:120">
      <c r="AA392" s="30"/>
      <c r="AB392" s="30"/>
      <c r="AC392" s="30"/>
      <c r="DM392"/>
      <c r="DN392"/>
      <c r="DO392"/>
      <c r="DP392"/>
    </row>
    <row r="393" spans="27:120">
      <c r="AA393" s="30"/>
      <c r="AB393" s="30"/>
      <c r="AC393" s="30"/>
      <c r="DM393"/>
      <c r="DN393"/>
      <c r="DO393"/>
      <c r="DP393"/>
    </row>
    <row r="394" spans="27:120">
      <c r="AA394" s="30"/>
      <c r="AB394" s="30"/>
      <c r="AC394" s="30"/>
      <c r="DM394"/>
      <c r="DN394"/>
      <c r="DO394"/>
      <c r="DP394"/>
    </row>
    <row r="395" spans="27:120">
      <c r="AA395" s="30"/>
      <c r="AB395" s="30"/>
      <c r="AC395" s="30"/>
      <c r="DM395"/>
      <c r="DN395"/>
      <c r="DO395"/>
      <c r="DP395"/>
    </row>
    <row r="396" spans="27:120">
      <c r="AA396" s="30"/>
      <c r="AB396" s="30"/>
      <c r="AC396" s="30"/>
      <c r="DM396"/>
      <c r="DN396"/>
      <c r="DO396"/>
      <c r="DP396"/>
    </row>
    <row r="397" spans="27:120">
      <c r="AA397" s="30"/>
      <c r="AB397" s="30"/>
      <c r="AC397" s="30"/>
      <c r="DM397"/>
      <c r="DN397"/>
      <c r="DO397"/>
      <c r="DP397"/>
    </row>
    <row r="398" spans="27:120">
      <c r="AA398" s="30"/>
      <c r="AB398" s="30"/>
      <c r="AC398" s="30"/>
      <c r="DM398"/>
      <c r="DN398"/>
      <c r="DO398"/>
      <c r="DP398"/>
    </row>
    <row r="399" spans="27:120">
      <c r="AA399" s="30"/>
      <c r="AB399" s="30"/>
      <c r="AC399" s="30"/>
      <c r="DM399"/>
      <c r="DN399"/>
      <c r="DO399"/>
      <c r="DP399"/>
    </row>
    <row r="400" spans="27:120">
      <c r="AA400" s="30"/>
      <c r="AB400" s="30"/>
      <c r="AC400" s="30"/>
      <c r="DM400"/>
      <c r="DN400"/>
      <c r="DO400"/>
      <c r="DP400"/>
    </row>
    <row r="401" spans="27:120">
      <c r="AA401" s="30"/>
      <c r="AB401" s="30"/>
      <c r="AC401" s="30"/>
      <c r="DM401"/>
      <c r="DN401"/>
      <c r="DO401"/>
      <c r="DP401"/>
    </row>
    <row r="402" spans="27:120">
      <c r="AA402" s="30"/>
      <c r="AB402" s="30"/>
      <c r="AC402" s="30"/>
      <c r="DM402"/>
      <c r="DN402"/>
      <c r="DO402"/>
      <c r="DP402"/>
    </row>
    <row r="403" spans="27:120">
      <c r="AA403" s="30"/>
      <c r="AB403" s="30"/>
      <c r="AC403" s="30"/>
      <c r="DM403"/>
      <c r="DN403"/>
      <c r="DO403"/>
      <c r="DP403"/>
    </row>
    <row r="404" spans="27:120">
      <c r="AA404" s="30"/>
      <c r="AB404" s="30"/>
      <c r="AC404" s="30"/>
      <c r="DM404"/>
      <c r="DN404"/>
      <c r="DO404"/>
      <c r="DP404"/>
    </row>
    <row r="405" spans="27:120">
      <c r="AA405" s="30"/>
      <c r="AB405" s="30"/>
      <c r="AC405" s="30"/>
      <c r="DM405"/>
      <c r="DN405"/>
      <c r="DO405"/>
      <c r="DP405"/>
    </row>
    <row r="406" spans="27:120">
      <c r="AA406" s="30"/>
      <c r="AB406" s="30"/>
      <c r="AC406" s="30"/>
      <c r="DM406"/>
      <c r="DN406"/>
      <c r="DO406"/>
      <c r="DP406"/>
    </row>
    <row r="407" spans="27:120">
      <c r="AA407" s="30"/>
      <c r="AB407" s="30"/>
      <c r="AC407" s="30"/>
      <c r="DM407"/>
      <c r="DN407"/>
      <c r="DO407"/>
      <c r="DP407"/>
    </row>
    <row r="408" spans="27:120">
      <c r="AA408" s="30"/>
      <c r="AB408" s="30"/>
      <c r="AC408" s="30"/>
      <c r="DM408"/>
      <c r="DN408"/>
      <c r="DO408"/>
      <c r="DP408"/>
    </row>
    <row r="409" spans="27:120">
      <c r="AA409" s="30"/>
      <c r="AB409" s="30"/>
      <c r="AC409" s="30"/>
      <c r="DM409"/>
      <c r="DN409"/>
      <c r="DO409"/>
      <c r="DP409"/>
    </row>
    <row r="410" spans="27:120">
      <c r="AA410" s="30"/>
      <c r="AB410" s="30"/>
      <c r="AC410" s="30"/>
      <c r="DM410"/>
      <c r="DN410"/>
      <c r="DO410"/>
      <c r="DP410"/>
    </row>
    <row r="411" spans="27:120">
      <c r="AA411" s="30"/>
      <c r="AB411" s="30"/>
      <c r="AC411" s="30"/>
      <c r="DM411"/>
      <c r="DN411"/>
      <c r="DO411"/>
      <c r="DP411"/>
    </row>
    <row r="412" spans="27:120">
      <c r="AA412" s="30"/>
      <c r="AB412" s="30"/>
      <c r="AC412" s="30"/>
      <c r="DM412"/>
      <c r="DN412"/>
      <c r="DO412"/>
      <c r="DP412"/>
    </row>
    <row r="413" spans="27:120">
      <c r="AA413" s="30"/>
      <c r="AB413" s="30"/>
      <c r="AC413" s="30"/>
      <c r="DM413"/>
      <c r="DN413"/>
      <c r="DO413"/>
      <c r="DP413"/>
    </row>
    <row r="414" spans="27:120">
      <c r="AA414" s="30"/>
      <c r="AB414" s="30"/>
      <c r="AC414" s="30"/>
      <c r="DM414"/>
      <c r="DN414"/>
      <c r="DO414"/>
      <c r="DP414"/>
    </row>
    <row r="415" spans="27:120">
      <c r="AA415" s="30"/>
      <c r="AB415" s="30"/>
      <c r="AC415" s="30"/>
      <c r="DM415"/>
      <c r="DN415"/>
      <c r="DO415"/>
      <c r="DP415"/>
    </row>
    <row r="416" spans="27:120">
      <c r="AA416" s="30"/>
      <c r="AB416" s="30"/>
      <c r="AC416" s="30"/>
      <c r="DM416"/>
      <c r="DN416"/>
      <c r="DO416"/>
      <c r="DP416"/>
    </row>
    <row r="417" spans="27:120">
      <c r="AA417" s="30"/>
      <c r="AB417" s="30"/>
      <c r="AC417" s="30"/>
      <c r="DM417"/>
      <c r="DN417"/>
      <c r="DO417"/>
      <c r="DP417"/>
    </row>
    <row r="418" spans="27:120">
      <c r="AA418" s="30"/>
      <c r="AB418" s="30"/>
      <c r="AC418" s="30"/>
      <c r="DM418"/>
      <c r="DN418"/>
      <c r="DO418"/>
      <c r="DP418"/>
    </row>
    <row r="419" spans="27:120">
      <c r="AA419" s="30"/>
      <c r="AB419" s="30"/>
      <c r="AC419" s="30"/>
      <c r="DM419"/>
      <c r="DN419"/>
      <c r="DO419"/>
      <c r="DP419"/>
    </row>
    <row r="420" spans="27:120">
      <c r="AA420" s="30"/>
      <c r="AB420" s="30"/>
      <c r="AC420" s="30"/>
      <c r="DM420"/>
      <c r="DN420"/>
      <c r="DO420"/>
      <c r="DP420"/>
    </row>
    <row r="421" spans="27:120">
      <c r="AA421" s="30"/>
      <c r="AB421" s="30"/>
      <c r="AC421" s="30"/>
      <c r="DM421"/>
      <c r="DN421"/>
      <c r="DO421"/>
      <c r="DP421"/>
    </row>
    <row r="422" spans="27:120">
      <c r="AA422" s="30"/>
      <c r="AB422" s="30"/>
      <c r="AC422" s="30"/>
      <c r="DM422"/>
      <c r="DN422"/>
      <c r="DO422"/>
      <c r="DP422"/>
    </row>
    <row r="423" spans="27:120">
      <c r="AA423" s="30"/>
      <c r="AB423" s="30"/>
      <c r="AC423" s="30"/>
      <c r="DM423"/>
      <c r="DN423"/>
      <c r="DO423"/>
      <c r="DP423"/>
    </row>
    <row r="424" spans="27:120">
      <c r="AA424" s="30"/>
      <c r="AB424" s="30"/>
      <c r="AC424" s="30"/>
      <c r="DM424"/>
      <c r="DN424"/>
      <c r="DO424"/>
      <c r="DP424"/>
    </row>
    <row r="425" spans="27:120">
      <c r="AA425" s="30"/>
      <c r="AB425" s="30"/>
      <c r="AC425" s="30"/>
      <c r="DM425"/>
      <c r="DN425"/>
      <c r="DO425"/>
      <c r="DP425"/>
    </row>
    <row r="426" spans="27:120">
      <c r="AA426" s="30"/>
      <c r="AB426" s="30"/>
      <c r="AC426" s="30"/>
      <c r="DM426"/>
      <c r="DN426"/>
      <c r="DO426"/>
      <c r="DP426"/>
    </row>
    <row r="427" spans="27:120">
      <c r="AA427" s="30"/>
      <c r="AB427" s="30"/>
      <c r="AC427" s="30"/>
      <c r="DM427"/>
      <c r="DN427"/>
      <c r="DO427"/>
      <c r="DP427"/>
    </row>
    <row r="428" spans="27:120">
      <c r="AA428" s="30"/>
      <c r="AB428" s="30"/>
      <c r="AC428" s="30"/>
      <c r="DM428"/>
      <c r="DN428"/>
      <c r="DO428"/>
      <c r="DP428"/>
    </row>
    <row r="429" spans="27:120">
      <c r="AA429" s="30"/>
      <c r="AB429" s="30"/>
      <c r="AC429" s="30"/>
      <c r="DM429"/>
      <c r="DN429"/>
      <c r="DO429"/>
      <c r="DP429"/>
    </row>
    <row r="430" spans="27:120">
      <c r="AA430" s="30"/>
      <c r="AB430" s="30"/>
      <c r="AC430" s="30"/>
      <c r="DM430"/>
      <c r="DN430"/>
      <c r="DO430"/>
      <c r="DP430"/>
    </row>
    <row r="431" spans="27:120">
      <c r="AA431" s="30"/>
      <c r="AB431" s="30"/>
      <c r="AC431" s="30"/>
      <c r="DM431"/>
      <c r="DN431"/>
      <c r="DO431"/>
      <c r="DP431"/>
    </row>
    <row r="432" spans="27:120">
      <c r="AA432" s="30"/>
      <c r="AB432" s="30"/>
      <c r="AC432" s="30"/>
      <c r="DM432"/>
      <c r="DN432"/>
      <c r="DO432"/>
      <c r="DP432"/>
    </row>
    <row r="433" spans="27:120">
      <c r="AA433" s="30"/>
      <c r="AB433" s="30"/>
      <c r="AC433" s="30"/>
      <c r="DM433"/>
      <c r="DN433"/>
      <c r="DO433"/>
      <c r="DP433"/>
    </row>
    <row r="434" spans="27:120">
      <c r="AA434" s="30"/>
      <c r="AB434" s="30"/>
      <c r="AC434" s="30"/>
      <c r="DM434"/>
      <c r="DN434"/>
      <c r="DO434"/>
      <c r="DP434"/>
    </row>
    <row r="435" spans="27:120">
      <c r="AA435" s="30"/>
      <c r="AB435" s="30"/>
      <c r="AC435" s="30"/>
      <c r="DM435"/>
      <c r="DN435"/>
      <c r="DO435"/>
      <c r="DP435"/>
    </row>
    <row r="436" spans="27:120">
      <c r="AA436" s="30"/>
      <c r="AB436" s="30"/>
      <c r="AC436" s="30"/>
      <c r="DM436"/>
      <c r="DN436"/>
      <c r="DO436"/>
      <c r="DP436"/>
    </row>
    <row r="437" spans="27:120">
      <c r="AA437" s="30"/>
      <c r="AB437" s="30"/>
      <c r="AC437" s="30"/>
      <c r="DM437"/>
      <c r="DN437"/>
      <c r="DO437"/>
      <c r="DP437"/>
    </row>
    <row r="438" spans="27:120">
      <c r="AA438" s="30"/>
      <c r="AB438" s="30"/>
      <c r="AC438" s="30"/>
      <c r="DM438"/>
      <c r="DN438"/>
      <c r="DO438"/>
      <c r="DP438"/>
    </row>
    <row r="439" spans="27:120">
      <c r="AA439" s="30"/>
      <c r="AB439" s="30"/>
      <c r="AC439" s="30"/>
      <c r="DM439"/>
      <c r="DN439"/>
      <c r="DO439"/>
      <c r="DP439"/>
    </row>
    <row r="440" spans="27:120">
      <c r="AA440" s="30"/>
      <c r="AB440" s="30"/>
      <c r="AC440" s="30"/>
      <c r="DM440"/>
      <c r="DN440"/>
      <c r="DO440"/>
      <c r="DP440"/>
    </row>
    <row r="441" spans="27:120">
      <c r="AA441" s="30"/>
      <c r="AB441" s="30"/>
      <c r="AC441" s="30"/>
      <c r="DM441"/>
      <c r="DN441"/>
      <c r="DO441"/>
      <c r="DP441"/>
    </row>
    <row r="442" spans="27:120">
      <c r="AA442" s="30"/>
      <c r="AB442" s="30"/>
      <c r="AC442" s="30"/>
      <c r="DM442"/>
      <c r="DN442"/>
      <c r="DO442"/>
      <c r="DP442"/>
    </row>
    <row r="443" spans="27:120">
      <c r="AA443" s="30"/>
      <c r="AB443" s="30"/>
      <c r="AC443" s="30"/>
      <c r="DM443"/>
      <c r="DN443"/>
      <c r="DO443"/>
      <c r="DP443"/>
    </row>
    <row r="444" spans="27:120">
      <c r="AA444" s="30"/>
      <c r="AB444" s="30"/>
      <c r="AC444" s="30"/>
      <c r="DM444"/>
      <c r="DN444"/>
      <c r="DO444"/>
      <c r="DP444"/>
    </row>
    <row r="445" spans="27:120">
      <c r="AA445" s="30"/>
      <c r="AB445" s="30"/>
      <c r="AC445" s="30"/>
      <c r="DM445"/>
      <c r="DN445"/>
      <c r="DO445"/>
      <c r="DP445"/>
    </row>
    <row r="446" spans="27:120">
      <c r="AA446" s="30"/>
      <c r="AB446" s="30"/>
      <c r="AC446" s="30"/>
      <c r="DM446"/>
      <c r="DN446"/>
      <c r="DO446"/>
      <c r="DP446"/>
    </row>
    <row r="447" spans="27:120">
      <c r="AA447" s="30"/>
      <c r="AB447" s="30"/>
      <c r="AC447" s="30"/>
      <c r="DM447"/>
      <c r="DN447"/>
      <c r="DO447"/>
      <c r="DP447"/>
    </row>
    <row r="448" spans="27:120">
      <c r="AA448" s="30"/>
      <c r="AB448" s="30"/>
      <c r="AC448" s="30"/>
      <c r="DM448"/>
      <c r="DN448"/>
      <c r="DO448"/>
      <c r="DP448"/>
    </row>
    <row r="449" spans="27:120">
      <c r="AA449" s="30"/>
      <c r="AB449" s="30"/>
      <c r="AC449" s="30"/>
      <c r="DM449"/>
      <c r="DN449"/>
      <c r="DO449"/>
      <c r="DP449"/>
    </row>
    <row r="450" spans="27:120">
      <c r="AA450" s="30"/>
      <c r="AB450" s="30"/>
      <c r="AC450" s="30"/>
      <c r="DM450"/>
      <c r="DN450"/>
      <c r="DO450"/>
      <c r="DP450"/>
    </row>
    <row r="451" spans="27:120">
      <c r="AA451" s="30"/>
      <c r="AB451" s="30"/>
      <c r="AC451" s="30"/>
      <c r="DM451"/>
      <c r="DN451"/>
      <c r="DO451"/>
      <c r="DP451"/>
    </row>
    <row r="452" spans="27:120">
      <c r="AA452" s="30"/>
      <c r="AB452" s="30"/>
      <c r="AC452" s="30"/>
      <c r="DM452"/>
      <c r="DN452"/>
      <c r="DO452"/>
      <c r="DP452"/>
    </row>
    <row r="453" spans="27:120">
      <c r="AA453" s="30"/>
      <c r="AB453" s="30"/>
      <c r="AC453" s="30"/>
      <c r="DM453"/>
      <c r="DN453"/>
      <c r="DO453"/>
      <c r="DP453"/>
    </row>
    <row r="454" spans="27:120">
      <c r="AA454" s="30"/>
      <c r="AB454" s="30"/>
      <c r="AC454" s="30"/>
      <c r="DM454"/>
      <c r="DN454"/>
      <c r="DO454"/>
      <c r="DP454"/>
    </row>
    <row r="455" spans="27:120">
      <c r="AA455" s="30"/>
      <c r="AB455" s="30"/>
      <c r="AC455" s="30"/>
      <c r="DM455"/>
      <c r="DN455"/>
      <c r="DO455"/>
      <c r="DP455"/>
    </row>
    <row r="456" spans="27:120">
      <c r="AA456" s="30"/>
      <c r="AB456" s="30"/>
      <c r="AC456" s="30"/>
      <c r="DM456"/>
      <c r="DN456"/>
      <c r="DO456"/>
      <c r="DP456"/>
    </row>
    <row r="457" spans="27:120">
      <c r="AA457" s="30"/>
      <c r="AB457" s="30"/>
      <c r="AC457" s="30"/>
      <c r="DM457"/>
      <c r="DN457"/>
      <c r="DO457"/>
      <c r="DP457"/>
    </row>
    <row r="458" spans="27:120">
      <c r="AA458" s="30"/>
      <c r="AB458" s="30"/>
      <c r="AC458" s="30"/>
      <c r="DM458"/>
      <c r="DN458"/>
      <c r="DO458"/>
      <c r="DP458"/>
    </row>
    <row r="459" spans="27:120">
      <c r="AA459" s="30"/>
      <c r="AB459" s="30"/>
      <c r="AC459" s="30"/>
      <c r="DM459"/>
      <c r="DN459"/>
      <c r="DO459"/>
      <c r="DP459"/>
    </row>
    <row r="460" spans="27:120">
      <c r="AA460" s="30"/>
      <c r="AB460" s="30"/>
      <c r="AC460" s="30"/>
      <c r="DM460"/>
      <c r="DN460"/>
      <c r="DO460"/>
      <c r="DP460"/>
    </row>
    <row r="461" spans="27:120">
      <c r="AA461" s="30"/>
      <c r="AB461" s="30"/>
      <c r="AC461" s="30"/>
      <c r="DM461"/>
      <c r="DN461"/>
      <c r="DO461"/>
      <c r="DP461"/>
    </row>
    <row r="462" spans="27:120">
      <c r="AA462" s="30"/>
      <c r="AB462" s="30"/>
      <c r="AC462" s="30"/>
      <c r="DM462"/>
      <c r="DN462"/>
      <c r="DO462"/>
      <c r="DP462"/>
    </row>
    <row r="463" spans="27:120">
      <c r="AA463" s="30"/>
      <c r="AB463" s="30"/>
      <c r="AC463" s="30"/>
      <c r="DM463"/>
      <c r="DN463"/>
      <c r="DO463"/>
      <c r="DP463"/>
    </row>
    <row r="464" spans="27:120">
      <c r="AA464" s="30"/>
      <c r="AB464" s="30"/>
      <c r="AC464" s="30"/>
      <c r="DM464"/>
      <c r="DN464"/>
      <c r="DO464"/>
      <c r="DP464"/>
    </row>
    <row r="465" spans="27:120">
      <c r="AA465" s="30"/>
      <c r="AB465" s="30"/>
      <c r="AC465" s="30"/>
      <c r="DM465"/>
      <c r="DN465"/>
      <c r="DO465"/>
      <c r="DP465"/>
    </row>
    <row r="466" spans="27:120">
      <c r="AA466" s="30"/>
      <c r="AB466" s="30"/>
      <c r="AC466" s="30"/>
      <c r="DM466"/>
      <c r="DN466"/>
      <c r="DO466"/>
      <c r="DP466"/>
    </row>
    <row r="467" spans="27:120">
      <c r="AA467" s="30"/>
      <c r="AB467" s="30"/>
      <c r="AC467" s="30"/>
      <c r="DM467"/>
      <c r="DN467"/>
      <c r="DO467"/>
      <c r="DP467"/>
    </row>
    <row r="468" spans="27:120">
      <c r="AA468" s="30"/>
      <c r="AB468" s="30"/>
      <c r="AC468" s="30"/>
      <c r="DM468"/>
      <c r="DN468"/>
      <c r="DO468"/>
      <c r="DP468"/>
    </row>
    <row r="469" spans="27:120">
      <c r="AA469" s="30"/>
      <c r="AB469" s="30"/>
      <c r="AC469" s="30"/>
      <c r="DM469"/>
      <c r="DN469"/>
      <c r="DO469"/>
      <c r="DP469"/>
    </row>
    <row r="470" spans="27:120">
      <c r="AA470" s="30"/>
      <c r="AB470" s="30"/>
      <c r="AC470" s="30"/>
      <c r="DM470"/>
      <c r="DN470"/>
      <c r="DO470"/>
      <c r="DP470"/>
    </row>
    <row r="471" spans="27:120">
      <c r="AA471" s="30"/>
      <c r="AB471" s="30"/>
      <c r="AC471" s="30"/>
      <c r="DM471"/>
      <c r="DN471"/>
      <c r="DO471"/>
      <c r="DP471"/>
    </row>
    <row r="472" spans="27:120">
      <c r="AA472" s="30"/>
      <c r="AB472" s="30"/>
      <c r="AC472" s="30"/>
      <c r="DM472"/>
      <c r="DN472"/>
      <c r="DO472"/>
      <c r="DP472"/>
    </row>
    <row r="473" spans="27:120">
      <c r="AA473" s="30"/>
      <c r="AB473" s="30"/>
      <c r="AC473" s="30"/>
      <c r="DM473"/>
      <c r="DN473"/>
      <c r="DO473"/>
      <c r="DP473"/>
    </row>
    <row r="474" spans="27:120">
      <c r="AA474" s="30"/>
      <c r="AB474" s="30"/>
      <c r="AC474" s="30"/>
      <c r="DM474"/>
      <c r="DN474"/>
      <c r="DO474"/>
      <c r="DP474"/>
    </row>
    <row r="475" spans="27:120">
      <c r="AA475" s="30"/>
      <c r="AB475" s="30"/>
      <c r="AC475" s="30"/>
      <c r="DM475"/>
      <c r="DN475"/>
      <c r="DO475"/>
      <c r="DP475"/>
    </row>
    <row r="476" spans="27:120">
      <c r="AA476" s="30"/>
      <c r="AB476" s="30"/>
      <c r="AC476" s="30"/>
      <c r="DM476"/>
      <c r="DN476"/>
      <c r="DO476"/>
      <c r="DP476"/>
    </row>
    <row r="477" spans="27:120">
      <c r="AA477" s="30"/>
      <c r="AB477" s="30"/>
      <c r="AC477" s="30"/>
      <c r="DM477"/>
      <c r="DN477"/>
      <c r="DO477"/>
      <c r="DP477"/>
    </row>
    <row r="478" spans="27:120">
      <c r="AA478" s="30"/>
      <c r="AB478" s="30"/>
      <c r="AC478" s="30"/>
      <c r="DM478"/>
      <c r="DN478"/>
      <c r="DO478"/>
      <c r="DP478"/>
    </row>
    <row r="479" spans="27:120">
      <c r="AA479" s="30"/>
      <c r="AB479" s="30"/>
      <c r="AC479" s="30"/>
      <c r="DM479"/>
      <c r="DN479"/>
      <c r="DO479"/>
      <c r="DP479"/>
    </row>
    <row r="480" spans="27:120">
      <c r="AA480" s="30"/>
      <c r="AB480" s="30"/>
      <c r="AC480" s="30"/>
      <c r="DM480"/>
      <c r="DN480"/>
      <c r="DO480"/>
      <c r="DP480"/>
    </row>
    <row r="481" spans="27:120">
      <c r="AA481" s="30"/>
      <c r="AB481" s="30"/>
      <c r="AC481" s="30"/>
      <c r="DM481"/>
      <c r="DN481"/>
      <c r="DO481"/>
      <c r="DP481"/>
    </row>
    <row r="482" spans="27:120">
      <c r="AA482" s="30"/>
      <c r="AB482" s="30"/>
      <c r="AC482" s="30"/>
      <c r="DM482"/>
      <c r="DN482"/>
      <c r="DO482"/>
      <c r="DP482"/>
    </row>
    <row r="483" spans="27:120">
      <c r="AA483" s="30"/>
      <c r="AB483" s="30"/>
      <c r="AC483" s="30"/>
      <c r="DM483"/>
      <c r="DN483"/>
      <c r="DO483"/>
      <c r="DP483"/>
    </row>
    <row r="484" spans="27:120">
      <c r="AA484" s="30"/>
      <c r="AB484" s="30"/>
      <c r="AC484" s="30"/>
      <c r="DM484"/>
      <c r="DN484"/>
      <c r="DO484"/>
      <c r="DP484"/>
    </row>
    <row r="485" spans="27:120">
      <c r="AA485" s="30"/>
      <c r="AB485" s="30"/>
      <c r="AC485" s="30"/>
      <c r="DM485"/>
      <c r="DN485"/>
      <c r="DO485"/>
      <c r="DP485"/>
    </row>
    <row r="486" spans="27:120">
      <c r="AA486" s="30"/>
      <c r="AB486" s="30"/>
      <c r="AC486" s="30"/>
      <c r="DM486"/>
      <c r="DN486"/>
      <c r="DO486"/>
      <c r="DP486"/>
    </row>
    <row r="487" spans="27:120">
      <c r="AA487" s="30"/>
      <c r="AB487" s="30"/>
      <c r="AC487" s="30"/>
      <c r="DM487"/>
      <c r="DN487"/>
      <c r="DO487"/>
      <c r="DP487"/>
    </row>
    <row r="488" spans="27:120">
      <c r="AA488" s="30"/>
      <c r="AB488" s="30"/>
      <c r="AC488" s="30"/>
      <c r="DM488"/>
      <c r="DN488"/>
      <c r="DO488"/>
      <c r="DP488"/>
    </row>
    <row r="489" spans="27:120">
      <c r="AA489" s="30"/>
      <c r="AB489" s="30"/>
      <c r="AC489" s="30"/>
      <c r="DM489"/>
      <c r="DN489"/>
      <c r="DO489"/>
      <c r="DP489"/>
    </row>
    <row r="490" spans="27:120">
      <c r="AA490" s="30"/>
      <c r="AB490" s="30"/>
      <c r="AC490" s="30"/>
      <c r="DM490"/>
      <c r="DN490"/>
      <c r="DO490"/>
      <c r="DP490"/>
    </row>
    <row r="491" spans="27:120">
      <c r="AA491" s="30"/>
      <c r="AB491" s="30"/>
      <c r="AC491" s="30"/>
      <c r="DM491"/>
      <c r="DN491"/>
      <c r="DO491"/>
      <c r="DP491"/>
    </row>
    <row r="492" spans="27:120">
      <c r="AA492" s="30"/>
      <c r="AB492" s="30"/>
      <c r="AC492" s="30"/>
      <c r="DM492"/>
      <c r="DN492"/>
      <c r="DO492"/>
      <c r="DP492"/>
    </row>
    <row r="493" spans="27:120">
      <c r="AA493" s="30"/>
      <c r="AB493" s="30"/>
      <c r="AC493" s="30"/>
      <c r="DM493"/>
      <c r="DN493"/>
      <c r="DO493"/>
      <c r="DP493"/>
    </row>
    <row r="494" spans="27:120">
      <c r="AA494" s="30"/>
      <c r="AB494" s="30"/>
      <c r="AC494" s="30"/>
      <c r="DM494"/>
      <c r="DN494"/>
      <c r="DO494"/>
      <c r="DP494"/>
    </row>
    <row r="495" spans="27:120">
      <c r="AA495" s="30"/>
      <c r="AB495" s="30"/>
      <c r="AC495" s="30"/>
      <c r="DM495"/>
      <c r="DN495"/>
      <c r="DO495"/>
      <c r="DP495"/>
    </row>
    <row r="496" spans="27:120">
      <c r="AA496" s="30"/>
      <c r="AB496" s="30"/>
      <c r="AC496" s="30"/>
      <c r="DM496"/>
      <c r="DN496"/>
      <c r="DO496"/>
      <c r="DP496"/>
    </row>
    <row r="497" spans="27:120">
      <c r="AA497" s="30"/>
      <c r="AB497" s="30"/>
      <c r="AC497" s="30"/>
      <c r="DM497"/>
      <c r="DN497"/>
      <c r="DO497"/>
      <c r="DP497"/>
    </row>
    <row r="498" spans="27:120">
      <c r="AA498" s="30"/>
      <c r="AB498" s="30"/>
      <c r="AC498" s="30"/>
      <c r="DM498"/>
      <c r="DN498"/>
      <c r="DO498"/>
      <c r="DP498"/>
    </row>
    <row r="499" spans="27:120">
      <c r="AA499" s="30"/>
      <c r="AB499" s="30"/>
      <c r="AC499" s="30"/>
      <c r="DM499"/>
      <c r="DN499"/>
      <c r="DO499"/>
      <c r="DP499"/>
    </row>
    <row r="500" spans="27:120">
      <c r="AA500" s="30"/>
      <c r="AB500" s="30"/>
      <c r="AC500" s="30"/>
      <c r="DM500"/>
      <c r="DN500"/>
      <c r="DO500"/>
      <c r="DP500"/>
    </row>
    <row r="501" spans="27:120">
      <c r="AA501" s="30"/>
      <c r="AB501" s="30"/>
      <c r="AC501" s="30"/>
      <c r="DM501"/>
      <c r="DN501"/>
      <c r="DO501"/>
      <c r="DP501"/>
    </row>
    <row r="502" spans="27:120">
      <c r="AA502" s="30"/>
      <c r="AB502" s="30"/>
      <c r="AC502" s="30"/>
      <c r="DM502"/>
      <c r="DN502"/>
      <c r="DO502"/>
      <c r="DP502"/>
    </row>
    <row r="503" spans="27:120">
      <c r="AA503" s="30"/>
      <c r="AB503" s="30"/>
      <c r="AC503" s="30"/>
      <c r="DM503"/>
      <c r="DN503"/>
      <c r="DO503"/>
      <c r="DP503"/>
    </row>
    <row r="504" spans="27:120">
      <c r="AA504" s="30"/>
      <c r="AB504" s="30"/>
      <c r="AC504" s="30"/>
      <c r="DM504"/>
      <c r="DN504"/>
      <c r="DO504"/>
      <c r="DP504"/>
    </row>
    <row r="505" spans="27:120">
      <c r="AA505" s="30"/>
      <c r="AB505" s="30"/>
      <c r="AC505" s="30"/>
      <c r="DM505"/>
      <c r="DN505"/>
      <c r="DO505"/>
      <c r="DP505"/>
    </row>
    <row r="506" spans="27:120">
      <c r="AA506" s="30"/>
      <c r="AB506" s="30"/>
      <c r="AC506" s="30"/>
      <c r="DM506"/>
      <c r="DN506"/>
      <c r="DO506"/>
      <c r="DP506"/>
    </row>
    <row r="507" spans="27:120">
      <c r="AA507" s="30"/>
      <c r="AB507" s="30"/>
      <c r="AC507" s="30"/>
      <c r="DM507"/>
      <c r="DN507"/>
      <c r="DO507"/>
      <c r="DP507"/>
    </row>
    <row r="508" spans="27:120">
      <c r="AA508" s="30"/>
      <c r="AB508" s="30"/>
      <c r="AC508" s="30"/>
      <c r="DM508"/>
      <c r="DN508"/>
      <c r="DO508"/>
      <c r="DP508"/>
    </row>
    <row r="509" spans="27:120">
      <c r="AA509" s="30"/>
      <c r="AB509" s="30"/>
      <c r="AC509" s="30"/>
      <c r="DM509"/>
      <c r="DN509"/>
      <c r="DO509"/>
      <c r="DP509"/>
    </row>
    <row r="510" spans="27:120">
      <c r="AA510" s="30"/>
      <c r="AB510" s="30"/>
      <c r="AC510" s="30"/>
      <c r="DM510"/>
      <c r="DN510"/>
      <c r="DO510"/>
      <c r="DP510"/>
    </row>
    <row r="511" spans="27:120">
      <c r="AA511" s="30"/>
      <c r="AB511" s="30"/>
      <c r="AC511" s="30"/>
      <c r="DM511"/>
      <c r="DN511"/>
      <c r="DO511"/>
      <c r="DP511"/>
    </row>
    <row r="512" spans="27:120">
      <c r="AA512" s="30"/>
      <c r="AB512" s="30"/>
      <c r="AC512" s="30"/>
      <c r="DM512"/>
      <c r="DN512"/>
      <c r="DO512"/>
      <c r="DP512"/>
    </row>
    <row r="513" spans="27:120">
      <c r="AA513" s="30"/>
      <c r="AB513" s="30"/>
      <c r="AC513" s="30"/>
      <c r="DM513"/>
      <c r="DN513"/>
      <c r="DO513"/>
      <c r="DP513"/>
    </row>
    <row r="514" spans="27:120">
      <c r="AA514" s="30"/>
      <c r="AB514" s="30"/>
      <c r="AC514" s="30"/>
      <c r="DM514"/>
      <c r="DN514"/>
      <c r="DO514"/>
      <c r="DP514"/>
    </row>
    <row r="515" spans="27:120">
      <c r="AA515" s="30"/>
      <c r="AB515" s="30"/>
      <c r="AC515" s="30"/>
      <c r="DM515"/>
      <c r="DN515"/>
      <c r="DO515"/>
      <c r="DP515"/>
    </row>
    <row r="516" spans="27:120">
      <c r="AA516" s="30"/>
      <c r="AB516" s="30"/>
      <c r="AC516" s="30"/>
      <c r="DM516"/>
      <c r="DN516"/>
      <c r="DO516"/>
      <c r="DP516"/>
    </row>
    <row r="517" spans="27:120">
      <c r="AA517" s="30"/>
      <c r="AB517" s="30"/>
      <c r="AC517" s="30"/>
      <c r="DM517"/>
      <c r="DN517"/>
      <c r="DO517"/>
      <c r="DP517"/>
    </row>
    <row r="518" spans="27:120">
      <c r="AA518" s="30"/>
      <c r="AB518" s="30"/>
      <c r="AC518" s="30"/>
      <c r="DM518"/>
      <c r="DN518"/>
      <c r="DO518"/>
      <c r="DP518"/>
    </row>
    <row r="519" spans="27:120">
      <c r="AA519" s="30"/>
      <c r="AB519" s="30"/>
      <c r="AC519" s="30"/>
      <c r="DM519"/>
      <c r="DN519"/>
      <c r="DO519"/>
      <c r="DP519"/>
    </row>
    <row r="520" spans="27:120">
      <c r="AA520" s="30"/>
      <c r="AB520" s="30"/>
      <c r="AC520" s="30"/>
      <c r="DM520"/>
      <c r="DN520"/>
      <c r="DO520"/>
      <c r="DP520"/>
    </row>
    <row r="521" spans="27:120">
      <c r="AA521" s="30"/>
      <c r="AB521" s="30"/>
      <c r="AC521" s="30"/>
      <c r="DM521"/>
      <c r="DN521"/>
      <c r="DO521"/>
      <c r="DP521"/>
    </row>
    <row r="522" spans="27:120">
      <c r="AA522" s="30"/>
      <c r="AB522" s="30"/>
      <c r="AC522" s="30"/>
      <c r="DM522"/>
      <c r="DN522"/>
      <c r="DO522"/>
      <c r="DP522"/>
    </row>
    <row r="523" spans="27:120">
      <c r="AA523" s="30"/>
      <c r="AB523" s="30"/>
      <c r="AC523" s="30"/>
      <c r="DM523"/>
      <c r="DN523"/>
      <c r="DO523"/>
      <c r="DP523"/>
    </row>
    <row r="524" spans="27:120">
      <c r="AA524" s="30"/>
      <c r="AB524" s="30"/>
      <c r="AC524" s="30"/>
      <c r="DM524"/>
      <c r="DN524"/>
      <c r="DO524"/>
      <c r="DP524"/>
    </row>
    <row r="525" spans="27:120">
      <c r="AA525" s="30"/>
      <c r="AB525" s="30"/>
      <c r="AC525" s="30"/>
      <c r="DM525"/>
      <c r="DN525"/>
      <c r="DO525"/>
      <c r="DP525"/>
    </row>
    <row r="526" spans="27:120">
      <c r="AA526" s="30"/>
      <c r="AB526" s="30"/>
      <c r="AC526" s="30"/>
      <c r="DM526"/>
      <c r="DN526"/>
      <c r="DO526"/>
      <c r="DP526"/>
    </row>
    <row r="527" spans="27:120">
      <c r="AA527" s="30"/>
      <c r="AB527" s="30"/>
      <c r="AC527" s="30"/>
      <c r="DM527"/>
      <c r="DN527"/>
      <c r="DO527"/>
      <c r="DP527"/>
    </row>
    <row r="528" spans="27:120">
      <c r="AA528" s="30"/>
      <c r="AB528" s="30"/>
      <c r="AC528" s="30"/>
      <c r="DM528"/>
      <c r="DN528"/>
      <c r="DO528"/>
      <c r="DP528"/>
    </row>
    <row r="529" spans="27:120">
      <c r="AA529" s="30"/>
      <c r="AB529" s="30"/>
      <c r="AC529" s="30"/>
      <c r="DM529"/>
      <c r="DN529"/>
      <c r="DO529"/>
      <c r="DP529"/>
    </row>
    <row r="530" spans="27:120">
      <c r="AA530" s="30"/>
      <c r="AB530" s="30"/>
      <c r="AC530" s="30"/>
      <c r="DM530"/>
      <c r="DN530"/>
      <c r="DO530"/>
      <c r="DP530"/>
    </row>
    <row r="531" spans="27:120">
      <c r="AA531" s="30"/>
      <c r="AB531" s="30"/>
      <c r="AC531" s="30"/>
      <c r="DM531"/>
      <c r="DN531"/>
      <c r="DO531"/>
      <c r="DP531"/>
    </row>
    <row r="532" spans="27:120">
      <c r="AA532" s="30"/>
      <c r="AB532" s="30"/>
      <c r="AC532" s="30"/>
      <c r="DM532"/>
      <c r="DN532"/>
      <c r="DO532"/>
      <c r="DP532"/>
    </row>
    <row r="533" spans="27:120">
      <c r="AA533" s="30"/>
      <c r="AB533" s="30"/>
      <c r="AC533" s="30"/>
      <c r="DM533"/>
      <c r="DN533"/>
      <c r="DO533"/>
      <c r="DP533"/>
    </row>
    <row r="534" spans="27:120">
      <c r="AA534" s="30"/>
      <c r="AB534" s="30"/>
      <c r="AC534" s="30"/>
      <c r="DM534"/>
      <c r="DN534"/>
      <c r="DO534"/>
      <c r="DP534"/>
    </row>
    <row r="535" spans="27:120">
      <c r="AA535" s="30"/>
      <c r="AB535" s="30"/>
      <c r="AC535" s="30"/>
      <c r="DM535"/>
      <c r="DN535"/>
      <c r="DO535"/>
      <c r="DP535"/>
    </row>
    <row r="536" spans="27:120">
      <c r="AA536" s="30"/>
      <c r="AB536" s="30"/>
      <c r="AC536" s="30"/>
      <c r="DM536"/>
      <c r="DN536"/>
      <c r="DO536"/>
      <c r="DP536"/>
    </row>
    <row r="537" spans="27:120">
      <c r="AA537" s="30"/>
      <c r="AB537" s="30"/>
      <c r="AC537" s="30"/>
      <c r="DM537"/>
      <c r="DN537"/>
      <c r="DO537"/>
      <c r="DP537"/>
    </row>
    <row r="538" spans="27:120">
      <c r="AA538" s="30"/>
      <c r="AB538" s="30"/>
      <c r="AC538" s="30"/>
      <c r="DM538"/>
      <c r="DN538"/>
      <c r="DO538"/>
      <c r="DP538"/>
    </row>
    <row r="539" spans="27:120">
      <c r="AA539" s="30"/>
      <c r="AB539" s="30"/>
      <c r="AC539" s="30"/>
      <c r="DM539"/>
      <c r="DN539"/>
      <c r="DO539"/>
      <c r="DP539"/>
    </row>
    <row r="540" spans="27:120">
      <c r="AA540" s="30"/>
      <c r="AB540" s="30"/>
      <c r="AC540" s="30"/>
      <c r="DM540"/>
      <c r="DN540"/>
      <c r="DO540"/>
      <c r="DP540"/>
    </row>
    <row r="541" spans="27:120">
      <c r="AA541" s="30"/>
      <c r="AB541" s="30"/>
      <c r="AC541" s="30"/>
      <c r="DM541"/>
      <c r="DN541"/>
      <c r="DO541"/>
      <c r="DP541"/>
    </row>
    <row r="542" spans="27:120">
      <c r="AA542" s="30"/>
      <c r="AB542" s="30"/>
      <c r="AC542" s="30"/>
      <c r="DM542"/>
      <c r="DN542"/>
      <c r="DO542"/>
      <c r="DP542"/>
    </row>
    <row r="543" spans="27:120">
      <c r="AA543" s="30"/>
      <c r="AB543" s="30"/>
      <c r="AC543" s="30"/>
      <c r="DM543"/>
      <c r="DN543"/>
      <c r="DO543"/>
      <c r="DP543"/>
    </row>
    <row r="544" spans="27:120">
      <c r="AA544" s="30"/>
      <c r="AB544" s="30"/>
      <c r="AC544" s="30"/>
      <c r="DM544"/>
      <c r="DN544"/>
      <c r="DO544"/>
      <c r="DP544"/>
    </row>
    <row r="545" spans="27:120">
      <c r="AA545" s="30"/>
      <c r="AB545" s="30"/>
      <c r="AC545" s="30"/>
      <c r="DM545"/>
      <c r="DN545"/>
      <c r="DO545"/>
      <c r="DP545"/>
    </row>
    <row r="546" spans="27:120">
      <c r="AA546" s="30"/>
      <c r="AB546" s="30"/>
      <c r="AC546" s="30"/>
      <c r="DM546"/>
      <c r="DN546"/>
      <c r="DO546"/>
      <c r="DP546"/>
    </row>
    <row r="547" spans="27:120">
      <c r="AA547" s="30"/>
      <c r="AB547" s="30"/>
      <c r="AC547" s="30"/>
      <c r="DM547"/>
      <c r="DN547"/>
      <c r="DO547"/>
      <c r="DP547"/>
    </row>
    <row r="548" spans="27:120">
      <c r="AA548" s="30"/>
      <c r="AB548" s="30"/>
      <c r="AC548" s="30"/>
      <c r="DM548"/>
      <c r="DN548"/>
      <c r="DO548"/>
      <c r="DP548"/>
    </row>
    <row r="549" spans="27:120">
      <c r="AA549" s="30"/>
      <c r="AB549" s="30"/>
      <c r="AC549" s="30"/>
      <c r="DM549"/>
      <c r="DN549"/>
      <c r="DO549"/>
      <c r="DP549"/>
    </row>
    <row r="550" spans="27:120">
      <c r="AA550" s="30"/>
      <c r="AB550" s="30"/>
      <c r="AC550" s="30"/>
      <c r="DM550"/>
      <c r="DN550"/>
      <c r="DO550"/>
      <c r="DP550"/>
    </row>
    <row r="551" spans="27:120">
      <c r="AA551" s="30"/>
      <c r="AB551" s="30"/>
      <c r="AC551" s="30"/>
      <c r="DM551"/>
      <c r="DN551"/>
      <c r="DO551"/>
      <c r="DP551"/>
    </row>
    <row r="552" spans="27:120">
      <c r="AA552" s="30"/>
      <c r="AB552" s="30"/>
      <c r="AC552" s="30"/>
      <c r="DM552"/>
      <c r="DN552"/>
      <c r="DO552"/>
      <c r="DP552"/>
    </row>
    <row r="553" spans="27:120">
      <c r="AA553" s="30"/>
      <c r="AB553" s="30"/>
      <c r="AC553" s="30"/>
      <c r="DM553"/>
      <c r="DN553"/>
      <c r="DO553"/>
      <c r="DP553"/>
    </row>
    <row r="554" spans="27:120">
      <c r="AA554" s="30"/>
      <c r="AB554" s="30"/>
      <c r="AC554" s="30"/>
      <c r="DM554"/>
      <c r="DN554"/>
      <c r="DO554"/>
      <c r="DP554"/>
    </row>
    <row r="555" spans="27:120">
      <c r="AA555" s="30"/>
      <c r="AB555" s="30"/>
      <c r="AC555" s="30"/>
      <c r="DM555"/>
      <c r="DN555"/>
      <c r="DO555"/>
      <c r="DP555"/>
    </row>
    <row r="556" spans="27:120">
      <c r="AA556" s="30"/>
      <c r="AB556" s="30"/>
      <c r="AC556" s="30"/>
      <c r="DM556"/>
      <c r="DN556"/>
      <c r="DO556"/>
      <c r="DP556"/>
    </row>
    <row r="557" spans="27:120">
      <c r="AA557" s="30"/>
      <c r="AB557" s="30"/>
      <c r="AC557" s="30"/>
      <c r="DM557"/>
      <c r="DN557"/>
      <c r="DO557"/>
      <c r="DP557"/>
    </row>
    <row r="558" spans="27:120">
      <c r="AA558" s="30"/>
      <c r="AB558" s="30"/>
      <c r="AC558" s="30"/>
      <c r="DM558"/>
      <c r="DN558"/>
      <c r="DO558"/>
      <c r="DP558"/>
    </row>
    <row r="559" spans="27:120">
      <c r="AA559" s="30"/>
      <c r="AB559" s="30"/>
      <c r="AC559" s="30"/>
      <c r="DM559"/>
      <c r="DN559"/>
      <c r="DO559"/>
      <c r="DP559"/>
    </row>
    <row r="560" spans="27:120">
      <c r="AA560" s="30"/>
      <c r="AB560" s="30"/>
      <c r="AC560" s="30"/>
      <c r="DM560"/>
      <c r="DN560"/>
      <c r="DO560"/>
      <c r="DP560"/>
    </row>
    <row r="561" spans="27:120">
      <c r="AA561" s="30"/>
      <c r="AB561" s="30"/>
      <c r="AC561" s="30"/>
      <c r="DM561"/>
      <c r="DN561"/>
      <c r="DO561"/>
      <c r="DP561"/>
    </row>
    <row r="562" spans="27:120">
      <c r="AA562" s="30"/>
      <c r="AB562" s="30"/>
      <c r="AC562" s="30"/>
      <c r="DM562"/>
      <c r="DN562"/>
      <c r="DO562"/>
      <c r="DP562"/>
    </row>
    <row r="563" spans="27:120">
      <c r="AA563" s="30"/>
      <c r="AB563" s="30"/>
      <c r="AC563" s="30"/>
      <c r="DM563"/>
      <c r="DN563"/>
      <c r="DO563"/>
      <c r="DP563"/>
    </row>
    <row r="564" spans="27:120">
      <c r="AA564" s="30"/>
      <c r="AB564" s="30"/>
      <c r="AC564" s="30"/>
      <c r="DM564"/>
      <c r="DN564"/>
      <c r="DO564"/>
      <c r="DP564"/>
    </row>
    <row r="565" spans="27:120">
      <c r="AA565" s="30"/>
      <c r="AB565" s="30"/>
      <c r="AC565" s="30"/>
      <c r="DM565"/>
      <c r="DN565"/>
      <c r="DO565"/>
      <c r="DP565"/>
    </row>
    <row r="566" spans="27:120">
      <c r="AA566" s="30"/>
      <c r="AB566" s="30"/>
      <c r="AC566" s="30"/>
      <c r="DM566"/>
      <c r="DN566"/>
      <c r="DO566"/>
      <c r="DP566"/>
    </row>
    <row r="567" spans="27:120">
      <c r="AA567" s="30"/>
      <c r="AB567" s="30"/>
      <c r="AC567" s="30"/>
      <c r="DM567"/>
      <c r="DN567"/>
      <c r="DO567"/>
      <c r="DP567"/>
    </row>
    <row r="568" spans="27:120">
      <c r="AA568" s="30"/>
      <c r="AB568" s="30"/>
      <c r="AC568" s="30"/>
      <c r="DM568"/>
      <c r="DN568"/>
      <c r="DO568"/>
      <c r="DP568"/>
    </row>
    <row r="569" spans="27:120">
      <c r="AA569" s="30"/>
      <c r="AB569" s="30"/>
      <c r="AC569" s="30"/>
      <c r="DM569"/>
      <c r="DN569"/>
      <c r="DO569"/>
      <c r="DP569"/>
    </row>
    <row r="570" spans="27:120">
      <c r="AA570" s="30"/>
      <c r="AB570" s="30"/>
      <c r="AC570" s="30"/>
      <c r="DM570"/>
      <c r="DN570"/>
      <c r="DO570"/>
      <c r="DP570"/>
    </row>
    <row r="571" spans="27:120">
      <c r="AA571" s="30"/>
      <c r="AB571" s="30"/>
      <c r="AC571" s="30"/>
      <c r="DM571"/>
      <c r="DN571"/>
      <c r="DO571"/>
      <c r="DP571"/>
    </row>
    <row r="572" spans="27:120">
      <c r="AA572" s="30"/>
      <c r="AB572" s="30"/>
      <c r="AC572" s="30"/>
      <c r="DM572"/>
      <c r="DN572"/>
      <c r="DO572"/>
      <c r="DP572"/>
    </row>
    <row r="573" spans="27:120">
      <c r="AA573" s="30"/>
      <c r="AB573" s="30"/>
      <c r="AC573" s="30"/>
      <c r="DM573"/>
      <c r="DN573"/>
      <c r="DO573"/>
      <c r="DP573"/>
    </row>
    <row r="574" spans="27:120">
      <c r="AA574" s="30"/>
      <c r="AB574" s="30"/>
      <c r="AC574" s="30"/>
      <c r="DM574"/>
      <c r="DN574"/>
      <c r="DO574"/>
      <c r="DP574"/>
    </row>
    <row r="575" spans="27:120">
      <c r="AA575" s="30"/>
      <c r="AB575" s="30"/>
      <c r="AC575" s="30"/>
      <c r="DM575"/>
      <c r="DN575"/>
      <c r="DO575"/>
      <c r="DP575"/>
    </row>
    <row r="576" spans="27:120">
      <c r="AA576" s="30"/>
      <c r="AB576" s="30"/>
      <c r="AC576" s="30"/>
      <c r="DM576"/>
      <c r="DN576"/>
      <c r="DO576"/>
      <c r="DP576"/>
    </row>
    <row r="577" spans="27:120">
      <c r="AA577" s="30"/>
      <c r="AB577" s="30"/>
      <c r="AC577" s="30"/>
      <c r="DM577"/>
      <c r="DN577"/>
      <c r="DO577"/>
      <c r="DP577"/>
    </row>
    <row r="578" spans="27:120">
      <c r="AA578" s="30"/>
      <c r="AB578" s="30"/>
      <c r="AC578" s="30"/>
      <c r="DM578"/>
      <c r="DN578"/>
      <c r="DO578"/>
      <c r="DP578"/>
    </row>
    <row r="579" spans="27:120">
      <c r="AA579" s="30"/>
      <c r="AB579" s="30"/>
      <c r="AC579" s="30"/>
      <c r="DM579"/>
      <c r="DN579"/>
      <c r="DO579"/>
      <c r="DP579"/>
    </row>
    <row r="580" spans="27:120">
      <c r="AA580" s="30"/>
      <c r="AB580" s="30"/>
      <c r="AC580" s="30"/>
      <c r="DM580"/>
      <c r="DN580"/>
      <c r="DO580"/>
      <c r="DP580"/>
    </row>
    <row r="581" spans="27:120">
      <c r="AA581" s="30"/>
      <c r="AB581" s="30"/>
      <c r="AC581" s="30"/>
      <c r="DM581"/>
      <c r="DN581"/>
      <c r="DO581"/>
      <c r="DP581"/>
    </row>
    <row r="582" spans="27:120">
      <c r="AA582" s="30"/>
      <c r="AB582" s="30"/>
      <c r="AC582" s="30"/>
      <c r="DM582"/>
      <c r="DN582"/>
      <c r="DO582"/>
      <c r="DP582"/>
    </row>
    <row r="583" spans="27:120">
      <c r="AA583" s="30"/>
      <c r="AB583" s="30"/>
      <c r="AC583" s="30"/>
      <c r="DM583"/>
      <c r="DN583"/>
      <c r="DO583"/>
      <c r="DP583"/>
    </row>
    <row r="584" spans="27:120">
      <c r="AA584" s="30"/>
      <c r="AB584" s="30"/>
      <c r="AC584" s="30"/>
      <c r="DM584"/>
      <c r="DN584"/>
      <c r="DO584"/>
      <c r="DP584"/>
    </row>
    <row r="585" spans="27:120">
      <c r="AA585" s="30"/>
      <c r="AB585" s="30"/>
      <c r="AC585" s="30"/>
      <c r="DM585"/>
      <c r="DN585"/>
      <c r="DO585"/>
      <c r="DP585"/>
    </row>
    <row r="586" spans="27:120">
      <c r="AA586" s="30"/>
      <c r="AB586" s="30"/>
      <c r="AC586" s="30"/>
      <c r="DM586"/>
      <c r="DN586"/>
      <c r="DO586"/>
      <c r="DP586"/>
    </row>
    <row r="587" spans="27:120">
      <c r="AA587" s="30"/>
      <c r="AB587" s="30"/>
      <c r="AC587" s="30"/>
      <c r="DM587"/>
      <c r="DN587"/>
      <c r="DO587"/>
      <c r="DP587"/>
    </row>
    <row r="588" spans="27:120">
      <c r="AA588" s="30"/>
      <c r="AB588" s="30"/>
      <c r="AC588" s="30"/>
      <c r="DM588"/>
      <c r="DN588"/>
      <c r="DO588"/>
      <c r="DP588"/>
    </row>
    <row r="589" spans="27:120">
      <c r="AA589" s="30"/>
      <c r="AB589" s="30"/>
      <c r="AC589" s="30"/>
      <c r="DM589"/>
      <c r="DN589"/>
      <c r="DO589"/>
      <c r="DP589"/>
    </row>
    <row r="590" spans="27:120">
      <c r="AA590" s="30"/>
      <c r="AB590" s="30"/>
      <c r="AC590" s="30"/>
      <c r="DM590"/>
      <c r="DN590"/>
      <c r="DO590"/>
      <c r="DP590"/>
    </row>
    <row r="591" spans="27:120">
      <c r="AA591" s="30"/>
      <c r="AB591" s="30"/>
      <c r="AC591" s="30"/>
      <c r="DM591"/>
      <c r="DN591"/>
      <c r="DO591"/>
      <c r="DP591"/>
    </row>
    <row r="592" spans="27:120">
      <c r="AA592" s="30"/>
      <c r="AB592" s="30"/>
      <c r="AC592" s="30"/>
      <c r="DM592"/>
      <c r="DN592"/>
      <c r="DO592"/>
      <c r="DP592"/>
    </row>
    <row r="593" spans="27:120">
      <c r="AA593" s="30"/>
      <c r="AB593" s="30"/>
      <c r="AC593" s="30"/>
      <c r="DM593"/>
      <c r="DN593"/>
      <c r="DO593"/>
      <c r="DP593"/>
    </row>
    <row r="594" spans="27:120">
      <c r="AA594" s="30"/>
      <c r="AB594" s="30"/>
      <c r="AC594" s="30"/>
      <c r="DM594"/>
      <c r="DN594"/>
      <c r="DO594"/>
      <c r="DP594"/>
    </row>
    <row r="595" spans="27:120">
      <c r="AA595" s="30"/>
      <c r="AB595" s="30"/>
      <c r="AC595" s="30"/>
      <c r="DM595"/>
      <c r="DN595"/>
      <c r="DO595"/>
      <c r="DP595"/>
    </row>
    <row r="596" spans="27:120">
      <c r="AA596" s="30"/>
      <c r="AB596" s="30"/>
      <c r="AC596" s="30"/>
      <c r="DM596"/>
      <c r="DN596"/>
      <c r="DO596"/>
      <c r="DP596"/>
    </row>
    <row r="597" spans="27:120">
      <c r="AA597" s="30"/>
      <c r="AB597" s="30"/>
      <c r="AC597" s="30"/>
      <c r="DM597"/>
      <c r="DN597"/>
      <c r="DO597"/>
      <c r="DP597"/>
    </row>
    <row r="598" spans="27:120">
      <c r="AA598" s="30"/>
      <c r="AB598" s="30"/>
      <c r="AC598" s="30"/>
      <c r="DM598"/>
      <c r="DN598"/>
      <c r="DO598"/>
      <c r="DP598"/>
    </row>
    <row r="599" spans="27:120">
      <c r="AA599" s="30"/>
      <c r="AB599" s="30"/>
      <c r="AC599" s="30"/>
      <c r="DM599"/>
      <c r="DN599"/>
      <c r="DO599"/>
      <c r="DP599"/>
    </row>
    <row r="600" spans="27:120">
      <c r="AA600" s="30"/>
      <c r="AB600" s="30"/>
      <c r="AC600" s="30"/>
      <c r="DM600"/>
      <c r="DN600"/>
      <c r="DO600"/>
      <c r="DP600"/>
    </row>
    <row r="601" spans="27:120">
      <c r="AA601" s="30"/>
      <c r="AB601" s="30"/>
      <c r="AC601" s="30"/>
      <c r="DM601"/>
      <c r="DN601"/>
      <c r="DO601"/>
      <c r="DP601"/>
    </row>
    <row r="602" spans="27:120">
      <c r="AA602" s="30"/>
      <c r="AB602" s="30"/>
      <c r="AC602" s="30"/>
      <c r="DM602"/>
      <c r="DN602"/>
      <c r="DO602"/>
      <c r="DP602"/>
    </row>
    <row r="603" spans="27:120">
      <c r="AA603" s="30"/>
      <c r="AB603" s="30"/>
      <c r="AC603" s="30"/>
      <c r="DM603"/>
      <c r="DN603"/>
      <c r="DO603"/>
      <c r="DP603"/>
    </row>
    <row r="604" spans="27:120">
      <c r="AA604" s="30"/>
      <c r="AB604" s="30"/>
      <c r="AC604" s="30"/>
      <c r="DM604"/>
      <c r="DN604"/>
      <c r="DO604"/>
      <c r="DP604"/>
    </row>
    <row r="605" spans="27:120">
      <c r="AA605" s="30"/>
      <c r="AB605" s="30"/>
      <c r="AC605" s="30"/>
      <c r="DM605"/>
      <c r="DN605"/>
      <c r="DO605"/>
      <c r="DP605"/>
    </row>
    <row r="606" spans="27:120">
      <c r="AA606" s="30"/>
      <c r="AB606" s="30"/>
      <c r="AC606" s="30"/>
      <c r="DM606"/>
      <c r="DN606"/>
      <c r="DO606"/>
      <c r="DP606"/>
    </row>
    <row r="607" spans="27:120">
      <c r="AA607" s="30"/>
      <c r="AB607" s="30"/>
      <c r="AC607" s="30"/>
      <c r="DM607"/>
      <c r="DN607"/>
      <c r="DO607"/>
      <c r="DP607"/>
    </row>
    <row r="608" spans="27:120">
      <c r="AA608" s="30"/>
      <c r="AB608" s="30"/>
      <c r="AC608" s="30"/>
      <c r="DM608"/>
      <c r="DN608"/>
      <c r="DO608"/>
      <c r="DP608"/>
    </row>
    <row r="609" spans="27:120">
      <c r="AA609" s="30"/>
      <c r="AB609" s="30"/>
      <c r="AC609" s="30"/>
      <c r="DM609"/>
      <c r="DN609"/>
      <c r="DO609"/>
      <c r="DP609"/>
    </row>
    <row r="610" spans="27:120">
      <c r="AA610" s="30"/>
      <c r="AB610" s="30"/>
      <c r="AC610" s="30"/>
      <c r="DM610"/>
      <c r="DN610"/>
      <c r="DO610"/>
      <c r="DP610"/>
    </row>
    <row r="611" spans="27:120">
      <c r="AA611" s="30"/>
      <c r="AB611" s="30"/>
      <c r="AC611" s="30"/>
      <c r="DM611"/>
      <c r="DN611"/>
      <c r="DO611"/>
      <c r="DP611"/>
    </row>
    <row r="612" spans="27:120">
      <c r="AA612" s="30"/>
      <c r="AB612" s="30"/>
      <c r="AC612" s="30"/>
      <c r="DM612"/>
      <c r="DN612"/>
      <c r="DO612"/>
      <c r="DP612"/>
    </row>
    <row r="613" spans="27:120">
      <c r="AA613" s="30"/>
      <c r="AB613" s="30"/>
      <c r="AC613" s="30"/>
      <c r="DM613"/>
      <c r="DN613"/>
      <c r="DO613"/>
      <c r="DP613"/>
    </row>
    <row r="614" spans="27:120">
      <c r="AA614" s="30"/>
      <c r="AB614" s="30"/>
      <c r="AC614" s="30"/>
      <c r="DM614"/>
      <c r="DN614"/>
      <c r="DO614"/>
      <c r="DP614"/>
    </row>
    <row r="615" spans="27:120">
      <c r="AA615" s="30"/>
      <c r="AB615" s="30"/>
      <c r="AC615" s="30"/>
      <c r="DM615"/>
      <c r="DN615"/>
      <c r="DO615"/>
      <c r="DP615"/>
    </row>
    <row r="616" spans="27:120">
      <c r="AA616" s="30"/>
      <c r="AB616" s="30"/>
      <c r="AC616" s="30"/>
      <c r="DM616"/>
      <c r="DN616"/>
      <c r="DO616"/>
      <c r="DP616"/>
    </row>
    <row r="617" spans="27:120">
      <c r="AA617" s="30"/>
      <c r="AB617" s="30"/>
      <c r="AC617" s="30"/>
      <c r="DM617"/>
      <c r="DN617"/>
      <c r="DO617"/>
      <c r="DP617"/>
    </row>
    <row r="618" spans="27:120">
      <c r="AA618" s="30"/>
      <c r="AB618" s="30"/>
      <c r="AC618" s="30"/>
      <c r="DM618"/>
      <c r="DN618"/>
      <c r="DO618"/>
      <c r="DP618"/>
    </row>
    <row r="619" spans="27:120">
      <c r="AA619" s="30"/>
      <c r="AB619" s="30"/>
      <c r="AC619" s="30"/>
      <c r="DM619"/>
      <c r="DN619"/>
      <c r="DO619"/>
      <c r="DP619"/>
    </row>
    <row r="620" spans="27:120">
      <c r="AA620" s="30"/>
      <c r="AB620" s="30"/>
      <c r="AC620" s="30"/>
      <c r="DM620"/>
      <c r="DN620"/>
      <c r="DO620"/>
      <c r="DP620"/>
    </row>
    <row r="621" spans="27:120">
      <c r="AA621" s="30"/>
      <c r="AB621" s="30"/>
      <c r="AC621" s="30"/>
      <c r="DM621"/>
      <c r="DN621"/>
      <c r="DO621"/>
      <c r="DP621"/>
    </row>
    <row r="622" spans="27:120">
      <c r="AA622" s="30"/>
      <c r="AB622" s="30"/>
      <c r="AC622" s="30"/>
      <c r="DM622"/>
      <c r="DN622"/>
      <c r="DO622"/>
      <c r="DP622"/>
    </row>
  </sheetData>
  <autoFilter ref="A17:EA123" xr:uid="{5029854E-6C35-4D64-87BE-A170E061E993}"/>
  <mergeCells count="244">
    <mergeCell ref="DU16:DU17"/>
    <mergeCell ref="DU14:DU15"/>
    <mergeCell ref="B131:AM140"/>
    <mergeCell ref="AN131:BY140"/>
    <mergeCell ref="BZ131:DI140"/>
    <mergeCell ref="B142:U142"/>
    <mergeCell ref="B143:U143"/>
    <mergeCell ref="DS16:DS17"/>
    <mergeCell ref="DT16:DT17"/>
    <mergeCell ref="A122:E122"/>
    <mergeCell ref="CV16:CV17"/>
    <mergeCell ref="CW16:CW17"/>
    <mergeCell ref="CX16:CX17"/>
    <mergeCell ref="CY16:CY17"/>
    <mergeCell ref="CZ16:CZ17"/>
    <mergeCell ref="CO16:CO17"/>
    <mergeCell ref="CP16:CP17"/>
    <mergeCell ref="CQ16:CQ17"/>
    <mergeCell ref="CR16:CR17"/>
    <mergeCell ref="CS16:CS17"/>
    <mergeCell ref="CT16:CT17"/>
    <mergeCell ref="CI16:CI17"/>
    <mergeCell ref="CJ16:CJ17"/>
    <mergeCell ref="CK16:CK17"/>
    <mergeCell ref="DY122:DZ123"/>
    <mergeCell ref="A123:E123"/>
    <mergeCell ref="B129:AM130"/>
    <mergeCell ref="AN129:BY130"/>
    <mergeCell ref="BZ129:DI130"/>
    <mergeCell ref="DM16:DM17"/>
    <mergeCell ref="DN16:DN17"/>
    <mergeCell ref="DO16:DO17"/>
    <mergeCell ref="DP16:DP17"/>
    <mergeCell ref="DQ16:DQ17"/>
    <mergeCell ref="DR16:DR17"/>
    <mergeCell ref="DG16:DG17"/>
    <mergeCell ref="DH16:DH17"/>
    <mergeCell ref="DI16:DI17"/>
    <mergeCell ref="DJ16:DJ17"/>
    <mergeCell ref="DK16:DK17"/>
    <mergeCell ref="DL16:DL17"/>
    <mergeCell ref="DA16:DA17"/>
    <mergeCell ref="DB16:DB17"/>
    <mergeCell ref="DC16:DC17"/>
    <mergeCell ref="DD16:DD17"/>
    <mergeCell ref="DE16:DE17"/>
    <mergeCell ref="DF16:DF17"/>
    <mergeCell ref="CU16:CU17"/>
    <mergeCell ref="CL16:CL17"/>
    <mergeCell ref="CM16:CM17"/>
    <mergeCell ref="CN16:CN17"/>
    <mergeCell ref="CC16:CC17"/>
    <mergeCell ref="CD16:CD17"/>
    <mergeCell ref="CE16:CE17"/>
    <mergeCell ref="CF16:CF17"/>
    <mergeCell ref="CG16:CG17"/>
    <mergeCell ref="CH16:CH17"/>
    <mergeCell ref="BW16:BW17"/>
    <mergeCell ref="BX16:BX17"/>
    <mergeCell ref="BY16:BY17"/>
    <mergeCell ref="BZ16:BZ17"/>
    <mergeCell ref="CA16:CA17"/>
    <mergeCell ref="CB16:CB17"/>
    <mergeCell ref="BQ16:BQ17"/>
    <mergeCell ref="BR16:BR17"/>
    <mergeCell ref="BS16:BS17"/>
    <mergeCell ref="BT16:BT17"/>
    <mergeCell ref="BU16:BU17"/>
    <mergeCell ref="BV16:BV17"/>
    <mergeCell ref="BK16:BK17"/>
    <mergeCell ref="BL16:BL17"/>
    <mergeCell ref="BM16:BM17"/>
    <mergeCell ref="BN16:BN17"/>
    <mergeCell ref="BO16:BO17"/>
    <mergeCell ref="BP16:BP17"/>
    <mergeCell ref="BE16:BE17"/>
    <mergeCell ref="BF16:BF17"/>
    <mergeCell ref="BG16:BG17"/>
    <mergeCell ref="BH16:BH17"/>
    <mergeCell ref="BI16:BI17"/>
    <mergeCell ref="BJ16:BJ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DT14:DT15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DI14:DJ15"/>
    <mergeCell ref="DK14:DK15"/>
    <mergeCell ref="DL14:DL15"/>
    <mergeCell ref="DM14:DO15"/>
    <mergeCell ref="DP14:DQ15"/>
    <mergeCell ref="DR14:DS15"/>
    <mergeCell ref="CZ14:DA15"/>
    <mergeCell ref="DB14:DB15"/>
    <mergeCell ref="DC14:DD15"/>
    <mergeCell ref="DE14:DF15"/>
    <mergeCell ref="DG14:DG15"/>
    <mergeCell ref="DH14:DH15"/>
    <mergeCell ref="CI14:CJ15"/>
    <mergeCell ref="CK14:CL15"/>
    <mergeCell ref="CM14:CQ15"/>
    <mergeCell ref="CR14:CU15"/>
    <mergeCell ref="CV14:CW15"/>
    <mergeCell ref="CX14:CY15"/>
    <mergeCell ref="BY14:BY15"/>
    <mergeCell ref="BZ14:BZ15"/>
    <mergeCell ref="CA14:CC15"/>
    <mergeCell ref="CD14:CD15"/>
    <mergeCell ref="CE14:CF15"/>
    <mergeCell ref="CG14:CH15"/>
    <mergeCell ref="BP14:BP15"/>
    <mergeCell ref="BQ14:BQ15"/>
    <mergeCell ref="BR14:BS15"/>
    <mergeCell ref="BT14:BV15"/>
    <mergeCell ref="BW14:BX15"/>
    <mergeCell ref="BO14:BO15"/>
    <mergeCell ref="H14:J15"/>
    <mergeCell ref="K14:L15"/>
    <mergeCell ref="M14:N15"/>
    <mergeCell ref="O14:P15"/>
    <mergeCell ref="Q14:R15"/>
    <mergeCell ref="AU14:AW15"/>
    <mergeCell ref="AX14:AZ15"/>
    <mergeCell ref="BA14:BC15"/>
    <mergeCell ref="BD14:BF15"/>
    <mergeCell ref="BI14:BI15"/>
    <mergeCell ref="BJ14:BJ15"/>
    <mergeCell ref="BK14:BK15"/>
    <mergeCell ref="BL14:BL15"/>
    <mergeCell ref="BM14:BM15"/>
    <mergeCell ref="BN14:BN15"/>
    <mergeCell ref="BG14:BG15"/>
    <mergeCell ref="BH14:BH15"/>
    <mergeCell ref="AH14:AI15"/>
    <mergeCell ref="AJ14:AK15"/>
    <mergeCell ref="AL14:AM15"/>
    <mergeCell ref="AN14:AO15"/>
    <mergeCell ref="AP14:AQ15"/>
    <mergeCell ref="AR14:AT15"/>
    <mergeCell ref="A13:A17"/>
    <mergeCell ref="B13:B17"/>
    <mergeCell ref="C13:C17"/>
    <mergeCell ref="D13:D17"/>
    <mergeCell ref="E13:E17"/>
    <mergeCell ref="DI12:DJ13"/>
    <mergeCell ref="DK12:DK13"/>
    <mergeCell ref="DL12:DL13"/>
    <mergeCell ref="DM12:DO13"/>
    <mergeCell ref="CM12:CQ13"/>
    <mergeCell ref="CR12:CU13"/>
    <mergeCell ref="CV12:CY13"/>
    <mergeCell ref="CZ12:DA13"/>
    <mergeCell ref="DB12:DB13"/>
    <mergeCell ref="DC12:DH13"/>
    <mergeCell ref="BY12:BZ13"/>
    <mergeCell ref="CA12:CC13"/>
    <mergeCell ref="S14:U15"/>
    <mergeCell ref="V14:W15"/>
    <mergeCell ref="X14:Z15"/>
    <mergeCell ref="AA14:AC15"/>
    <mergeCell ref="AD14:AE15"/>
    <mergeCell ref="AF14:AG15"/>
    <mergeCell ref="F14:G15"/>
    <mergeCell ref="F11:DZ11"/>
    <mergeCell ref="F12:R13"/>
    <mergeCell ref="S12:AC13"/>
    <mergeCell ref="AD12:AK13"/>
    <mergeCell ref="AL12:AQ13"/>
    <mergeCell ref="AR12:BF13"/>
    <mergeCell ref="BG12:BI13"/>
    <mergeCell ref="CD12:CD13"/>
    <mergeCell ref="CE12:CH13"/>
    <mergeCell ref="CI12:CJ13"/>
    <mergeCell ref="CK12:CL13"/>
    <mergeCell ref="BJ12:BJ13"/>
    <mergeCell ref="BK12:BK13"/>
    <mergeCell ref="BL12:BN13"/>
    <mergeCell ref="BO12:BQ13"/>
    <mergeCell ref="BR12:BS13"/>
    <mergeCell ref="BT12:BX13"/>
    <mergeCell ref="DV12:DV17"/>
    <mergeCell ref="DW12:DW17"/>
    <mergeCell ref="DX12:DX17"/>
    <mergeCell ref="DY12:DY17"/>
    <mergeCell ref="DZ12:DZ17"/>
    <mergeCell ref="DP12:DS13"/>
    <mergeCell ref="DT12:DT13"/>
    <mergeCell ref="A1:C2"/>
    <mergeCell ref="D1:DP1"/>
    <mergeCell ref="DQ1:DS1"/>
    <mergeCell ref="DT1:DZ1"/>
    <mergeCell ref="D2:DP2"/>
    <mergeCell ref="DQ2:DS2"/>
    <mergeCell ref="DT2:DZ2"/>
    <mergeCell ref="DV3:DX10"/>
    <mergeCell ref="DY3:DY10"/>
    <mergeCell ref="DZ3:DZ10"/>
  </mergeCells>
  <phoneticPr fontId="20" type="noConversion"/>
  <conditionalFormatting sqref="A1:A1048576">
    <cfRule type="duplicateValues" dxfId="13495" priority="256"/>
  </conditionalFormatting>
  <conditionalFormatting sqref="A122">
    <cfRule type="duplicateValues" dxfId="13494" priority="260"/>
    <cfRule type="duplicateValues" dxfId="13493" priority="261"/>
  </conditionalFormatting>
  <conditionalFormatting sqref="A123">
    <cfRule type="duplicateValues" dxfId="13492" priority="258"/>
    <cfRule type="duplicateValues" dxfId="13491" priority="259"/>
  </conditionalFormatting>
  <conditionalFormatting sqref="A118:B120 A18:B111">
    <cfRule type="duplicateValues" dxfId="13490" priority="216"/>
  </conditionalFormatting>
  <conditionalFormatting sqref="A121:DY121 DY18:DY120">
    <cfRule type="cellIs" dxfId="13489" priority="269" operator="equal">
      <formula>4</formula>
    </cfRule>
    <cfRule type="cellIs" dxfId="13488" priority="270" operator="equal">
      <formula>2</formula>
    </cfRule>
    <cfRule type="cellIs" dxfId="13487" priority="271" operator="equal">
      <formula>3</formula>
    </cfRule>
    <cfRule type="cellIs" dxfId="13486" priority="272" operator="equal">
      <formula>1</formula>
    </cfRule>
  </conditionalFormatting>
  <conditionalFormatting sqref="B128 B141">
    <cfRule type="duplicateValues" dxfId="13485" priority="307" stopIfTrue="1"/>
  </conditionalFormatting>
  <conditionalFormatting sqref="B141:B149 B1:B3 B154:B1048576 B131 B124:B129 B10 B18:B120">
    <cfRule type="duplicateValues" dxfId="13484" priority="268"/>
  </conditionalFormatting>
  <conditionalFormatting sqref="C147:AD147 B1:B3 B125:B128 B141:B149 B154:B1048576 B18:B120">
    <cfRule type="duplicateValues" dxfId="13483" priority="306"/>
  </conditionalFormatting>
  <conditionalFormatting sqref="C147:AD147">
    <cfRule type="duplicateValues" dxfId="13482" priority="305"/>
  </conditionalFormatting>
  <conditionalFormatting sqref="F115:F120 G118:DW120">
    <cfRule type="top10" dxfId="13481" priority="37" rank="10"/>
    <cfRule type="top10" dxfId="13480" priority="38" rank="10"/>
    <cfRule type="containsText" dxfId="13479" priority="39" operator="containsText" text="1">
      <formula>NOT(ISERROR(SEARCH("1",F115)))</formula>
    </cfRule>
    <cfRule type="containsText" dxfId="13478" priority="40" operator="containsText" text="1">
      <formula>NOT(ISERROR(SEARCH("1",F115)))</formula>
    </cfRule>
    <cfRule type="containsText" dxfId="13477" priority="41" operator="containsText" text="3">
      <formula>NOT(ISERROR(SEARCH("3",F115)))</formula>
    </cfRule>
    <cfRule type="containsText" dxfId="13476" priority="42" operator="containsText" text="2">
      <formula>NOT(ISERROR(SEARCH("2",F115)))</formula>
    </cfRule>
    <cfRule type="containsText" dxfId="13475" priority="43" operator="containsText" text="4">
      <formula>NOT(ISERROR(SEARCH("4",F115)))</formula>
    </cfRule>
    <cfRule type="containsText" dxfId="13474" priority="44" operator="containsText" text="1">
      <formula>NOT(ISERROR(SEARCH("1",F115)))</formula>
    </cfRule>
    <cfRule type="cellIs" dxfId="13473" priority="45" operator="equal">
      <formula>2</formula>
    </cfRule>
    <cfRule type="cellIs" dxfId="13472" priority="46" operator="equal">
      <formula>4</formula>
    </cfRule>
    <cfRule type="cellIs" dxfId="13471" priority="47" operator="equal">
      <formula>3</formula>
    </cfRule>
    <cfRule type="cellIs" dxfId="13470" priority="48" operator="equal">
      <formula>1</formula>
    </cfRule>
  </conditionalFormatting>
  <conditionalFormatting sqref="F113:G114">
    <cfRule type="top10" dxfId="13469" priority="49" rank="10"/>
    <cfRule type="top10" dxfId="13468" priority="50" rank="10"/>
    <cfRule type="containsText" dxfId="13467" priority="51" operator="containsText" text="1">
      <formula>NOT(ISERROR(SEARCH("1",F113)))</formula>
    </cfRule>
    <cfRule type="containsText" dxfId="13466" priority="52" operator="containsText" text="1">
      <formula>NOT(ISERROR(SEARCH("1",F113)))</formula>
    </cfRule>
    <cfRule type="containsText" dxfId="13465" priority="53" operator="containsText" text="3">
      <formula>NOT(ISERROR(SEARCH("3",F113)))</formula>
    </cfRule>
    <cfRule type="containsText" dxfId="13464" priority="54" operator="containsText" text="2">
      <formula>NOT(ISERROR(SEARCH("2",F113)))</formula>
    </cfRule>
    <cfRule type="containsText" dxfId="13463" priority="55" operator="containsText" text="4">
      <formula>NOT(ISERROR(SEARCH("4",F113)))</formula>
    </cfRule>
    <cfRule type="containsText" dxfId="13462" priority="56" operator="containsText" text="1">
      <formula>NOT(ISERROR(SEARCH("1",F113)))</formula>
    </cfRule>
    <cfRule type="cellIs" dxfId="13461" priority="57" operator="equal">
      <formula>2</formula>
    </cfRule>
    <cfRule type="cellIs" dxfId="13460" priority="58" operator="equal">
      <formula>4</formula>
    </cfRule>
    <cfRule type="cellIs" dxfId="13459" priority="59" operator="equal">
      <formula>3</formula>
    </cfRule>
    <cfRule type="cellIs" dxfId="13458" priority="60" operator="equal">
      <formula>1</formula>
    </cfRule>
  </conditionalFormatting>
  <conditionalFormatting sqref="F107:DX111 F122:DX122 G118:DW120 P112:AU113 DX112:DX120 CP18:CP120 DE18:DE120 F18:AD120">
    <cfRule type="containsText" dxfId="13457" priority="304" operator="containsText" text="1">
      <formula>NOT(ISERROR(SEARCH("1",F18)))</formula>
    </cfRule>
  </conditionalFormatting>
  <conditionalFormatting sqref="G118:DW120 F107:DX111 CP18:CP120 DE18:DE120 DX112:DX120 P112:AU113 F18:AD120">
    <cfRule type="top10" dxfId="13456" priority="214" rank="10"/>
    <cfRule type="containsText" dxfId="13455" priority="293" operator="containsText" text="1">
      <formula>NOT(ISERROR(SEARCH("1",F18)))</formula>
    </cfRule>
    <cfRule type="containsText" dxfId="13454" priority="294" operator="containsText" text="2">
      <formula>NOT(ISERROR(SEARCH("2",F18)))</formula>
    </cfRule>
    <cfRule type="cellIs" dxfId="13453" priority="295" operator="lessThan">
      <formula>1</formula>
    </cfRule>
    <cfRule type="cellIs" dxfId="13452" priority="296" operator="lessThan">
      <formula>1</formula>
    </cfRule>
    <cfRule type="cellIs" dxfId="13451" priority="297" operator="lessThan">
      <formula>2</formula>
    </cfRule>
    <cfRule type="containsText" dxfId="13450" priority="298" operator="containsText" text="3">
      <formula>NOT(ISERROR(SEARCH("3",F18)))</formula>
    </cfRule>
    <cfRule type="containsText" dxfId="13449" priority="299" operator="containsText" text="4">
      <formula>NOT(ISERROR(SEARCH("4",F18)))</formula>
    </cfRule>
    <cfRule type="cellIs" dxfId="13448" priority="300" operator="equal">
      <formula>2</formula>
    </cfRule>
    <cfRule type="cellIs" dxfId="13447" priority="301" operator="equal">
      <formula>3</formula>
    </cfRule>
    <cfRule type="cellIs" dxfId="13446" priority="302" operator="equal">
      <formula>4</formula>
    </cfRule>
    <cfRule type="cellIs" dxfId="13445" priority="303" operator="equal">
      <formula>1</formula>
    </cfRule>
  </conditionalFormatting>
  <conditionalFormatting sqref="F122:DX122">
    <cfRule type="containsText" dxfId="13444" priority="262" operator="containsText" text="2">
      <formula>NOT(ISERROR(SEARCH("2",F122)))</formula>
    </cfRule>
    <cfRule type="containsText" dxfId="13443" priority="263" operator="containsText" text="4">
      <formula>NOT(ISERROR(SEARCH("4",F122)))</formula>
    </cfRule>
    <cfRule type="top10" dxfId="13442" priority="264" rank="10"/>
    <cfRule type="top10" dxfId="13441" priority="265" rank="10"/>
    <cfRule type="cellIs" dxfId="13440" priority="266" operator="equal">
      <formula>1</formula>
    </cfRule>
    <cfRule type="top10" dxfId="13439" priority="267" rank="10"/>
  </conditionalFormatting>
  <conditionalFormatting sqref="F122:DX123 AF124:DU125 F124:AB127 AF126:BS127 BX126:DU127 BT126:BW128 DB128">
    <cfRule type="cellIs" dxfId="13438" priority="284" operator="equal">
      <formula>1</formula>
    </cfRule>
  </conditionalFormatting>
  <conditionalFormatting sqref="F122:DX123">
    <cfRule type="containsText" dxfId="13437" priority="282" operator="containsText" text="3">
      <formula>NOT(ISERROR(SEARCH("3",F122)))</formula>
    </cfRule>
    <cfRule type="cellIs" dxfId="13436" priority="283" operator="equal">
      <formula>2</formula>
    </cfRule>
    <cfRule type="cellIs" dxfId="13435" priority="285" operator="equal">
      <formula>3</formula>
    </cfRule>
    <cfRule type="cellIs" dxfId="13434" priority="286" operator="equal">
      <formula>4</formula>
    </cfRule>
  </conditionalFormatting>
  <conditionalFormatting sqref="AC124:AE128 Y128:AB128">
    <cfRule type="cellIs" dxfId="13433" priority="278" operator="equal">
      <formula>2</formula>
    </cfRule>
    <cfRule type="cellIs" dxfId="13432" priority="279" operator="equal">
      <formula>4</formula>
    </cfRule>
    <cfRule type="cellIs" dxfId="13431" priority="280" operator="equal">
      <formula>3</formula>
    </cfRule>
    <cfRule type="cellIs" dxfId="13430" priority="281" operator="equal">
      <formula>1</formula>
    </cfRule>
  </conditionalFormatting>
  <conditionalFormatting sqref="AF117">
    <cfRule type="top10" dxfId="13429" priority="73" rank="10"/>
    <cfRule type="top10" dxfId="13428" priority="74" rank="10"/>
    <cfRule type="containsText" dxfId="13427" priority="75" operator="containsText" text="1">
      <formula>NOT(ISERROR(SEARCH("1",AF117)))</formula>
    </cfRule>
    <cfRule type="containsText" dxfId="13426" priority="76" operator="containsText" text="1">
      <formula>NOT(ISERROR(SEARCH("1",AF117)))</formula>
    </cfRule>
    <cfRule type="containsText" dxfId="13425" priority="77" operator="containsText" text="3">
      <formula>NOT(ISERROR(SEARCH("3",AF117)))</formula>
    </cfRule>
    <cfRule type="containsText" dxfId="13424" priority="78" operator="containsText" text="2">
      <formula>NOT(ISERROR(SEARCH("2",AF117)))</formula>
    </cfRule>
    <cfRule type="containsText" dxfId="13423" priority="79" operator="containsText" text="4">
      <formula>NOT(ISERROR(SEARCH("4",AF117)))</formula>
    </cfRule>
    <cfRule type="containsText" dxfId="13422" priority="80" operator="containsText" text="1">
      <formula>NOT(ISERROR(SEARCH("1",AF117)))</formula>
    </cfRule>
    <cfRule type="cellIs" dxfId="13421" priority="81" operator="equal">
      <formula>2</formula>
    </cfRule>
    <cfRule type="cellIs" dxfId="13420" priority="82" operator="equal">
      <formula>4</formula>
    </cfRule>
    <cfRule type="cellIs" dxfId="13419" priority="83" operator="equal">
      <formula>3</formula>
    </cfRule>
    <cfRule type="cellIs" dxfId="13418" priority="84" operator="equal">
      <formula>1</formula>
    </cfRule>
  </conditionalFormatting>
  <conditionalFormatting sqref="AF124:DU125 F124:AB127 AF126:BS127 BX126:DU127 BT126:BW128 DB128">
    <cfRule type="cellIs" dxfId="13417" priority="275" operator="equal">
      <formula>2</formula>
    </cfRule>
    <cfRule type="cellIs" dxfId="13416" priority="276" operator="equal">
      <formula>4</formula>
    </cfRule>
    <cfRule type="cellIs" dxfId="13415" priority="277" operator="equal">
      <formula>3</formula>
    </cfRule>
  </conditionalFormatting>
  <conditionalFormatting sqref="CP105 AV113:BX114 CO114:CP114 AG115:CO117 AV112:CP112 BD18:CO120">
    <cfRule type="containsText" dxfId="13414" priority="234" operator="containsText" text="1">
      <formula>NOT(ISERROR(SEARCH("1",AG18)))</formula>
    </cfRule>
    <cfRule type="containsText" dxfId="13413" priority="235" operator="containsText" text="1">
      <formula>NOT(ISERROR(SEARCH("1",AG18)))</formula>
    </cfRule>
    <cfRule type="containsText" dxfId="13412" priority="236" operator="containsText" text="3">
      <formula>NOT(ISERROR(SEARCH("3",AG18)))</formula>
    </cfRule>
    <cfRule type="containsText" dxfId="13411" priority="237" operator="containsText" text="2">
      <formula>NOT(ISERROR(SEARCH("2",AG18)))</formula>
    </cfRule>
    <cfRule type="containsText" dxfId="13410" priority="238" operator="containsText" text="4">
      <formula>NOT(ISERROR(SEARCH("4",AG18)))</formula>
    </cfRule>
    <cfRule type="containsText" dxfId="13409" priority="239" operator="containsText" text="1">
      <formula>NOT(ISERROR(SEARCH("1",AG18)))</formula>
    </cfRule>
    <cfRule type="cellIs" dxfId="13408" priority="240" operator="equal">
      <formula>2</formula>
    </cfRule>
    <cfRule type="cellIs" dxfId="13407" priority="241" operator="equal">
      <formula>4</formula>
    </cfRule>
    <cfRule type="cellIs" dxfId="13406" priority="242" operator="equal">
      <formula>3</formula>
    </cfRule>
    <cfRule type="cellIs" dxfId="13405" priority="243" operator="equal">
      <formula>1</formula>
    </cfRule>
  </conditionalFormatting>
  <conditionalFormatting sqref="CP113">
    <cfRule type="top10" dxfId="13404" priority="25" rank="10"/>
    <cfRule type="top10" dxfId="13403" priority="26" rank="10"/>
    <cfRule type="containsText" dxfId="13402" priority="27" operator="containsText" text="1">
      <formula>NOT(ISERROR(SEARCH("1",CP113)))</formula>
    </cfRule>
    <cfRule type="containsText" dxfId="13401" priority="28" operator="containsText" text="1">
      <formula>NOT(ISERROR(SEARCH("1",CP113)))</formula>
    </cfRule>
    <cfRule type="containsText" dxfId="13400" priority="29" operator="containsText" text="3">
      <formula>NOT(ISERROR(SEARCH("3",CP113)))</formula>
    </cfRule>
    <cfRule type="containsText" dxfId="13399" priority="30" operator="containsText" text="2">
      <formula>NOT(ISERROR(SEARCH("2",CP113)))</formula>
    </cfRule>
    <cfRule type="containsText" dxfId="13398" priority="31" operator="containsText" text="4">
      <formula>NOT(ISERROR(SEARCH("4",CP113)))</formula>
    </cfRule>
    <cfRule type="containsText" dxfId="13397" priority="32" operator="containsText" text="1">
      <formula>NOT(ISERROR(SEARCH("1",CP113)))</formula>
    </cfRule>
    <cfRule type="cellIs" dxfId="13396" priority="33" operator="equal">
      <formula>2</formula>
    </cfRule>
    <cfRule type="cellIs" dxfId="13395" priority="34" operator="equal">
      <formula>4</formula>
    </cfRule>
    <cfRule type="cellIs" dxfId="13394" priority="35" operator="equal">
      <formula>3</formula>
    </cfRule>
    <cfRule type="cellIs" dxfId="13393" priority="36" operator="equal">
      <formula>1</formula>
    </cfRule>
  </conditionalFormatting>
  <conditionalFormatting sqref="CP116">
    <cfRule type="top10" dxfId="13392" priority="1" rank="10"/>
    <cfRule type="top10" dxfId="13391" priority="2" rank="10"/>
    <cfRule type="containsText" dxfId="13390" priority="3" operator="containsText" text="1">
      <formula>NOT(ISERROR(SEARCH("1",CP116)))</formula>
    </cfRule>
    <cfRule type="containsText" dxfId="13389" priority="4" operator="containsText" text="1">
      <formula>NOT(ISERROR(SEARCH("1",CP116)))</formula>
    </cfRule>
    <cfRule type="containsText" dxfId="13388" priority="5" operator="containsText" text="3">
      <formula>NOT(ISERROR(SEARCH("3",CP116)))</formula>
    </cfRule>
    <cfRule type="containsText" dxfId="13387" priority="6" operator="containsText" text="2">
      <formula>NOT(ISERROR(SEARCH("2",CP116)))</formula>
    </cfRule>
    <cfRule type="containsText" dxfId="13386" priority="7" operator="containsText" text="4">
      <formula>NOT(ISERROR(SEARCH("4",CP116)))</formula>
    </cfRule>
    <cfRule type="containsText" dxfId="13385" priority="8" operator="containsText" text="1">
      <formula>NOT(ISERROR(SEARCH("1",CP116)))</formula>
    </cfRule>
    <cfRule type="cellIs" dxfId="13384" priority="9" operator="equal">
      <formula>2</formula>
    </cfRule>
    <cfRule type="cellIs" dxfId="13383" priority="10" operator="equal">
      <formula>4</formula>
    </cfRule>
    <cfRule type="cellIs" dxfId="13382" priority="11" operator="equal">
      <formula>3</formula>
    </cfRule>
    <cfRule type="cellIs" dxfId="13381" priority="12" operator="equal">
      <formula>1</formula>
    </cfRule>
  </conditionalFormatting>
  <conditionalFormatting sqref="DB128 Y128:AB128 AC124:AE128 CV124:DU127 CR122:CU127 F124:AB127 AF124:CQ125 AF126:BS127 BX126:CQ127 BT126:BW128 F122:CQ123 CV122:DX123">
    <cfRule type="top10" dxfId="13380" priority="257" rank="10"/>
  </conditionalFormatting>
  <conditionalFormatting sqref="DR122:DU122">
    <cfRule type="containsText" dxfId="13379" priority="274" operator="containsText" text="1">
      <formula>NOT(ISERROR(SEARCH("1",DR122)))</formula>
    </cfRule>
  </conditionalFormatting>
  <conditionalFormatting sqref="DR122:DV122">
    <cfRule type="containsText" dxfId="13378" priority="273" operator="containsText" text="1">
      <formula>NOT(ISERROR(SEARCH("1",DR122)))</formula>
    </cfRule>
  </conditionalFormatting>
  <conditionalFormatting sqref="G112:K117">
    <cfRule type="top10" dxfId="13377" priority="321308" rank="10"/>
    <cfRule type="top10" dxfId="13376" priority="321309" rank="10"/>
    <cfRule type="containsText" dxfId="13375" priority="321310" operator="containsText" text="1">
      <formula>NOT(ISERROR(SEARCH("1",G112)))</formula>
    </cfRule>
    <cfRule type="containsText" dxfId="13374" priority="321311" operator="containsText" text="1">
      <formula>NOT(ISERROR(SEARCH("1",G112)))</formula>
    </cfRule>
    <cfRule type="containsText" dxfId="13373" priority="321312" operator="containsText" text="3">
      <formula>NOT(ISERROR(SEARCH("3",G112)))</formula>
    </cfRule>
    <cfRule type="containsText" dxfId="13372" priority="321313" operator="containsText" text="2">
      <formula>NOT(ISERROR(SEARCH("2",G112)))</formula>
    </cfRule>
    <cfRule type="containsText" dxfId="13371" priority="321314" operator="containsText" text="4">
      <formula>NOT(ISERROR(SEARCH("4",G112)))</formula>
    </cfRule>
    <cfRule type="containsText" dxfId="13370" priority="321315" operator="containsText" text="1">
      <formula>NOT(ISERROR(SEARCH("1",G112)))</formula>
    </cfRule>
    <cfRule type="cellIs" dxfId="13369" priority="321316" operator="equal">
      <formula>2</formula>
    </cfRule>
    <cfRule type="cellIs" dxfId="13368" priority="321317" operator="equal">
      <formula>4</formula>
    </cfRule>
    <cfRule type="cellIs" dxfId="13367" priority="321318" operator="equal">
      <formula>3</formula>
    </cfRule>
    <cfRule type="cellIs" dxfId="13366" priority="321319" operator="equal">
      <formula>1</formula>
    </cfRule>
  </conditionalFormatting>
  <conditionalFormatting sqref="P112:AU113 L112:AE117">
    <cfRule type="top10" dxfId="13365" priority="321332" rank="10"/>
    <cfRule type="top10" dxfId="13364" priority="321333" rank="10"/>
    <cfRule type="containsText" dxfId="13363" priority="321334" operator="containsText" text="1">
      <formula>NOT(ISERROR(SEARCH("1",L112)))</formula>
    </cfRule>
    <cfRule type="containsText" dxfId="13362" priority="321335" operator="containsText" text="1">
      <formula>NOT(ISERROR(SEARCH("1",L112)))</formula>
    </cfRule>
    <cfRule type="containsText" dxfId="13361" priority="321336" operator="containsText" text="3">
      <formula>NOT(ISERROR(SEARCH("3",L112)))</formula>
    </cfRule>
    <cfRule type="containsText" dxfId="13360" priority="321337" operator="containsText" text="2">
      <formula>NOT(ISERROR(SEARCH("2",L112)))</formula>
    </cfRule>
    <cfRule type="containsText" dxfId="13359" priority="321338" operator="containsText" text="4">
      <formula>NOT(ISERROR(SEARCH("4",L112)))</formula>
    </cfRule>
    <cfRule type="containsText" dxfId="13358" priority="321339" operator="containsText" text="1">
      <formula>NOT(ISERROR(SEARCH("1",L112)))</formula>
    </cfRule>
    <cfRule type="cellIs" dxfId="13357" priority="321340" operator="equal">
      <formula>2</formula>
    </cfRule>
    <cfRule type="cellIs" dxfId="13356" priority="321341" operator="equal">
      <formula>4</formula>
    </cfRule>
    <cfRule type="cellIs" dxfId="13355" priority="321342" operator="equal">
      <formula>3</formula>
    </cfRule>
    <cfRule type="cellIs" dxfId="13354" priority="321343" operator="equal">
      <formula>1</formula>
    </cfRule>
  </conditionalFormatting>
  <conditionalFormatting sqref="AF115">
    <cfRule type="top10" dxfId="13353" priority="321356" rank="10"/>
    <cfRule type="top10" dxfId="13352" priority="321357" rank="10"/>
    <cfRule type="containsText" dxfId="13351" priority="321358" operator="containsText" text="1">
      <formula>NOT(ISERROR(SEARCH("1",AF115)))</formula>
    </cfRule>
    <cfRule type="containsText" dxfId="13350" priority="321359" operator="containsText" text="1">
      <formula>NOT(ISERROR(SEARCH("1",AF115)))</formula>
    </cfRule>
    <cfRule type="containsText" dxfId="13349" priority="321360" operator="containsText" text="3">
      <formula>NOT(ISERROR(SEARCH("3",AF115)))</formula>
    </cfRule>
    <cfRule type="containsText" dxfId="13348" priority="321361" operator="containsText" text="2">
      <formula>NOT(ISERROR(SEARCH("2",AF115)))</formula>
    </cfRule>
    <cfRule type="containsText" dxfId="13347" priority="321362" operator="containsText" text="4">
      <formula>NOT(ISERROR(SEARCH("4",AF115)))</formula>
    </cfRule>
    <cfRule type="containsText" dxfId="13346" priority="321363" operator="containsText" text="1">
      <formula>NOT(ISERROR(SEARCH("1",AF115)))</formula>
    </cfRule>
    <cfRule type="cellIs" dxfId="13345" priority="321364" operator="equal">
      <formula>2</formula>
    </cfRule>
    <cfRule type="cellIs" dxfId="13344" priority="321365" operator="equal">
      <formula>4</formula>
    </cfRule>
    <cfRule type="cellIs" dxfId="13343" priority="321366" operator="equal">
      <formula>3</formula>
    </cfRule>
    <cfRule type="cellIs" dxfId="13342" priority="321367" operator="equal">
      <formula>1</formula>
    </cfRule>
  </conditionalFormatting>
  <conditionalFormatting sqref="AG115:CO117 CP105 AV112:CP112 AV113:BX114 CO114:CP114 BD18:CO120">
    <cfRule type="top10" dxfId="13341" priority="321398" rank="10"/>
    <cfRule type="top10" dxfId="13340" priority="321399" rank="10"/>
  </conditionalFormatting>
  <conditionalFormatting sqref="AN112:AN114">
    <cfRule type="top10" dxfId="13339" priority="322813" rank="10"/>
    <cfRule type="top10" dxfId="13338" priority="322814" rank="10"/>
    <cfRule type="containsText" dxfId="13337" priority="322815" operator="containsText" text="1">
      <formula>NOT(ISERROR(SEARCH("1",AN112)))</formula>
    </cfRule>
    <cfRule type="containsText" dxfId="13336" priority="322816" operator="containsText" text="1">
      <formula>NOT(ISERROR(SEARCH("1",AN112)))</formula>
    </cfRule>
    <cfRule type="containsText" dxfId="13335" priority="322817" operator="containsText" text="3">
      <formula>NOT(ISERROR(SEARCH("3",AN112)))</formula>
    </cfRule>
    <cfRule type="containsText" dxfId="13334" priority="322818" operator="containsText" text="2">
      <formula>NOT(ISERROR(SEARCH("2",AN112)))</formula>
    </cfRule>
    <cfRule type="containsText" dxfId="13333" priority="322819" operator="containsText" text="4">
      <formula>NOT(ISERROR(SEARCH("4",AN112)))</formula>
    </cfRule>
    <cfRule type="containsText" dxfId="13332" priority="322820" operator="containsText" text="1">
      <formula>NOT(ISERROR(SEARCH("1",AN112)))</formula>
    </cfRule>
    <cfRule type="cellIs" dxfId="13331" priority="322821" operator="equal">
      <formula>2</formula>
    </cfRule>
    <cfRule type="cellIs" dxfId="13330" priority="322822" operator="equal">
      <formula>4</formula>
    </cfRule>
    <cfRule type="cellIs" dxfId="13329" priority="322823" operator="equal">
      <formula>3</formula>
    </cfRule>
    <cfRule type="cellIs" dxfId="13328" priority="322824" operator="equal">
      <formula>1</formula>
    </cfRule>
  </conditionalFormatting>
  <conditionalFormatting sqref="AF112:AM114">
    <cfRule type="top10" dxfId="13327" priority="324370" rank="10"/>
    <cfRule type="top10" dxfId="13326" priority="324371" rank="10"/>
    <cfRule type="containsText" dxfId="13325" priority="324372" operator="containsText" text="1">
      <formula>NOT(ISERROR(SEARCH("1",AF112)))</formula>
    </cfRule>
    <cfRule type="containsText" dxfId="13324" priority="324373" operator="containsText" text="1">
      <formula>NOT(ISERROR(SEARCH("1",AF112)))</formula>
    </cfRule>
    <cfRule type="containsText" dxfId="13323" priority="324374" operator="containsText" text="3">
      <formula>NOT(ISERROR(SEARCH("3",AF112)))</formula>
    </cfRule>
    <cfRule type="containsText" dxfId="13322" priority="324375" operator="containsText" text="2">
      <formula>NOT(ISERROR(SEARCH("2",AF112)))</formula>
    </cfRule>
    <cfRule type="containsText" dxfId="13321" priority="324376" operator="containsText" text="4">
      <formula>NOT(ISERROR(SEARCH("4",AF112)))</formula>
    </cfRule>
    <cfRule type="containsText" dxfId="13320" priority="324377" operator="containsText" text="1">
      <formula>NOT(ISERROR(SEARCH("1",AF112)))</formula>
    </cfRule>
    <cfRule type="cellIs" dxfId="13319" priority="324378" operator="equal">
      <formula>2</formula>
    </cfRule>
    <cfRule type="cellIs" dxfId="13318" priority="324379" operator="equal">
      <formula>4</formula>
    </cfRule>
    <cfRule type="cellIs" dxfId="13317" priority="324380" operator="equal">
      <formula>3</formula>
    </cfRule>
    <cfRule type="cellIs" dxfId="13316" priority="324381" operator="equal">
      <formula>1</formula>
    </cfRule>
  </conditionalFormatting>
  <conditionalFormatting sqref="AO112:AU114">
    <cfRule type="top10" dxfId="13315" priority="324382" rank="10"/>
    <cfRule type="top10" dxfId="13314" priority="324383" rank="10"/>
    <cfRule type="containsText" dxfId="13313" priority="324384" operator="containsText" text="1">
      <formula>NOT(ISERROR(SEARCH("1",AO112)))</formula>
    </cfRule>
    <cfRule type="containsText" dxfId="13312" priority="324385" operator="containsText" text="1">
      <formula>NOT(ISERROR(SEARCH("1",AO112)))</formula>
    </cfRule>
    <cfRule type="containsText" dxfId="13311" priority="324386" operator="containsText" text="3">
      <formula>NOT(ISERROR(SEARCH("3",AO112)))</formula>
    </cfRule>
    <cfRule type="containsText" dxfId="13310" priority="324387" operator="containsText" text="2">
      <formula>NOT(ISERROR(SEARCH("2",AO112)))</formula>
    </cfRule>
    <cfRule type="containsText" dxfId="13309" priority="324388" operator="containsText" text="4">
      <formula>NOT(ISERROR(SEARCH("4",AO112)))</formula>
    </cfRule>
    <cfRule type="containsText" dxfId="13308" priority="324389" operator="containsText" text="1">
      <formula>NOT(ISERROR(SEARCH("1",AO112)))</formula>
    </cfRule>
    <cfRule type="cellIs" dxfId="13307" priority="324390" operator="equal">
      <formula>2</formula>
    </cfRule>
    <cfRule type="cellIs" dxfId="13306" priority="324391" operator="equal">
      <formula>4</formula>
    </cfRule>
    <cfRule type="cellIs" dxfId="13305" priority="324392" operator="equal">
      <formula>3</formula>
    </cfRule>
    <cfRule type="cellIs" dxfId="13304" priority="324393" operator="equal">
      <formula>1</formula>
    </cfRule>
  </conditionalFormatting>
  <conditionalFormatting sqref="A112:B117">
    <cfRule type="duplicateValues" dxfId="13303" priority="324394"/>
  </conditionalFormatting>
  <conditionalFormatting sqref="CQ112:DW118">
    <cfRule type="top10" dxfId="13302" priority="324395" rank="10"/>
    <cfRule type="top10" dxfId="13301" priority="324396" rank="10"/>
    <cfRule type="containsText" dxfId="13300" priority="324397" operator="containsText" text="1">
      <formula>NOT(ISERROR(SEARCH("1",CQ112)))</formula>
    </cfRule>
    <cfRule type="containsText" dxfId="13299" priority="324398" operator="containsText" text="1">
      <formula>NOT(ISERROR(SEARCH("1",CQ112)))</formula>
    </cfRule>
    <cfRule type="containsText" dxfId="13298" priority="324399" operator="containsText" text="3">
      <formula>NOT(ISERROR(SEARCH("3",CQ112)))</formula>
    </cfRule>
    <cfRule type="containsText" dxfId="13297" priority="324400" operator="containsText" text="2">
      <formula>NOT(ISERROR(SEARCH("2",CQ112)))</formula>
    </cfRule>
    <cfRule type="containsText" dxfId="13296" priority="324401" operator="containsText" text="4">
      <formula>NOT(ISERROR(SEARCH("4",CQ112)))</formula>
    </cfRule>
    <cfRule type="containsText" dxfId="13295" priority="324402" operator="containsText" text="1">
      <formula>NOT(ISERROR(SEARCH("1",CQ112)))</formula>
    </cfRule>
    <cfRule type="cellIs" dxfId="13294" priority="324403" operator="equal">
      <formula>2</formula>
    </cfRule>
    <cfRule type="cellIs" dxfId="13293" priority="324404" operator="equal">
      <formula>4</formula>
    </cfRule>
    <cfRule type="cellIs" dxfId="13292" priority="324405" operator="equal">
      <formula>3</formula>
    </cfRule>
    <cfRule type="cellIs" dxfId="13291" priority="324406" operator="equal">
      <formula>1</formula>
    </cfRule>
  </conditionalFormatting>
  <conditionalFormatting sqref="A18:A120">
    <cfRule type="duplicateValues" dxfId="13290" priority="328595"/>
    <cfRule type="duplicateValues" dxfId="13289" priority="328596"/>
    <cfRule type="duplicateValues" dxfId="13288" priority="328597"/>
    <cfRule type="duplicateValues" dxfId="13287" priority="328598"/>
    <cfRule type="duplicateValues" dxfId="13286" priority="328599"/>
    <cfRule type="duplicateValues" dxfId="13285" priority="328600"/>
    <cfRule type="duplicateValues" dxfId="13284" priority="328601"/>
    <cfRule type="duplicateValues" dxfId="13283" priority="328602"/>
  </conditionalFormatting>
  <conditionalFormatting sqref="B18:B120">
    <cfRule type="duplicateValues" dxfId="13282" priority="328611"/>
    <cfRule type="duplicateValues" dxfId="13281" priority="328612"/>
    <cfRule type="duplicateValues" dxfId="13280" priority="328613"/>
  </conditionalFormatting>
  <conditionalFormatting sqref="F18:DX120">
    <cfRule type="containsText" dxfId="13279" priority="328617" operator="containsText" text="1">
      <formula>NOT(ISERROR(SEARCH("1",F18)))</formula>
    </cfRule>
    <cfRule type="cellIs" dxfId="13278" priority="328618" operator="equal">
      <formula>2</formula>
    </cfRule>
    <cfRule type="cellIs" dxfId="13277" priority="328619" operator="equal">
      <formula>3</formula>
    </cfRule>
    <cfRule type="cellIs" dxfId="13276" priority="328620" operator="equal">
      <formula>4</formula>
    </cfRule>
    <cfRule type="cellIs" dxfId="13275" priority="328621" operator="equal">
      <formula>1</formula>
    </cfRule>
    <cfRule type="containsText" dxfId="13274" priority="328622" operator="containsText" text="1">
      <formula>NOT(ISERROR(SEARCH("1",F18)))</formula>
    </cfRule>
    <cfRule type="cellIs" dxfId="13273" priority="328623" operator="equal">
      <formula>3</formula>
    </cfRule>
    <cfRule type="cellIs" dxfId="13272" priority="328624" operator="equal">
      <formula>4</formula>
    </cfRule>
    <cfRule type="cellIs" dxfId="13271" priority="328625" operator="equal">
      <formula>2</formula>
    </cfRule>
    <cfRule type="cellIs" dxfId="13270" priority="328626" operator="equal">
      <formula>1</formula>
    </cfRule>
    <cfRule type="containsText" dxfId="13269" priority="328627" operator="containsText" text="1">
      <formula>NOT(ISERROR(SEARCH("1",F18)))</formula>
    </cfRule>
    <cfRule type="containsText" dxfId="13268" priority="328628" operator="containsText" text="1">
      <formula>NOT(ISERROR(SEARCH("1",F18)))</formula>
    </cfRule>
    <cfRule type="containsText" dxfId="13267" priority="328629" operator="containsText" text="3">
      <formula>NOT(ISERROR(SEARCH("3",F18)))</formula>
    </cfRule>
    <cfRule type="containsText" dxfId="13266" priority="328630" operator="containsText" text="2">
      <formula>NOT(ISERROR(SEARCH("2",F18)))</formula>
    </cfRule>
    <cfRule type="containsText" dxfId="13265" priority="328631" operator="containsText" text="4">
      <formula>NOT(ISERROR(SEARCH("4",F18)))</formula>
    </cfRule>
    <cfRule type="containsText" dxfId="13264" priority="328632" operator="containsText" text="1">
      <formula>NOT(ISERROR(SEARCH("1",F18)))</formula>
    </cfRule>
    <cfRule type="containsText" dxfId="13263" priority="328633" operator="containsText" text="3">
      <formula>NOT(ISERROR(SEARCH("3",F18)))</formula>
    </cfRule>
    <cfRule type="containsText" dxfId="13262" priority="328634" operator="containsText" text="2">
      <formula>NOT(ISERROR(SEARCH("2",F18)))</formula>
    </cfRule>
    <cfRule type="cellIs" dxfId="13261" priority="328635" operator="lessThan">
      <formula>1</formula>
    </cfRule>
    <cfRule type="cellIs" dxfId="13260" priority="328636" operator="lessThan">
      <formula>1</formula>
    </cfRule>
    <cfRule type="cellIs" dxfId="13259" priority="328637" operator="lessThan">
      <formula>2</formula>
    </cfRule>
    <cfRule type="containsText" dxfId="13258" priority="328638" operator="containsText" text="3">
      <formula>NOT(ISERROR(SEARCH("3",F18)))</formula>
    </cfRule>
    <cfRule type="containsText" dxfId="13257" priority="328639" operator="containsText" text="4">
      <formula>NOT(ISERROR(SEARCH("4",F18)))</formula>
    </cfRule>
    <cfRule type="top10" dxfId="13256" priority="328640" rank="10"/>
    <cfRule type="top10" dxfId="13255" priority="328641" rank="10"/>
    <cfRule type="top10" dxfId="13254" priority="328642" rank="10"/>
    <cfRule type="top10" dxfId="13253" priority="328643" rank="10"/>
    <cfRule type="cellIs" dxfId="13252" priority="328644" operator="equal">
      <formula>2</formula>
    </cfRule>
    <cfRule type="cellIs" dxfId="13251" priority="328645" operator="equal">
      <formula>4</formula>
    </cfRule>
    <cfRule type="cellIs" dxfId="13250" priority="328646" operator="equal">
      <formula>3</formula>
    </cfRule>
    <cfRule type="cellIs" dxfId="13249" priority="328647" operator="equal">
      <formula>1</formula>
    </cfRule>
    <cfRule type="containsText" dxfId="13248" priority="328648" operator="containsText" text="3">
      <formula>NOT(ISERROR(SEARCH("3",F18)))</formula>
    </cfRule>
    <cfRule type="containsText" dxfId="13247" priority="328649" operator="containsText" text="2">
      <formula>NOT(ISERROR(SEARCH("2",F18)))</formula>
    </cfRule>
    <cfRule type="containsText" dxfId="13246" priority="328650" operator="containsText" text="4">
      <formula>NOT(ISERROR(SEARCH("4",F18)))</formula>
    </cfRule>
    <cfRule type="containsText" dxfId="13245" priority="328651" operator="containsText" text="1">
      <formula>NOT(ISERROR(SEARCH("1",F18)))</formula>
    </cfRule>
    <cfRule type="containsText" dxfId="13244" priority="328652" operator="containsText" text="1">
      <formula>NOT(ISERROR(SEARCH("1",F18)))</formula>
    </cfRule>
  </conditionalFormatting>
  <conditionalFormatting sqref="AE18:AE120">
    <cfRule type="top10" dxfId="13243" priority="328689" rank="10"/>
  </conditionalFormatting>
  <conditionalFormatting sqref="AF18:BC120">
    <cfRule type="top10" dxfId="13242" priority="328691" rank="10"/>
    <cfRule type="top10" dxfId="13241" priority="328692" rank="10"/>
    <cfRule type="containsText" dxfId="13240" priority="328693" operator="containsText" text="1">
      <formula>NOT(ISERROR(SEARCH("1",AF18)))</formula>
    </cfRule>
    <cfRule type="containsText" dxfId="13239" priority="328694" operator="containsText" text="1">
      <formula>NOT(ISERROR(SEARCH("1",AF18)))</formula>
    </cfRule>
    <cfRule type="containsText" dxfId="13238" priority="328695" operator="containsText" text="3">
      <formula>NOT(ISERROR(SEARCH("3",AF18)))</formula>
    </cfRule>
    <cfRule type="containsText" dxfId="13237" priority="328696" operator="containsText" text="2">
      <formula>NOT(ISERROR(SEARCH("2",AF18)))</formula>
    </cfRule>
    <cfRule type="containsText" dxfId="13236" priority="328697" operator="containsText" text="4">
      <formula>NOT(ISERROR(SEARCH("4",AF18)))</formula>
    </cfRule>
    <cfRule type="containsText" dxfId="13235" priority="328698" operator="containsText" text="1">
      <formula>NOT(ISERROR(SEARCH("1",AF18)))</formula>
    </cfRule>
  </conditionalFormatting>
  <conditionalFormatting sqref="CQ18:DE120">
    <cfRule type="top10" dxfId="13234" priority="328707" rank="10"/>
    <cfRule type="top10" dxfId="13233" priority="328708" rank="10"/>
    <cfRule type="containsText" dxfId="13232" priority="328709" operator="containsText" text="1">
      <formula>NOT(ISERROR(SEARCH("1",CQ18)))</formula>
    </cfRule>
    <cfRule type="containsText" dxfId="13231" priority="328710" operator="containsText" text="1">
      <formula>NOT(ISERROR(SEARCH("1",CQ18)))</formula>
    </cfRule>
    <cfRule type="containsText" dxfId="13230" priority="328711" operator="containsText" text="3">
      <formula>NOT(ISERROR(SEARCH("3",CQ18)))</formula>
    </cfRule>
    <cfRule type="containsText" dxfId="13229" priority="328712" operator="containsText" text="2">
      <formula>NOT(ISERROR(SEARCH("2",CQ18)))</formula>
    </cfRule>
    <cfRule type="containsText" dxfId="13228" priority="328713" operator="containsText" text="4">
      <formula>NOT(ISERROR(SEARCH("4",CQ18)))</formula>
    </cfRule>
    <cfRule type="containsText" dxfId="13227" priority="328714" operator="containsText" text="1">
      <formula>NOT(ISERROR(SEARCH("1",CQ18)))</formula>
    </cfRule>
    <cfRule type="cellIs" dxfId="13226" priority="328715" operator="equal">
      <formula>2</formula>
    </cfRule>
    <cfRule type="cellIs" dxfId="13225" priority="328716" operator="equal">
      <formula>4</formula>
    </cfRule>
    <cfRule type="cellIs" dxfId="13224" priority="328717" operator="equal">
      <formula>3</formula>
    </cfRule>
    <cfRule type="cellIs" dxfId="13223" priority="328718" operator="equal">
      <formula>1</formula>
    </cfRule>
  </conditionalFormatting>
  <conditionalFormatting sqref="DF18:DM120">
    <cfRule type="top10" dxfId="13222" priority="328731" rank="10"/>
  </conditionalFormatting>
  <conditionalFormatting sqref="DN18:DN120">
    <cfRule type="top10" dxfId="13221" priority="328733" rank="10"/>
  </conditionalFormatting>
  <conditionalFormatting sqref="DO18:DX120">
    <cfRule type="top10" dxfId="13220" priority="328735" rank="10"/>
  </conditionalFormatting>
  <printOptions horizontalCentered="1" verticalCentered="1"/>
  <pageMargins left="0" right="0" top="0" bottom="0" header="0" footer="0"/>
  <pageSetup paperSize="8" scale="10" fitToHeight="0" orientation="landscape" horizontalDpi="1200" verticalDpi="1200" r:id="rId1"/>
  <headerFooter>
    <oddFooter>&amp;CICTMF020-HR&amp;RRev A 
date 11/03/2024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915C-3BFC-44B5-BAF8-86ECD9237FA4}">
  <sheetPr>
    <pageSetUpPr fitToPage="1"/>
  </sheetPr>
  <dimension ref="A1:Y57"/>
  <sheetViews>
    <sheetView topLeftCell="I19" zoomScale="40" zoomScaleNormal="40" zoomScaleSheetLayoutView="40" workbookViewId="0">
      <selection activeCell="X24" sqref="X24"/>
    </sheetView>
  </sheetViews>
  <sheetFormatPr defaultColWidth="9.109375" defaultRowHeight="14.4"/>
  <cols>
    <col min="1" max="1" width="30.109375" customWidth="1"/>
    <col min="2" max="2" width="63" customWidth="1"/>
    <col min="3" max="3" width="37.33203125" customWidth="1"/>
    <col min="4" max="4" width="43.109375" customWidth="1"/>
    <col min="5" max="5" width="46.5546875" customWidth="1"/>
    <col min="6" max="25" width="40.6640625" customWidth="1"/>
    <col min="26" max="26" width="19.109375" customWidth="1"/>
  </cols>
  <sheetData>
    <row r="1" spans="1:25" s="1" customFormat="1" ht="121.5" customHeight="1" thickBot="1">
      <c r="A1" s="601"/>
      <c r="B1" s="602"/>
      <c r="C1" s="192"/>
      <c r="D1" s="762" t="s">
        <v>29</v>
      </c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432" t="s">
        <v>0</v>
      </c>
      <c r="Y1" s="433" t="s">
        <v>20</v>
      </c>
    </row>
    <row r="2" spans="1:25" s="1" customFormat="1" ht="121.5" customHeight="1" thickBot="1">
      <c r="A2" s="603"/>
      <c r="B2" s="604"/>
      <c r="C2" s="193"/>
      <c r="D2" s="1157" t="s">
        <v>30</v>
      </c>
      <c r="E2" s="1158"/>
      <c r="F2" s="1158"/>
      <c r="G2" s="1158"/>
      <c r="H2" s="1158"/>
      <c r="I2" s="1158"/>
      <c r="J2" s="1158"/>
      <c r="K2" s="1158"/>
      <c r="L2" s="1158"/>
      <c r="M2" s="1158"/>
      <c r="N2" s="1158"/>
      <c r="O2" s="1158"/>
      <c r="P2" s="1158"/>
      <c r="Q2" s="1158"/>
      <c r="R2" s="1158"/>
      <c r="S2" s="1158"/>
      <c r="T2" s="1158"/>
      <c r="U2" s="1158"/>
      <c r="V2" s="1158"/>
      <c r="W2" s="1158"/>
      <c r="X2" s="432" t="s">
        <v>1</v>
      </c>
      <c r="Y2" s="431">
        <v>45358</v>
      </c>
    </row>
    <row r="3" spans="1:25" s="2" customFormat="1" ht="22.5" customHeight="1">
      <c r="B3" s="507" t="s">
        <v>4</v>
      </c>
      <c r="C3" s="3"/>
      <c r="D3" s="4"/>
      <c r="E3" s="4"/>
      <c r="F3" s="5"/>
      <c r="G3" s="5"/>
      <c r="H3" s="3"/>
      <c r="I3" s="5"/>
    </row>
    <row r="4" spans="1:25" s="2" customFormat="1" ht="27" customHeight="1">
      <c r="A4" s="6"/>
      <c r="B4" s="300"/>
      <c r="G4" s="8"/>
    </row>
    <row r="5" spans="1:25" s="6" customFormat="1" ht="27" customHeight="1" thickBot="1">
      <c r="B5" s="435" t="s">
        <v>5</v>
      </c>
      <c r="C5" s="86"/>
      <c r="E5" s="2"/>
      <c r="F5" s="7"/>
      <c r="G5" s="9"/>
      <c r="H5" s="7"/>
    </row>
    <row r="6" spans="1:25" s="6" customFormat="1" ht="27" customHeight="1">
      <c r="B6" s="435" t="s">
        <v>6</v>
      </c>
      <c r="C6" s="86"/>
      <c r="F6" s="7"/>
      <c r="G6" s="7"/>
      <c r="H6" s="7"/>
      <c r="U6" s="766" t="s">
        <v>518</v>
      </c>
      <c r="V6" s="767"/>
      <c r="W6" s="768"/>
      <c r="X6" s="775">
        <f>AVERAGE(X19:X35)</f>
        <v>0.32720588235294118</v>
      </c>
      <c r="Y6" s="775">
        <f>AVERAGE(Y19:Y35)</f>
        <v>1.0065359477124183</v>
      </c>
    </row>
    <row r="7" spans="1:25" s="6" customFormat="1" ht="27" customHeight="1">
      <c r="B7" s="435" t="s">
        <v>7</v>
      </c>
      <c r="C7" s="86"/>
      <c r="F7" s="630"/>
      <c r="G7" s="630"/>
      <c r="U7" s="769"/>
      <c r="V7" s="770"/>
      <c r="W7" s="771"/>
      <c r="X7" s="776"/>
      <c r="Y7" s="776"/>
    </row>
    <row r="8" spans="1:25" s="6" customFormat="1" ht="27" customHeight="1">
      <c r="B8" s="435"/>
      <c r="C8" s="7"/>
      <c r="F8" s="9"/>
      <c r="G8" s="9"/>
      <c r="U8" s="769"/>
      <c r="V8" s="770"/>
      <c r="W8" s="771"/>
      <c r="X8" s="776"/>
      <c r="Y8" s="776"/>
    </row>
    <row r="9" spans="1:25" s="2" customFormat="1" ht="27" customHeight="1">
      <c r="A9" s="6"/>
      <c r="B9" s="435" t="s">
        <v>10</v>
      </c>
      <c r="C9" s="86"/>
      <c r="D9" s="11"/>
      <c r="E9" s="11"/>
      <c r="F9" s="5"/>
      <c r="G9" s="5"/>
      <c r="H9" s="5"/>
      <c r="I9" s="5"/>
      <c r="U9" s="769"/>
      <c r="V9" s="770"/>
      <c r="W9" s="771"/>
      <c r="X9" s="776"/>
      <c r="Y9" s="776"/>
    </row>
    <row r="10" spans="1:25" s="2" customFormat="1" ht="27" customHeight="1">
      <c r="A10" s="6"/>
      <c r="B10" s="7"/>
      <c r="C10" s="7"/>
      <c r="D10" s="11"/>
      <c r="E10" s="11"/>
      <c r="F10" s="5"/>
      <c r="G10" s="5"/>
      <c r="H10" s="5"/>
      <c r="I10" s="5"/>
      <c r="U10" s="769"/>
      <c r="V10" s="770"/>
      <c r="W10" s="771"/>
      <c r="X10" s="776"/>
      <c r="Y10" s="776"/>
    </row>
    <row r="11" spans="1:25" s="2" customFormat="1" ht="16.5" customHeight="1">
      <c r="A11" s="6"/>
      <c r="B11" s="7"/>
      <c r="C11" s="7"/>
      <c r="D11" s="11"/>
      <c r="E11" s="11"/>
      <c r="F11" s="5"/>
      <c r="G11" s="5"/>
      <c r="H11" s="5"/>
      <c r="I11" s="5"/>
      <c r="U11" s="769"/>
      <c r="V11" s="770"/>
      <c r="W11" s="771"/>
      <c r="X11" s="776"/>
      <c r="Y11" s="776"/>
    </row>
    <row r="12" spans="1:25" s="2" customFormat="1" ht="16.5" customHeight="1" thickBot="1">
      <c r="A12" s="6"/>
      <c r="B12" s="7"/>
      <c r="C12" s="7"/>
      <c r="D12" s="11"/>
      <c r="E12" s="11"/>
      <c r="F12" s="5"/>
      <c r="G12" s="5"/>
      <c r="H12" s="5"/>
      <c r="I12" s="5"/>
      <c r="U12" s="772"/>
      <c r="V12" s="773"/>
      <c r="W12" s="774"/>
      <c r="X12" s="777"/>
      <c r="Y12" s="777"/>
    </row>
    <row r="13" spans="1:25" ht="33.75" customHeight="1" thickBot="1">
      <c r="A13" s="111"/>
      <c r="B13" s="111"/>
      <c r="C13" s="111"/>
      <c r="D13" s="111"/>
      <c r="E13" s="112"/>
      <c r="F13" s="1150"/>
      <c r="G13" s="1151"/>
      <c r="H13" s="1151"/>
      <c r="I13" s="1151"/>
      <c r="J13" s="1151"/>
      <c r="K13" s="1151"/>
      <c r="L13" s="1151"/>
      <c r="M13" s="1151"/>
      <c r="N13" s="469"/>
      <c r="O13" s="469"/>
      <c r="P13" s="469"/>
      <c r="Q13" s="469"/>
      <c r="R13" s="469"/>
      <c r="S13" s="469"/>
      <c r="T13" s="469"/>
      <c r="U13" s="1152"/>
      <c r="V13" s="1152"/>
      <c r="W13" s="1152"/>
      <c r="X13" s="1155" t="s">
        <v>11</v>
      </c>
      <c r="Y13" s="1155" t="s">
        <v>517</v>
      </c>
    </row>
    <row r="14" spans="1:25" ht="180.75" customHeight="1" thickBot="1">
      <c r="A14" s="974" t="s">
        <v>2</v>
      </c>
      <c r="B14" s="970" t="s">
        <v>3</v>
      </c>
      <c r="C14" s="970" t="s">
        <v>611</v>
      </c>
      <c r="D14" s="970" t="s">
        <v>8</v>
      </c>
      <c r="E14" s="970" t="s">
        <v>9</v>
      </c>
      <c r="F14" s="449" t="s">
        <v>46</v>
      </c>
      <c r="G14" s="979" t="s">
        <v>47</v>
      </c>
      <c r="H14" s="1142"/>
      <c r="I14" s="979" t="s">
        <v>48</v>
      </c>
      <c r="J14" s="1142"/>
      <c r="K14" s="1142"/>
      <c r="L14" s="449" t="s">
        <v>46</v>
      </c>
      <c r="M14" s="450" t="s">
        <v>49</v>
      </c>
      <c r="N14" s="449" t="s">
        <v>49</v>
      </c>
      <c r="O14" s="449" t="s">
        <v>49</v>
      </c>
      <c r="P14" s="449" t="s">
        <v>49</v>
      </c>
      <c r="Q14" s="451" t="s">
        <v>46</v>
      </c>
      <c r="R14" s="449" t="s">
        <v>49</v>
      </c>
      <c r="S14" s="449" t="s">
        <v>501</v>
      </c>
      <c r="T14" s="452" t="s">
        <v>913</v>
      </c>
      <c r="U14" s="998" t="s">
        <v>66</v>
      </c>
      <c r="V14" s="998" t="s">
        <v>67</v>
      </c>
      <c r="W14" s="998" t="s">
        <v>68</v>
      </c>
      <c r="X14" s="1156"/>
      <c r="Y14" s="1156"/>
    </row>
    <row r="15" spans="1:25" ht="22.5" customHeight="1">
      <c r="A15" s="975"/>
      <c r="B15" s="971"/>
      <c r="C15" s="971"/>
      <c r="D15" s="971"/>
      <c r="E15" s="971"/>
      <c r="F15" s="978" t="s">
        <v>50</v>
      </c>
      <c r="G15" s="978" t="s">
        <v>277</v>
      </c>
      <c r="H15" s="1003" t="s">
        <v>51</v>
      </c>
      <c r="I15" s="978" t="s">
        <v>52</v>
      </c>
      <c r="J15" s="1141"/>
      <c r="K15" s="1141"/>
      <c r="L15" s="978" t="s">
        <v>53</v>
      </c>
      <c r="M15" s="1007" t="s">
        <v>54</v>
      </c>
      <c r="N15" s="1009" t="s">
        <v>504</v>
      </c>
      <c r="O15" s="978" t="s">
        <v>56</v>
      </c>
      <c r="P15" s="978" t="s">
        <v>57</v>
      </c>
      <c r="Q15" s="978" t="s">
        <v>58</v>
      </c>
      <c r="R15" s="978" t="s">
        <v>59</v>
      </c>
      <c r="S15" s="978" t="s">
        <v>502</v>
      </c>
      <c r="T15" s="1153" t="s">
        <v>797</v>
      </c>
      <c r="U15" s="999"/>
      <c r="V15" s="999"/>
      <c r="W15" s="999"/>
      <c r="X15" s="1156"/>
      <c r="Y15" s="1156"/>
    </row>
    <row r="16" spans="1:25" ht="157.5" customHeight="1" thickBot="1">
      <c r="A16" s="975"/>
      <c r="B16" s="971"/>
      <c r="C16" s="971"/>
      <c r="D16" s="971"/>
      <c r="E16" s="971"/>
      <c r="F16" s="979"/>
      <c r="G16" s="979"/>
      <c r="H16" s="1004"/>
      <c r="I16" s="979"/>
      <c r="J16" s="1142"/>
      <c r="K16" s="1142"/>
      <c r="L16" s="979"/>
      <c r="M16" s="1008"/>
      <c r="N16" s="979"/>
      <c r="O16" s="979"/>
      <c r="P16" s="979"/>
      <c r="Q16" s="979"/>
      <c r="R16" s="979"/>
      <c r="S16" s="979"/>
      <c r="T16" s="1154"/>
      <c r="U16" s="999"/>
      <c r="V16" s="999"/>
      <c r="W16" s="999"/>
      <c r="X16" s="1156"/>
      <c r="Y16" s="1156"/>
    </row>
    <row r="17" spans="1:25" ht="138" customHeight="1" thickBot="1">
      <c r="A17" s="975"/>
      <c r="B17" s="971"/>
      <c r="C17" s="971"/>
      <c r="D17" s="971"/>
      <c r="E17" s="971"/>
      <c r="F17" s="1001" t="s">
        <v>503</v>
      </c>
      <c r="G17" s="1001" t="s">
        <v>503</v>
      </c>
      <c r="H17" s="1001" t="s">
        <v>503</v>
      </c>
      <c r="I17" s="456" t="s">
        <v>61</v>
      </c>
      <c r="J17" s="456" t="s">
        <v>62</v>
      </c>
      <c r="K17" s="456" t="s">
        <v>63</v>
      </c>
      <c r="L17" s="1145" t="s">
        <v>503</v>
      </c>
      <c r="M17" s="1145" t="s">
        <v>503</v>
      </c>
      <c r="N17" s="1145" t="s">
        <v>503</v>
      </c>
      <c r="O17" s="1145" t="s">
        <v>503</v>
      </c>
      <c r="P17" s="1145" t="s">
        <v>503</v>
      </c>
      <c r="Q17" s="1145" t="s">
        <v>503</v>
      </c>
      <c r="R17" s="1145" t="s">
        <v>503</v>
      </c>
      <c r="S17" s="1145" t="s">
        <v>503</v>
      </c>
      <c r="T17" s="1145" t="s">
        <v>503</v>
      </c>
      <c r="U17" s="999"/>
      <c r="V17" s="999"/>
      <c r="W17" s="999"/>
      <c r="X17" s="1156"/>
      <c r="Y17" s="1156"/>
    </row>
    <row r="18" spans="1:25" s="13" customFormat="1" ht="138" customHeight="1" thickBot="1">
      <c r="A18" s="975"/>
      <c r="B18" s="971"/>
      <c r="C18" s="971"/>
      <c r="D18" s="971"/>
      <c r="E18" s="971"/>
      <c r="F18" s="1002"/>
      <c r="G18" s="1002"/>
      <c r="H18" s="1002"/>
      <c r="I18" s="457" t="s">
        <v>503</v>
      </c>
      <c r="J18" s="457" t="s">
        <v>503</v>
      </c>
      <c r="K18" s="457" t="s">
        <v>503</v>
      </c>
      <c r="L18" s="1146"/>
      <c r="M18" s="1146"/>
      <c r="N18" s="1146"/>
      <c r="O18" s="1146"/>
      <c r="P18" s="1146"/>
      <c r="Q18" s="1146"/>
      <c r="R18" s="1146"/>
      <c r="S18" s="1146"/>
      <c r="T18" s="1146"/>
      <c r="U18" s="999"/>
      <c r="V18" s="999"/>
      <c r="W18" s="454"/>
      <c r="X18" s="1156"/>
      <c r="Y18" s="1156"/>
    </row>
    <row r="19" spans="1:25" s="481" customFormat="1" ht="125.25" customHeight="1" thickBot="1">
      <c r="A19" s="471" t="s">
        <v>94</v>
      </c>
      <c r="B19" s="472" t="s">
        <v>95</v>
      </c>
      <c r="C19" s="473">
        <v>45061</v>
      </c>
      <c r="D19" s="474" t="s">
        <v>629</v>
      </c>
      <c r="E19" s="475" t="s">
        <v>123</v>
      </c>
      <c r="F19" s="476">
        <v>4</v>
      </c>
      <c r="G19" s="477">
        <v>4</v>
      </c>
      <c r="H19" s="477">
        <v>2</v>
      </c>
      <c r="I19" s="477" t="s">
        <v>69</v>
      </c>
      <c r="J19" s="477" t="s">
        <v>69</v>
      </c>
      <c r="K19" s="477" t="s">
        <v>69</v>
      </c>
      <c r="L19" s="477" t="s">
        <v>69</v>
      </c>
      <c r="M19" s="477">
        <v>3</v>
      </c>
      <c r="N19" s="477">
        <v>3</v>
      </c>
      <c r="O19" s="478">
        <v>4</v>
      </c>
      <c r="P19" s="477">
        <v>3</v>
      </c>
      <c r="Q19" s="477" t="s">
        <v>69</v>
      </c>
      <c r="R19" s="478">
        <v>4</v>
      </c>
      <c r="S19" s="477">
        <v>4</v>
      </c>
      <c r="T19" s="477" t="s">
        <v>69</v>
      </c>
      <c r="U19" s="478">
        <v>4</v>
      </c>
      <c r="V19" s="478">
        <v>4</v>
      </c>
      <c r="W19" s="479" t="s">
        <v>69</v>
      </c>
      <c r="X19" s="480">
        <f>COUNTIF(F19:W19,"&gt;0")/16</f>
        <v>0.6875</v>
      </c>
      <c r="Y19" s="480">
        <f>COUNTIF(F19:W19,"&gt;2")/COUNTIF(G19:W19,"&gt;1")</f>
        <v>1</v>
      </c>
    </row>
    <row r="20" spans="1:25" s="481" customFormat="1" ht="125.25" customHeight="1" thickBot="1">
      <c r="A20" s="482" t="s">
        <v>315</v>
      </c>
      <c r="B20" s="483" t="s">
        <v>316</v>
      </c>
      <c r="C20" s="484">
        <v>44292</v>
      </c>
      <c r="D20" s="485" t="s">
        <v>629</v>
      </c>
      <c r="E20" s="486" t="s">
        <v>123</v>
      </c>
      <c r="F20" s="487" t="s">
        <v>69</v>
      </c>
      <c r="G20" s="488" t="s">
        <v>69</v>
      </c>
      <c r="H20" s="488" t="s">
        <v>69</v>
      </c>
      <c r="I20" s="488" t="s">
        <v>69</v>
      </c>
      <c r="J20" s="488" t="s">
        <v>69</v>
      </c>
      <c r="K20" s="488" t="s">
        <v>69</v>
      </c>
      <c r="L20" s="489">
        <v>4</v>
      </c>
      <c r="M20" s="488" t="s">
        <v>69</v>
      </c>
      <c r="N20" s="488" t="s">
        <v>69</v>
      </c>
      <c r="O20" s="488" t="s">
        <v>69</v>
      </c>
      <c r="P20" s="488" t="s">
        <v>69</v>
      </c>
      <c r="Q20" s="488">
        <v>3</v>
      </c>
      <c r="R20" s="488" t="s">
        <v>69</v>
      </c>
      <c r="S20" s="488" t="s">
        <v>69</v>
      </c>
      <c r="T20" s="488" t="s">
        <v>69</v>
      </c>
      <c r="U20" s="488">
        <v>3</v>
      </c>
      <c r="V20" s="489">
        <v>4</v>
      </c>
      <c r="W20" s="490" t="s">
        <v>69</v>
      </c>
      <c r="X20" s="480">
        <f t="shared" ref="X20:X32" si="0">COUNTIF(F20:W20,"&gt;0")/16</f>
        <v>0.25</v>
      </c>
      <c r="Y20" s="480">
        <f t="shared" ref="Y20:Y32" si="1">COUNTIF(F20:W20,"&gt;2")/COUNTIF(G20:W20,"&gt;1")</f>
        <v>1</v>
      </c>
    </row>
    <row r="21" spans="1:25" s="481" customFormat="1" ht="125.25" customHeight="1" thickBot="1">
      <c r="A21" s="482" t="s">
        <v>393</v>
      </c>
      <c r="B21" s="483" t="s">
        <v>394</v>
      </c>
      <c r="C21" s="484">
        <v>45177</v>
      </c>
      <c r="D21" s="485" t="s">
        <v>629</v>
      </c>
      <c r="E21" s="491" t="s">
        <v>123</v>
      </c>
      <c r="F21" s="487" t="s">
        <v>69</v>
      </c>
      <c r="G21" s="488" t="s">
        <v>69</v>
      </c>
      <c r="H21" s="488" t="s">
        <v>69</v>
      </c>
      <c r="I21" s="488" t="s">
        <v>69</v>
      </c>
      <c r="J21" s="488" t="s">
        <v>69</v>
      </c>
      <c r="K21" s="488" t="s">
        <v>69</v>
      </c>
      <c r="L21" s="488" t="s">
        <v>69</v>
      </c>
      <c r="M21" s="488" t="s">
        <v>69</v>
      </c>
      <c r="N21" s="488" t="s">
        <v>69</v>
      </c>
      <c r="O21" s="488" t="s">
        <v>69</v>
      </c>
      <c r="P21" s="488" t="s">
        <v>69</v>
      </c>
      <c r="Q21" s="488" t="s">
        <v>69</v>
      </c>
      <c r="R21" s="488" t="s">
        <v>69</v>
      </c>
      <c r="S21" s="488" t="s">
        <v>69</v>
      </c>
      <c r="T21" s="488" t="s">
        <v>69</v>
      </c>
      <c r="U21" s="488">
        <v>4</v>
      </c>
      <c r="V21" s="492">
        <v>4</v>
      </c>
      <c r="W21" s="490" t="s">
        <v>69</v>
      </c>
      <c r="X21" s="480">
        <f t="shared" si="0"/>
        <v>0.125</v>
      </c>
      <c r="Y21" s="480">
        <f t="shared" si="1"/>
        <v>1</v>
      </c>
    </row>
    <row r="22" spans="1:25" s="481" customFormat="1" ht="125.25" customHeight="1" thickBot="1">
      <c r="A22" s="493" t="s">
        <v>96</v>
      </c>
      <c r="B22" s="494" t="s">
        <v>97</v>
      </c>
      <c r="C22" s="495">
        <v>44292</v>
      </c>
      <c r="D22" s="485" t="s">
        <v>629</v>
      </c>
      <c r="E22" s="491" t="s">
        <v>123</v>
      </c>
      <c r="F22" s="487" t="s">
        <v>69</v>
      </c>
      <c r="G22" s="488" t="s">
        <v>69</v>
      </c>
      <c r="H22" s="488" t="s">
        <v>69</v>
      </c>
      <c r="I22" s="488" t="s">
        <v>69</v>
      </c>
      <c r="J22" s="488" t="s">
        <v>69</v>
      </c>
      <c r="K22" s="488" t="s">
        <v>69</v>
      </c>
      <c r="L22" s="488" t="s">
        <v>69</v>
      </c>
      <c r="M22" s="488">
        <v>4</v>
      </c>
      <c r="N22" s="489">
        <v>4</v>
      </c>
      <c r="O22" s="488" t="s">
        <v>69</v>
      </c>
      <c r="P22" s="488" t="s">
        <v>69</v>
      </c>
      <c r="Q22" s="488" t="s">
        <v>69</v>
      </c>
      <c r="R22" s="488">
        <v>3</v>
      </c>
      <c r="S22" s="488" t="s">
        <v>69</v>
      </c>
      <c r="T22" s="488" t="s">
        <v>69</v>
      </c>
      <c r="U22" s="492">
        <v>3</v>
      </c>
      <c r="V22" s="489">
        <v>4</v>
      </c>
      <c r="W22" s="490" t="s">
        <v>69</v>
      </c>
      <c r="X22" s="480">
        <f t="shared" si="0"/>
        <v>0.3125</v>
      </c>
      <c r="Y22" s="480">
        <f t="shared" si="1"/>
        <v>1</v>
      </c>
    </row>
    <row r="23" spans="1:25" s="481" customFormat="1" ht="125.25" customHeight="1" thickBot="1">
      <c r="A23" s="493" t="s">
        <v>467</v>
      </c>
      <c r="B23" s="494" t="s">
        <v>98</v>
      </c>
      <c r="C23" s="495">
        <v>45265</v>
      </c>
      <c r="D23" s="485" t="s">
        <v>629</v>
      </c>
      <c r="E23" s="491" t="s">
        <v>123</v>
      </c>
      <c r="F23" s="487" t="s">
        <v>69</v>
      </c>
      <c r="G23" s="488" t="s">
        <v>69</v>
      </c>
      <c r="H23" s="488" t="s">
        <v>69</v>
      </c>
      <c r="I23" s="489">
        <v>4</v>
      </c>
      <c r="J23" s="489">
        <v>4</v>
      </c>
      <c r="K23" s="489">
        <v>4</v>
      </c>
      <c r="L23" s="488">
        <v>3</v>
      </c>
      <c r="M23" s="488" t="s">
        <v>69</v>
      </c>
      <c r="N23" s="488" t="s">
        <v>69</v>
      </c>
      <c r="O23" s="488" t="s">
        <v>69</v>
      </c>
      <c r="P23" s="488" t="s">
        <v>69</v>
      </c>
      <c r="Q23" s="488" t="s">
        <v>69</v>
      </c>
      <c r="R23" s="488" t="s">
        <v>69</v>
      </c>
      <c r="S23" s="488" t="s">
        <v>69</v>
      </c>
      <c r="T23" s="488" t="s">
        <v>69</v>
      </c>
      <c r="U23" s="492">
        <v>3</v>
      </c>
      <c r="V23" s="489">
        <v>4</v>
      </c>
      <c r="W23" s="490" t="s">
        <v>69</v>
      </c>
      <c r="X23" s="480">
        <f t="shared" si="0"/>
        <v>0.375</v>
      </c>
      <c r="Y23" s="480">
        <f t="shared" si="1"/>
        <v>1</v>
      </c>
    </row>
    <row r="24" spans="1:25" s="481" customFormat="1" ht="125.25" customHeight="1" thickBot="1">
      <c r="A24" s="493" t="s">
        <v>99</v>
      </c>
      <c r="B24" s="494" t="s">
        <v>100</v>
      </c>
      <c r="C24" s="495">
        <v>44958</v>
      </c>
      <c r="D24" s="485" t="s">
        <v>629</v>
      </c>
      <c r="E24" s="491" t="s">
        <v>123</v>
      </c>
      <c r="F24" s="487">
        <v>3</v>
      </c>
      <c r="G24" s="489">
        <v>4</v>
      </c>
      <c r="H24" s="489">
        <v>4</v>
      </c>
      <c r="I24" s="489">
        <v>4</v>
      </c>
      <c r="J24" s="489">
        <v>4</v>
      </c>
      <c r="K24" s="489">
        <v>4</v>
      </c>
      <c r="L24" s="488" t="s">
        <v>69</v>
      </c>
      <c r="M24" s="488" t="s">
        <v>69</v>
      </c>
      <c r="N24" s="488" t="s">
        <v>69</v>
      </c>
      <c r="O24" s="488" t="s">
        <v>69</v>
      </c>
      <c r="P24" s="488" t="s">
        <v>69</v>
      </c>
      <c r="Q24" s="488" t="s">
        <v>69</v>
      </c>
      <c r="R24" s="492">
        <v>3</v>
      </c>
      <c r="S24" s="488">
        <v>3</v>
      </c>
      <c r="T24" s="488" t="s">
        <v>69</v>
      </c>
      <c r="U24" s="492">
        <v>3</v>
      </c>
      <c r="V24" s="489">
        <v>4</v>
      </c>
      <c r="W24" s="490" t="s">
        <v>69</v>
      </c>
      <c r="X24" s="480">
        <f t="shared" si="0"/>
        <v>0.625</v>
      </c>
      <c r="Y24" s="480">
        <f>COUNTIF(F24:W24,"&gt;2")/COUNTIF(G24:W24,"&gt;1")</f>
        <v>1.1111111111111112</v>
      </c>
    </row>
    <row r="25" spans="1:25" s="481" customFormat="1" ht="125.25" customHeight="1" thickBot="1">
      <c r="A25" s="493" t="s">
        <v>101</v>
      </c>
      <c r="B25" s="494" t="s">
        <v>102</v>
      </c>
      <c r="C25" s="495">
        <v>44958</v>
      </c>
      <c r="D25" s="485" t="s">
        <v>629</v>
      </c>
      <c r="E25" s="491" t="s">
        <v>123</v>
      </c>
      <c r="F25" s="487" t="s">
        <v>69</v>
      </c>
      <c r="G25" s="489">
        <v>4</v>
      </c>
      <c r="H25" s="489">
        <v>4</v>
      </c>
      <c r="I25" s="488" t="s">
        <v>69</v>
      </c>
      <c r="J25" s="488" t="s">
        <v>69</v>
      </c>
      <c r="K25" s="488" t="s">
        <v>69</v>
      </c>
      <c r="L25" s="488" t="s">
        <v>69</v>
      </c>
      <c r="M25" s="488">
        <v>3</v>
      </c>
      <c r="N25" s="488">
        <v>3</v>
      </c>
      <c r="O25" s="488" t="s">
        <v>69</v>
      </c>
      <c r="P25" s="488" t="s">
        <v>69</v>
      </c>
      <c r="Q25" s="488" t="s">
        <v>69</v>
      </c>
      <c r="R25" s="488" t="s">
        <v>69</v>
      </c>
      <c r="S25" s="488" t="s">
        <v>69</v>
      </c>
      <c r="T25" s="488" t="s">
        <v>69</v>
      </c>
      <c r="U25" s="492">
        <v>3</v>
      </c>
      <c r="V25" s="492">
        <v>4</v>
      </c>
      <c r="W25" s="490" t="s">
        <v>69</v>
      </c>
      <c r="X25" s="480">
        <f t="shared" si="0"/>
        <v>0.375</v>
      </c>
      <c r="Y25" s="480">
        <f>COUNTIF(F25:W25,"&gt;2")/COUNTIF(G25:W25,"&gt;1")</f>
        <v>1</v>
      </c>
    </row>
    <row r="26" spans="1:25" s="481" customFormat="1" ht="125.25" customHeight="1" thickBot="1">
      <c r="A26" s="493" t="s">
        <v>103</v>
      </c>
      <c r="B26" s="494" t="s">
        <v>104</v>
      </c>
      <c r="C26" s="495">
        <v>44910</v>
      </c>
      <c r="D26" s="485" t="s">
        <v>629</v>
      </c>
      <c r="E26" s="486" t="s">
        <v>123</v>
      </c>
      <c r="F26" s="496">
        <v>4</v>
      </c>
      <c r="G26" s="488">
        <v>3</v>
      </c>
      <c r="H26" s="488">
        <v>3</v>
      </c>
      <c r="I26" s="488" t="s">
        <v>69</v>
      </c>
      <c r="J26" s="488" t="s">
        <v>69</v>
      </c>
      <c r="K26" s="488" t="s">
        <v>69</v>
      </c>
      <c r="L26" s="488" t="s">
        <v>69</v>
      </c>
      <c r="M26" s="488" t="s">
        <v>69</v>
      </c>
      <c r="N26" s="488" t="s">
        <v>69</v>
      </c>
      <c r="O26" s="488" t="s">
        <v>69</v>
      </c>
      <c r="P26" s="488">
        <v>3</v>
      </c>
      <c r="Q26" s="488" t="s">
        <v>69</v>
      </c>
      <c r="R26" s="488">
        <v>2</v>
      </c>
      <c r="S26" s="488" t="s">
        <v>69</v>
      </c>
      <c r="T26" s="488" t="s">
        <v>69</v>
      </c>
      <c r="U26" s="492">
        <v>3</v>
      </c>
      <c r="V26" s="489">
        <v>4</v>
      </c>
      <c r="W26" s="490" t="s">
        <v>69</v>
      </c>
      <c r="X26" s="480">
        <f t="shared" si="0"/>
        <v>0.4375</v>
      </c>
      <c r="Y26" s="480">
        <f t="shared" si="1"/>
        <v>1</v>
      </c>
    </row>
    <row r="27" spans="1:25" s="481" customFormat="1" ht="125.25" customHeight="1" thickBot="1">
      <c r="A27" s="493" t="s">
        <v>107</v>
      </c>
      <c r="B27" s="494" t="s">
        <v>108</v>
      </c>
      <c r="C27" s="495">
        <v>44690</v>
      </c>
      <c r="D27" s="485" t="s">
        <v>629</v>
      </c>
      <c r="E27" s="491" t="s">
        <v>123</v>
      </c>
      <c r="F27" s="487" t="s">
        <v>69</v>
      </c>
      <c r="G27" s="488" t="s">
        <v>69</v>
      </c>
      <c r="H27" s="488" t="s">
        <v>69</v>
      </c>
      <c r="I27" s="488" t="s">
        <v>69</v>
      </c>
      <c r="J27" s="488" t="s">
        <v>69</v>
      </c>
      <c r="K27" s="488" t="s">
        <v>69</v>
      </c>
      <c r="L27" s="489">
        <v>4</v>
      </c>
      <c r="M27" s="488" t="s">
        <v>69</v>
      </c>
      <c r="N27" s="488" t="s">
        <v>69</v>
      </c>
      <c r="O27" s="488" t="s">
        <v>69</v>
      </c>
      <c r="P27" s="488" t="s">
        <v>69</v>
      </c>
      <c r="Q27" s="489">
        <v>4</v>
      </c>
      <c r="R27" s="488" t="s">
        <v>69</v>
      </c>
      <c r="S27" s="488" t="s">
        <v>69</v>
      </c>
      <c r="T27" s="488" t="s">
        <v>69</v>
      </c>
      <c r="U27" s="492">
        <v>3</v>
      </c>
      <c r="V27" s="489">
        <v>4</v>
      </c>
      <c r="W27" s="490" t="s">
        <v>69</v>
      </c>
      <c r="X27" s="480">
        <f t="shared" si="0"/>
        <v>0.25</v>
      </c>
      <c r="Y27" s="480">
        <f t="shared" si="1"/>
        <v>1</v>
      </c>
    </row>
    <row r="28" spans="1:25" s="481" customFormat="1" ht="125.25" customHeight="1" thickBot="1">
      <c r="A28" s="493" t="s">
        <v>109</v>
      </c>
      <c r="B28" s="494" t="s">
        <v>110</v>
      </c>
      <c r="C28" s="495">
        <v>44300</v>
      </c>
      <c r="D28" s="485" t="s">
        <v>629</v>
      </c>
      <c r="E28" s="491" t="s">
        <v>123</v>
      </c>
      <c r="F28" s="487" t="s">
        <v>69</v>
      </c>
      <c r="G28" s="488" t="s">
        <v>69</v>
      </c>
      <c r="H28" s="488" t="s">
        <v>69</v>
      </c>
      <c r="I28" s="488" t="s">
        <v>69</v>
      </c>
      <c r="J28" s="488" t="s">
        <v>69</v>
      </c>
      <c r="K28" s="488" t="s">
        <v>69</v>
      </c>
      <c r="L28" s="488" t="s">
        <v>69</v>
      </c>
      <c r="M28" s="489">
        <v>4</v>
      </c>
      <c r="N28" s="489">
        <v>4</v>
      </c>
      <c r="O28" s="488" t="s">
        <v>69</v>
      </c>
      <c r="P28" s="488" t="s">
        <v>69</v>
      </c>
      <c r="Q28" s="488">
        <v>4</v>
      </c>
      <c r="R28" s="488" t="s">
        <v>69</v>
      </c>
      <c r="S28" s="488" t="s">
        <v>69</v>
      </c>
      <c r="T28" s="488" t="s">
        <v>69</v>
      </c>
      <c r="U28" s="492">
        <v>3</v>
      </c>
      <c r="V28" s="489">
        <v>4</v>
      </c>
      <c r="W28" s="490" t="s">
        <v>69</v>
      </c>
      <c r="X28" s="480">
        <f t="shared" si="0"/>
        <v>0.3125</v>
      </c>
      <c r="Y28" s="480">
        <f t="shared" si="1"/>
        <v>1</v>
      </c>
    </row>
    <row r="29" spans="1:25" s="481" customFormat="1" ht="125.25" customHeight="1" thickBot="1">
      <c r="A29" s="493" t="s">
        <v>115</v>
      </c>
      <c r="B29" s="494" t="s">
        <v>116</v>
      </c>
      <c r="C29" s="495">
        <v>45390</v>
      </c>
      <c r="D29" s="485" t="s">
        <v>629</v>
      </c>
      <c r="E29" s="491" t="s">
        <v>123</v>
      </c>
      <c r="F29" s="487" t="s">
        <v>69</v>
      </c>
      <c r="G29" s="488" t="s">
        <v>69</v>
      </c>
      <c r="H29" s="488" t="s">
        <v>69</v>
      </c>
      <c r="I29" s="488" t="s">
        <v>69</v>
      </c>
      <c r="J29" s="488" t="s">
        <v>69</v>
      </c>
      <c r="K29" s="488" t="s">
        <v>69</v>
      </c>
      <c r="L29" s="488" t="s">
        <v>69</v>
      </c>
      <c r="M29" s="488" t="s">
        <v>69</v>
      </c>
      <c r="N29" s="488" t="s">
        <v>69</v>
      </c>
      <c r="O29" s="488" t="s">
        <v>69</v>
      </c>
      <c r="P29" s="488" t="s">
        <v>69</v>
      </c>
      <c r="Q29" s="488" t="s">
        <v>69</v>
      </c>
      <c r="R29" s="488" t="s">
        <v>69</v>
      </c>
      <c r="S29" s="488" t="s">
        <v>69</v>
      </c>
      <c r="T29" s="488" t="s">
        <v>69</v>
      </c>
      <c r="U29" s="489">
        <v>4</v>
      </c>
      <c r="V29" s="489">
        <v>4</v>
      </c>
      <c r="W29" s="490" t="s">
        <v>69</v>
      </c>
      <c r="X29" s="480">
        <f t="shared" si="0"/>
        <v>0.125</v>
      </c>
      <c r="Y29" s="480">
        <f t="shared" si="1"/>
        <v>1</v>
      </c>
    </row>
    <row r="30" spans="1:25" s="481" customFormat="1" ht="125.25" customHeight="1" thickBot="1">
      <c r="A30" s="493" t="s">
        <v>546</v>
      </c>
      <c r="B30" s="494" t="s">
        <v>547</v>
      </c>
      <c r="C30" s="495">
        <v>45327</v>
      </c>
      <c r="D30" s="485" t="s">
        <v>629</v>
      </c>
      <c r="E30" s="491" t="s">
        <v>123</v>
      </c>
      <c r="F30" s="487">
        <v>4</v>
      </c>
      <c r="G30" s="488" t="s">
        <v>69</v>
      </c>
      <c r="H30" s="488" t="s">
        <v>69</v>
      </c>
      <c r="I30" s="488">
        <v>3</v>
      </c>
      <c r="J30" s="488">
        <v>3</v>
      </c>
      <c r="K30" s="488">
        <v>3</v>
      </c>
      <c r="L30" s="488" t="s">
        <v>69</v>
      </c>
      <c r="M30" s="488" t="s">
        <v>69</v>
      </c>
      <c r="N30" s="488" t="s">
        <v>69</v>
      </c>
      <c r="O30" s="488" t="s">
        <v>69</v>
      </c>
      <c r="P30" s="488" t="s">
        <v>69</v>
      </c>
      <c r="Q30" s="488" t="s">
        <v>69</v>
      </c>
      <c r="R30" s="488" t="s">
        <v>69</v>
      </c>
      <c r="S30" s="488" t="s">
        <v>69</v>
      </c>
      <c r="T30" s="488" t="s">
        <v>69</v>
      </c>
      <c r="U30" s="488">
        <v>3</v>
      </c>
      <c r="V30" s="488">
        <v>3</v>
      </c>
      <c r="W30" s="490" t="s">
        <v>69</v>
      </c>
      <c r="X30" s="480">
        <f t="shared" si="0"/>
        <v>0.375</v>
      </c>
      <c r="Y30" s="480">
        <f t="shared" si="1"/>
        <v>1.2</v>
      </c>
    </row>
    <row r="31" spans="1:25" s="481" customFormat="1" ht="125.25" customHeight="1" thickBot="1">
      <c r="A31" s="493" t="s">
        <v>628</v>
      </c>
      <c r="B31" s="494" t="s">
        <v>545</v>
      </c>
      <c r="C31" s="495">
        <v>45449</v>
      </c>
      <c r="D31" s="485" t="s">
        <v>629</v>
      </c>
      <c r="E31" s="491" t="s">
        <v>123</v>
      </c>
      <c r="F31" s="487" t="s">
        <v>69</v>
      </c>
      <c r="G31" s="488" t="s">
        <v>69</v>
      </c>
      <c r="H31" s="488" t="s">
        <v>69</v>
      </c>
      <c r="I31" s="488" t="s">
        <v>69</v>
      </c>
      <c r="J31" s="488" t="s">
        <v>69</v>
      </c>
      <c r="K31" s="488" t="s">
        <v>69</v>
      </c>
      <c r="L31" s="488" t="s">
        <v>69</v>
      </c>
      <c r="M31" s="488" t="s">
        <v>69</v>
      </c>
      <c r="N31" s="488" t="s">
        <v>69</v>
      </c>
      <c r="O31" s="489">
        <v>4</v>
      </c>
      <c r="P31" s="488">
        <v>2</v>
      </c>
      <c r="Q31" s="488" t="s">
        <v>69</v>
      </c>
      <c r="R31" s="488">
        <v>4</v>
      </c>
      <c r="S31" s="488" t="s">
        <v>69</v>
      </c>
      <c r="T31" s="488" t="s">
        <v>69</v>
      </c>
      <c r="U31" s="488">
        <v>3</v>
      </c>
      <c r="V31" s="488">
        <v>3</v>
      </c>
      <c r="W31" s="490" t="s">
        <v>69</v>
      </c>
      <c r="X31" s="480">
        <f t="shared" si="0"/>
        <v>0.3125</v>
      </c>
      <c r="Y31" s="480">
        <f t="shared" si="1"/>
        <v>0.8</v>
      </c>
    </row>
    <row r="32" spans="1:25" s="481" customFormat="1" ht="125.25" customHeight="1" thickBot="1">
      <c r="A32" s="493" t="s">
        <v>421</v>
      </c>
      <c r="B32" s="494" t="s">
        <v>422</v>
      </c>
      <c r="C32" s="495">
        <v>45240</v>
      </c>
      <c r="D32" s="485" t="s">
        <v>629</v>
      </c>
      <c r="E32" s="491" t="s">
        <v>123</v>
      </c>
      <c r="F32" s="487" t="s">
        <v>69</v>
      </c>
      <c r="G32" s="488" t="s">
        <v>69</v>
      </c>
      <c r="H32" s="488" t="s">
        <v>69</v>
      </c>
      <c r="I32" s="488">
        <v>3</v>
      </c>
      <c r="J32" s="488">
        <v>3</v>
      </c>
      <c r="K32" s="488">
        <v>3</v>
      </c>
      <c r="L32" s="488" t="s">
        <v>69</v>
      </c>
      <c r="M32" s="488" t="s">
        <v>69</v>
      </c>
      <c r="N32" s="488" t="s">
        <v>69</v>
      </c>
      <c r="O32" s="488" t="s">
        <v>69</v>
      </c>
      <c r="P32" s="488">
        <v>3</v>
      </c>
      <c r="Q32" s="488" t="s">
        <v>69</v>
      </c>
      <c r="R32" s="488" t="s">
        <v>69</v>
      </c>
      <c r="S32" s="488" t="s">
        <v>69</v>
      </c>
      <c r="T32" s="488" t="s">
        <v>69</v>
      </c>
      <c r="U32" s="488">
        <v>3</v>
      </c>
      <c r="V32" s="488">
        <v>3</v>
      </c>
      <c r="W32" s="490" t="s">
        <v>69</v>
      </c>
      <c r="X32" s="480">
        <f t="shared" si="0"/>
        <v>0.375</v>
      </c>
      <c r="Y32" s="480">
        <f t="shared" si="1"/>
        <v>1</v>
      </c>
    </row>
    <row r="33" spans="1:25" s="481" customFormat="1" ht="125.25" customHeight="1" thickBot="1">
      <c r="A33" s="497" t="s">
        <v>947</v>
      </c>
      <c r="B33" s="498" t="s">
        <v>948</v>
      </c>
      <c r="C33" s="499">
        <v>45992</v>
      </c>
      <c r="D33" s="485" t="s">
        <v>629</v>
      </c>
      <c r="E33" s="491" t="s">
        <v>123</v>
      </c>
      <c r="F33" s="487">
        <v>2</v>
      </c>
      <c r="G33" s="488">
        <v>3</v>
      </c>
      <c r="H33" s="488" t="s">
        <v>69</v>
      </c>
      <c r="I33" s="488" t="s">
        <v>69</v>
      </c>
      <c r="J33" s="488" t="s">
        <v>69</v>
      </c>
      <c r="K33" s="488" t="s">
        <v>69</v>
      </c>
      <c r="L33" s="488" t="s">
        <v>69</v>
      </c>
      <c r="M33" s="488" t="s">
        <v>69</v>
      </c>
      <c r="N33" s="488" t="s">
        <v>69</v>
      </c>
      <c r="O33" s="488" t="s">
        <v>69</v>
      </c>
      <c r="P33" s="488" t="s">
        <v>69</v>
      </c>
      <c r="Q33" s="488" t="s">
        <v>69</v>
      </c>
      <c r="R33" s="488" t="s">
        <v>69</v>
      </c>
      <c r="S33" s="488" t="s">
        <v>69</v>
      </c>
      <c r="T33" s="488" t="s">
        <v>69</v>
      </c>
      <c r="U33" s="488">
        <v>3</v>
      </c>
      <c r="V33" s="488">
        <v>3</v>
      </c>
      <c r="W33" s="488" t="s">
        <v>69</v>
      </c>
      <c r="X33" s="480">
        <f t="shared" ref="X33:X34" si="2">COUNTIF(F33:W33,"&gt;0")/16</f>
        <v>0.25</v>
      </c>
      <c r="Y33" s="480">
        <f t="shared" ref="Y33:Y34" si="3">COUNTIF(F33:W33,"&gt;2")/COUNTIF(G33:W33,"&gt;1")</f>
        <v>1</v>
      </c>
    </row>
    <row r="34" spans="1:25" s="481" customFormat="1" ht="125.25" customHeight="1" thickBot="1">
      <c r="A34" s="497" t="s">
        <v>701</v>
      </c>
      <c r="B34" s="498" t="s">
        <v>702</v>
      </c>
      <c r="C34" s="499">
        <v>45691</v>
      </c>
      <c r="D34" s="485" t="s">
        <v>629</v>
      </c>
      <c r="E34" s="491" t="s">
        <v>123</v>
      </c>
      <c r="F34" s="487" t="s">
        <v>69</v>
      </c>
      <c r="G34" s="488" t="s">
        <v>69</v>
      </c>
      <c r="H34" s="488" t="s">
        <v>69</v>
      </c>
      <c r="I34" s="488" t="s">
        <v>69</v>
      </c>
      <c r="J34" s="488" t="s">
        <v>69</v>
      </c>
      <c r="K34" s="488" t="s">
        <v>69</v>
      </c>
      <c r="L34" s="488">
        <v>3</v>
      </c>
      <c r="M34" s="488" t="s">
        <v>69</v>
      </c>
      <c r="N34" s="488" t="s">
        <v>69</v>
      </c>
      <c r="O34" s="488" t="s">
        <v>69</v>
      </c>
      <c r="P34" s="488" t="s">
        <v>69</v>
      </c>
      <c r="Q34" s="488" t="s">
        <v>69</v>
      </c>
      <c r="R34" s="488" t="s">
        <v>69</v>
      </c>
      <c r="S34" s="488" t="s">
        <v>69</v>
      </c>
      <c r="T34" s="488" t="s">
        <v>69</v>
      </c>
      <c r="U34" s="488">
        <v>3</v>
      </c>
      <c r="V34" s="488">
        <v>3</v>
      </c>
      <c r="W34" s="488" t="s">
        <v>69</v>
      </c>
      <c r="X34" s="480">
        <f t="shared" si="2"/>
        <v>0.1875</v>
      </c>
      <c r="Y34" s="480">
        <f t="shared" si="3"/>
        <v>1</v>
      </c>
    </row>
    <row r="35" spans="1:25" s="481" customFormat="1" ht="125.25" customHeight="1" thickBot="1">
      <c r="A35" s="500" t="s">
        <v>1068</v>
      </c>
      <c r="B35" s="501" t="s">
        <v>1067</v>
      </c>
      <c r="C35" s="499">
        <v>45691</v>
      </c>
      <c r="D35" s="502" t="s">
        <v>629</v>
      </c>
      <c r="E35" s="503" t="s">
        <v>123</v>
      </c>
      <c r="F35" s="504" t="s">
        <v>69</v>
      </c>
      <c r="G35" s="505" t="s">
        <v>69</v>
      </c>
      <c r="H35" s="505" t="s">
        <v>69</v>
      </c>
      <c r="I35" s="505" t="s">
        <v>69</v>
      </c>
      <c r="J35" s="505" t="s">
        <v>69</v>
      </c>
      <c r="K35" s="505" t="s">
        <v>69</v>
      </c>
      <c r="L35" s="505" t="s">
        <v>69</v>
      </c>
      <c r="M35" s="505">
        <v>3</v>
      </c>
      <c r="N35" s="505" t="s">
        <v>69</v>
      </c>
      <c r="O35" s="505" t="s">
        <v>69</v>
      </c>
      <c r="P35" s="505" t="s">
        <v>69</v>
      </c>
      <c r="Q35" s="505" t="s">
        <v>69</v>
      </c>
      <c r="R35" s="505" t="s">
        <v>69</v>
      </c>
      <c r="S35" s="505" t="s">
        <v>69</v>
      </c>
      <c r="T35" s="505" t="s">
        <v>69</v>
      </c>
      <c r="U35" s="505">
        <v>3</v>
      </c>
      <c r="V35" s="505">
        <v>3</v>
      </c>
      <c r="W35" s="506" t="s">
        <v>69</v>
      </c>
      <c r="X35" s="480">
        <f t="shared" ref="X35" si="4">COUNTIF(F35:W35,"&gt;0")/16</f>
        <v>0.1875</v>
      </c>
      <c r="Y35" s="480">
        <f>COUNTIF(F35:W35,"&gt;2")/COUNTIF(G35:W35,"&gt;1")</f>
        <v>1</v>
      </c>
    </row>
    <row r="36" spans="1:25" s="80" customFormat="1" ht="115.5" customHeight="1" thickBot="1"/>
    <row r="37" spans="1:25" s="14" customFormat="1" ht="71.25" customHeight="1" thickBot="1">
      <c r="A37" s="1148"/>
      <c r="B37" s="1137" t="s">
        <v>17</v>
      </c>
      <c r="C37" s="1137"/>
      <c r="D37" s="1137"/>
      <c r="E37" s="1137"/>
      <c r="F37" s="470">
        <f t="shared" ref="F37:W37" si="5">COUNT(F19:F30)</f>
        <v>4</v>
      </c>
      <c r="G37" s="470">
        <f t="shared" si="5"/>
        <v>4</v>
      </c>
      <c r="H37" s="470">
        <f t="shared" si="5"/>
        <v>4</v>
      </c>
      <c r="I37" s="470">
        <f t="shared" si="5"/>
        <v>3</v>
      </c>
      <c r="J37" s="470">
        <f t="shared" si="5"/>
        <v>3</v>
      </c>
      <c r="K37" s="470">
        <f t="shared" si="5"/>
        <v>3</v>
      </c>
      <c r="L37" s="470">
        <f t="shared" si="5"/>
        <v>3</v>
      </c>
      <c r="M37" s="470">
        <f t="shared" si="5"/>
        <v>4</v>
      </c>
      <c r="N37" s="470">
        <f t="shared" si="5"/>
        <v>4</v>
      </c>
      <c r="O37" s="470">
        <f t="shared" si="5"/>
        <v>1</v>
      </c>
      <c r="P37" s="470">
        <f t="shared" si="5"/>
        <v>2</v>
      </c>
      <c r="Q37" s="470">
        <f t="shared" si="5"/>
        <v>3</v>
      </c>
      <c r="R37" s="470">
        <f t="shared" si="5"/>
        <v>4</v>
      </c>
      <c r="S37" s="470">
        <f t="shared" si="5"/>
        <v>2</v>
      </c>
      <c r="T37" s="470">
        <v>0</v>
      </c>
      <c r="U37" s="470">
        <f t="shared" si="5"/>
        <v>12</v>
      </c>
      <c r="V37" s="470">
        <f t="shared" si="5"/>
        <v>12</v>
      </c>
      <c r="W37" s="470">
        <f t="shared" si="5"/>
        <v>0</v>
      </c>
      <c r="X37" s="175"/>
      <c r="Y37" s="175"/>
    </row>
    <row r="38" spans="1:25" s="14" customFormat="1" ht="67.5" customHeight="1" thickBot="1">
      <c r="A38" s="1149"/>
      <c r="B38" s="1138" t="s">
        <v>12</v>
      </c>
      <c r="C38" s="1139"/>
      <c r="D38" s="1139"/>
      <c r="E38" s="1140"/>
      <c r="F38" s="470">
        <v>3</v>
      </c>
      <c r="G38" s="470">
        <v>3</v>
      </c>
      <c r="H38" s="470">
        <v>3</v>
      </c>
      <c r="I38" s="470">
        <v>3</v>
      </c>
      <c r="J38" s="470">
        <v>3</v>
      </c>
      <c r="K38" s="470">
        <v>3</v>
      </c>
      <c r="L38" s="470">
        <v>3</v>
      </c>
      <c r="M38" s="470">
        <v>3</v>
      </c>
      <c r="N38" s="470">
        <v>3</v>
      </c>
      <c r="O38" s="470">
        <v>3</v>
      </c>
      <c r="P38" s="470">
        <v>3</v>
      </c>
      <c r="Q38" s="470">
        <v>3</v>
      </c>
      <c r="R38" s="470">
        <v>3</v>
      </c>
      <c r="S38" s="470">
        <v>3</v>
      </c>
      <c r="T38" s="470"/>
      <c r="U38" s="470">
        <v>3</v>
      </c>
      <c r="V38" s="470">
        <v>3</v>
      </c>
      <c r="W38" s="470">
        <v>3</v>
      </c>
      <c r="X38" s="213"/>
      <c r="Y38" s="213"/>
    </row>
    <row r="39" spans="1:25" s="14" customFormat="1" ht="17.399999999999999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</row>
    <row r="40" spans="1:25" s="14" customFormat="1" ht="15.75" customHeight="1"/>
    <row r="41" spans="1:25" s="14" customFormat="1" ht="15.75" customHeight="1" thickBot="1"/>
    <row r="42" spans="1:25" s="14" customFormat="1" ht="30.75" customHeight="1">
      <c r="B42" s="1143" t="s">
        <v>13</v>
      </c>
      <c r="C42" s="1143"/>
      <c r="D42" s="1143"/>
      <c r="E42" s="1143"/>
      <c r="F42" s="1143" t="s">
        <v>14</v>
      </c>
      <c r="G42" s="1143"/>
      <c r="H42" s="1122" t="s">
        <v>15</v>
      </c>
      <c r="I42" s="1123"/>
      <c r="J42" s="1123"/>
      <c r="K42" s="1124"/>
    </row>
    <row r="43" spans="1:25" s="14" customFormat="1" ht="30.75" customHeight="1" thickBot="1">
      <c r="B43" s="1144"/>
      <c r="C43" s="1144"/>
      <c r="D43" s="1144"/>
      <c r="E43" s="1144"/>
      <c r="F43" s="1144"/>
      <c r="G43" s="1144"/>
      <c r="H43" s="1125"/>
      <c r="I43" s="1126"/>
      <c r="J43" s="1126"/>
      <c r="K43" s="1127"/>
    </row>
    <row r="44" spans="1:25" s="14" customFormat="1" ht="30.75" customHeight="1">
      <c r="B44" s="1128" t="s">
        <v>437</v>
      </c>
      <c r="C44" s="1129"/>
      <c r="D44" s="1130"/>
      <c r="E44" s="1130"/>
      <c r="F44" s="1130" t="s">
        <v>438</v>
      </c>
      <c r="G44" s="1130"/>
      <c r="H44" s="1116" t="s">
        <v>598</v>
      </c>
      <c r="I44" s="1116"/>
      <c r="J44" s="1116"/>
      <c r="K44" s="1117"/>
    </row>
    <row r="45" spans="1:25" s="14" customFormat="1" ht="30.75" customHeight="1">
      <c r="B45" s="1131"/>
      <c r="C45" s="1132"/>
      <c r="D45" s="1133"/>
      <c r="E45" s="1133"/>
      <c r="F45" s="1133"/>
      <c r="G45" s="1133"/>
      <c r="H45" s="1118"/>
      <c r="I45" s="1118"/>
      <c r="J45" s="1118"/>
      <c r="K45" s="1119"/>
    </row>
    <row r="46" spans="1:25" s="14" customFormat="1" ht="30.75" customHeight="1">
      <c r="B46" s="1131"/>
      <c r="C46" s="1132"/>
      <c r="D46" s="1133"/>
      <c r="E46" s="1133"/>
      <c r="F46" s="1133"/>
      <c r="G46" s="1133"/>
      <c r="H46" s="1118"/>
      <c r="I46" s="1118"/>
      <c r="J46" s="1118"/>
      <c r="K46" s="1119"/>
    </row>
    <row r="47" spans="1:25" s="14" customFormat="1" ht="78" customHeight="1">
      <c r="B47" s="1131"/>
      <c r="C47" s="1132"/>
      <c r="D47" s="1133"/>
      <c r="E47" s="1133"/>
      <c r="F47" s="1133"/>
      <c r="G47" s="1133"/>
      <c r="H47" s="1118"/>
      <c r="I47" s="1118"/>
      <c r="J47" s="1118"/>
      <c r="K47" s="1119"/>
    </row>
    <row r="48" spans="1:25" s="14" customFormat="1" ht="78" customHeight="1">
      <c r="B48" s="1131"/>
      <c r="C48" s="1132"/>
      <c r="D48" s="1133"/>
      <c r="E48" s="1133"/>
      <c r="F48" s="1133"/>
      <c r="G48" s="1133"/>
      <c r="H48" s="1118"/>
      <c r="I48" s="1118"/>
      <c r="J48" s="1118"/>
      <c r="K48" s="1119"/>
    </row>
    <row r="49" spans="1:11" s="14" customFormat="1" ht="78" customHeight="1">
      <c r="B49" s="1131"/>
      <c r="C49" s="1132"/>
      <c r="D49" s="1133"/>
      <c r="E49" s="1133"/>
      <c r="F49" s="1133"/>
      <c r="G49" s="1133"/>
      <c r="H49" s="1118"/>
      <c r="I49" s="1118"/>
      <c r="J49" s="1118"/>
      <c r="K49" s="1119"/>
    </row>
    <row r="50" spans="1:11" s="14" customFormat="1" ht="78" customHeight="1">
      <c r="B50" s="1131"/>
      <c r="C50" s="1132"/>
      <c r="D50" s="1133"/>
      <c r="E50" s="1133"/>
      <c r="F50" s="1133"/>
      <c r="G50" s="1133"/>
      <c r="H50" s="1118"/>
      <c r="I50" s="1118"/>
      <c r="J50" s="1118"/>
      <c r="K50" s="1119"/>
    </row>
    <row r="51" spans="1:11" s="14" customFormat="1" ht="30.75" customHeight="1">
      <c r="B51" s="1131"/>
      <c r="C51" s="1132"/>
      <c r="D51" s="1133"/>
      <c r="E51" s="1133"/>
      <c r="F51" s="1133"/>
      <c r="G51" s="1133"/>
      <c r="H51" s="1118"/>
      <c r="I51" s="1118"/>
      <c r="J51" s="1118"/>
      <c r="K51" s="1119"/>
    </row>
    <row r="52" spans="1:11" s="14" customFormat="1" ht="30.75" customHeight="1">
      <c r="B52" s="1131"/>
      <c r="C52" s="1132"/>
      <c r="D52" s="1133"/>
      <c r="E52" s="1133"/>
      <c r="F52" s="1133"/>
      <c r="G52" s="1133"/>
      <c r="H52" s="1118"/>
      <c r="I52" s="1118"/>
      <c r="J52" s="1118"/>
      <c r="K52" s="1119"/>
    </row>
    <row r="53" spans="1:11" s="14" customFormat="1" ht="30.75" customHeight="1" thickBot="1">
      <c r="B53" s="1134"/>
      <c r="C53" s="1135"/>
      <c r="D53" s="1136"/>
      <c r="E53" s="1136"/>
      <c r="F53" s="1136"/>
      <c r="G53" s="1136"/>
      <c r="H53" s="1120"/>
      <c r="I53" s="1120"/>
      <c r="J53" s="1120"/>
      <c r="K53" s="1121"/>
    </row>
    <row r="54" spans="1:11" s="14" customFormat="1" ht="15.75" customHeight="1">
      <c r="H54" s="130"/>
      <c r="I54" s="130"/>
      <c r="J54" s="130"/>
      <c r="K54" s="126"/>
    </row>
    <row r="55" spans="1:11" ht="15" customHeight="1">
      <c r="H55" s="130"/>
      <c r="I55" s="130"/>
      <c r="J55" s="130"/>
      <c r="K55" s="126"/>
    </row>
    <row r="56" spans="1:11" ht="60.75" customHeight="1" thickBot="1">
      <c r="A56" s="1147" t="s">
        <v>18</v>
      </c>
      <c r="B56" s="1147"/>
      <c r="C56" s="1147"/>
      <c r="D56" s="1147"/>
      <c r="E56" s="1147"/>
      <c r="F56" s="1147"/>
      <c r="G56" s="1147"/>
      <c r="H56" s="1147"/>
      <c r="I56" s="127"/>
      <c r="J56" s="127"/>
      <c r="K56" s="128"/>
    </row>
    <row r="57" spans="1:11" ht="60.75" customHeight="1">
      <c r="A57" s="1147" t="s">
        <v>19</v>
      </c>
      <c r="B57" s="1147"/>
      <c r="C57" s="1147"/>
      <c r="D57" s="1147"/>
      <c r="E57" s="1147"/>
      <c r="F57" s="1147"/>
      <c r="G57" s="1147"/>
      <c r="H57" s="1147"/>
    </row>
  </sheetData>
  <mergeCells count="57">
    <mergeCell ref="Y6:Y12"/>
    <mergeCell ref="F7:G7"/>
    <mergeCell ref="A1:B2"/>
    <mergeCell ref="U6:W12"/>
    <mergeCell ref="X6:X12"/>
    <mergeCell ref="D1:W1"/>
    <mergeCell ref="D2:W2"/>
    <mergeCell ref="X13:X18"/>
    <mergeCell ref="Y13:Y18"/>
    <mergeCell ref="A14:A18"/>
    <mergeCell ref="B14:B18"/>
    <mergeCell ref="D14:D18"/>
    <mergeCell ref="E14:E18"/>
    <mergeCell ref="G14:H14"/>
    <mergeCell ref="I14:K14"/>
    <mergeCell ref="U14:U18"/>
    <mergeCell ref="V14:V18"/>
    <mergeCell ref="W14:W17"/>
    <mergeCell ref="F15:F16"/>
    <mergeCell ref="G15:G16"/>
    <mergeCell ref="H15:H16"/>
    <mergeCell ref="P17:P18"/>
    <mergeCell ref="Q17:Q18"/>
    <mergeCell ref="M17:M18"/>
    <mergeCell ref="N17:N18"/>
    <mergeCell ref="F13:M13"/>
    <mergeCell ref="U13:W13"/>
    <mergeCell ref="T17:T18"/>
    <mergeCell ref="T15:T16"/>
    <mergeCell ref="R17:R18"/>
    <mergeCell ref="S17:S18"/>
    <mergeCell ref="O15:O16"/>
    <mergeCell ref="P15:P16"/>
    <mergeCell ref="Q15:Q16"/>
    <mergeCell ref="R15:R16"/>
    <mergeCell ref="S15:S16"/>
    <mergeCell ref="O17:O18"/>
    <mergeCell ref="M15:M16"/>
    <mergeCell ref="N15:N16"/>
    <mergeCell ref="A57:H57"/>
    <mergeCell ref="A56:H56"/>
    <mergeCell ref="A37:A38"/>
    <mergeCell ref="G17:G18"/>
    <mergeCell ref="H17:H18"/>
    <mergeCell ref="C14:C18"/>
    <mergeCell ref="F17:F18"/>
    <mergeCell ref="L15:L16"/>
    <mergeCell ref="H44:K53"/>
    <mergeCell ref="H42:K43"/>
    <mergeCell ref="B44:E53"/>
    <mergeCell ref="F44:G53"/>
    <mergeCell ref="B37:E37"/>
    <mergeCell ref="B38:E38"/>
    <mergeCell ref="I15:K16"/>
    <mergeCell ref="B42:E43"/>
    <mergeCell ref="F42:G43"/>
    <mergeCell ref="L17:L18"/>
  </mergeCells>
  <conditionalFormatting sqref="A37">
    <cfRule type="duplicateValues" dxfId="9804" priority="1975" stopIfTrue="1"/>
  </conditionalFormatting>
  <conditionalFormatting sqref="B20:C20">
    <cfRule type="duplicateValues" dxfId="9803" priority="279066"/>
    <cfRule type="duplicateValues" dxfId="9802" priority="279067"/>
    <cfRule type="duplicateValues" dxfId="9801" priority="279068"/>
  </conditionalFormatting>
  <conditionalFormatting sqref="B21:C21">
    <cfRule type="duplicateValues" dxfId="9800" priority="1979"/>
    <cfRule type="duplicateValues" dxfId="9799" priority="1980"/>
    <cfRule type="duplicateValues" dxfId="9798" priority="1981"/>
  </conditionalFormatting>
  <conditionalFormatting sqref="B41:C41 B54:C54 A41:A54">
    <cfRule type="duplicateValues" dxfId="9797" priority="1974" stopIfTrue="1"/>
  </conditionalFormatting>
  <conditionalFormatting sqref="F19">
    <cfRule type="cellIs" dxfId="9796" priority="1405" operator="equal">
      <formula>1</formula>
    </cfRule>
    <cfRule type="cellIs" dxfId="9795" priority="1406" operator="equal">
      <formula>4</formula>
    </cfRule>
    <cfRule type="cellIs" dxfId="9794" priority="1407" operator="equal">
      <formula>3</formula>
    </cfRule>
    <cfRule type="top10" dxfId="9793" priority="1408" rank="10"/>
    <cfRule type="top10" dxfId="9792" priority="1409" rank="10"/>
    <cfRule type="top10" dxfId="9791" priority="1410" rank="10"/>
    <cfRule type="top10" dxfId="9790" priority="1411" rank="10"/>
    <cfRule type="top10" dxfId="9789" priority="1412" rank="10"/>
    <cfRule type="cellIs" dxfId="9788" priority="1413" operator="equal">
      <formula>1</formula>
    </cfRule>
    <cfRule type="top10" dxfId="9787" priority="1414" rank="10"/>
    <cfRule type="cellIs" dxfId="9786" priority="1415" operator="equal">
      <formula>1</formula>
    </cfRule>
    <cfRule type="cellIs" dxfId="9785" priority="1416" operator="equal">
      <formula>4</formula>
    </cfRule>
    <cfRule type="cellIs" dxfId="9784" priority="1417" operator="equal">
      <formula>3</formula>
    </cfRule>
    <cfRule type="top10" dxfId="9783" priority="1418" rank="10"/>
    <cfRule type="top10" dxfId="9782" priority="1419" rank="10"/>
    <cfRule type="cellIs" dxfId="9781" priority="1420" operator="equal">
      <formula>1</formula>
    </cfRule>
    <cfRule type="top10" dxfId="9780" priority="1421" rank="10"/>
    <cfRule type="cellIs" dxfId="9779" priority="1422" operator="equal">
      <formula>4</formula>
    </cfRule>
    <cfRule type="cellIs" dxfId="9778" priority="1423" operator="equal">
      <formula>3</formula>
    </cfRule>
    <cfRule type="cellIs" dxfId="9777" priority="1424" operator="equal">
      <formula>1</formula>
    </cfRule>
    <cfRule type="top10" dxfId="9776" priority="278739" rank="10"/>
    <cfRule type="cellIs" dxfId="9775" priority="278739" operator="equal">
      <formula>4</formula>
    </cfRule>
    <cfRule type="top10" dxfId="9774" priority="278739" rank="10"/>
    <cfRule type="cellIs" dxfId="9773" priority="278739" operator="equal">
      <formula>1</formula>
    </cfRule>
    <cfRule type="top10" dxfId="9772" priority="278739" rank="10"/>
    <cfRule type="cellIs" dxfId="9771" priority="278739" operator="equal">
      <formula>1</formula>
    </cfRule>
    <cfRule type="top10" dxfId="9770" priority="278739" rank="10"/>
    <cfRule type="cellIs" dxfId="9769" priority="278739" operator="equal">
      <formula>4</formula>
    </cfRule>
    <cfRule type="cellIs" dxfId="9768" priority="278739" operator="equal">
      <formula>1</formula>
    </cfRule>
    <cfRule type="cellIs" dxfId="9767" priority="278739" operator="equal">
      <formula>3</formula>
    </cfRule>
    <cfRule type="top10" dxfId="9766" priority="278739" rank="10"/>
    <cfRule type="cellIs" dxfId="9765" priority="278739" operator="equal">
      <formula>1</formula>
    </cfRule>
    <cfRule type="top10" dxfId="9764" priority="278739" rank="10"/>
    <cfRule type="cellIs" dxfId="9763" priority="278739" operator="equal">
      <formula>1</formula>
    </cfRule>
    <cfRule type="cellIs" dxfId="9762" priority="278739" operator="equal">
      <formula>1</formula>
    </cfRule>
    <cfRule type="top10" dxfId="9761" priority="278748" rank="10"/>
    <cfRule type="top10" dxfId="9760" priority="278749" rank="10"/>
    <cfRule type="cellIs" dxfId="9759" priority="278750" operator="equal">
      <formula>4</formula>
    </cfRule>
    <cfRule type="cellIs" dxfId="9758" priority="278751" operator="equal">
      <formula>3</formula>
    </cfRule>
    <cfRule type="top10" dxfId="9757" priority="278752" rank="10"/>
    <cfRule type="cellIs" dxfId="9756" priority="278753" operator="equal">
      <formula>1</formula>
    </cfRule>
    <cfRule type="top10" dxfId="9755" priority="278754" rank="10"/>
    <cfRule type="cellIs" dxfId="9754" priority="278755" operator="equal">
      <formula>1</formula>
    </cfRule>
    <cfRule type="cellIs" dxfId="9753" priority="278756" operator="equal">
      <formula>4</formula>
    </cfRule>
    <cfRule type="cellIs" dxfId="9752" priority="278757" operator="equal">
      <formula>3</formula>
    </cfRule>
    <cfRule type="top10" dxfId="9751" priority="278758" rank="10"/>
    <cfRule type="top10" dxfId="9750" priority="278759" rank="10"/>
    <cfRule type="cellIs" dxfId="9749" priority="278760" operator="equal">
      <formula>4</formula>
    </cfRule>
    <cfRule type="cellIs" dxfId="9748" priority="278761" operator="equal">
      <formula>3</formula>
    </cfRule>
    <cfRule type="cellIs" dxfId="9747" priority="278762" operator="equal">
      <formula>1</formula>
    </cfRule>
    <cfRule type="top10" dxfId="9746" priority="278763" rank="10"/>
    <cfRule type="cellIs" dxfId="9745" priority="278764" operator="equal">
      <formula>1</formula>
    </cfRule>
    <cfRule type="cellIs" dxfId="9744" priority="278765" operator="equal">
      <formula>4</formula>
    </cfRule>
    <cfRule type="cellIs" dxfId="9743" priority="278766" operator="equal">
      <formula>3</formula>
    </cfRule>
    <cfRule type="top10" dxfId="9742" priority="278767" rank="10"/>
    <cfRule type="cellIs" dxfId="9741" priority="278768" operator="equal">
      <formula>1</formula>
    </cfRule>
    <cfRule type="top10" dxfId="9740" priority="278769" rank="10"/>
    <cfRule type="cellIs" dxfId="9739" priority="278770" operator="equal">
      <formula>1</formula>
    </cfRule>
    <cfRule type="cellIs" dxfId="9738" priority="278771" operator="equal">
      <formula>4</formula>
    </cfRule>
    <cfRule type="cellIs" dxfId="9737" priority="278772" operator="equal">
      <formula>3</formula>
    </cfRule>
    <cfRule type="top10" dxfId="9736" priority="278773" rank="10"/>
    <cfRule type="cellIs" dxfId="9735" priority="278774" operator="equal">
      <formula>1</formula>
    </cfRule>
    <cfRule type="top10" dxfId="9734" priority="278775" rank="10"/>
    <cfRule type="top10" dxfId="9733" priority="278776" rank="10"/>
    <cfRule type="cellIs" dxfId="9732" priority="278777" operator="equal">
      <formula>1</formula>
    </cfRule>
    <cfRule type="top10" dxfId="9731" priority="278778" rank="10"/>
    <cfRule type="top10" dxfId="9730" priority="278779" rank="10"/>
    <cfRule type="top10" dxfId="9729" priority="278780" rank="10"/>
    <cfRule type="cellIs" dxfId="9728" priority="278781" operator="equal">
      <formula>4</formula>
    </cfRule>
    <cfRule type="cellIs" dxfId="9727" priority="278782" operator="equal">
      <formula>3</formula>
    </cfRule>
    <cfRule type="top10" dxfId="9726" priority="278783" rank="10"/>
    <cfRule type="top10" dxfId="9725" priority="278785" rank="10"/>
    <cfRule type="top10" dxfId="9724" priority="278787" rank="10"/>
    <cfRule type="top10" dxfId="9723" priority="278789" rank="10"/>
  </conditionalFormatting>
  <conditionalFormatting sqref="F19:F20 F22:F30 F30:W35">
    <cfRule type="top10" dxfId="9722" priority="312934" rank="10"/>
  </conditionalFormatting>
  <conditionalFormatting sqref="F19:F20 F22:F30">
    <cfRule type="cellIs" dxfId="9721" priority="2981" operator="equal">
      <formula>1</formula>
    </cfRule>
    <cfRule type="cellIs" dxfId="9720" priority="2992" operator="equal">
      <formula>4</formula>
    </cfRule>
    <cfRule type="cellIs" dxfId="9719" priority="2993" operator="equal">
      <formula>3</formula>
    </cfRule>
  </conditionalFormatting>
  <conditionalFormatting sqref="F19:F20">
    <cfRule type="top10" dxfId="9718" priority="278732" rank="10"/>
    <cfRule type="top10" dxfId="9717" priority="278733" rank="10"/>
    <cfRule type="cellIs" dxfId="9716" priority="278734" operator="equal">
      <formula>4</formula>
    </cfRule>
    <cfRule type="cellIs" dxfId="9715" priority="278735" operator="equal">
      <formula>3</formula>
    </cfRule>
    <cfRule type="cellIs" dxfId="9714" priority="278736" operator="equal">
      <formula>1</formula>
    </cfRule>
    <cfRule type="top10" dxfId="9713" priority="278737" rank="10"/>
    <cfRule type="cellIs" dxfId="9712" priority="278738" operator="equal">
      <formula>1</formula>
    </cfRule>
    <cfRule type="cellIs" dxfId="9711" priority="278784" operator="equal">
      <formula>3</formula>
    </cfRule>
    <cfRule type="cellIs" dxfId="9710" priority="278786" operator="equal">
      <formula>4</formula>
    </cfRule>
    <cfRule type="cellIs" dxfId="9709" priority="278788" operator="equal">
      <formula>1</formula>
    </cfRule>
  </conditionalFormatting>
  <conditionalFormatting sqref="F19:F26 F28:H29 G20:H26 F27:P28 I25:I26 J25:L28 J19:P20 M22:P26 Q20:T20">
    <cfRule type="cellIs" dxfId="9708" priority="2918" operator="equal">
      <formula>4</formula>
    </cfRule>
    <cfRule type="cellIs" dxfId="9707" priority="2919" operator="equal">
      <formula>3</formula>
    </cfRule>
  </conditionalFormatting>
  <conditionalFormatting sqref="F20 F22">
    <cfRule type="cellIs" dxfId="9706" priority="2922" operator="equal">
      <formula>4</formula>
    </cfRule>
    <cfRule type="cellIs" dxfId="9705" priority="2923" operator="equal">
      <formula>3</formula>
    </cfRule>
    <cfRule type="cellIs" dxfId="9704" priority="2925" operator="equal">
      <formula>1</formula>
    </cfRule>
    <cfRule type="cellIs" dxfId="9703" priority="2927" operator="equal">
      <formula>1</formula>
    </cfRule>
    <cfRule type="cellIs" dxfId="9702" priority="2928" operator="equal">
      <formula>4</formula>
    </cfRule>
    <cfRule type="cellIs" dxfId="9701" priority="2929" operator="equal">
      <formula>3</formula>
    </cfRule>
    <cfRule type="cellIs" dxfId="9700" priority="2932" operator="equal">
      <formula>4</formula>
    </cfRule>
    <cfRule type="cellIs" dxfId="9699" priority="2933" operator="equal">
      <formula>3</formula>
    </cfRule>
    <cfRule type="cellIs" dxfId="9698" priority="2934" operator="equal">
      <formula>1</formula>
    </cfRule>
    <cfRule type="cellIs" dxfId="9697" priority="2936" operator="equal">
      <formula>1</formula>
    </cfRule>
    <cfRule type="cellIs" dxfId="9696" priority="2937" operator="equal">
      <formula>4</formula>
    </cfRule>
    <cfRule type="cellIs" dxfId="9695" priority="2938" operator="equal">
      <formula>3</formula>
    </cfRule>
    <cfRule type="cellIs" dxfId="9694" priority="2940" operator="equal">
      <formula>1</formula>
    </cfRule>
    <cfRule type="cellIs" dxfId="9693" priority="2942" operator="equal">
      <formula>1</formula>
    </cfRule>
    <cfRule type="cellIs" dxfId="9692" priority="2943" operator="equal">
      <formula>4</formula>
    </cfRule>
    <cfRule type="cellIs" dxfId="9691" priority="2944" operator="equal">
      <formula>3</formula>
    </cfRule>
    <cfRule type="cellIs" dxfId="9690" priority="2946" operator="equal">
      <formula>1</formula>
    </cfRule>
    <cfRule type="cellIs" dxfId="9689" priority="2949" operator="equal">
      <formula>1</formula>
    </cfRule>
    <cfRule type="cellIs" dxfId="9688" priority="2953" operator="equal">
      <formula>4</formula>
    </cfRule>
    <cfRule type="cellIs" dxfId="9687" priority="2954" operator="equal">
      <formula>3</formula>
    </cfRule>
    <cfRule type="cellIs" dxfId="9686" priority="2956" operator="equal">
      <formula>3</formula>
    </cfRule>
    <cfRule type="cellIs" dxfId="9685" priority="2958" operator="equal">
      <formula>4</formula>
    </cfRule>
    <cfRule type="cellIs" dxfId="9684" priority="2960" operator="equal">
      <formula>1</formula>
    </cfRule>
    <cfRule type="cellIs" dxfId="9683" priority="2963" operator="equal">
      <formula>1</formula>
    </cfRule>
    <cfRule type="cellIs" dxfId="9682" priority="2965" operator="equal">
      <formula>1</formula>
    </cfRule>
    <cfRule type="cellIs" dxfId="9681" priority="2966" operator="equal">
      <formula>3</formula>
    </cfRule>
    <cfRule type="cellIs" dxfId="9680" priority="2967" operator="equal">
      <formula>4</formula>
    </cfRule>
    <cfRule type="cellIs" dxfId="9679" priority="2969" operator="equal">
      <formula>1</formula>
    </cfRule>
    <cfRule type="cellIs" dxfId="9678" priority="2972" operator="equal">
      <formula>1</formula>
    </cfRule>
    <cfRule type="cellIs" dxfId="9677" priority="2973" operator="equal">
      <formula>4</formula>
    </cfRule>
    <cfRule type="cellIs" dxfId="9676" priority="2974" operator="equal">
      <formula>3</formula>
    </cfRule>
    <cfRule type="cellIs" dxfId="9675" priority="2977" operator="equal">
      <formula>1</formula>
    </cfRule>
    <cfRule type="cellIs" dxfId="9674" priority="2979" operator="equal">
      <formula>1</formula>
    </cfRule>
  </conditionalFormatting>
  <conditionalFormatting sqref="F22 F20">
    <cfRule type="top10" dxfId="9673" priority="2920" rank="10"/>
    <cfRule type="top10" dxfId="9672" priority="2921" rank="10"/>
    <cfRule type="top10" dxfId="9671" priority="2924" rank="10"/>
    <cfRule type="top10" dxfId="9670" priority="2926" rank="10"/>
    <cfRule type="top10" dxfId="9669" priority="2930" rank="10"/>
    <cfRule type="top10" dxfId="9668" priority="2931" rank="10"/>
    <cfRule type="top10" dxfId="9667" priority="2935" rank="10"/>
    <cfRule type="top10" dxfId="9666" priority="2939" rank="10"/>
    <cfRule type="top10" dxfId="9665" priority="2941" rank="10"/>
    <cfRule type="top10" dxfId="9664" priority="2945" rank="10"/>
    <cfRule type="top10" dxfId="9663" priority="2947" rank="10"/>
    <cfRule type="top10" dxfId="9662" priority="2948" rank="10"/>
    <cfRule type="top10" dxfId="9661" priority="2950" rank="10"/>
    <cfRule type="top10" dxfId="9660" priority="2951" rank="10"/>
    <cfRule type="top10" dxfId="9659" priority="2952" rank="10"/>
    <cfRule type="top10" dxfId="9658" priority="2955" rank="10"/>
    <cfRule type="top10" dxfId="9657" priority="2957" rank="10"/>
    <cfRule type="top10" dxfId="9656" priority="2959" rank="10"/>
    <cfRule type="top10" dxfId="9655" priority="2961" rank="10"/>
    <cfRule type="top10" dxfId="9654" priority="2962" rank="10"/>
    <cfRule type="top10" dxfId="9653" priority="2964" rank="10"/>
    <cfRule type="top10" dxfId="9652" priority="2968" rank="10"/>
    <cfRule type="top10" dxfId="9651" priority="2970" rank="10"/>
    <cfRule type="top10" dxfId="9650" priority="2971" rank="10"/>
    <cfRule type="top10" dxfId="9649" priority="2975" rank="10"/>
    <cfRule type="top10" dxfId="9648" priority="2976" rank="10"/>
    <cfRule type="top10" dxfId="9647" priority="2978" rank="10"/>
    <cfRule type="top10" dxfId="9646" priority="2980" rank="10"/>
  </conditionalFormatting>
  <conditionalFormatting sqref="F22 F24">
    <cfRule type="top10" dxfId="9645" priority="2912" rank="10"/>
    <cfRule type="top10" dxfId="9644" priority="2913" rank="10"/>
    <cfRule type="top10" dxfId="9643" priority="2914" rank="10"/>
    <cfRule type="cellIs" dxfId="9642" priority="2915" operator="equal">
      <formula>1</formula>
    </cfRule>
    <cfRule type="top10" dxfId="9641" priority="2916" rank="10"/>
    <cfRule type="cellIs" dxfId="9640" priority="2917" operator="equal">
      <formula>1</formula>
    </cfRule>
  </conditionalFormatting>
  <conditionalFormatting sqref="F22:F24">
    <cfRule type="cellIs" dxfId="9639" priority="2905" operator="equal">
      <formula>4</formula>
    </cfRule>
    <cfRule type="cellIs" dxfId="9638" priority="2906" operator="equal">
      <formula>3</formula>
    </cfRule>
    <cfRule type="top10" dxfId="9637" priority="2907" rank="10"/>
    <cfRule type="cellIs" dxfId="9636" priority="2908" operator="equal">
      <formula>1</formula>
    </cfRule>
    <cfRule type="cellIs" dxfId="9635" priority="2909" operator="equal">
      <formula>4</formula>
    </cfRule>
    <cfRule type="cellIs" dxfId="9634" priority="2910" operator="equal">
      <formula>3</formula>
    </cfRule>
    <cfRule type="top10" dxfId="9633" priority="2911" rank="10"/>
  </conditionalFormatting>
  <conditionalFormatting sqref="F22:F26 I22:L24">
    <cfRule type="cellIs" dxfId="9632" priority="2414" operator="equal">
      <formula>4</formula>
    </cfRule>
    <cfRule type="cellIs" dxfId="9631" priority="2415" operator="equal">
      <formula>3</formula>
    </cfRule>
  </conditionalFormatting>
  <conditionalFormatting sqref="F23">
    <cfRule type="top10" dxfId="9630" priority="2887" rank="10"/>
    <cfRule type="cellIs" dxfId="9629" priority="2888" operator="equal">
      <formula>3</formula>
    </cfRule>
    <cfRule type="top10" dxfId="9628" priority="2889" rank="10"/>
    <cfRule type="top10" dxfId="9627" priority="2890" rank="10"/>
    <cfRule type="cellIs" dxfId="9626" priority="2891" operator="equal">
      <formula>1</formula>
    </cfRule>
    <cfRule type="top10" dxfId="9625" priority="2892" rank="10"/>
    <cfRule type="top10" dxfId="9624" priority="2893" rank="10"/>
    <cfRule type="cellIs" dxfId="9623" priority="2894" operator="equal">
      <formula>3</formula>
    </cfRule>
    <cfRule type="top10" dxfId="9622" priority="2895" rank="10"/>
    <cfRule type="cellIs" dxfId="9621" priority="2896" operator="equal">
      <formula>4</formula>
    </cfRule>
    <cfRule type="top10" dxfId="9620" priority="2897" rank="10"/>
    <cfRule type="cellIs" dxfId="9619" priority="2898" operator="equal">
      <formula>3</formula>
    </cfRule>
    <cfRule type="cellIs" dxfId="9618" priority="2899" operator="equal">
      <formula>1</formula>
    </cfRule>
    <cfRule type="top10" dxfId="9617" priority="2900" rank="10"/>
    <cfRule type="cellIs" dxfId="9616" priority="2901" operator="equal">
      <formula>1</formula>
    </cfRule>
    <cfRule type="top10" dxfId="9615" priority="2902" rank="10"/>
    <cfRule type="top10" dxfId="9614" priority="2903" rank="10"/>
    <cfRule type="top10" dxfId="9613" priority="2904" rank="10"/>
  </conditionalFormatting>
  <conditionalFormatting sqref="F23:F30 F30:W35">
    <cfRule type="top10" dxfId="9612" priority="312937" rank="10"/>
    <cfRule type="top10" dxfId="9611" priority="312938" rank="10"/>
  </conditionalFormatting>
  <conditionalFormatting sqref="F24 F19:G19 F20">
    <cfRule type="top10" dxfId="9610" priority="293067" rank="10"/>
    <cfRule type="top10" dxfId="9609" priority="293068" rank="10"/>
    <cfRule type="top10" dxfId="9608" priority="293069" rank="10"/>
    <cfRule type="top10" dxfId="9607" priority="293070" rank="10"/>
  </conditionalFormatting>
  <conditionalFormatting sqref="F24">
    <cfRule type="top10" dxfId="9606" priority="2872" rank="10"/>
    <cfRule type="top10" dxfId="9605" priority="2873" rank="10"/>
    <cfRule type="cellIs" dxfId="9604" priority="2874" operator="equal">
      <formula>4</formula>
    </cfRule>
    <cfRule type="cellIs" dxfId="9603" priority="2875" operator="equal">
      <formula>3</formula>
    </cfRule>
    <cfRule type="cellIs" dxfId="9602" priority="2876" operator="equal">
      <formula>1</formula>
    </cfRule>
    <cfRule type="top10" dxfId="9601" priority="2877" rank="10"/>
    <cfRule type="cellIs" dxfId="9600" priority="2878" operator="equal">
      <formula>1</formula>
    </cfRule>
    <cfRule type="top10" dxfId="9599" priority="2879" rank="10"/>
    <cfRule type="cellIs" dxfId="9598" priority="2880" operator="equal">
      <formula>1</formula>
    </cfRule>
    <cfRule type="top10" dxfId="9597" priority="2881" rank="10"/>
    <cfRule type="cellIs" dxfId="9596" priority="2882" operator="equal">
      <formula>1</formula>
    </cfRule>
    <cfRule type="top10" dxfId="9595" priority="2883" rank="10"/>
    <cfRule type="top10" dxfId="9594" priority="2884" rank="10"/>
    <cfRule type="top10" dxfId="9593" priority="2885" rank="10"/>
  </conditionalFormatting>
  <conditionalFormatting sqref="F25:F26">
    <cfRule type="top10" dxfId="9592" priority="293008" rank="10"/>
  </conditionalFormatting>
  <conditionalFormatting sqref="F25:F30 F30:W35">
    <cfRule type="top10" dxfId="9591" priority="312941" rank="10"/>
    <cfRule type="top10" dxfId="9590" priority="312942" rank="10"/>
    <cfRule type="top10" dxfId="9589" priority="312943" rank="10"/>
  </conditionalFormatting>
  <conditionalFormatting sqref="F26">
    <cfRule type="cellIs" dxfId="9588" priority="938" operator="equal">
      <formula>1</formula>
    </cfRule>
    <cfRule type="cellIs" dxfId="9587" priority="939" operator="equal">
      <formula>4</formula>
    </cfRule>
    <cfRule type="cellIs" dxfId="9586" priority="940" operator="equal">
      <formula>3</formula>
    </cfRule>
    <cfRule type="top10" dxfId="9585" priority="941" rank="10"/>
    <cfRule type="top10" dxfId="9584" priority="942" rank="10"/>
    <cfRule type="top10" dxfId="9583" priority="943" rank="10"/>
    <cfRule type="top10" dxfId="9582" priority="944" rank="10"/>
    <cfRule type="top10" dxfId="9581" priority="945" rank="10"/>
    <cfRule type="cellIs" dxfId="9580" priority="946" operator="equal">
      <formula>1</formula>
    </cfRule>
    <cfRule type="top10" dxfId="9579" priority="947" rank="10"/>
    <cfRule type="cellIs" dxfId="9578" priority="948" operator="equal">
      <formula>1</formula>
    </cfRule>
    <cfRule type="cellIs" dxfId="9577" priority="949" operator="equal">
      <formula>4</formula>
    </cfRule>
    <cfRule type="cellIs" dxfId="9576" priority="950" operator="equal">
      <formula>3</formula>
    </cfRule>
    <cfRule type="top10" dxfId="9575" priority="951" rank="10"/>
    <cfRule type="top10" dxfId="9574" priority="952" rank="10"/>
    <cfRule type="cellIs" dxfId="9573" priority="953" operator="equal">
      <formula>1</formula>
    </cfRule>
    <cfRule type="top10" dxfId="9572" priority="954" rank="10"/>
    <cfRule type="cellIs" dxfId="9571" priority="955" operator="equal">
      <formula>4</formula>
    </cfRule>
    <cfRule type="cellIs" dxfId="9570" priority="956" operator="equal">
      <formula>3</formula>
    </cfRule>
    <cfRule type="cellIs" dxfId="9569" priority="957" operator="equal">
      <formula>1</formula>
    </cfRule>
    <cfRule type="top10" dxfId="9568" priority="1464" rank="10"/>
    <cfRule type="top10" dxfId="9567" priority="1465" rank="10"/>
    <cfRule type="top10" dxfId="9566" priority="1466" rank="10"/>
    <cfRule type="top10" dxfId="9565" priority="1467" rank="10"/>
    <cfRule type="top10" dxfId="9564" priority="1468" rank="10"/>
    <cfRule type="cellIs" dxfId="9563" priority="1469" operator="equal">
      <formula>4</formula>
    </cfRule>
    <cfRule type="cellIs" dxfId="9562" priority="1470" operator="equal">
      <formula>3</formula>
    </cfRule>
    <cfRule type="cellIs" dxfId="9561" priority="1471" operator="equal">
      <formula>1</formula>
    </cfRule>
    <cfRule type="cellIs" dxfId="9560" priority="1472" operator="equal">
      <formula>2</formula>
    </cfRule>
    <cfRule type="top10" dxfId="9559" priority="1474" rank="10"/>
    <cfRule type="top10" dxfId="9558" priority="1475" rank="10"/>
    <cfRule type="top10" dxfId="9557" priority="1476" rank="10"/>
    <cfRule type="top10" dxfId="9556" priority="1477" rank="10"/>
    <cfRule type="top10" dxfId="9555" priority="1478" rank="10"/>
    <cfRule type="cellIs" dxfId="9554" priority="1479" operator="equal">
      <formula>1</formula>
    </cfRule>
    <cfRule type="top10" dxfId="9553" priority="1480" rank="10"/>
    <cfRule type="cellIs" dxfId="9552" priority="1481" operator="equal">
      <formula>1</formula>
    </cfRule>
    <cfRule type="cellIs" dxfId="9551" priority="1482" operator="equal">
      <formula>4</formula>
    </cfRule>
    <cfRule type="cellIs" dxfId="9550" priority="1483" operator="equal">
      <formula>3</formula>
    </cfRule>
    <cfRule type="top10" dxfId="9549" priority="1484" rank="10"/>
    <cfRule type="top10" dxfId="9548" priority="1485" rank="10"/>
    <cfRule type="cellIs" dxfId="9547" priority="1486" operator="equal">
      <formula>1</formula>
    </cfRule>
    <cfRule type="top10" dxfId="9546" priority="1487" rank="10"/>
    <cfRule type="cellIs" dxfId="9545" priority="1488" operator="equal">
      <formula>4</formula>
    </cfRule>
    <cfRule type="cellIs" dxfId="9544" priority="1489" operator="equal">
      <formula>3</formula>
    </cfRule>
    <cfRule type="cellIs" dxfId="9543" priority="1490" operator="equal">
      <formula>1</formula>
    </cfRule>
    <cfRule type="top10" dxfId="9542" priority="2645" rank="10"/>
    <cfRule type="cellIs" dxfId="9541" priority="2646" operator="equal">
      <formula>1</formula>
    </cfRule>
    <cfRule type="top10" dxfId="9540" priority="2647" rank="10"/>
    <cfRule type="cellIs" dxfId="9539" priority="2648" operator="equal">
      <formula>1</formula>
    </cfRule>
    <cfRule type="cellIs" dxfId="9538" priority="2649" operator="equal">
      <formula>4</formula>
    </cfRule>
    <cfRule type="cellIs" dxfId="9537" priority="2650" operator="equal">
      <formula>3</formula>
    </cfRule>
    <cfRule type="top10" dxfId="9536" priority="2651" rank="10"/>
    <cfRule type="top10" dxfId="9535" priority="2652" rank="10"/>
    <cfRule type="cellIs" dxfId="9534" priority="2653" operator="equal">
      <formula>4</formula>
    </cfRule>
    <cfRule type="cellIs" dxfId="9533" priority="2654" operator="equal">
      <formula>3</formula>
    </cfRule>
    <cfRule type="cellIs" dxfId="9532" priority="2655" operator="equal">
      <formula>1</formula>
    </cfRule>
    <cfRule type="top10" dxfId="9531" priority="2656" rank="10"/>
    <cfRule type="cellIs" dxfId="9530" priority="2657" operator="equal">
      <formula>1</formula>
    </cfRule>
    <cfRule type="cellIs" dxfId="9529" priority="2658" operator="equal">
      <formula>4</formula>
    </cfRule>
    <cfRule type="cellIs" dxfId="9528" priority="2659" operator="equal">
      <formula>3</formula>
    </cfRule>
    <cfRule type="top10" dxfId="9527" priority="2660" rank="10"/>
    <cfRule type="cellIs" dxfId="9526" priority="2661" operator="equal">
      <formula>1</formula>
    </cfRule>
    <cfRule type="top10" dxfId="9525" priority="2662" rank="10"/>
    <cfRule type="cellIs" dxfId="9524" priority="2663" operator="equal">
      <formula>1</formula>
    </cfRule>
    <cfRule type="cellIs" dxfId="9523" priority="2664" operator="equal">
      <formula>4</formula>
    </cfRule>
    <cfRule type="cellIs" dxfId="9522" priority="2665" operator="equal">
      <formula>3</formula>
    </cfRule>
    <cfRule type="top10" dxfId="9521" priority="2666" rank="10"/>
    <cfRule type="cellIs" dxfId="9520" priority="2667" operator="equal">
      <formula>1</formula>
    </cfRule>
    <cfRule type="top10" dxfId="9519" priority="2668" rank="10"/>
    <cfRule type="top10" dxfId="9518" priority="2669" rank="10"/>
    <cfRule type="cellIs" dxfId="9517" priority="2670" operator="equal">
      <formula>1</formula>
    </cfRule>
    <cfRule type="top10" dxfId="9516" priority="2671" rank="10"/>
    <cfRule type="cellIs" dxfId="9515" priority="2672" operator="equal">
      <formula>4</formula>
    </cfRule>
    <cfRule type="cellIs" dxfId="9514" priority="2673" operator="equal">
      <formula>3</formula>
    </cfRule>
    <cfRule type="top10" dxfId="9513" priority="2674" rank="10"/>
    <cfRule type="cellIs" dxfId="9512" priority="2675" operator="equal">
      <formula>1</formula>
    </cfRule>
    <cfRule type="top10" dxfId="9511" priority="2676" rank="10"/>
    <cfRule type="top10" dxfId="9510" priority="2677" rank="10"/>
    <cfRule type="top10" dxfId="9509" priority="2678" rank="10"/>
    <cfRule type="top10" dxfId="9508" priority="2679" rank="10"/>
    <cfRule type="cellIs" dxfId="9507" priority="2680" operator="equal">
      <formula>4</formula>
    </cfRule>
    <cfRule type="cellIs" dxfId="9506" priority="2681" operator="equal">
      <formula>3</formula>
    </cfRule>
    <cfRule type="top10" dxfId="9505" priority="2682" rank="10"/>
    <cfRule type="cellIs" dxfId="9504" priority="2683" operator="equal">
      <formula>1</formula>
    </cfRule>
    <cfRule type="cellIs" dxfId="9503" priority="2684" operator="equal">
      <formula>4</formula>
    </cfRule>
    <cfRule type="cellIs" dxfId="9502" priority="2685" operator="equal">
      <formula>3</formula>
    </cfRule>
    <cfRule type="top10" dxfId="9501" priority="2686" rank="10"/>
    <cfRule type="cellIs" dxfId="9500" priority="2687" operator="equal">
      <formula>1</formula>
    </cfRule>
    <cfRule type="top10" dxfId="9499" priority="2688" rank="10"/>
    <cfRule type="top10" dxfId="9498" priority="2689" rank="10"/>
    <cfRule type="cellIs" dxfId="9497" priority="2690" operator="equal">
      <formula>1</formula>
    </cfRule>
    <cfRule type="cellIs" dxfId="9496" priority="2691" operator="equal">
      <formula>4</formula>
    </cfRule>
    <cfRule type="cellIs" dxfId="9495" priority="2692" operator="equal">
      <formula>3</formula>
    </cfRule>
    <cfRule type="top10" dxfId="9494" priority="2693" rank="10"/>
    <cfRule type="top10" dxfId="9493" priority="2694" rank="10"/>
    <cfRule type="cellIs" dxfId="9492" priority="2695" operator="equal">
      <formula>1</formula>
    </cfRule>
    <cfRule type="top10" dxfId="9491" priority="2696" rank="10"/>
    <cfRule type="cellIs" dxfId="9490" priority="2697" operator="equal">
      <formula>1</formula>
    </cfRule>
    <cfRule type="cellIs" dxfId="9489" priority="2698" operator="equal">
      <formula>4</formula>
    </cfRule>
    <cfRule type="cellIs" dxfId="9488" priority="2699" operator="equal">
      <formula>3</formula>
    </cfRule>
    <cfRule type="top10" dxfId="9487" priority="2700" rank="10"/>
    <cfRule type="cellIs" dxfId="9486" priority="2701" operator="equal">
      <formula>1</formula>
    </cfRule>
    <cfRule type="cellIs" dxfId="9485" priority="2702" operator="equal">
      <formula>4</formula>
    </cfRule>
    <cfRule type="cellIs" dxfId="9484" priority="2703" operator="equal">
      <formula>3</formula>
    </cfRule>
    <cfRule type="top10" dxfId="9483" priority="2704" rank="10"/>
    <cfRule type="top10" dxfId="9482" priority="2705" rank="10"/>
    <cfRule type="cellIs" dxfId="9481" priority="2706" operator="equal">
      <formula>4</formula>
    </cfRule>
    <cfRule type="cellIs" dxfId="9480" priority="2707" operator="equal">
      <formula>3</formula>
    </cfRule>
    <cfRule type="cellIs" dxfId="9479" priority="2708" operator="equal">
      <formula>1</formula>
    </cfRule>
    <cfRule type="top10" dxfId="9478" priority="2709" rank="10"/>
    <cfRule type="cellIs" dxfId="9477" priority="2710" operator="equal">
      <formula>1</formula>
    </cfRule>
    <cfRule type="cellIs" dxfId="9476" priority="2711" operator="equal">
      <formula>4</formula>
    </cfRule>
    <cfRule type="cellIs" dxfId="9475" priority="2712" operator="equal">
      <formula>3</formula>
    </cfRule>
    <cfRule type="top10" dxfId="9474" priority="2713" rank="10"/>
    <cfRule type="top10" dxfId="9473" priority="2714" rank="10"/>
    <cfRule type="cellIs" dxfId="9472" priority="2715" operator="equal">
      <formula>4</formula>
    </cfRule>
    <cfRule type="cellIs" dxfId="9471" priority="2716" operator="equal">
      <formula>3</formula>
    </cfRule>
    <cfRule type="cellIs" dxfId="9470" priority="2717" operator="equal">
      <formula>1</formula>
    </cfRule>
    <cfRule type="top10" dxfId="9469" priority="2718" rank="10"/>
    <cfRule type="cellIs" dxfId="9468" priority="2719" operator="equal">
      <formula>1</formula>
    </cfRule>
    <cfRule type="cellIs" dxfId="9467" priority="2720" operator="equal">
      <formula>4</formula>
    </cfRule>
    <cfRule type="cellIs" dxfId="9466" priority="2721" operator="equal">
      <formula>3</formula>
    </cfRule>
    <cfRule type="top10" dxfId="9465" priority="2722" rank="10"/>
    <cfRule type="top10" dxfId="9464" priority="2723" rank="10"/>
    <cfRule type="cellIs" dxfId="9463" priority="2724" operator="equal">
      <formula>4</formula>
    </cfRule>
    <cfRule type="cellIs" dxfId="9462" priority="2725" operator="equal">
      <formula>3</formula>
    </cfRule>
    <cfRule type="cellIs" dxfId="9461" priority="2726" operator="equal">
      <formula>1</formula>
    </cfRule>
    <cfRule type="top10" dxfId="9460" priority="2727" rank="10"/>
    <cfRule type="cellIs" dxfId="9459" priority="2728" operator="equal">
      <formula>1</formula>
    </cfRule>
    <cfRule type="cellIs" dxfId="9458" priority="2729" operator="equal">
      <formula>4</formula>
    </cfRule>
    <cfRule type="cellIs" dxfId="9457" priority="2730" operator="equal">
      <formula>3</formula>
    </cfRule>
    <cfRule type="top10" dxfId="9456" priority="2731" rank="10"/>
    <cfRule type="cellIs" dxfId="9455" priority="2732" operator="equal">
      <formula>4</formula>
    </cfRule>
    <cfRule type="cellIs" dxfId="9454" priority="2733" operator="equal">
      <formula>3</formula>
    </cfRule>
    <cfRule type="cellIs" dxfId="9453" priority="2734" operator="equal">
      <formula>1</formula>
    </cfRule>
    <cfRule type="top10" dxfId="9452" priority="2735" rank="10"/>
    <cfRule type="top10" dxfId="9451" priority="2736" rank="10"/>
    <cfRule type="cellIs" dxfId="9450" priority="2737" operator="equal">
      <formula>4</formula>
    </cfRule>
    <cfRule type="cellIs" dxfId="9449" priority="2738" operator="equal">
      <formula>3</formula>
    </cfRule>
    <cfRule type="cellIs" dxfId="9448" priority="2739" operator="equal">
      <formula>1</formula>
    </cfRule>
    <cfRule type="top10" dxfId="9447" priority="2740" rank="10"/>
    <cfRule type="cellIs" dxfId="9446" priority="2741" operator="equal">
      <formula>1</formula>
    </cfRule>
    <cfRule type="cellIs" dxfId="9445" priority="2742" operator="equal">
      <formula>4</formula>
    </cfRule>
    <cfRule type="cellIs" dxfId="9444" priority="2743" operator="equal">
      <formula>3</formula>
    </cfRule>
    <cfRule type="top10" dxfId="9443" priority="2744" rank="10"/>
    <cfRule type="top10" dxfId="9442" priority="2745" rank="10"/>
    <cfRule type="cellIs" dxfId="9441" priority="2746" operator="equal">
      <formula>1</formula>
    </cfRule>
    <cfRule type="cellIs" dxfId="9440" priority="2747" operator="equal">
      <formula>4</formula>
    </cfRule>
    <cfRule type="cellIs" dxfId="9439" priority="2748" operator="equal">
      <formula>3</formula>
    </cfRule>
    <cfRule type="top10" dxfId="9438" priority="2749" rank="10"/>
    <cfRule type="top10" dxfId="9437" priority="2750" rank="10"/>
    <cfRule type="cellIs" dxfId="9436" priority="2751" operator="equal">
      <formula>4</formula>
    </cfRule>
    <cfRule type="cellIs" dxfId="9435" priority="2752" operator="equal">
      <formula>3</formula>
    </cfRule>
    <cfRule type="cellIs" dxfId="9434" priority="2753" operator="equal">
      <formula>1</formula>
    </cfRule>
    <cfRule type="top10" dxfId="9433" priority="2754" rank="10"/>
    <cfRule type="cellIs" dxfId="9432" priority="2755" operator="equal">
      <formula>1</formula>
    </cfRule>
    <cfRule type="cellIs" dxfId="9431" priority="2756" operator="equal">
      <formula>4</formula>
    </cfRule>
    <cfRule type="cellIs" dxfId="9430" priority="2757" operator="equal">
      <formula>3</formula>
    </cfRule>
    <cfRule type="top10" dxfId="9429" priority="2758" rank="10"/>
    <cfRule type="top10" dxfId="9428" priority="2759" rank="10"/>
    <cfRule type="cellIs" dxfId="9427" priority="2760" operator="equal">
      <formula>1</formula>
    </cfRule>
    <cfRule type="cellIs" dxfId="9426" priority="2761" operator="equal">
      <formula>4</formula>
    </cfRule>
    <cfRule type="cellIs" dxfId="9425" priority="2762" operator="equal">
      <formula>3</formula>
    </cfRule>
    <cfRule type="top10" dxfId="9424" priority="2763" rank="10"/>
    <cfRule type="cellIs" dxfId="9423" priority="2764" operator="equal">
      <formula>1</formula>
    </cfRule>
    <cfRule type="top10" dxfId="9422" priority="2765" rank="10"/>
    <cfRule type="cellIs" dxfId="9421" priority="2766" operator="equal">
      <formula>1</formula>
    </cfRule>
    <cfRule type="cellIs" dxfId="9420" priority="2767" operator="equal">
      <formula>4</formula>
    </cfRule>
    <cfRule type="cellIs" dxfId="9419" priority="2768" operator="equal">
      <formula>3</formula>
    </cfRule>
    <cfRule type="top10" dxfId="9418" priority="2769" rank="10"/>
    <cfRule type="top10" dxfId="9417" priority="2770" rank="10"/>
    <cfRule type="cellIs" dxfId="9416" priority="2771" operator="equal">
      <formula>4</formula>
    </cfRule>
    <cfRule type="cellIs" dxfId="9415" priority="2772" operator="equal">
      <formula>3</formula>
    </cfRule>
    <cfRule type="cellIs" dxfId="9414" priority="2773" operator="equal">
      <formula>1</formula>
    </cfRule>
    <cfRule type="top10" dxfId="9413" priority="2774" rank="10"/>
    <cfRule type="cellIs" dxfId="9412" priority="2775" operator="equal">
      <formula>1</formula>
    </cfRule>
    <cfRule type="cellIs" dxfId="9411" priority="2776" operator="equal">
      <formula>4</formula>
    </cfRule>
    <cfRule type="cellIs" dxfId="9410" priority="2777" operator="equal">
      <formula>3</formula>
    </cfRule>
    <cfRule type="top10" dxfId="9409" priority="2778" rank="10"/>
    <cfRule type="cellIs" dxfId="9408" priority="2779" operator="equal">
      <formula>1</formula>
    </cfRule>
    <cfRule type="top10" dxfId="9407" priority="2780" rank="10"/>
    <cfRule type="cellIs" dxfId="9406" priority="2781" operator="equal">
      <formula>1</formula>
    </cfRule>
    <cfRule type="cellIs" dxfId="9405" priority="2782" operator="equal">
      <formula>4</formula>
    </cfRule>
    <cfRule type="cellIs" dxfId="9404" priority="2783" operator="equal">
      <formula>3</formula>
    </cfRule>
    <cfRule type="top10" dxfId="9403" priority="2784" rank="10"/>
    <cfRule type="cellIs" dxfId="9402" priority="2785" operator="equal">
      <formula>1</formula>
    </cfRule>
    <cfRule type="top10" dxfId="9401" priority="2786" rank="10"/>
    <cfRule type="top10" dxfId="9400" priority="2787" rank="10"/>
    <cfRule type="cellIs" dxfId="9399" priority="2788" operator="equal">
      <formula>1</formula>
    </cfRule>
    <cfRule type="top10" dxfId="9398" priority="2789" rank="10"/>
    <cfRule type="cellIs" dxfId="9397" priority="2790" operator="equal">
      <formula>4</formula>
    </cfRule>
    <cfRule type="cellIs" dxfId="9396" priority="2791" operator="equal">
      <formula>3</formula>
    </cfRule>
    <cfRule type="top10" dxfId="9395" priority="2792" rank="10"/>
    <cfRule type="cellIs" dxfId="9394" priority="2793" operator="equal">
      <formula>1</formula>
    </cfRule>
    <cfRule type="top10" dxfId="9393" priority="2794" rank="10"/>
    <cfRule type="top10" dxfId="9392" priority="2795" rank="10"/>
    <cfRule type="top10" dxfId="9391" priority="2796" rank="10"/>
    <cfRule type="top10" dxfId="9390" priority="2797" rank="10"/>
    <cfRule type="cellIs" dxfId="9389" priority="2798" operator="equal">
      <formula>4</formula>
    </cfRule>
    <cfRule type="cellIs" dxfId="9388" priority="2799" operator="equal">
      <formula>3</formula>
    </cfRule>
    <cfRule type="top10" dxfId="9387" priority="2800" rank="10"/>
    <cfRule type="cellIs" dxfId="9386" priority="2801" operator="equal">
      <formula>1</formula>
    </cfRule>
    <cfRule type="cellIs" dxfId="9385" priority="2802" operator="equal">
      <formula>4</formula>
    </cfRule>
    <cfRule type="cellIs" dxfId="9384" priority="2803" operator="equal">
      <formula>3</formula>
    </cfRule>
    <cfRule type="top10" dxfId="9383" priority="2804" rank="10"/>
    <cfRule type="cellIs" dxfId="9382" priority="2805" operator="equal">
      <formula>1</formula>
    </cfRule>
    <cfRule type="top10" dxfId="9381" priority="2806" rank="10"/>
    <cfRule type="top10" dxfId="9380" priority="2807" rank="10"/>
    <cfRule type="cellIs" dxfId="9379" priority="2808" operator="equal">
      <formula>1</formula>
    </cfRule>
    <cfRule type="cellIs" dxfId="9378" priority="2809" operator="equal">
      <formula>4</formula>
    </cfRule>
    <cfRule type="cellIs" dxfId="9377" priority="2810" operator="equal">
      <formula>3</formula>
    </cfRule>
    <cfRule type="top10" dxfId="9376" priority="2811" rank="10"/>
    <cfRule type="top10" dxfId="9375" priority="2812" rank="10"/>
    <cfRule type="cellIs" dxfId="9374" priority="2813" operator="equal">
      <formula>1</formula>
    </cfRule>
    <cfRule type="top10" dxfId="9373" priority="2814" rank="10"/>
    <cfRule type="cellIs" dxfId="9372" priority="2815" operator="equal">
      <formula>1</formula>
    </cfRule>
    <cfRule type="cellIs" dxfId="9371" priority="2816" operator="equal">
      <formula>4</formula>
    </cfRule>
    <cfRule type="cellIs" dxfId="9370" priority="2817" operator="equal">
      <formula>3</formula>
    </cfRule>
    <cfRule type="top10" dxfId="9369" priority="2818" rank="10"/>
    <cfRule type="cellIs" dxfId="9368" priority="2819" operator="equal">
      <formula>1</formula>
    </cfRule>
    <cfRule type="cellIs" dxfId="9367" priority="2820" operator="equal">
      <formula>4</formula>
    </cfRule>
    <cfRule type="cellIs" dxfId="9366" priority="2821" operator="equal">
      <formula>3</formula>
    </cfRule>
    <cfRule type="top10" dxfId="9365" priority="2822" rank="10"/>
    <cfRule type="top10" dxfId="9364" priority="2823" rank="10"/>
    <cfRule type="cellIs" dxfId="9363" priority="2824" operator="equal">
      <formula>4</formula>
    </cfRule>
    <cfRule type="cellIs" dxfId="9362" priority="2825" operator="equal">
      <formula>3</formula>
    </cfRule>
    <cfRule type="cellIs" dxfId="9361" priority="2826" operator="equal">
      <formula>1</formula>
    </cfRule>
    <cfRule type="top10" dxfId="9360" priority="2827" rank="10"/>
    <cfRule type="cellIs" dxfId="9359" priority="2828" operator="equal">
      <formula>1</formula>
    </cfRule>
    <cfRule type="cellIs" dxfId="9358" priority="2829" operator="equal">
      <formula>4</formula>
    </cfRule>
    <cfRule type="cellIs" dxfId="9357" priority="2830" operator="equal">
      <formula>3</formula>
    </cfRule>
    <cfRule type="top10" dxfId="9356" priority="2831" rank="10"/>
    <cfRule type="top10" dxfId="9355" priority="2832" rank="10"/>
    <cfRule type="cellIs" dxfId="9354" priority="2833" operator="equal">
      <formula>4</formula>
    </cfRule>
    <cfRule type="cellIs" dxfId="9353" priority="2834" operator="equal">
      <formula>3</formula>
    </cfRule>
    <cfRule type="cellIs" dxfId="9352" priority="2835" operator="equal">
      <formula>1</formula>
    </cfRule>
    <cfRule type="top10" dxfId="9351" priority="2836" rank="10"/>
    <cfRule type="cellIs" dxfId="9350" priority="2837" operator="equal">
      <formula>1</formula>
    </cfRule>
    <cfRule type="cellIs" dxfId="9349" priority="2838" operator="equal">
      <formula>4</formula>
    </cfRule>
    <cfRule type="cellIs" dxfId="9348" priority="2839" operator="equal">
      <formula>3</formula>
    </cfRule>
    <cfRule type="top10" dxfId="9347" priority="2840" rank="10"/>
    <cfRule type="top10" dxfId="9346" priority="2841" rank="10"/>
    <cfRule type="cellIs" dxfId="9345" priority="2842" operator="equal">
      <formula>4</formula>
    </cfRule>
    <cfRule type="cellIs" dxfId="9344" priority="2843" operator="equal">
      <formula>3</formula>
    </cfRule>
    <cfRule type="cellIs" dxfId="9343" priority="2844" operator="equal">
      <formula>1</formula>
    </cfRule>
    <cfRule type="top10" dxfId="9342" priority="2845" rank="10"/>
    <cfRule type="cellIs" dxfId="9341" priority="2846" operator="equal">
      <formula>1</formula>
    </cfRule>
    <cfRule type="cellIs" dxfId="9340" priority="2847" operator="equal">
      <formula>4</formula>
    </cfRule>
    <cfRule type="cellIs" dxfId="9339" priority="2848" operator="equal">
      <formula>3</formula>
    </cfRule>
    <cfRule type="top10" dxfId="9338" priority="2849" rank="10"/>
    <cfRule type="cellIs" dxfId="9337" priority="2850" operator="equal">
      <formula>1</formula>
    </cfRule>
    <cfRule type="cellIs" dxfId="9336" priority="2851" operator="equal">
      <formula>4</formula>
    </cfRule>
    <cfRule type="cellIs" dxfId="9335" priority="2852" operator="equal">
      <formula>3</formula>
    </cfRule>
    <cfRule type="top10" dxfId="9334" priority="2853" rank="10"/>
    <cfRule type="top10" dxfId="9333" priority="2854" rank="10"/>
    <cfRule type="cellIs" dxfId="9332" priority="2855" operator="equal">
      <formula>4</formula>
    </cfRule>
    <cfRule type="cellIs" dxfId="9331" priority="2856" operator="equal">
      <formula>3</formula>
    </cfRule>
    <cfRule type="cellIs" dxfId="9330" priority="2857" operator="equal">
      <formula>1</formula>
    </cfRule>
    <cfRule type="top10" dxfId="9329" priority="2858" rank="10"/>
    <cfRule type="top10" dxfId="9328" priority="2859" rank="10"/>
    <cfRule type="cellIs" dxfId="9327" priority="2860" operator="equal">
      <formula>4</formula>
    </cfRule>
    <cfRule type="cellIs" dxfId="9326" priority="2861" operator="equal">
      <formula>3</formula>
    </cfRule>
    <cfRule type="cellIs" dxfId="9325" priority="2862" operator="equal">
      <formula>1</formula>
    </cfRule>
    <cfRule type="top10" dxfId="9324" priority="2863" rank="10"/>
    <cfRule type="cellIs" dxfId="9323" priority="2864" operator="equal">
      <formula>1</formula>
    </cfRule>
    <cfRule type="cellIs" dxfId="9322" priority="2865" operator="equal">
      <formula>4</formula>
    </cfRule>
    <cfRule type="cellIs" dxfId="9321" priority="2866" operator="equal">
      <formula>3</formula>
    </cfRule>
    <cfRule type="top10" dxfId="9320" priority="2867" rank="10"/>
    <cfRule type="cellIs" dxfId="9319" priority="2868" operator="equal">
      <formula>1</formula>
    </cfRule>
    <cfRule type="cellIs" dxfId="9318" priority="2869" operator="equal">
      <formula>4</formula>
    </cfRule>
    <cfRule type="cellIs" dxfId="9317" priority="2870" operator="equal">
      <formula>3</formula>
    </cfRule>
  </conditionalFormatting>
  <conditionalFormatting sqref="F27:F28 F19:F20 F22:F23 F30:W35">
    <cfRule type="top10" dxfId="9316" priority="312947" rank="10"/>
  </conditionalFormatting>
  <conditionalFormatting sqref="F27:F28">
    <cfRule type="top10" dxfId="9315" priority="293009" rank="10"/>
    <cfRule type="top10" dxfId="9314" priority="293010" rank="10"/>
    <cfRule type="cellIs" dxfId="9313" priority="293011" operator="equal">
      <formula>1</formula>
    </cfRule>
  </conditionalFormatting>
  <conditionalFormatting sqref="F28:F29 I21:U21 F19:F24 H19:P19 I20:W20 H20:H24 I22:P24 G24:H25 F26 H25:P29 W19:W29 F30:W35">
    <cfRule type="top10" dxfId="9312" priority="313006" rank="10"/>
  </conditionalFormatting>
  <conditionalFormatting sqref="F28:F30 F23 F26 F30:W35">
    <cfRule type="top10" dxfId="9311" priority="312859" rank="10"/>
    <cfRule type="top10" dxfId="9310" priority="312860" rank="10"/>
    <cfRule type="top10" dxfId="9309" priority="312870" rank="10"/>
    <cfRule type="top10" dxfId="9308" priority="312871" rank="10"/>
    <cfRule type="top10" dxfId="9307" priority="312872" rank="10"/>
    <cfRule type="top10" dxfId="9306" priority="312873" rank="10"/>
    <cfRule type="top10" dxfId="9305" priority="312874" rank="10"/>
    <cfRule type="top10" dxfId="9304" priority="312875" rank="10"/>
    <cfRule type="top10" dxfId="9303" priority="312876" rank="10"/>
    <cfRule type="top10" dxfId="9302" priority="312877" rank="10"/>
    <cfRule type="top10" dxfId="9301" priority="312878" rank="10"/>
    <cfRule type="top10" dxfId="9300" priority="312879" rank="10"/>
    <cfRule type="top10" dxfId="9299" priority="312880" rank="10"/>
    <cfRule type="top10" dxfId="9298" priority="312881" rank="10"/>
    <cfRule type="top10" dxfId="9297" priority="312918" rank="10"/>
    <cfRule type="top10" dxfId="9296" priority="312919" rank="10"/>
    <cfRule type="top10" dxfId="9295" priority="312920" rank="10"/>
    <cfRule type="top10" dxfId="9294" priority="312921" rank="10"/>
  </conditionalFormatting>
  <conditionalFormatting sqref="F29">
    <cfRule type="top10" dxfId="9293" priority="2636" rank="10"/>
    <cfRule type="cellIs" dxfId="9292" priority="2637" operator="equal">
      <formula>1</formula>
    </cfRule>
    <cfRule type="top10" dxfId="9291" priority="2638" rank="10"/>
    <cfRule type="cellIs" dxfId="9290" priority="2639" operator="equal">
      <formula>1</formula>
    </cfRule>
  </conditionalFormatting>
  <conditionalFormatting sqref="F29:F30 F30:W35">
    <cfRule type="top10" dxfId="9289" priority="312951" rank="10"/>
    <cfRule type="top10" dxfId="9288" priority="312952" rank="10"/>
    <cfRule type="top10" dxfId="9287" priority="312953" rank="10"/>
    <cfRule type="top10" dxfId="9286" priority="312954" rank="10"/>
    <cfRule type="top10" dxfId="9285" priority="312955" rank="10"/>
    <cfRule type="top10" dxfId="9284" priority="312961" rank="10"/>
    <cfRule type="top10" dxfId="9283" priority="312962" rank="10"/>
    <cfRule type="top10" dxfId="9282" priority="312963" rank="10"/>
  </conditionalFormatting>
  <conditionalFormatting sqref="F29:F30">
    <cfRule type="cellIs" dxfId="9281" priority="2625" operator="equal">
      <formula>4</formula>
    </cfRule>
    <cfRule type="cellIs" dxfId="9280" priority="2626" operator="equal">
      <formula>3</formula>
    </cfRule>
    <cfRule type="cellIs" dxfId="9279" priority="2627" operator="equal">
      <formula>1</formula>
    </cfRule>
  </conditionalFormatting>
  <conditionalFormatting sqref="F31:F35">
    <cfRule type="top10" dxfId="9278" priority="313101" rank="10"/>
    <cfRule type="top10" dxfId="9277" priority="313102" rank="10"/>
    <cfRule type="cellIs" dxfId="9276" priority="313103" operator="equal">
      <formula>1</formula>
    </cfRule>
    <cfRule type="top10" dxfId="9275" priority="313104" rank="10"/>
    <cfRule type="cellIs" dxfId="9274" priority="313105" operator="equal">
      <formula>1</formula>
    </cfRule>
    <cfRule type="top10" dxfId="9273" priority="313106" rank="10"/>
    <cfRule type="cellIs" dxfId="9272" priority="313107" operator="equal">
      <formula>1</formula>
    </cfRule>
    <cfRule type="top10" dxfId="9271" priority="313108" rank="10"/>
    <cfRule type="cellIs" dxfId="9270" priority="313109" operator="equal">
      <formula>1</formula>
    </cfRule>
    <cfRule type="top10" dxfId="9269" priority="313110" rank="10"/>
    <cfRule type="top10" dxfId="9268" priority="313111" rank="10"/>
    <cfRule type="cellIs" dxfId="9267" priority="313112" operator="equal">
      <formula>1</formula>
    </cfRule>
    <cfRule type="top10" dxfId="9266" priority="313113" rank="10"/>
    <cfRule type="cellIs" dxfId="9265" priority="313114" operator="equal">
      <formula>1</formula>
    </cfRule>
    <cfRule type="top10" dxfId="9264" priority="313115" rank="10"/>
    <cfRule type="cellIs" dxfId="9263" priority="313116" operator="equal">
      <formula>1</formula>
    </cfRule>
    <cfRule type="cellIs" dxfId="9262" priority="313117" operator="equal">
      <formula>4</formula>
    </cfRule>
    <cfRule type="cellIs" dxfId="9261" priority="313118" operator="equal">
      <formula>3</formula>
    </cfRule>
    <cfRule type="top10" dxfId="9260" priority="313119" rank="10"/>
    <cfRule type="cellIs" dxfId="9259" priority="313120" operator="equal">
      <formula>4</formula>
    </cfRule>
    <cfRule type="cellIs" dxfId="9258" priority="313121" operator="equal">
      <formula>3</formula>
    </cfRule>
    <cfRule type="top10" dxfId="9257" priority="313122" rank="10"/>
    <cfRule type="cellIs" dxfId="9256" priority="313123" operator="equal">
      <formula>1</formula>
    </cfRule>
    <cfRule type="cellIs" dxfId="9255" priority="313124" operator="equal">
      <formula>4</formula>
    </cfRule>
    <cfRule type="cellIs" dxfId="9254" priority="313125" operator="equal">
      <formula>3</formula>
    </cfRule>
    <cfRule type="top10" dxfId="9253" priority="313126" rank="10"/>
    <cfRule type="cellIs" dxfId="9252" priority="313127" operator="equal">
      <formula>1</formula>
    </cfRule>
    <cfRule type="top10" dxfId="9251" priority="313128" rank="10"/>
    <cfRule type="cellIs" dxfId="9250" priority="313129" operator="equal">
      <formula>1</formula>
    </cfRule>
    <cfRule type="top10" dxfId="9249" priority="313130" rank="10"/>
    <cfRule type="cellIs" dxfId="9248" priority="313131" operator="equal">
      <formula>1</formula>
    </cfRule>
    <cfRule type="top10" dxfId="9247" priority="313132" rank="10"/>
    <cfRule type="cellIs" dxfId="9246" priority="313133" operator="equal">
      <formula>1</formula>
    </cfRule>
    <cfRule type="top10" dxfId="9245" priority="313134" rank="10"/>
    <cfRule type="cellIs" dxfId="9244" priority="313135" operator="equal">
      <formula>1</formula>
    </cfRule>
    <cfRule type="top10" dxfId="9243" priority="313136" rank="10"/>
    <cfRule type="cellIs" dxfId="9242" priority="313137" operator="equal">
      <formula>1</formula>
    </cfRule>
    <cfRule type="top10" dxfId="9241" priority="313138" rank="10"/>
    <cfRule type="cellIs" dxfId="9240" priority="313139" operator="equal">
      <formula>1</formula>
    </cfRule>
    <cfRule type="cellIs" dxfId="9239" priority="313140" operator="equal">
      <formula>4</formula>
    </cfRule>
    <cfRule type="cellIs" dxfId="9238" priority="313141" operator="equal">
      <formula>3</formula>
    </cfRule>
    <cfRule type="top10" dxfId="9237" priority="313142" rank="10"/>
    <cfRule type="cellIs" dxfId="9236" priority="313143" operator="equal">
      <formula>1</formula>
    </cfRule>
    <cfRule type="top10" dxfId="9235" priority="313144" rank="10"/>
    <cfRule type="cellIs" dxfId="9234" priority="313145" operator="equal">
      <formula>1</formula>
    </cfRule>
    <cfRule type="top10" dxfId="9233" priority="313146" rank="10"/>
    <cfRule type="top10" dxfId="9232" priority="313147" rank="10"/>
    <cfRule type="cellIs" dxfId="9231" priority="313148" operator="equal">
      <formula>1</formula>
    </cfRule>
    <cfRule type="top10" dxfId="9230" priority="313149" rank="10"/>
    <cfRule type="cellIs" dxfId="9229" priority="313150" operator="equal">
      <formula>1</formula>
    </cfRule>
    <cfRule type="top10" dxfId="9228" priority="313151" rank="10"/>
    <cfRule type="top10" dxfId="9227" priority="313152" rank="10"/>
    <cfRule type="cellIs" dxfId="9226" priority="313153" operator="equal">
      <formula>1</formula>
    </cfRule>
    <cfRule type="top10" dxfId="9225" priority="313154" rank="10"/>
    <cfRule type="cellIs" dxfId="9224" priority="313155" operator="equal">
      <formula>1</formula>
    </cfRule>
    <cfRule type="top10" dxfId="9223" priority="313157" rank="10"/>
    <cfRule type="top10" dxfId="9222" priority="313158" rank="10"/>
    <cfRule type="top10" dxfId="9221" priority="313159" rank="10"/>
    <cfRule type="cellIs" dxfId="9220" priority="313160" operator="equal">
      <formula>1</formula>
    </cfRule>
    <cfRule type="top10" dxfId="9219" priority="313161" rank="10"/>
    <cfRule type="cellIs" dxfId="9218" priority="313162" operator="equal">
      <formula>1</formula>
    </cfRule>
    <cfRule type="top10" dxfId="9217" priority="313163" rank="10"/>
  </conditionalFormatting>
  <conditionalFormatting sqref="F23:G23">
    <cfRule type="top10" dxfId="9216" priority="2582" rank="10"/>
    <cfRule type="top10" dxfId="9215" priority="2583" rank="10"/>
    <cfRule type="top10" dxfId="9214" priority="2584" rank="10"/>
    <cfRule type="top10" dxfId="9213" priority="2585" rank="10"/>
  </conditionalFormatting>
  <conditionalFormatting sqref="F23:G24">
    <cfRule type="cellIs" dxfId="9212" priority="2575" operator="equal">
      <formula>4</formula>
    </cfRule>
    <cfRule type="cellIs" dxfId="9211" priority="2576" operator="equal">
      <formula>3</formula>
    </cfRule>
    <cfRule type="cellIs" dxfId="9210" priority="2577" operator="equal">
      <formula>1</formula>
    </cfRule>
  </conditionalFormatting>
  <conditionalFormatting sqref="F24:G24">
    <cfRule type="top10" dxfId="9209" priority="2556" rank="10"/>
    <cfRule type="top10" dxfId="9208" priority="2557" rank="10"/>
    <cfRule type="cellIs" dxfId="9207" priority="2558" operator="equal">
      <formula>4</formula>
    </cfRule>
    <cfRule type="cellIs" dxfId="9206" priority="2559" operator="equal">
      <formula>3</formula>
    </cfRule>
    <cfRule type="cellIs" dxfId="9205" priority="2560" operator="equal">
      <formula>1</formula>
    </cfRule>
    <cfRule type="top10" dxfId="9204" priority="2561" rank="10"/>
    <cfRule type="cellIs" dxfId="9203" priority="2562" operator="equal">
      <formula>1</formula>
    </cfRule>
    <cfRule type="top10" dxfId="9202" priority="2563" rank="10"/>
    <cfRule type="top10" dxfId="9201" priority="2564" rank="10"/>
    <cfRule type="cellIs" dxfId="9200" priority="2565" operator="equal">
      <formula>4</formula>
    </cfRule>
    <cfRule type="cellIs" dxfId="9199" priority="2566" operator="equal">
      <formula>3</formula>
    </cfRule>
    <cfRule type="cellIs" dxfId="9198" priority="2567" operator="equal">
      <formula>1</formula>
    </cfRule>
    <cfRule type="top10" dxfId="9197" priority="2568" rank="10"/>
    <cfRule type="top10" dxfId="9196" priority="2569" rank="10"/>
    <cfRule type="cellIs" dxfId="9195" priority="2570" operator="equal">
      <formula>4</formula>
    </cfRule>
    <cfRule type="cellIs" dxfId="9194" priority="2571" operator="equal">
      <formula>3</formula>
    </cfRule>
    <cfRule type="cellIs" dxfId="9193" priority="2572" operator="equal">
      <formula>1</formula>
    </cfRule>
    <cfRule type="top10" dxfId="9192" priority="2573" rank="10"/>
    <cfRule type="top10" dxfId="9191" priority="2574" rank="10"/>
  </conditionalFormatting>
  <conditionalFormatting sqref="F24:G25">
    <cfRule type="cellIs" dxfId="9190" priority="2555" operator="equal">
      <formula>1</formula>
    </cfRule>
  </conditionalFormatting>
  <conditionalFormatting sqref="F25:G25">
    <cfRule type="top10" dxfId="9189" priority="2540" rank="10"/>
    <cfRule type="top10" dxfId="9188" priority="2541" rank="10"/>
    <cfRule type="cellIs" dxfId="9187" priority="2542" operator="equal">
      <formula>4</formula>
    </cfRule>
    <cfRule type="cellIs" dxfId="9186" priority="2543" operator="equal">
      <formula>3</formula>
    </cfRule>
    <cfRule type="cellIs" dxfId="9185" priority="2544" operator="equal">
      <formula>1</formula>
    </cfRule>
    <cfRule type="top10" dxfId="9184" priority="2545" rank="10"/>
    <cfRule type="top10" dxfId="9183" priority="2546" rank="10"/>
    <cfRule type="cellIs" dxfId="9182" priority="2547" operator="equal">
      <formula>4</formula>
    </cfRule>
    <cfRule type="cellIs" dxfId="9181" priority="2548" operator="equal">
      <formula>3</formula>
    </cfRule>
    <cfRule type="cellIs" dxfId="9180" priority="2549" operator="equal">
      <formula>1</formula>
    </cfRule>
    <cfRule type="top10" dxfId="9179" priority="2550" rank="10"/>
    <cfRule type="cellIs" dxfId="9178" priority="2551" operator="equal">
      <formula>1</formula>
    </cfRule>
    <cfRule type="cellIs" dxfId="9177" priority="2552" operator="equal">
      <formula>4</formula>
    </cfRule>
    <cfRule type="cellIs" dxfId="9176" priority="2553" operator="equal">
      <formula>3</formula>
    </cfRule>
    <cfRule type="top10" dxfId="9175" priority="2554" rank="10"/>
  </conditionalFormatting>
  <conditionalFormatting sqref="F27:G27">
    <cfRule type="top10" dxfId="9174" priority="2538" rank="10"/>
    <cfRule type="top10" dxfId="9173" priority="2539" rank="10"/>
  </conditionalFormatting>
  <conditionalFormatting sqref="F28:G28">
    <cfRule type="top10" dxfId="9172" priority="2535" rank="10"/>
    <cfRule type="top10" dxfId="9171" priority="2536" rank="10"/>
    <cfRule type="cellIs" dxfId="9170" priority="2537" operator="equal">
      <formula>1</formula>
    </cfRule>
  </conditionalFormatting>
  <conditionalFormatting sqref="F29:G29">
    <cfRule type="top10" dxfId="9169" priority="2527" rank="10"/>
    <cfRule type="cellIs" dxfId="9168" priority="2528" operator="equal">
      <formula>1</formula>
    </cfRule>
    <cfRule type="top10" dxfId="9167" priority="2529" rank="10"/>
    <cfRule type="cellIs" dxfId="9166" priority="2530" operator="equal">
      <formula>1</formula>
    </cfRule>
    <cfRule type="top10" dxfId="9165" priority="2531" rank="10"/>
    <cfRule type="cellIs" dxfId="9164" priority="2532" operator="equal">
      <formula>1</formula>
    </cfRule>
    <cfRule type="top10" dxfId="9163" priority="2533" rank="10"/>
    <cfRule type="cellIs" dxfId="9162" priority="2534" operator="equal">
      <formula>1</formula>
    </cfRule>
  </conditionalFormatting>
  <conditionalFormatting sqref="F19:H19 F20">
    <cfRule type="top10" dxfId="9161" priority="278963" rank="10"/>
    <cfRule type="top10" dxfId="9160" priority="278964" rank="10"/>
    <cfRule type="cellIs" dxfId="9159" priority="278965" operator="equal">
      <formula>4</formula>
    </cfRule>
    <cfRule type="cellIs" dxfId="9158" priority="278966" operator="equal">
      <formula>3</formula>
    </cfRule>
    <cfRule type="cellIs" dxfId="9157" priority="278967" operator="equal">
      <formula>1</formula>
    </cfRule>
    <cfRule type="top10" dxfId="9156" priority="278968" rank="10"/>
    <cfRule type="cellIs" dxfId="9155" priority="278969" operator="equal">
      <formula>1</formula>
    </cfRule>
  </conditionalFormatting>
  <conditionalFormatting sqref="F19:H19">
    <cfRule type="cellIs" dxfId="9154" priority="278960" operator="equal">
      <formula>1</formula>
    </cfRule>
    <cfRule type="cellIs" dxfId="9153" priority="278961" operator="equal">
      <formula>4</formula>
    </cfRule>
    <cfRule type="cellIs" dxfId="9152" priority="278962" operator="equal">
      <formula>3</formula>
    </cfRule>
  </conditionalFormatting>
  <conditionalFormatting sqref="F20:H24 F25:I29 G24:H25 F27:P28 J25:L28 J19:L20 M22:P26 U21:V29">
    <cfRule type="cellIs" dxfId="9151" priority="2886" operator="equal">
      <formula>1</formula>
    </cfRule>
  </conditionalFormatting>
  <conditionalFormatting sqref="F23:H23">
    <cfRule type="cellIs" dxfId="9150" priority="2377" operator="equal">
      <formula>1</formula>
    </cfRule>
    <cfRule type="cellIs" dxfId="9149" priority="2463" operator="equal">
      <formula>4</formula>
    </cfRule>
    <cfRule type="cellIs" dxfId="9148" priority="2464" operator="equal">
      <formula>3</formula>
    </cfRule>
    <cfRule type="top10" dxfId="9147" priority="2506" rank="10"/>
    <cfRule type="top10" dxfId="9146" priority="2507" rank="10"/>
    <cfRule type="top10" dxfId="9145" priority="2508" rank="10"/>
    <cfRule type="top10" dxfId="9144" priority="2509" rank="10"/>
    <cfRule type="top10" dxfId="9143" priority="2510" rank="10"/>
  </conditionalFormatting>
  <conditionalFormatting sqref="F24:H24">
    <cfRule type="top10" dxfId="9142" priority="2491" rank="10"/>
    <cfRule type="top10" dxfId="9141" priority="2492" rank="10"/>
    <cfRule type="cellIs" dxfId="9140" priority="2493" operator="equal">
      <formula>4</formula>
    </cfRule>
    <cfRule type="cellIs" dxfId="9139" priority="2494" operator="equal">
      <formula>3</formula>
    </cfRule>
    <cfRule type="cellIs" dxfId="9138" priority="2495" operator="equal">
      <formula>1</formula>
    </cfRule>
    <cfRule type="top10" dxfId="9137" priority="2496" rank="10"/>
    <cfRule type="cellIs" dxfId="9136" priority="2497" operator="equal">
      <formula>1</formula>
    </cfRule>
    <cfRule type="cellIs" dxfId="9135" priority="2498" operator="equal">
      <formula>4</formula>
    </cfRule>
    <cfRule type="cellIs" dxfId="9134" priority="2499" operator="equal">
      <formula>3</formula>
    </cfRule>
    <cfRule type="top10" dxfId="9133" priority="2500" rank="10"/>
  </conditionalFormatting>
  <conditionalFormatting sqref="F27:H27">
    <cfRule type="top10" dxfId="9132" priority="2490" rank="10"/>
  </conditionalFormatting>
  <conditionalFormatting sqref="F28:H28">
    <cfRule type="top10" dxfId="9131" priority="2473" rank="10"/>
    <cfRule type="cellIs" dxfId="9130" priority="2474" operator="equal">
      <formula>4</formula>
    </cfRule>
    <cfRule type="cellIs" dxfId="9129" priority="2475" operator="equal">
      <formula>3</formula>
    </cfRule>
    <cfRule type="top10" dxfId="9128" priority="2476" rank="10"/>
    <cfRule type="top10" dxfId="9127" priority="2477" rank="10"/>
    <cfRule type="cellIs" dxfId="9126" priority="2478" operator="equal">
      <formula>4</formula>
    </cfRule>
    <cfRule type="cellIs" dxfId="9125" priority="2479" operator="equal">
      <formula>3</formula>
    </cfRule>
    <cfRule type="cellIs" dxfId="9124" priority="2480" operator="equal">
      <formula>1</formula>
    </cfRule>
    <cfRule type="top10" dxfId="9123" priority="2481" rank="10"/>
    <cfRule type="cellIs" dxfId="9122" priority="2482" operator="equal">
      <formula>1</formula>
    </cfRule>
    <cfRule type="cellIs" dxfId="9121" priority="2483" operator="equal">
      <formula>4</formula>
    </cfRule>
    <cfRule type="cellIs" dxfId="9120" priority="2484" operator="equal">
      <formula>3</formula>
    </cfRule>
    <cfRule type="top10" dxfId="9119" priority="2485" rank="10"/>
    <cfRule type="cellIs" dxfId="9118" priority="2486" operator="equal">
      <formula>1</formula>
    </cfRule>
    <cfRule type="top10" dxfId="9117" priority="2487" rank="10"/>
    <cfRule type="cellIs" dxfId="9116" priority="2488" operator="equal">
      <formula>1</formula>
    </cfRule>
    <cfRule type="top10" dxfId="9115" priority="2489" rank="10"/>
  </conditionalFormatting>
  <conditionalFormatting sqref="F29:H29">
    <cfRule type="top10" dxfId="9114" priority="2466" rank="10"/>
    <cfRule type="cellIs" dxfId="9113" priority="2467" operator="equal">
      <formula>1</formula>
    </cfRule>
    <cfRule type="top10" dxfId="9112" priority="2468" rank="10"/>
    <cfRule type="cellIs" dxfId="9111" priority="2469" operator="equal">
      <formula>1</formula>
    </cfRule>
    <cfRule type="top10" dxfId="9110" priority="2470" rank="10"/>
    <cfRule type="cellIs" dxfId="9109" priority="2471" operator="equal">
      <formula>1</formula>
    </cfRule>
    <cfRule type="top10" dxfId="9108" priority="2472" rank="10"/>
  </conditionalFormatting>
  <conditionalFormatting sqref="F19:I19">
    <cfRule type="cellIs" dxfId="9107" priority="2458" operator="equal">
      <formula>1</formula>
    </cfRule>
  </conditionalFormatting>
  <conditionalFormatting sqref="F23:K24">
    <cfRule type="cellIs" dxfId="9106" priority="2501" operator="equal">
      <formula>1</formula>
    </cfRule>
    <cfRule type="cellIs" dxfId="9105" priority="2503" operator="equal">
      <formula>4</formula>
    </cfRule>
    <cfRule type="cellIs" dxfId="9104" priority="2504" operator="equal">
      <formula>3</formula>
    </cfRule>
  </conditionalFormatting>
  <conditionalFormatting sqref="F20:L20">
    <cfRule type="cellIs" dxfId="9103" priority="1552" operator="equal">
      <formula>4</formula>
    </cfRule>
    <cfRule type="cellIs" dxfId="9102" priority="1553" operator="equal">
      <formula>3</formula>
    </cfRule>
  </conditionalFormatting>
  <conditionalFormatting sqref="F25:L25 F27:L27">
    <cfRule type="cellIs" dxfId="9101" priority="1965" operator="equal">
      <formula>1</formula>
    </cfRule>
    <cfRule type="cellIs" dxfId="9100" priority="1967" operator="equal">
      <formula>1</formula>
    </cfRule>
  </conditionalFormatting>
  <conditionalFormatting sqref="F25:L25 F27:T27">
    <cfRule type="cellIs" dxfId="9099" priority="1968" operator="equal">
      <formula>4</formula>
    </cfRule>
    <cfRule type="cellIs" dxfId="9098" priority="1969" operator="equal">
      <formula>3</formula>
    </cfRule>
    <cfRule type="cellIs" dxfId="9097" priority="1972" operator="equal">
      <formula>1</formula>
    </cfRule>
  </conditionalFormatting>
  <conditionalFormatting sqref="F27:L27 F25:L25">
    <cfRule type="top10" dxfId="9096" priority="1963" rank="10"/>
    <cfRule type="top10" dxfId="9095" priority="1964" rank="10"/>
    <cfRule type="top10" dxfId="9094" priority="1966" rank="10"/>
    <cfRule type="top10" dxfId="9093" priority="1970" rank="10"/>
    <cfRule type="top10" dxfId="9092" priority="1971" rank="10"/>
    <cfRule type="top10" dxfId="9091" priority="1973" rank="10"/>
  </conditionalFormatting>
  <conditionalFormatting sqref="F28:L28 F30:W35">
    <cfRule type="top10" dxfId="9090" priority="312994" rank="10"/>
    <cfRule type="top10" dxfId="9089" priority="312995" rank="10"/>
    <cfRule type="top10" dxfId="9088" priority="312996" rank="10"/>
    <cfRule type="top10" dxfId="9087" priority="312997" rank="10"/>
    <cfRule type="top10" dxfId="9086" priority="312998" rank="10"/>
    <cfRule type="top10" dxfId="9085" priority="312999" rank="10"/>
  </conditionalFormatting>
  <conditionalFormatting sqref="F29:M29 M30:M35">
    <cfRule type="top10" dxfId="9084" priority="313528" rank="10"/>
    <cfRule type="cellIs" dxfId="9083" priority="313529" operator="equal">
      <formula>1</formula>
    </cfRule>
    <cfRule type="top10" dxfId="9082" priority="313530" rank="10"/>
    <cfRule type="cellIs" dxfId="9081" priority="313531" operator="equal">
      <formula>1</formula>
    </cfRule>
  </conditionalFormatting>
  <conditionalFormatting sqref="F25:N25 F19:I19 U19:W29 S25:T25">
    <cfRule type="cellIs" dxfId="9080" priority="2586" operator="equal">
      <formula>4</formula>
    </cfRule>
    <cfRule type="cellIs" dxfId="9079" priority="2587" operator="equal">
      <formula>3</formula>
    </cfRule>
  </conditionalFormatting>
  <conditionalFormatting sqref="F25:N25 W19:W29 S25:T25">
    <cfRule type="cellIs" dxfId="9078" priority="2588" operator="equal">
      <formula>1</formula>
    </cfRule>
  </conditionalFormatting>
  <conditionalFormatting sqref="F20:V20">
    <cfRule type="cellIs" dxfId="9077" priority="1556" operator="equal">
      <formula>1</formula>
    </cfRule>
  </conditionalFormatting>
  <conditionalFormatting sqref="F19:W19 W19:W29 I20:W21 F20:H24 T20:T35 I22:L24 M22:W25 G24:H25 F25:L28 M26:P28 Q26:W29 F29:P29 F30:W35">
    <cfRule type="cellIs" dxfId="9076" priority="2302" operator="equal">
      <formula>2</formula>
    </cfRule>
  </conditionalFormatting>
  <conditionalFormatting sqref="F19:W35">
    <cfRule type="containsText" dxfId="9075" priority="881" operator="containsText" text="4">
      <formula>NOT(ISERROR(SEARCH("4",F19)))</formula>
    </cfRule>
    <cfRule type="containsText" dxfId="9074" priority="882" operator="containsText" text="3">
      <formula>NOT(ISERROR(SEARCH("3",F19)))</formula>
    </cfRule>
    <cfRule type="containsText" dxfId="9073" priority="883" operator="containsText" text="2">
      <formula>NOT(ISERROR(SEARCH("2",F19)))</formula>
    </cfRule>
    <cfRule type="containsText" dxfId="9072" priority="884" operator="containsText" text="1">
      <formula>NOT(ISERROR(SEARCH("1",F19)))</formula>
    </cfRule>
  </conditionalFormatting>
  <conditionalFormatting sqref="F30:W35 U31:V31 U35:V35">
    <cfRule type="cellIs" dxfId="9071" priority="2051" operator="equal">
      <formula>4</formula>
    </cfRule>
    <cfRule type="cellIs" dxfId="9070" priority="2052" operator="equal">
      <formula>3</formula>
    </cfRule>
    <cfRule type="cellIs" dxfId="9069" priority="2053" operator="equal">
      <formula>1</formula>
    </cfRule>
  </conditionalFormatting>
  <conditionalFormatting sqref="F30:W35">
    <cfRule type="top10" dxfId="9068" priority="312867" rank="10"/>
    <cfRule type="top10" dxfId="9067" priority="312868" rank="10"/>
    <cfRule type="cellIs" dxfId="9066" priority="312869" operator="equal">
      <formula>1</formula>
    </cfRule>
    <cfRule type="top10" dxfId="9065" priority="312967" rank="10"/>
    <cfRule type="top10" dxfId="9064" priority="312968" rank="10"/>
    <cfRule type="top10" dxfId="9063" priority="312969" rank="10"/>
    <cfRule type="top10" dxfId="9062" priority="312970" rank="10"/>
    <cfRule type="top10" dxfId="9061" priority="312971" rank="10"/>
    <cfRule type="top10" dxfId="9060" priority="312972" rank="10"/>
    <cfRule type="top10" dxfId="9059" priority="312973" rank="10"/>
    <cfRule type="top10" dxfId="9058" priority="312974" rank="10"/>
    <cfRule type="top10" dxfId="9057" priority="312975" rank="10"/>
    <cfRule type="top10" dxfId="9056" priority="312976" rank="10"/>
    <cfRule type="top10" dxfId="9055" priority="312977" rank="10"/>
    <cfRule type="top10" dxfId="9054" priority="312978" rank="10"/>
    <cfRule type="top10" dxfId="9053" priority="312979" rank="10"/>
    <cfRule type="top10" dxfId="9052" priority="312980" rank="10"/>
    <cfRule type="top10" dxfId="9051" priority="312981" rank="10"/>
    <cfRule type="top10" dxfId="9050" priority="312982" rank="10"/>
    <cfRule type="cellIs" dxfId="9049" priority="313018" operator="equal">
      <formula>1</formula>
    </cfRule>
    <cfRule type="cellIs" dxfId="9048" priority="313019" operator="equal">
      <formula>4</formula>
    </cfRule>
    <cfRule type="cellIs" dxfId="9047" priority="313020" operator="equal">
      <formula>3</formula>
    </cfRule>
    <cfRule type="top10" dxfId="9046" priority="313021" rank="10"/>
    <cfRule type="top10" dxfId="9045" priority="313022" rank="10"/>
    <cfRule type="cellIs" dxfId="9044" priority="313023" operator="equal">
      <formula>1</formula>
    </cfRule>
    <cfRule type="top10" dxfId="9043" priority="313024" rank="10"/>
    <cfRule type="cellIs" dxfId="9042" priority="313025" operator="equal">
      <formula>1</formula>
    </cfRule>
    <cfRule type="cellIs" dxfId="9041" priority="313026" operator="equal">
      <formula>4</formula>
    </cfRule>
    <cfRule type="cellIs" dxfId="9040" priority="313027" operator="equal">
      <formula>3</formula>
    </cfRule>
    <cfRule type="top10" dxfId="9039" priority="313028" rank="10"/>
    <cfRule type="top10" dxfId="9038" priority="313029" rank="10"/>
    <cfRule type="cellIs" dxfId="9037" priority="313030" operator="equal">
      <formula>1</formula>
    </cfRule>
    <cfRule type="top10" dxfId="9036" priority="313031" rank="10"/>
    <cfRule type="cellIs" dxfId="9035" priority="313032" operator="equal">
      <formula>1</formula>
    </cfRule>
    <cfRule type="cellIs" dxfId="9034" priority="313033" operator="equal">
      <formula>4</formula>
    </cfRule>
    <cfRule type="cellIs" dxfId="9033" priority="313034" operator="equal">
      <formula>3</formula>
    </cfRule>
    <cfRule type="top10" dxfId="9032" priority="313035" rank="10"/>
    <cfRule type="top10" dxfId="9031" priority="313036" rank="10"/>
    <cfRule type="cellIs" dxfId="9030" priority="313037" operator="equal">
      <formula>4</formula>
    </cfRule>
    <cfRule type="cellIs" dxfId="9029" priority="313038" operator="equal">
      <formula>3</formula>
    </cfRule>
    <cfRule type="cellIs" dxfId="9028" priority="313039" operator="equal">
      <formula>1</formula>
    </cfRule>
    <cfRule type="top10" dxfId="9027" priority="313040" rank="10"/>
    <cfRule type="cellIs" dxfId="9026" priority="313041" operator="equal">
      <formula>1</formula>
    </cfRule>
    <cfRule type="cellIs" dxfId="9025" priority="313042" operator="equal">
      <formula>4</formula>
    </cfRule>
    <cfRule type="cellIs" dxfId="9024" priority="313043" operator="equal">
      <formula>3</formula>
    </cfRule>
    <cfRule type="top10" dxfId="9023" priority="313044" rank="10"/>
    <cfRule type="cellIs" dxfId="9022" priority="313045" operator="equal">
      <formula>1</formula>
    </cfRule>
  </conditionalFormatting>
  <conditionalFormatting sqref="G19">
    <cfRule type="top10" dxfId="9021" priority="2457" rank="10"/>
  </conditionalFormatting>
  <conditionalFormatting sqref="G20">
    <cfRule type="top10" dxfId="9020" priority="1666" rank="10"/>
    <cfRule type="top10" dxfId="9019" priority="1667" rank="10"/>
  </conditionalFormatting>
  <conditionalFormatting sqref="G20:G21">
    <cfRule type="top10" dxfId="9018" priority="279152" rank="10"/>
    <cfRule type="top10" dxfId="9017" priority="279153" rank="10"/>
    <cfRule type="cellIs" dxfId="9016" priority="279154" operator="equal">
      <formula>1</formula>
    </cfRule>
  </conditionalFormatting>
  <conditionalFormatting sqref="G20:G22">
    <cfRule type="top10" dxfId="9015" priority="279156" rank="10"/>
    <cfRule type="cellIs" dxfId="9014" priority="279157" operator="equal">
      <formula>1</formula>
    </cfRule>
    <cfRule type="top10" dxfId="9013" priority="279158" rank="10"/>
    <cfRule type="cellIs" dxfId="9012" priority="279159" operator="equal">
      <formula>1</formula>
    </cfRule>
    <cfRule type="top10" dxfId="9011" priority="279160" rank="10"/>
  </conditionalFormatting>
  <conditionalFormatting sqref="G20:G35 H32:H35 H33:W34 W35">
    <cfRule type="cellIs" dxfId="9010" priority="312818" operator="equal">
      <formula>1</formula>
    </cfRule>
  </conditionalFormatting>
  <conditionalFormatting sqref="G21">
    <cfRule type="top10" dxfId="9009" priority="1588" rank="10"/>
    <cfRule type="top10" dxfId="9008" priority="1589" rank="10"/>
    <cfRule type="cellIs" dxfId="9007" priority="1590" operator="equal">
      <formula>1</formula>
    </cfRule>
    <cfRule type="top10" dxfId="9006" priority="1591" rank="10"/>
    <cfRule type="cellIs" dxfId="9005" priority="1592" operator="equal">
      <formula>1</formula>
    </cfRule>
    <cfRule type="top10" dxfId="9004" priority="1595" rank="10"/>
    <cfRule type="top10" dxfId="9003" priority="1596" rank="10"/>
    <cfRule type="top10" dxfId="9002" priority="1598" rank="10"/>
    <cfRule type="top10" dxfId="9001" priority="1663" rank="10"/>
    <cfRule type="top10" dxfId="9000" priority="1664" rank="10"/>
    <cfRule type="cellIs" dxfId="8999" priority="1665" operator="equal">
      <formula>1</formula>
    </cfRule>
  </conditionalFormatting>
  <conditionalFormatting sqref="G21:G22">
    <cfRule type="top10" dxfId="8998" priority="1559" rank="10"/>
    <cfRule type="cellIs" dxfId="8997" priority="1560" operator="equal">
      <formula>1</formula>
    </cfRule>
    <cfRule type="top10" dxfId="8996" priority="1561" rank="10"/>
    <cfRule type="cellIs" dxfId="8995" priority="1562" operator="equal">
      <formula>1</formula>
    </cfRule>
    <cfRule type="top10" dxfId="8994" priority="1563" rank="10"/>
    <cfRule type="top10" dxfId="8993" priority="1564" rank="10"/>
    <cfRule type="top10" dxfId="8992" priority="1565" rank="10"/>
    <cfRule type="top10" dxfId="8991" priority="1566" rank="10"/>
  </conditionalFormatting>
  <conditionalFormatting sqref="G22">
    <cfRule type="top10" dxfId="8990" priority="1518" rank="10"/>
    <cfRule type="cellIs" dxfId="8989" priority="1519" operator="equal">
      <formula>1</formula>
    </cfRule>
    <cfRule type="top10" dxfId="8988" priority="1520" rank="10"/>
    <cfRule type="cellIs" dxfId="8987" priority="1521" operator="equal">
      <formula>1</formula>
    </cfRule>
    <cfRule type="top10" dxfId="8986" priority="1522" rank="10"/>
    <cfRule type="top10" dxfId="8985" priority="1523" rank="10"/>
    <cfRule type="cellIs" dxfId="8984" priority="1524" operator="equal">
      <formula>1</formula>
    </cfRule>
    <cfRule type="top10" dxfId="8983" priority="1525" rank="10"/>
    <cfRule type="cellIs" dxfId="8982" priority="1526" operator="equal">
      <formula>1</formula>
    </cfRule>
    <cfRule type="top10" dxfId="8981" priority="1533" rank="10"/>
    <cfRule type="cellIs" dxfId="8980" priority="1534" operator="equal">
      <formula>1</formula>
    </cfRule>
    <cfRule type="cellIs" dxfId="8979" priority="1535" operator="equal">
      <formula>4</formula>
    </cfRule>
    <cfRule type="cellIs" dxfId="8978" priority="1536" operator="equal">
      <formula>3</formula>
    </cfRule>
    <cfRule type="top10" dxfId="8977" priority="1655" rank="10"/>
    <cfRule type="cellIs" dxfId="8976" priority="1656" operator="equal">
      <formula>1</formula>
    </cfRule>
    <cfRule type="top10" dxfId="8975" priority="1657" rank="10"/>
    <cfRule type="cellIs" dxfId="8974" priority="1658" operator="equal">
      <formula>1</formula>
    </cfRule>
    <cfRule type="top10" dxfId="8973" priority="1659" rank="10"/>
    <cfRule type="cellIs" dxfId="8972" priority="1660" operator="equal">
      <formula>1</formula>
    </cfRule>
    <cfRule type="top10" dxfId="8971" priority="1661" rank="10"/>
    <cfRule type="cellIs" dxfId="8970" priority="1662" operator="equal">
      <formula>1</formula>
    </cfRule>
  </conditionalFormatting>
  <conditionalFormatting sqref="G25:G35 H32:H35 H33:W34 W35">
    <cfRule type="cellIs" dxfId="8969" priority="312831" operator="equal">
      <formula>1</formula>
    </cfRule>
    <cfRule type="cellIs" dxfId="8968" priority="312833" operator="equal">
      <formula>1</formula>
    </cfRule>
  </conditionalFormatting>
  <conditionalFormatting sqref="G27:G28">
    <cfRule type="top10" dxfId="8967" priority="293023" rank="10"/>
    <cfRule type="top10" dxfId="8966" priority="293024" rank="10"/>
    <cfRule type="cellIs" dxfId="8965" priority="293025" operator="equal">
      <formula>1</formula>
    </cfRule>
  </conditionalFormatting>
  <conditionalFormatting sqref="G28">
    <cfRule type="top10" dxfId="8964" priority="2021" rank="10"/>
    <cfRule type="top10" dxfId="8963" priority="2022" rank="10"/>
    <cfRule type="cellIs" dxfId="8962" priority="2023" operator="equal">
      <formula>1</formula>
    </cfRule>
    <cfRule type="top10" dxfId="8961" priority="2024" rank="10"/>
    <cfRule type="cellIs" dxfId="8960" priority="2025" operator="equal">
      <formula>1</formula>
    </cfRule>
    <cfRule type="top10" dxfId="8959" priority="2028" rank="10"/>
    <cfRule type="top10" dxfId="8958" priority="2029" rank="10"/>
    <cfRule type="top10" dxfId="8957" priority="2031" rank="10"/>
  </conditionalFormatting>
  <conditionalFormatting sqref="G28:G29">
    <cfRule type="top10" dxfId="8956" priority="1988" rank="10"/>
    <cfRule type="cellIs" dxfId="8955" priority="1989" operator="equal">
      <formula>1</formula>
    </cfRule>
    <cfRule type="top10" dxfId="8954" priority="1990" rank="10"/>
    <cfRule type="cellIs" dxfId="8953" priority="1991" operator="equal">
      <formula>1</formula>
    </cfRule>
    <cfRule type="top10" dxfId="8952" priority="1992" rank="10"/>
    <cfRule type="top10" dxfId="8951" priority="1993" rank="10"/>
    <cfRule type="top10" dxfId="8950" priority="1994" rank="10"/>
    <cfRule type="top10" dxfId="8949" priority="1995" rank="10"/>
  </conditionalFormatting>
  <conditionalFormatting sqref="G29:G35 H32:H35 H33:W34 W35">
    <cfRule type="cellIs" dxfId="8948" priority="312706" operator="equal">
      <formula>4</formula>
    </cfRule>
    <cfRule type="cellIs" dxfId="8947" priority="312707" operator="equal">
      <formula>3</formula>
    </cfRule>
    <cfRule type="cellIs" dxfId="8946" priority="312709" operator="equal">
      <formula>1</formula>
    </cfRule>
    <cfRule type="cellIs" dxfId="8945" priority="312710" operator="equal">
      <formula>4</formula>
    </cfRule>
    <cfRule type="cellIs" dxfId="8944" priority="312711" operator="equal">
      <formula>3</formula>
    </cfRule>
    <cfRule type="cellIs" dxfId="8943" priority="312779" operator="equal">
      <formula>1</formula>
    </cfRule>
    <cfRule type="cellIs" dxfId="8942" priority="312781" operator="equal">
      <formula>1</formula>
    </cfRule>
    <cfRule type="cellIs" dxfId="8941" priority="312784" operator="equal">
      <formula>1</formula>
    </cfRule>
    <cfRule type="cellIs" dxfId="8940" priority="312786" operator="equal">
      <formula>1</formula>
    </cfRule>
  </conditionalFormatting>
  <conditionalFormatting sqref="G30:G35 H32:H35 H33:W34 W35">
    <cfRule type="cellIs" dxfId="8939" priority="312632" operator="equal">
      <formula>1</formula>
    </cfRule>
    <cfRule type="cellIs" dxfId="8938" priority="312634" operator="equal">
      <formula>1</formula>
    </cfRule>
    <cfRule type="cellIs" dxfId="8937" priority="312636" operator="equal">
      <formula>1</formula>
    </cfRule>
    <cfRule type="cellIs" dxfId="8936" priority="312638" operator="equal">
      <formula>1</formula>
    </cfRule>
    <cfRule type="cellIs" dxfId="8935" priority="312641" operator="equal">
      <formula>1</formula>
    </cfRule>
    <cfRule type="cellIs" dxfId="8934" priority="312643" operator="equal">
      <formula>1</formula>
    </cfRule>
    <cfRule type="cellIs" dxfId="8933" priority="312687" operator="equal">
      <formula>1</formula>
    </cfRule>
    <cfRule type="cellIs" dxfId="8932" priority="312688" operator="equal">
      <formula>4</formula>
    </cfRule>
    <cfRule type="cellIs" dxfId="8931" priority="312689" operator="equal">
      <formula>3</formula>
    </cfRule>
    <cfRule type="cellIs" dxfId="8930" priority="312731" operator="equal">
      <formula>1</formula>
    </cfRule>
    <cfRule type="cellIs" dxfId="8929" priority="312733" operator="equal">
      <formula>1</formula>
    </cfRule>
    <cfRule type="cellIs" dxfId="8928" priority="312735" operator="equal">
      <formula>1</formula>
    </cfRule>
    <cfRule type="cellIs" dxfId="8927" priority="312737" operator="equal">
      <formula>1</formula>
    </cfRule>
    <cfRule type="cellIs" dxfId="8926" priority="312739" operator="equal">
      <formula>1</formula>
    </cfRule>
    <cfRule type="cellIs" dxfId="8925" priority="312741" operator="equal">
      <formula>1</formula>
    </cfRule>
  </conditionalFormatting>
  <conditionalFormatting sqref="G19:H19">
    <cfRule type="cellIs" dxfId="8924" priority="2033" operator="equal">
      <formula>1</formula>
    </cfRule>
    <cfRule type="cellIs" dxfId="8923" priority="2418" operator="equal">
      <formula>4</formula>
    </cfRule>
    <cfRule type="cellIs" dxfId="8922" priority="2419" operator="equal">
      <formula>3</formula>
    </cfRule>
    <cfRule type="top10" dxfId="8921" priority="2420" rank="10"/>
    <cfRule type="top10" dxfId="8920" priority="2421" rank="10"/>
    <cfRule type="cellIs" dxfId="8919" priority="2422" operator="equal">
      <formula>4</formula>
    </cfRule>
    <cfRule type="cellIs" dxfId="8918" priority="2423" operator="equal">
      <formula>3</formula>
    </cfRule>
    <cfRule type="cellIs" dxfId="8917" priority="2424" operator="equal">
      <formula>1</formula>
    </cfRule>
    <cfRule type="top10" dxfId="8916" priority="2425" rank="10"/>
    <cfRule type="cellIs" dxfId="8915" priority="2426" operator="equal">
      <formula>1</formula>
    </cfRule>
    <cfRule type="cellIs" dxfId="8914" priority="2427" operator="equal">
      <formula>4</formula>
    </cfRule>
    <cfRule type="cellIs" dxfId="8913" priority="2428" operator="equal">
      <formula>3</formula>
    </cfRule>
    <cfRule type="top10" dxfId="8912" priority="2429" rank="10"/>
    <cfRule type="cellIs" dxfId="8911" priority="2430" operator="equal">
      <formula>1</formula>
    </cfRule>
    <cfRule type="top10" dxfId="8910" priority="2431" rank="10"/>
    <cfRule type="cellIs" dxfId="8909" priority="2432" operator="equal">
      <formula>1</formula>
    </cfRule>
    <cfRule type="cellIs" dxfId="8908" priority="2433" operator="equal">
      <formula>4</formula>
    </cfRule>
    <cfRule type="cellIs" dxfId="8907" priority="2434" operator="equal">
      <formula>3</formula>
    </cfRule>
    <cfRule type="top10" dxfId="8906" priority="2435" rank="10"/>
    <cfRule type="cellIs" dxfId="8905" priority="2436" operator="equal">
      <formula>1</formula>
    </cfRule>
    <cfRule type="top10" dxfId="8904" priority="2437" rank="10"/>
    <cfRule type="top10" dxfId="8903" priority="2438" rank="10"/>
    <cfRule type="cellIs" dxfId="8902" priority="2439" operator="equal">
      <formula>1</formula>
    </cfRule>
  </conditionalFormatting>
  <conditionalFormatting sqref="G20:H20">
    <cfRule type="top10" dxfId="8901" priority="1547" rank="10"/>
    <cfRule type="top10" dxfId="8900" priority="1548" rank="10"/>
    <cfRule type="cellIs" dxfId="8899" priority="1549" operator="equal">
      <formula>1</formula>
    </cfRule>
    <cfRule type="top10" dxfId="8898" priority="1550" rank="10"/>
    <cfRule type="cellIs" dxfId="8897" priority="1551" operator="equal">
      <formula>1</formula>
    </cfRule>
    <cfRule type="top10" dxfId="8896" priority="1554" rank="10"/>
    <cfRule type="top10" dxfId="8895" priority="1555" rank="10"/>
    <cfRule type="top10" dxfId="8894" priority="1557" rank="10"/>
    <cfRule type="top10" dxfId="8893" priority="1654" rank="10"/>
  </conditionalFormatting>
  <conditionalFormatting sqref="G21:H21">
    <cfRule type="top10" dxfId="8892" priority="1537" rank="10"/>
    <cfRule type="top10" dxfId="8891" priority="1538" rank="10"/>
    <cfRule type="top10" dxfId="8890" priority="1539" rank="10"/>
    <cfRule type="top10" dxfId="8889" priority="1540" rank="10"/>
    <cfRule type="top10" dxfId="8888" priority="1541" rank="10"/>
    <cfRule type="top10" dxfId="8887" priority="1542" rank="10"/>
    <cfRule type="cellIs" dxfId="8886" priority="1580" operator="equal">
      <formula>4</formula>
    </cfRule>
    <cfRule type="cellIs" dxfId="8885" priority="1581" operator="equal">
      <formula>3</formula>
    </cfRule>
    <cfRule type="cellIs" dxfId="8884" priority="1593" operator="equal">
      <formula>4</formula>
    </cfRule>
    <cfRule type="cellIs" dxfId="8883" priority="1594" operator="equal">
      <formula>3</formula>
    </cfRule>
    <cfRule type="cellIs" dxfId="8882" priority="1597" operator="equal">
      <formula>1</formula>
    </cfRule>
    <cfRule type="top10" dxfId="8881" priority="1637" rank="10"/>
    <cfRule type="cellIs" dxfId="8880" priority="1638" operator="equal">
      <formula>4</formula>
    </cfRule>
    <cfRule type="cellIs" dxfId="8879" priority="1639" operator="equal">
      <formula>3</formula>
    </cfRule>
    <cfRule type="top10" dxfId="8878" priority="1640" rank="10"/>
    <cfRule type="top10" dxfId="8877" priority="1641" rank="10"/>
    <cfRule type="cellIs" dxfId="8876" priority="1642" operator="equal">
      <formula>4</formula>
    </cfRule>
    <cfRule type="cellIs" dxfId="8875" priority="1643" operator="equal">
      <formula>3</formula>
    </cfRule>
    <cfRule type="cellIs" dxfId="8874" priority="1644" operator="equal">
      <formula>1</formula>
    </cfRule>
    <cfRule type="top10" dxfId="8873" priority="1645" rank="10"/>
    <cfRule type="cellIs" dxfId="8872" priority="1646" operator="equal">
      <formula>1</formula>
    </cfRule>
    <cfRule type="top10" dxfId="8871" priority="1649" rank="10"/>
    <cfRule type="cellIs" dxfId="8870" priority="1650" operator="equal">
      <formula>1</formula>
    </cfRule>
    <cfRule type="top10" dxfId="8869" priority="1651" rank="10"/>
    <cfRule type="top10" dxfId="8868" priority="1653" rank="10"/>
  </conditionalFormatting>
  <conditionalFormatting sqref="G22:H22">
    <cfRule type="top10" dxfId="8867" priority="1527" rank="10"/>
    <cfRule type="cellIs" dxfId="8866" priority="1528" operator="equal">
      <formula>1</formula>
    </cfRule>
    <cfRule type="cellIs" dxfId="8865" priority="1529" operator="equal">
      <formula>4</formula>
    </cfRule>
    <cfRule type="cellIs" dxfId="8864" priority="1530" operator="equal">
      <formula>3</formula>
    </cfRule>
    <cfRule type="top10" dxfId="8863" priority="1543" rank="10"/>
    <cfRule type="cellIs" dxfId="8862" priority="1544" operator="equal">
      <formula>1</formula>
    </cfRule>
    <cfRule type="top10" dxfId="8861" priority="1545" rank="10"/>
    <cfRule type="cellIs" dxfId="8860" priority="1546" operator="equal">
      <formula>1</formula>
    </cfRule>
    <cfRule type="top10" dxfId="8859" priority="1630" rank="10"/>
    <cfRule type="cellIs" dxfId="8858" priority="1631" operator="equal">
      <formula>1</formula>
    </cfRule>
    <cfRule type="top10" dxfId="8857" priority="1632" rank="10"/>
    <cfRule type="cellIs" dxfId="8856" priority="1633" operator="equal">
      <formula>1</formula>
    </cfRule>
    <cfRule type="top10" dxfId="8855" priority="1634" rank="10"/>
    <cfRule type="cellIs" dxfId="8854" priority="1635" operator="equal">
      <formula>1</formula>
    </cfRule>
    <cfRule type="top10" dxfId="8853" priority="1636" rank="10"/>
  </conditionalFormatting>
  <conditionalFormatting sqref="G23:H23 F19:F20 F22:F30 F30:W35">
    <cfRule type="top10" dxfId="8852" priority="312983" rank="10"/>
  </conditionalFormatting>
  <conditionalFormatting sqref="G24:H25">
    <cfRule type="cellIs" dxfId="8851" priority="959" operator="equal">
      <formula>1</formula>
    </cfRule>
    <cfRule type="cellIs" dxfId="8850" priority="960" operator="equal">
      <formula>4</formula>
    </cfRule>
    <cfRule type="cellIs" dxfId="8849" priority="961" operator="equal">
      <formula>3</formula>
    </cfRule>
    <cfRule type="top10" dxfId="8848" priority="962" rank="10"/>
    <cfRule type="top10" dxfId="8847" priority="963" rank="10"/>
    <cfRule type="top10" dxfId="8846" priority="964" rank="10"/>
    <cfRule type="top10" dxfId="8845" priority="965" rank="10"/>
    <cfRule type="top10" dxfId="8844" priority="966" rank="10"/>
    <cfRule type="cellIs" dxfId="8843" priority="967" operator="equal">
      <formula>1</formula>
    </cfRule>
    <cfRule type="top10" dxfId="8842" priority="968" rank="10"/>
    <cfRule type="cellIs" dxfId="8841" priority="969" operator="equal">
      <formula>1</formula>
    </cfRule>
    <cfRule type="cellIs" dxfId="8840" priority="970" operator="equal">
      <formula>4</formula>
    </cfRule>
    <cfRule type="cellIs" dxfId="8839" priority="971" operator="equal">
      <formula>3</formula>
    </cfRule>
    <cfRule type="top10" dxfId="8838" priority="972" rank="10"/>
    <cfRule type="top10" dxfId="8837" priority="973" rank="10"/>
    <cfRule type="cellIs" dxfId="8836" priority="974" operator="equal">
      <formula>1</formula>
    </cfRule>
    <cfRule type="top10" dxfId="8835" priority="975" rank="10"/>
    <cfRule type="cellIs" dxfId="8834" priority="976" operator="equal">
      <formula>4</formula>
    </cfRule>
    <cfRule type="cellIs" dxfId="8833" priority="977" operator="equal">
      <formula>3</formula>
    </cfRule>
    <cfRule type="cellIs" dxfId="8832" priority="978" operator="equal">
      <formula>1</formula>
    </cfRule>
  </conditionalFormatting>
  <conditionalFormatting sqref="G25:H26">
    <cfRule type="top10" dxfId="8831" priority="293040" rank="10"/>
  </conditionalFormatting>
  <conditionalFormatting sqref="G27:H28 G23:H23 G19:H21 H33:W34 G30:H35 W35">
    <cfRule type="top10" dxfId="8830" priority="313656" rank="10"/>
  </conditionalFormatting>
  <conditionalFormatting sqref="G28:H28">
    <cfRule type="cellIs" dxfId="8829" priority="2013" operator="equal">
      <formula>4</formula>
    </cfRule>
    <cfRule type="cellIs" dxfId="8828" priority="2014" operator="equal">
      <formula>3</formula>
    </cfRule>
    <cfRule type="cellIs" dxfId="8827" priority="2026" operator="equal">
      <formula>4</formula>
    </cfRule>
    <cfRule type="cellIs" dxfId="8826" priority="2027" operator="equal">
      <formula>3</formula>
    </cfRule>
    <cfRule type="cellIs" dxfId="8825" priority="2030" operator="equal">
      <formula>1</formula>
    </cfRule>
  </conditionalFormatting>
  <conditionalFormatting sqref="G29:H35 H33:W34 W35">
    <cfRule type="cellIs" dxfId="8824" priority="313633" operator="equal">
      <formula>1</formula>
    </cfRule>
    <cfRule type="cellIs" dxfId="8823" priority="313634" operator="equal">
      <formula>4</formula>
    </cfRule>
    <cfRule type="cellIs" dxfId="8822" priority="313635" operator="equal">
      <formula>3</formula>
    </cfRule>
  </conditionalFormatting>
  <conditionalFormatting sqref="G30:H35 H33:W34 W35">
    <cfRule type="cellIs" dxfId="8821" priority="313645" operator="equal">
      <formula>1</formula>
    </cfRule>
    <cfRule type="cellIs" dxfId="8820" priority="313647" operator="equal">
      <formula>1</formula>
    </cfRule>
  </conditionalFormatting>
  <conditionalFormatting sqref="G21:T21">
    <cfRule type="cellIs" dxfId="8819" priority="1647" operator="equal">
      <formula>4</formula>
    </cfRule>
    <cfRule type="cellIs" dxfId="8818" priority="1648" operator="equal">
      <formula>3</formula>
    </cfRule>
    <cfRule type="cellIs" dxfId="8817" priority="1652" operator="equal">
      <formula>1</formula>
    </cfRule>
  </conditionalFormatting>
  <conditionalFormatting sqref="H19">
    <cfRule type="top10" dxfId="8816" priority="2032" rank="10"/>
  </conditionalFormatting>
  <conditionalFormatting sqref="H20:H21">
    <cfRule type="top10" dxfId="8815" priority="279155" rank="10"/>
  </conditionalFormatting>
  <conditionalFormatting sqref="H20:H22">
    <cfRule type="top10" dxfId="8814" priority="279161" rank="10"/>
    <cfRule type="cellIs" dxfId="8813" priority="279162" operator="equal">
      <formula>1</formula>
    </cfRule>
    <cfRule type="top10" dxfId="8812" priority="279163" rank="10"/>
    <cfRule type="cellIs" dxfId="8811" priority="279164" operator="equal">
      <formula>1</formula>
    </cfRule>
    <cfRule type="top10" dxfId="8810" priority="279165" rank="10"/>
  </conditionalFormatting>
  <conditionalFormatting sqref="H20:H35">
    <cfRule type="top10" dxfId="8809" priority="314017" rank="10"/>
  </conditionalFormatting>
  <conditionalFormatting sqref="H21">
    <cfRule type="top10" dxfId="8808" priority="1567" rank="10"/>
    <cfRule type="top10" dxfId="8807" priority="1568" rank="10"/>
    <cfRule type="cellIs" dxfId="8806" priority="1569" operator="equal">
      <formula>4</formula>
    </cfRule>
    <cfRule type="cellIs" dxfId="8805" priority="1570" operator="equal">
      <formula>3</formula>
    </cfRule>
    <cfRule type="cellIs" dxfId="8804" priority="1571" operator="equal">
      <formula>1</formula>
    </cfRule>
    <cfRule type="top10" dxfId="8803" priority="1572" rank="10"/>
    <cfRule type="cellIs" dxfId="8802" priority="1573" operator="equal">
      <formula>1</formula>
    </cfRule>
    <cfRule type="cellIs" dxfId="8801" priority="1574" operator="equal">
      <formula>4</formula>
    </cfRule>
    <cfRule type="cellIs" dxfId="8800" priority="1575" operator="equal">
      <formula>3</formula>
    </cfRule>
    <cfRule type="top10" dxfId="8799" priority="1576" rank="10"/>
    <cfRule type="cellIs" dxfId="8798" priority="1577" operator="equal">
      <formula>1</formula>
    </cfRule>
    <cfRule type="top10" dxfId="8797" priority="1578" rank="10"/>
    <cfRule type="cellIs" dxfId="8796" priority="1579" operator="equal">
      <formula>1</formula>
    </cfRule>
    <cfRule type="top10" dxfId="8795" priority="1582" rank="10"/>
    <cfRule type="cellIs" dxfId="8794" priority="1583" operator="equal">
      <formula>1</formula>
    </cfRule>
    <cfRule type="top10" dxfId="8793" priority="1584" rank="10"/>
    <cfRule type="top10" dxfId="8792" priority="1585" rank="10"/>
    <cfRule type="top10" dxfId="8791" priority="1607" rank="10"/>
    <cfRule type="top10" dxfId="8790" priority="1608" rank="10"/>
    <cfRule type="cellIs" dxfId="8789" priority="1609" operator="equal">
      <formula>4</formula>
    </cfRule>
    <cfRule type="cellIs" dxfId="8788" priority="1610" operator="equal">
      <formula>3</formula>
    </cfRule>
    <cfRule type="cellIs" dxfId="8787" priority="1611" operator="equal">
      <formula>1</formula>
    </cfRule>
    <cfRule type="top10" dxfId="8786" priority="1612" rank="10"/>
    <cfRule type="cellIs" dxfId="8785" priority="1613" operator="equal">
      <formula>1</formula>
    </cfRule>
    <cfRule type="cellIs" dxfId="8784" priority="1614" operator="equal">
      <formula>4</formula>
    </cfRule>
    <cfRule type="cellIs" dxfId="8783" priority="1615" operator="equal">
      <formula>3</formula>
    </cfRule>
    <cfRule type="top10" dxfId="8782" priority="1616" rank="10"/>
    <cfRule type="cellIs" dxfId="8781" priority="1617" operator="equal">
      <formula>1</formula>
    </cfRule>
    <cfRule type="top10" dxfId="8780" priority="1618" rank="10"/>
    <cfRule type="cellIs" dxfId="8779" priority="1619" operator="equal">
      <formula>1</formula>
    </cfRule>
    <cfRule type="top10" dxfId="8778" priority="1620" rank="10"/>
    <cfRule type="top10" dxfId="8777" priority="1621" rank="10"/>
    <cfRule type="top10" dxfId="8776" priority="1622" rank="10"/>
  </conditionalFormatting>
  <conditionalFormatting sqref="H22">
    <cfRule type="top10" dxfId="8775" priority="1500" rank="10"/>
    <cfRule type="top10" dxfId="8774" priority="1511" rank="10"/>
    <cfRule type="cellIs" dxfId="8773" priority="1512" operator="equal">
      <formula>1</formula>
    </cfRule>
    <cfRule type="top10" dxfId="8772" priority="1513" rank="10"/>
    <cfRule type="cellIs" dxfId="8771" priority="1514" operator="equal">
      <formula>1</formula>
    </cfRule>
    <cfRule type="top10" dxfId="8770" priority="1515" rank="10"/>
    <cfRule type="top10" dxfId="8769" priority="1516" rank="10"/>
    <cfRule type="cellIs" dxfId="8768" priority="1517" operator="equal">
      <formula>1</formula>
    </cfRule>
  </conditionalFormatting>
  <conditionalFormatting sqref="H23 F19:G19 F23:G30 F22 F20 G20:G22 F30:W35">
    <cfRule type="top10" dxfId="8767" priority="312987" rank="10"/>
  </conditionalFormatting>
  <conditionalFormatting sqref="H25:H35">
    <cfRule type="top10" dxfId="8766" priority="314012" rank="10"/>
    <cfRule type="cellIs" dxfId="8765" priority="314013" operator="equal">
      <formula>1</formula>
    </cfRule>
    <cfRule type="top10" dxfId="8764" priority="314014" rank="10"/>
    <cfRule type="cellIs" dxfId="8763" priority="314015" operator="equal">
      <formula>1</formula>
    </cfRule>
    <cfRule type="top10" dxfId="8762" priority="314016" rank="10"/>
  </conditionalFormatting>
  <conditionalFormatting sqref="H27:H28">
    <cfRule type="top10" dxfId="8761" priority="293079" rank="10"/>
  </conditionalFormatting>
  <conditionalFormatting sqref="H28">
    <cfRule type="top10" dxfId="8760" priority="2000" rank="10"/>
    <cfRule type="top10" dxfId="8759" priority="2001" rank="10"/>
    <cfRule type="cellIs" dxfId="8758" priority="2002" operator="equal">
      <formula>4</formula>
    </cfRule>
    <cfRule type="cellIs" dxfId="8757" priority="2003" operator="equal">
      <formula>3</formula>
    </cfRule>
    <cfRule type="cellIs" dxfId="8756" priority="2004" operator="equal">
      <formula>1</formula>
    </cfRule>
    <cfRule type="top10" dxfId="8755" priority="2005" rank="10"/>
    <cfRule type="cellIs" dxfId="8754" priority="2006" operator="equal">
      <formula>1</formula>
    </cfRule>
    <cfRule type="cellIs" dxfId="8753" priority="2007" operator="equal">
      <formula>4</formula>
    </cfRule>
    <cfRule type="cellIs" dxfId="8752" priority="2008" operator="equal">
      <formula>3</formula>
    </cfRule>
    <cfRule type="top10" dxfId="8751" priority="2009" rank="10"/>
    <cfRule type="cellIs" dxfId="8750" priority="2010" operator="equal">
      <formula>1</formula>
    </cfRule>
    <cfRule type="top10" dxfId="8749" priority="2011" rank="10"/>
    <cfRule type="cellIs" dxfId="8748" priority="2012" operator="equal">
      <formula>1</formula>
    </cfRule>
    <cfRule type="top10" dxfId="8747" priority="2015" rank="10"/>
    <cfRule type="cellIs" dxfId="8746" priority="2016" operator="equal">
      <formula>1</formula>
    </cfRule>
    <cfRule type="top10" dxfId="8745" priority="2017" rank="10"/>
    <cfRule type="top10" dxfId="8744" priority="2018" rank="10"/>
    <cfRule type="top10" dxfId="8743" priority="2398" rank="10"/>
    <cfRule type="top10" dxfId="8742" priority="2399" rank="10"/>
    <cfRule type="cellIs" dxfId="8741" priority="2400" operator="equal">
      <formula>4</formula>
    </cfRule>
    <cfRule type="cellIs" dxfId="8740" priority="2401" operator="equal">
      <formula>3</formula>
    </cfRule>
    <cfRule type="cellIs" dxfId="8739" priority="2402" operator="equal">
      <formula>1</formula>
    </cfRule>
    <cfRule type="top10" dxfId="8738" priority="2403" rank="10"/>
    <cfRule type="cellIs" dxfId="8737" priority="2404" operator="equal">
      <formula>1</formula>
    </cfRule>
    <cfRule type="cellIs" dxfId="8736" priority="2405" operator="equal">
      <formula>4</formula>
    </cfRule>
    <cfRule type="cellIs" dxfId="8735" priority="2406" operator="equal">
      <formula>3</formula>
    </cfRule>
    <cfRule type="top10" dxfId="8734" priority="2407" rank="10"/>
    <cfRule type="cellIs" dxfId="8733" priority="2408" operator="equal">
      <formula>1</formula>
    </cfRule>
    <cfRule type="top10" dxfId="8732" priority="2409" rank="10"/>
    <cfRule type="cellIs" dxfId="8731" priority="2410" operator="equal">
      <formula>1</formula>
    </cfRule>
    <cfRule type="top10" dxfId="8730" priority="2411" rank="10"/>
    <cfRule type="top10" dxfId="8729" priority="2412" rank="10"/>
    <cfRule type="top10" dxfId="8728" priority="2413" rank="10"/>
  </conditionalFormatting>
  <conditionalFormatting sqref="H29:H35">
    <cfRule type="top10" dxfId="8727" priority="313692" rank="10"/>
    <cfRule type="cellIs" dxfId="8726" priority="313693" operator="equal">
      <formula>1</formula>
    </cfRule>
    <cfRule type="top10" dxfId="8725" priority="313694" rank="10"/>
    <cfRule type="cellIs" dxfId="8724" priority="313695" operator="equal">
      <formula>1</formula>
    </cfRule>
    <cfRule type="top10" dxfId="8723" priority="313696" rank="10"/>
    <cfRule type="top10" dxfId="8722" priority="313697" rank="10"/>
    <cfRule type="cellIs" dxfId="8721" priority="313698" operator="equal">
      <formula>1</formula>
    </cfRule>
  </conditionalFormatting>
  <conditionalFormatting sqref="H30:H35">
    <cfRule type="top10" dxfId="8720" priority="313164" rank="10"/>
    <cfRule type="top10" dxfId="8719" priority="313165" rank="10"/>
    <cfRule type="cellIs" dxfId="8718" priority="313166" operator="equal">
      <formula>1</formula>
    </cfRule>
    <cfRule type="top10" dxfId="8717" priority="313167" rank="10"/>
    <cfRule type="cellIs" dxfId="8716" priority="313168" operator="equal">
      <formula>1</formula>
    </cfRule>
    <cfRule type="top10" dxfId="8715" priority="313169" rank="10"/>
    <cfRule type="top10" dxfId="8714" priority="313170" rank="10"/>
    <cfRule type="top10" dxfId="8713" priority="313171" rank="10"/>
    <cfRule type="cellIs" dxfId="8712" priority="313172" operator="equal">
      <formula>1</formula>
    </cfRule>
    <cfRule type="top10" dxfId="8711" priority="313173" rank="10"/>
    <cfRule type="top10" dxfId="8710" priority="313174" rank="10"/>
    <cfRule type="cellIs" dxfId="8709" priority="313175" operator="equal">
      <formula>1</formula>
    </cfRule>
    <cfRule type="top10" dxfId="8708" priority="313662" rank="10"/>
    <cfRule type="top10" dxfId="8707" priority="313663" rank="10"/>
    <cfRule type="cellIs" dxfId="8706" priority="313664" operator="equal">
      <formula>4</formula>
    </cfRule>
    <cfRule type="cellIs" dxfId="8705" priority="313665" operator="equal">
      <formula>3</formula>
    </cfRule>
    <cfRule type="cellIs" dxfId="8704" priority="313666" operator="equal">
      <formula>1</formula>
    </cfRule>
    <cfRule type="top10" dxfId="8703" priority="313667" rank="10"/>
    <cfRule type="cellIs" dxfId="8702" priority="313668" operator="equal">
      <formula>1</formula>
    </cfRule>
    <cfRule type="top10" dxfId="8701" priority="313669" rank="10"/>
    <cfRule type="cellIs" dxfId="8700" priority="313670" operator="equal">
      <formula>1</formula>
    </cfRule>
  </conditionalFormatting>
  <conditionalFormatting sqref="H31:H35">
    <cfRule type="top10" dxfId="8699" priority="313046" rank="10"/>
    <cfRule type="top10" dxfId="8698" priority="313047" rank="10"/>
    <cfRule type="cellIs" dxfId="8697" priority="313048" operator="equal">
      <formula>1</formula>
    </cfRule>
    <cfRule type="top10" dxfId="8696" priority="313049" rank="10"/>
    <cfRule type="cellIs" dxfId="8695" priority="313050" operator="equal">
      <formula>1</formula>
    </cfRule>
    <cfRule type="top10" dxfId="8694" priority="313051" rank="10"/>
    <cfRule type="cellIs" dxfId="8693" priority="313052" operator="equal">
      <formula>1</formula>
    </cfRule>
    <cfRule type="top10" dxfId="8692" priority="313053" rank="10"/>
    <cfRule type="cellIs" dxfId="8691" priority="313054" operator="equal">
      <formula>1</formula>
    </cfRule>
    <cfRule type="top10" dxfId="8690" priority="313055" rank="10"/>
    <cfRule type="top10" dxfId="8689" priority="313056" rank="10"/>
    <cfRule type="cellIs" dxfId="8688" priority="313057" operator="equal">
      <formula>1</formula>
    </cfRule>
    <cfRule type="top10" dxfId="8687" priority="313058" rank="10"/>
    <cfRule type="cellIs" dxfId="8686" priority="313059" operator="equal">
      <formula>1</formula>
    </cfRule>
    <cfRule type="top10" dxfId="8685" priority="313060" rank="10"/>
    <cfRule type="cellIs" dxfId="8684" priority="313061" operator="equal">
      <formula>1</formula>
    </cfRule>
    <cfRule type="cellIs" dxfId="8683" priority="313062" operator="equal">
      <formula>4</formula>
    </cfRule>
    <cfRule type="cellIs" dxfId="8682" priority="313063" operator="equal">
      <formula>3</formula>
    </cfRule>
    <cfRule type="top10" dxfId="8681" priority="313064" rank="10"/>
    <cfRule type="cellIs" dxfId="8680" priority="313065" operator="equal">
      <formula>4</formula>
    </cfRule>
    <cfRule type="cellIs" dxfId="8679" priority="313066" operator="equal">
      <formula>3</formula>
    </cfRule>
    <cfRule type="top10" dxfId="8678" priority="313067" rank="10"/>
    <cfRule type="cellIs" dxfId="8677" priority="313068" operator="equal">
      <formula>1</formula>
    </cfRule>
    <cfRule type="cellIs" dxfId="8676" priority="313069" operator="equal">
      <formula>4</formula>
    </cfRule>
    <cfRule type="cellIs" dxfId="8675" priority="313070" operator="equal">
      <formula>3</formula>
    </cfRule>
    <cfRule type="top10" dxfId="8674" priority="313071" rank="10"/>
    <cfRule type="cellIs" dxfId="8673" priority="313072" operator="equal">
      <formula>1</formula>
    </cfRule>
    <cfRule type="top10" dxfId="8672" priority="313073" rank="10"/>
    <cfRule type="cellIs" dxfId="8671" priority="313074" operator="equal">
      <formula>1</formula>
    </cfRule>
    <cfRule type="top10" dxfId="8670" priority="313075" rank="10"/>
    <cfRule type="cellIs" dxfId="8669" priority="313076" operator="equal">
      <formula>1</formula>
    </cfRule>
    <cfRule type="top10" dxfId="8668" priority="313077" rank="10"/>
    <cfRule type="cellIs" dxfId="8667" priority="313078" operator="equal">
      <formula>1</formula>
    </cfRule>
    <cfRule type="top10" dxfId="8666" priority="313079" rank="10"/>
    <cfRule type="cellIs" dxfId="8665" priority="313080" operator="equal">
      <formula>1</formula>
    </cfRule>
    <cfRule type="top10" dxfId="8664" priority="313081" rank="10"/>
    <cfRule type="cellIs" dxfId="8663" priority="313082" operator="equal">
      <formula>1</formula>
    </cfRule>
    <cfRule type="top10" dxfId="8662" priority="313083" rank="10"/>
    <cfRule type="cellIs" dxfId="8661" priority="313084" operator="equal">
      <formula>1</formula>
    </cfRule>
    <cfRule type="top10" dxfId="8660" priority="313085" rank="10"/>
    <cfRule type="cellIs" dxfId="8659" priority="313086" operator="equal">
      <formula>1</formula>
    </cfRule>
    <cfRule type="top10" dxfId="8658" priority="313087" rank="10"/>
    <cfRule type="top10" dxfId="8657" priority="313088" rank="10"/>
    <cfRule type="cellIs" dxfId="8656" priority="313089" operator="equal">
      <formula>1</formula>
    </cfRule>
    <cfRule type="top10" dxfId="8655" priority="313090" rank="10"/>
    <cfRule type="cellIs" dxfId="8654" priority="313091" operator="equal">
      <formula>1</formula>
    </cfRule>
    <cfRule type="top10" dxfId="8653" priority="313092" rank="10"/>
    <cfRule type="cellIs" dxfId="8652" priority="313093" operator="equal">
      <formula>1</formula>
    </cfRule>
    <cfRule type="top10" dxfId="8651" priority="313094" rank="10"/>
    <cfRule type="top10" dxfId="8650" priority="313095" rank="10"/>
    <cfRule type="top10" dxfId="8649" priority="313096" rank="10"/>
    <cfRule type="cellIs" dxfId="8648" priority="313097" operator="equal">
      <formula>1</formula>
    </cfRule>
    <cfRule type="top10" dxfId="8647" priority="313098" rank="10"/>
    <cfRule type="cellIs" dxfId="8646" priority="313099" operator="equal">
      <formula>1</formula>
    </cfRule>
    <cfRule type="top10" dxfId="8645" priority="313100" rank="10"/>
  </conditionalFormatting>
  <conditionalFormatting sqref="H32:H35 G19:G35 H33:W34 W35">
    <cfRule type="top10" dxfId="8644" priority="312814" rank="10"/>
  </conditionalFormatting>
  <conditionalFormatting sqref="H32:H35 G20:G35 H33:W34 W35">
    <cfRule type="top10" dxfId="8643" priority="312819" rank="10"/>
    <cfRule type="top10" dxfId="8642" priority="312820" rank="10"/>
  </conditionalFormatting>
  <conditionalFormatting sqref="H32:H35 G25:G35 H33:W34 W35">
    <cfRule type="top10" dxfId="8641" priority="312830" rank="10"/>
    <cfRule type="top10" dxfId="8640" priority="312832" rank="10"/>
    <cfRule type="top10" dxfId="8639" priority="312834" rank="10"/>
  </conditionalFormatting>
  <conditionalFormatting sqref="H32:H35 G29:G35 H33:W34 W35">
    <cfRule type="top10" dxfId="8638" priority="312708" rank="10"/>
    <cfRule type="top10" dxfId="8637" priority="312778" rank="10"/>
    <cfRule type="top10" dxfId="8636" priority="312780" rank="10"/>
    <cfRule type="top10" dxfId="8635" priority="312782" rank="10"/>
    <cfRule type="top10" dxfId="8634" priority="312783" rank="10"/>
    <cfRule type="top10" dxfId="8633" priority="312785" rank="10"/>
  </conditionalFormatting>
  <conditionalFormatting sqref="H32:H35 G30:G35 H33:W34 W35">
    <cfRule type="top10" dxfId="8632" priority="312630" rank="10"/>
    <cfRule type="top10" dxfId="8631" priority="312631" rank="10"/>
    <cfRule type="top10" dxfId="8630" priority="312633" rank="10"/>
    <cfRule type="top10" dxfId="8629" priority="312635" rank="10"/>
    <cfRule type="top10" dxfId="8628" priority="312637" rank="10"/>
    <cfRule type="top10" dxfId="8627" priority="312639" rank="10"/>
    <cfRule type="top10" dxfId="8626" priority="312640" rank="10"/>
    <cfRule type="top10" dxfId="8625" priority="312642" rank="10"/>
    <cfRule type="top10" dxfId="8624" priority="312686" rank="10"/>
    <cfRule type="top10" dxfId="8623" priority="312690" rank="10"/>
    <cfRule type="top10" dxfId="8622" priority="312730" rank="10"/>
    <cfRule type="top10" dxfId="8621" priority="312732" rank="10"/>
    <cfRule type="top10" dxfId="8620" priority="312734" rank="10"/>
    <cfRule type="top10" dxfId="8619" priority="312736" rank="10"/>
    <cfRule type="top10" dxfId="8618" priority="312738" rank="10"/>
    <cfRule type="top10" dxfId="8617" priority="312740" rank="10"/>
  </conditionalFormatting>
  <conditionalFormatting sqref="H30:I35">
    <cfRule type="top10" dxfId="8616" priority="313671" rank="10"/>
    <cfRule type="top10" dxfId="8615" priority="313672" rank="10"/>
  </conditionalFormatting>
  <conditionalFormatting sqref="H33:W34 G29:H35 W35">
    <cfRule type="top10" dxfId="8614" priority="313632" rank="10"/>
  </conditionalFormatting>
  <conditionalFormatting sqref="H33:W34 G30:H35 W35">
    <cfRule type="top10" dxfId="8613" priority="313644" rank="10"/>
    <cfRule type="top10" dxfId="8612" priority="313646" rank="10"/>
  </conditionalFormatting>
  <conditionalFormatting sqref="I30:I35 I25:L29 M29:M35">
    <cfRule type="top10" dxfId="8611" priority="313675" rank="10"/>
    <cfRule type="top10" dxfId="8610" priority="313676" rank="10"/>
    <cfRule type="top10" dxfId="8609" priority="313677" rank="10"/>
  </conditionalFormatting>
  <conditionalFormatting sqref="I30:I35">
    <cfRule type="top10" dxfId="8608" priority="313673" rank="10"/>
    <cfRule type="top10" dxfId="8607" priority="313674" rank="10"/>
  </conditionalFormatting>
  <conditionalFormatting sqref="I23:K24">
    <cfRule type="cellIs" dxfId="8606" priority="982" operator="equal">
      <formula>1</formula>
    </cfRule>
    <cfRule type="cellIs" dxfId="8605" priority="983" operator="equal">
      <formula>4</formula>
    </cfRule>
    <cfRule type="cellIs" dxfId="8604" priority="984" operator="equal">
      <formula>3</formula>
    </cfRule>
    <cfRule type="top10" dxfId="8603" priority="985" rank="10"/>
    <cfRule type="top10" dxfId="8602" priority="986" rank="10"/>
    <cfRule type="top10" dxfId="8601" priority="987" rank="10"/>
    <cfRule type="top10" dxfId="8600" priority="988" rank="10"/>
    <cfRule type="top10" dxfId="8599" priority="989" rank="10"/>
    <cfRule type="cellIs" dxfId="8598" priority="990" operator="equal">
      <formula>1</formula>
    </cfRule>
    <cfRule type="top10" dxfId="8597" priority="991" rank="10"/>
    <cfRule type="cellIs" dxfId="8596" priority="992" operator="equal">
      <formula>1</formula>
    </cfRule>
    <cfRule type="cellIs" dxfId="8595" priority="993" operator="equal">
      <formula>4</formula>
    </cfRule>
    <cfRule type="cellIs" dxfId="8594" priority="994" operator="equal">
      <formula>3</formula>
    </cfRule>
    <cfRule type="top10" dxfId="8593" priority="995" rank="10"/>
    <cfRule type="top10" dxfId="8592" priority="996" rank="10"/>
    <cfRule type="cellIs" dxfId="8591" priority="997" operator="equal">
      <formula>1</formula>
    </cfRule>
    <cfRule type="top10" dxfId="8590" priority="998" rank="10"/>
    <cfRule type="cellIs" dxfId="8589" priority="999" operator="equal">
      <formula>4</formula>
    </cfRule>
    <cfRule type="cellIs" dxfId="8588" priority="1000" operator="equal">
      <formula>3</formula>
    </cfRule>
    <cfRule type="cellIs" dxfId="8587" priority="1001" operator="equal">
      <formula>1</formula>
    </cfRule>
  </conditionalFormatting>
  <conditionalFormatting sqref="I30:K35 L35:M35">
    <cfRule type="top10" dxfId="8586" priority="313176" rank="10"/>
    <cfRule type="top10" dxfId="8585" priority="313177" rank="10"/>
    <cfRule type="cellIs" dxfId="8584" priority="313178" operator="equal">
      <formula>4</formula>
    </cfRule>
    <cfRule type="cellIs" dxfId="8583" priority="313179" operator="equal">
      <formula>3</formula>
    </cfRule>
    <cfRule type="cellIs" dxfId="8582" priority="313180" operator="equal">
      <formula>1</formula>
    </cfRule>
    <cfRule type="top10" dxfId="8581" priority="313181" rank="10"/>
    <cfRule type="cellIs" dxfId="8580" priority="313182" operator="equal">
      <formula>1</formula>
    </cfRule>
    <cfRule type="cellIs" dxfId="8579" priority="313183" operator="equal">
      <formula>4</formula>
    </cfRule>
    <cfRule type="cellIs" dxfId="8578" priority="313184" operator="equal">
      <formula>3</formula>
    </cfRule>
    <cfRule type="top10" dxfId="8577" priority="313185" rank="10"/>
    <cfRule type="cellIs" dxfId="8576" priority="313186" operator="equal">
      <formula>1</formula>
    </cfRule>
    <cfRule type="top10" dxfId="8575" priority="313187" rank="10"/>
    <cfRule type="cellIs" dxfId="8574" priority="313188" operator="equal">
      <formula>1</formula>
    </cfRule>
    <cfRule type="top10" dxfId="8573" priority="313189" rank="10"/>
    <cfRule type="cellIs" dxfId="8572" priority="313190" operator="equal">
      <formula>1</formula>
    </cfRule>
    <cfRule type="top10" dxfId="8571" priority="313191" rank="10"/>
    <cfRule type="top10" dxfId="8570" priority="313192" rank="10"/>
    <cfRule type="cellIs" dxfId="8569" priority="313193" operator="equal">
      <formula>1</formula>
    </cfRule>
    <cfRule type="top10" dxfId="8568" priority="313194" rank="10"/>
  </conditionalFormatting>
  <conditionalFormatting sqref="I22:L24">
    <cfRule type="cellIs" dxfId="8567" priority="2461" operator="equal">
      <formula>1</formula>
    </cfRule>
  </conditionalFormatting>
  <conditionalFormatting sqref="I29:U29">
    <cfRule type="cellIs" dxfId="8566" priority="1100" operator="equal">
      <formula>4</formula>
    </cfRule>
    <cfRule type="cellIs" dxfId="8565" priority="1101" operator="equal">
      <formula>3</formula>
    </cfRule>
  </conditionalFormatting>
  <conditionalFormatting sqref="J30:J35">
    <cfRule type="top10" dxfId="8564" priority="313214" rank="10"/>
    <cfRule type="top10" dxfId="8563" priority="313215" rank="10"/>
    <cfRule type="top10" dxfId="8562" priority="313216" rank="10"/>
  </conditionalFormatting>
  <conditionalFormatting sqref="J29:M29 J30:K35 I29:I35 M30:M35 I35:M35">
    <cfRule type="top10" dxfId="8561" priority="313217" rank="10"/>
    <cfRule type="top10" dxfId="8560" priority="313218" rank="10"/>
    <cfRule type="top10" dxfId="8559" priority="313219" rank="10"/>
  </conditionalFormatting>
  <conditionalFormatting sqref="J29:M29 M30:M35 H29:I35">
    <cfRule type="top10" dxfId="8558" priority="313699" rank="10"/>
  </conditionalFormatting>
  <conditionalFormatting sqref="J29:U29">
    <cfRule type="cellIs" dxfId="8557" priority="1102" operator="equal">
      <formula>1</formula>
    </cfRule>
  </conditionalFormatting>
  <conditionalFormatting sqref="K30:K35 L35:M35">
    <cfRule type="top10" dxfId="8556" priority="313567" rank="10"/>
    <cfRule type="top10" dxfId="8555" priority="313568" rank="10"/>
    <cfRule type="cellIs" dxfId="8554" priority="313569" operator="equal">
      <formula>1</formula>
    </cfRule>
    <cfRule type="top10" dxfId="8553" priority="313570" rank="10"/>
    <cfRule type="cellIs" dxfId="8552" priority="313571" operator="equal">
      <formula>1</formula>
    </cfRule>
    <cfRule type="cellIs" dxfId="8551" priority="313572" operator="equal">
      <formula>4</formula>
    </cfRule>
    <cfRule type="cellIs" dxfId="8550" priority="313573" operator="equal">
      <formula>3</formula>
    </cfRule>
    <cfRule type="top10" dxfId="8549" priority="313574" rank="10"/>
    <cfRule type="top10" dxfId="8548" priority="313575" rank="10"/>
    <cfRule type="cellIs" dxfId="8547" priority="313576" operator="equal">
      <formula>1</formula>
    </cfRule>
    <cfRule type="top10" dxfId="8546" priority="313577" rank="10"/>
    <cfRule type="top10" dxfId="8545" priority="313578" rank="10"/>
    <cfRule type="cellIs" dxfId="8544" priority="313579" operator="equal">
      <formula>1</formula>
    </cfRule>
    <cfRule type="top10" dxfId="8543" priority="313580" rank="10"/>
    <cfRule type="cellIs" dxfId="8542" priority="313581" operator="equal">
      <formula>1</formula>
    </cfRule>
    <cfRule type="top10" dxfId="8541" priority="313582" rank="10"/>
    <cfRule type="top10" dxfId="8540" priority="313583" rank="10"/>
    <cfRule type="cellIs" dxfId="8539" priority="313584" operator="equal">
      <formula>1</formula>
    </cfRule>
    <cfRule type="cellIs" dxfId="8538" priority="313585" operator="equal">
      <formula>4</formula>
    </cfRule>
    <cfRule type="cellIs" dxfId="8537" priority="313586" operator="equal">
      <formula>3</formula>
    </cfRule>
    <cfRule type="top10" dxfId="8536" priority="313587" rank="10"/>
    <cfRule type="cellIs" dxfId="8535" priority="313588" operator="equal">
      <formula>1</formula>
    </cfRule>
    <cfRule type="cellIs" dxfId="8534" priority="313589" operator="equal">
      <formula>4</formula>
    </cfRule>
    <cfRule type="cellIs" dxfId="8533" priority="313590" operator="equal">
      <formula>3</formula>
    </cfRule>
    <cfRule type="top10" dxfId="8532" priority="313591" rank="10"/>
    <cfRule type="cellIs" dxfId="8531" priority="313592" operator="equal">
      <formula>1</formula>
    </cfRule>
    <cfRule type="cellIs" dxfId="8530" priority="313593" operator="equal">
      <formula>4</formula>
    </cfRule>
    <cfRule type="cellIs" dxfId="8529" priority="313594" operator="equal">
      <formula>3</formula>
    </cfRule>
    <cfRule type="top10" dxfId="8528" priority="313595" rank="10"/>
    <cfRule type="cellIs" dxfId="8527" priority="313596" operator="equal">
      <formula>1</formula>
    </cfRule>
    <cfRule type="top10" dxfId="8526" priority="313597" rank="10"/>
    <cfRule type="cellIs" dxfId="8525" priority="313598" operator="equal">
      <formula>1</formula>
    </cfRule>
  </conditionalFormatting>
  <conditionalFormatting sqref="L20">
    <cfRule type="cellIs" dxfId="8524" priority="1426" operator="equal">
      <formula>1</formula>
    </cfRule>
    <cfRule type="cellIs" dxfId="8523" priority="1427" operator="equal">
      <formula>4</formula>
    </cfRule>
    <cfRule type="cellIs" dxfId="8522" priority="1428" operator="equal">
      <formula>3</formula>
    </cfRule>
    <cfRule type="top10" dxfId="8521" priority="1429" rank="10"/>
    <cfRule type="top10" dxfId="8520" priority="1430" rank="10"/>
    <cfRule type="top10" dxfId="8519" priority="1431" rank="10"/>
    <cfRule type="top10" dxfId="8518" priority="1432" rank="10"/>
    <cfRule type="top10" dxfId="8517" priority="1433" rank="10"/>
    <cfRule type="cellIs" dxfId="8516" priority="1434" operator="equal">
      <formula>1</formula>
    </cfRule>
    <cfRule type="top10" dxfId="8515" priority="1435" rank="10"/>
    <cfRule type="cellIs" dxfId="8514" priority="1436" operator="equal">
      <formula>1</formula>
    </cfRule>
    <cfRule type="cellIs" dxfId="8513" priority="1437" operator="equal">
      <formula>4</formula>
    </cfRule>
    <cfRule type="cellIs" dxfId="8512" priority="1438" operator="equal">
      <formula>3</formula>
    </cfRule>
    <cfRule type="top10" dxfId="8511" priority="1439" rank="10"/>
    <cfRule type="top10" dxfId="8510" priority="1440" rank="10"/>
    <cfRule type="cellIs" dxfId="8509" priority="1441" operator="equal">
      <formula>1</formula>
    </cfRule>
    <cfRule type="top10" dxfId="8508" priority="1442" rank="10"/>
    <cfRule type="cellIs" dxfId="8507" priority="1443" operator="equal">
      <formula>4</formula>
    </cfRule>
    <cfRule type="cellIs" dxfId="8506" priority="1444" operator="equal">
      <formula>3</formula>
    </cfRule>
    <cfRule type="cellIs" dxfId="8505" priority="1445" operator="equal">
      <formula>1</formula>
    </cfRule>
  </conditionalFormatting>
  <conditionalFormatting sqref="L27">
    <cfRule type="cellIs" dxfId="8504" priority="1446" operator="equal">
      <formula>1</formula>
    </cfRule>
    <cfRule type="cellIs" dxfId="8503" priority="1447" operator="equal">
      <formula>4</formula>
    </cfRule>
    <cfRule type="cellIs" dxfId="8502" priority="1448" operator="equal">
      <formula>3</formula>
    </cfRule>
  </conditionalFormatting>
  <conditionalFormatting sqref="L35:M35 K30:K35">
    <cfRule type="cellIs" dxfId="8501" priority="313566" operator="equal">
      <formula>1</formula>
    </cfRule>
  </conditionalFormatting>
  <conditionalFormatting sqref="L30:N35">
    <cfRule type="top10" dxfId="8500" priority="313536" rank="10"/>
    <cfRule type="top10" dxfId="8499" priority="313537" rank="10"/>
    <cfRule type="top10" dxfId="8498" priority="313538" rank="10"/>
    <cfRule type="top10" dxfId="8497" priority="313539" rank="10"/>
    <cfRule type="top10" dxfId="8496" priority="313540" rank="10"/>
    <cfRule type="top10" dxfId="8495" priority="313541" rank="10"/>
  </conditionalFormatting>
  <conditionalFormatting sqref="M25:N25">
    <cfRule type="top10" dxfId="8494" priority="391" rank="10"/>
    <cfRule type="cellIs" dxfId="8493" priority="392" operator="equal">
      <formula>1</formula>
    </cfRule>
    <cfRule type="top10" dxfId="8492" priority="393" rank="10"/>
    <cfRule type="cellIs" dxfId="8491" priority="394" operator="equal">
      <formula>1</formula>
    </cfRule>
    <cfRule type="top10" dxfId="8490" priority="395" rank="10"/>
    <cfRule type="cellIs" dxfId="8489" priority="396" operator="equal">
      <formula>1</formula>
    </cfRule>
    <cfRule type="top10" dxfId="8488" priority="397" rank="10"/>
    <cfRule type="top10" dxfId="8487" priority="398" rank="10"/>
    <cfRule type="top10" dxfId="8486" priority="399" rank="10"/>
    <cfRule type="top10" dxfId="8485" priority="400" rank="10"/>
    <cfRule type="cellIs" dxfId="8484" priority="401" operator="equal">
      <formula>1</formula>
    </cfRule>
    <cfRule type="top10" dxfId="8483" priority="402" rank="10"/>
    <cfRule type="cellIs" dxfId="8482" priority="403" operator="equal">
      <formula>1</formula>
    </cfRule>
    <cfRule type="top10" dxfId="8481" priority="404" rank="10"/>
    <cfRule type="top10" dxfId="8480" priority="405" rank="10"/>
    <cfRule type="cellIs" dxfId="8479" priority="406" operator="equal">
      <formula>1</formula>
    </cfRule>
    <cfRule type="top10" dxfId="8478" priority="407" rank="10"/>
    <cfRule type="cellIs" dxfId="8477" priority="408" operator="equal">
      <formula>1</formula>
    </cfRule>
    <cfRule type="top10" dxfId="8476" priority="409" rank="10"/>
    <cfRule type="cellIs" dxfId="8475" priority="410" operator="equal">
      <formula>1</formula>
    </cfRule>
    <cfRule type="top10" dxfId="8474" priority="411" rank="10"/>
    <cfRule type="cellIs" dxfId="8473" priority="412" operator="equal">
      <formula>1</formula>
    </cfRule>
    <cfRule type="top10" dxfId="8472" priority="413" rank="10"/>
    <cfRule type="cellIs" dxfId="8471" priority="414" operator="equal">
      <formula>1</formula>
    </cfRule>
    <cfRule type="top10" dxfId="8470" priority="415" rank="10"/>
    <cfRule type="cellIs" dxfId="8469" priority="416" operator="equal">
      <formula>1</formula>
    </cfRule>
    <cfRule type="top10" dxfId="8468" priority="417" rank="10"/>
    <cfRule type="cellIs" dxfId="8467" priority="418" operator="equal">
      <formula>1</formula>
    </cfRule>
    <cfRule type="top10" dxfId="8466" priority="419" rank="10"/>
    <cfRule type="cellIs" dxfId="8465" priority="420" operator="equal">
      <formula>1</formula>
    </cfRule>
    <cfRule type="cellIs" dxfId="8464" priority="421" operator="equal">
      <formula>4</formula>
    </cfRule>
    <cfRule type="cellIs" dxfId="8463" priority="422" operator="equal">
      <formula>3</formula>
    </cfRule>
    <cfRule type="top10" dxfId="8462" priority="423" rank="10"/>
    <cfRule type="cellIs" dxfId="8461" priority="424" operator="equal">
      <formula>1</formula>
    </cfRule>
    <cfRule type="cellIs" dxfId="8460" priority="425" operator="equal">
      <formula>4</formula>
    </cfRule>
    <cfRule type="cellIs" dxfId="8459" priority="426" operator="equal">
      <formula>3</formula>
    </cfRule>
    <cfRule type="top10" dxfId="8458" priority="427" rank="10"/>
    <cfRule type="cellIs" dxfId="8457" priority="428" operator="equal">
      <formula>1</formula>
    </cfRule>
    <cfRule type="cellIs" dxfId="8456" priority="429" operator="equal">
      <formula>4</formula>
    </cfRule>
    <cfRule type="cellIs" dxfId="8455" priority="430" operator="equal">
      <formula>3</formula>
    </cfRule>
    <cfRule type="top10" dxfId="8454" priority="431" rank="10"/>
    <cfRule type="top10" dxfId="8453" priority="432" rank="10"/>
    <cfRule type="top10" dxfId="8452" priority="433" rank="10"/>
    <cfRule type="cellIs" dxfId="8451" priority="434" operator="equal">
      <formula>1</formula>
    </cfRule>
    <cfRule type="top10" dxfId="8450" priority="435" rank="10"/>
    <cfRule type="cellIs" dxfId="8449" priority="436" operator="equal">
      <formula>1</formula>
    </cfRule>
    <cfRule type="top10" dxfId="8448" priority="437" rank="10"/>
    <cfRule type="cellIs" dxfId="8447" priority="438" operator="equal">
      <formula>1</formula>
    </cfRule>
    <cfRule type="top10" dxfId="8446" priority="439" rank="10"/>
    <cfRule type="cellIs" dxfId="8445" priority="440" operator="equal">
      <formula>1</formula>
    </cfRule>
    <cfRule type="top10" dxfId="8444" priority="441" rank="10"/>
    <cfRule type="top10" dxfId="8443" priority="442" rank="10"/>
    <cfRule type="cellIs" dxfId="8442" priority="443" operator="equal">
      <formula>1</formula>
    </cfRule>
    <cfRule type="top10" dxfId="8441" priority="444" rank="10"/>
    <cfRule type="cellIs" dxfId="8440" priority="445" operator="equal">
      <formula>1</formula>
    </cfRule>
    <cfRule type="top10" dxfId="8439" priority="446" rank="10"/>
    <cfRule type="top10" dxfId="8438" priority="447" rank="10"/>
    <cfRule type="cellIs" dxfId="8437" priority="448" operator="equal">
      <formula>1</formula>
    </cfRule>
    <cfRule type="top10" dxfId="8436" priority="449" rank="10"/>
    <cfRule type="cellIs" dxfId="8435" priority="450" operator="equal">
      <formula>1</formula>
    </cfRule>
    <cfRule type="top10" dxfId="8434" priority="451" rank="10"/>
    <cfRule type="top10" dxfId="8433" priority="452" rank="10"/>
    <cfRule type="top10" dxfId="8432" priority="453" rank="10"/>
    <cfRule type="cellIs" dxfId="8431" priority="454" operator="equal">
      <formula>1</formula>
    </cfRule>
    <cfRule type="top10" dxfId="8430" priority="455" rank="10"/>
    <cfRule type="cellIs" dxfId="8429" priority="456" operator="equal">
      <formula>1</formula>
    </cfRule>
    <cfRule type="top10" dxfId="8428" priority="457" rank="10"/>
    <cfRule type="top10" dxfId="8427" priority="458" rank="10"/>
    <cfRule type="cellIs" dxfId="8426" priority="459" operator="equal">
      <formula>1</formula>
    </cfRule>
    <cfRule type="top10" dxfId="8425" priority="460" rank="10"/>
    <cfRule type="top10" dxfId="8424" priority="461" rank="10"/>
    <cfRule type="cellIs" dxfId="8423" priority="462" operator="equal">
      <formula>4</formula>
    </cfRule>
    <cfRule type="cellIs" dxfId="8422" priority="463" operator="equal">
      <formula>3</formula>
    </cfRule>
    <cfRule type="cellIs" dxfId="8421" priority="464" operator="equal">
      <formula>1</formula>
    </cfRule>
    <cfRule type="top10" dxfId="8420" priority="465" rank="10"/>
    <cfRule type="cellIs" dxfId="8419" priority="466" operator="equal">
      <formula>1</formula>
    </cfRule>
    <cfRule type="top10" dxfId="8418" priority="467" rank="10"/>
    <cfRule type="cellIs" dxfId="8417" priority="468" operator="equal">
      <formula>1</formula>
    </cfRule>
    <cfRule type="top10" dxfId="8416" priority="469" rank="10"/>
    <cfRule type="top10" dxfId="8415" priority="470" rank="10"/>
    <cfRule type="top10" dxfId="8414" priority="471" rank="10"/>
    <cfRule type="top10" dxfId="8413" priority="472" rank="10"/>
    <cfRule type="cellIs" dxfId="8412" priority="473" operator="equal">
      <formula>1</formula>
    </cfRule>
    <cfRule type="top10" dxfId="8411" priority="474" rank="10"/>
    <cfRule type="cellIs" dxfId="8410" priority="475" operator="equal">
      <formula>1</formula>
    </cfRule>
    <cfRule type="top10" dxfId="8409" priority="476" rank="10"/>
    <cfRule type="cellIs" dxfId="8408" priority="477" operator="equal">
      <formula>1</formula>
    </cfRule>
    <cfRule type="cellIs" dxfId="8407" priority="478" operator="equal">
      <formula>4</formula>
    </cfRule>
    <cfRule type="cellIs" dxfId="8406" priority="479" operator="equal">
      <formula>3</formula>
    </cfRule>
    <cfRule type="cellIs" dxfId="8405" priority="480" operator="equal">
      <formula>1</formula>
    </cfRule>
    <cfRule type="cellIs" dxfId="8404" priority="481" operator="equal">
      <formula>4</formula>
    </cfRule>
    <cfRule type="cellIs" dxfId="8403" priority="482" operator="equal">
      <formula>3</formula>
    </cfRule>
    <cfRule type="top10" dxfId="8402" priority="483" rank="10"/>
    <cfRule type="top10" dxfId="8401" priority="484" rank="10"/>
    <cfRule type="cellIs" dxfId="8400" priority="485" operator="equal">
      <formula>1</formula>
    </cfRule>
    <cfRule type="top10" dxfId="8399" priority="486" rank="10"/>
    <cfRule type="cellIs" dxfId="8398" priority="487" operator="equal">
      <formula>1</formula>
    </cfRule>
    <cfRule type="cellIs" dxfId="8397" priority="488" operator="equal">
      <formula>4</formula>
    </cfRule>
    <cfRule type="cellIs" dxfId="8396" priority="489" operator="equal">
      <formula>3</formula>
    </cfRule>
    <cfRule type="top10" dxfId="8395" priority="490" rank="10"/>
    <cfRule type="top10" dxfId="8394" priority="491" rank="10"/>
    <cfRule type="cellIs" dxfId="8393" priority="492" operator="equal">
      <formula>1</formula>
    </cfRule>
    <cfRule type="top10" dxfId="8392" priority="493" rank="10"/>
    <cfRule type="cellIs" dxfId="8391" priority="494" operator="equal">
      <formula>1</formula>
    </cfRule>
    <cfRule type="cellIs" dxfId="8390" priority="495" operator="equal">
      <formula>4</formula>
    </cfRule>
    <cfRule type="cellIs" dxfId="8389" priority="496" operator="equal">
      <formula>3</formula>
    </cfRule>
    <cfRule type="top10" dxfId="8388" priority="497" rank="10"/>
    <cfRule type="top10" dxfId="8387" priority="498" rank="10"/>
    <cfRule type="cellIs" dxfId="8386" priority="499" operator="equal">
      <formula>4</formula>
    </cfRule>
    <cfRule type="cellIs" dxfId="8385" priority="500" operator="equal">
      <formula>3</formula>
    </cfRule>
    <cfRule type="cellIs" dxfId="8384" priority="501" operator="equal">
      <formula>1</formula>
    </cfRule>
    <cfRule type="top10" dxfId="8383" priority="502" rank="10"/>
    <cfRule type="cellIs" dxfId="8382" priority="503" operator="equal">
      <formula>1</formula>
    </cfRule>
    <cfRule type="cellIs" dxfId="8381" priority="504" operator="equal">
      <formula>4</formula>
    </cfRule>
    <cfRule type="cellIs" dxfId="8380" priority="505" operator="equal">
      <formula>3</formula>
    </cfRule>
    <cfRule type="top10" dxfId="8379" priority="506" rank="10"/>
    <cfRule type="cellIs" dxfId="8378" priority="507" operator="equal">
      <formula>1</formula>
    </cfRule>
    <cfRule type="top10" dxfId="8377" priority="508" rank="10"/>
    <cfRule type="top10" dxfId="8376" priority="509" rank="10"/>
    <cfRule type="top10" dxfId="8375" priority="510" rank="10"/>
    <cfRule type="top10" dxfId="8374" priority="511" rank="10"/>
    <cfRule type="top10" dxfId="8373" priority="512" rank="10"/>
    <cfRule type="top10" dxfId="8372" priority="513" rank="10"/>
    <cfRule type="top10" dxfId="8371" priority="514" rank="10"/>
    <cfRule type="top10" dxfId="8370" priority="515" rank="10"/>
    <cfRule type="top10" dxfId="8369" priority="516" rank="10"/>
    <cfRule type="top10" dxfId="8368" priority="517" rank="10"/>
    <cfRule type="top10" dxfId="8367" priority="518" rank="10"/>
    <cfRule type="top10" dxfId="8366" priority="519" rank="10"/>
    <cfRule type="top10" dxfId="8365" priority="520" rank="10"/>
    <cfRule type="top10" dxfId="8364" priority="521" rank="10"/>
    <cfRule type="top10" dxfId="8363" priority="522" rank="10"/>
    <cfRule type="top10" dxfId="8362" priority="523" rank="10"/>
    <cfRule type="top10" dxfId="8361" priority="524" rank="10"/>
    <cfRule type="top10" dxfId="8360" priority="525" rank="10"/>
    <cfRule type="top10" dxfId="8359" priority="526" rank="10"/>
    <cfRule type="top10" dxfId="8358" priority="527" rank="10"/>
    <cfRule type="top10" dxfId="8357" priority="528" rank="10"/>
    <cfRule type="top10" dxfId="8356" priority="529" rank="10"/>
    <cfRule type="top10" dxfId="8355" priority="530" rank="10"/>
    <cfRule type="top10" dxfId="8354" priority="531" rank="10"/>
    <cfRule type="top10" dxfId="8353" priority="532" rank="10"/>
    <cfRule type="top10" dxfId="8352" priority="533" rank="10"/>
    <cfRule type="top10" dxfId="8351" priority="534" rank="10"/>
    <cfRule type="top10" dxfId="8350" priority="535" rank="10"/>
    <cfRule type="top10" dxfId="8349" priority="536" rank="10"/>
    <cfRule type="top10" dxfId="8348" priority="537" rank="10"/>
    <cfRule type="top10" dxfId="8347" priority="538" rank="10"/>
    <cfRule type="top10" dxfId="8346" priority="539" rank="10"/>
    <cfRule type="top10" dxfId="8345" priority="540" rank="10"/>
    <cfRule type="top10" dxfId="8344" priority="541" rank="10"/>
    <cfRule type="top10" dxfId="8343" priority="542" rank="10"/>
    <cfRule type="top10" dxfId="8342" priority="543" rank="10"/>
    <cfRule type="top10" dxfId="8341" priority="544" rank="10"/>
    <cfRule type="top10" dxfId="8340" priority="545" rank="10"/>
    <cfRule type="top10" dxfId="8339" priority="546" rank="10"/>
    <cfRule type="top10" dxfId="8338" priority="547" rank="10"/>
    <cfRule type="top10" dxfId="8337" priority="548" rank="10"/>
    <cfRule type="top10" dxfId="8336" priority="549" rank="10"/>
    <cfRule type="top10" dxfId="8335" priority="550" rank="10"/>
    <cfRule type="top10" dxfId="8334" priority="551" rank="10"/>
    <cfRule type="top10" dxfId="8333" priority="552" rank="10"/>
    <cfRule type="cellIs" dxfId="8332" priority="553" operator="equal">
      <formula>1</formula>
    </cfRule>
    <cfRule type="top10" dxfId="8331" priority="554" rank="10"/>
    <cfRule type="cellIs" dxfId="8330" priority="555" operator="equal">
      <formula>1</formula>
    </cfRule>
    <cfRule type="top10" dxfId="8329" priority="556" rank="10"/>
    <cfRule type="top10" dxfId="8328" priority="557" rank="10"/>
    <cfRule type="top10" dxfId="8327" priority="558" rank="10"/>
    <cfRule type="cellIs" dxfId="8326" priority="559" operator="equal">
      <formula>1</formula>
    </cfRule>
    <cfRule type="top10" dxfId="8325" priority="560" rank="10"/>
    <cfRule type="top10" dxfId="8324" priority="561" rank="10"/>
    <cfRule type="cellIs" dxfId="8323" priority="562" operator="equal">
      <formula>1</formula>
    </cfRule>
    <cfRule type="top10" dxfId="8322" priority="563" rank="10"/>
    <cfRule type="top10" dxfId="8321" priority="564" rank="10"/>
    <cfRule type="top10" dxfId="8320" priority="565" rank="10"/>
    <cfRule type="top10" dxfId="8319" priority="566" rank="10"/>
    <cfRule type="cellIs" dxfId="8318" priority="567" operator="equal">
      <formula>1</formula>
    </cfRule>
    <cfRule type="cellIs" dxfId="8317" priority="568" operator="equal">
      <formula>1</formula>
    </cfRule>
    <cfRule type="top10" dxfId="8316" priority="569" rank="10"/>
    <cfRule type="top10" dxfId="8315" priority="570" rank="10"/>
    <cfRule type="top10" dxfId="8314" priority="571" rank="10"/>
    <cfRule type="top10" dxfId="8313" priority="572" rank="10"/>
    <cfRule type="top10" dxfId="8312" priority="573" rank="10"/>
    <cfRule type="top10" dxfId="8311" priority="574" rank="10"/>
    <cfRule type="top10" dxfId="8310" priority="575" rank="10"/>
    <cfRule type="top10" dxfId="8309" priority="576" rank="10"/>
    <cfRule type="top10" dxfId="8308" priority="577" rank="10"/>
    <cfRule type="top10" dxfId="8307" priority="578" rank="10"/>
    <cfRule type="top10" dxfId="8306" priority="579" rank="10"/>
    <cfRule type="top10" dxfId="8305" priority="580" rank="10"/>
    <cfRule type="top10" dxfId="8304" priority="581" rank="10"/>
    <cfRule type="top10" dxfId="8303" priority="582" rank="10"/>
    <cfRule type="cellIs" dxfId="8302" priority="583" operator="equal">
      <formula>1</formula>
    </cfRule>
    <cfRule type="cellIs" dxfId="8301" priority="584" operator="equal">
      <formula>1</formula>
    </cfRule>
    <cfRule type="cellIs" dxfId="8300" priority="585" operator="equal">
      <formula>4</formula>
    </cfRule>
    <cfRule type="cellIs" dxfId="8299" priority="586" operator="equal">
      <formula>3</formula>
    </cfRule>
    <cfRule type="cellIs" dxfId="8298" priority="587" operator="equal">
      <formula>4</formula>
    </cfRule>
    <cfRule type="cellIs" dxfId="8297" priority="588" operator="equal">
      <formula>3</formula>
    </cfRule>
    <cfRule type="cellIs" dxfId="8296" priority="589" operator="equal">
      <formula>1</formula>
    </cfRule>
    <cfRule type="cellIs" dxfId="8295" priority="590" operator="equal">
      <formula>1</formula>
    </cfRule>
    <cfRule type="cellIs" dxfId="8294" priority="591" operator="equal">
      <formula>4</formula>
    </cfRule>
    <cfRule type="cellIs" dxfId="8293" priority="592" operator="equal">
      <formula>3</formula>
    </cfRule>
    <cfRule type="cellIs" dxfId="8292" priority="593" operator="equal">
      <formula>1</formula>
    </cfRule>
    <cfRule type="cellIs" dxfId="8291" priority="594" operator="equal">
      <formula>4</formula>
    </cfRule>
    <cfRule type="cellIs" dxfId="8290" priority="595" operator="equal">
      <formula>3</formula>
    </cfRule>
    <cfRule type="cellIs" dxfId="8289" priority="596" operator="equal">
      <formula>1</formula>
    </cfRule>
    <cfRule type="cellIs" dxfId="8288" priority="597" operator="equal">
      <formula>1</formula>
    </cfRule>
    <cfRule type="cellIs" dxfId="8287" priority="598" operator="equal">
      <formula>1</formula>
    </cfRule>
    <cfRule type="cellIs" dxfId="8286" priority="599" operator="equal">
      <formula>1</formula>
    </cfRule>
    <cfRule type="cellIs" dxfId="8285" priority="600" operator="equal">
      <formula>1</formula>
    </cfRule>
    <cfRule type="cellIs" dxfId="8284" priority="601" operator="equal">
      <formula>1</formula>
    </cfRule>
    <cfRule type="cellIs" dxfId="8283" priority="602" operator="equal">
      <formula>1</formula>
    </cfRule>
    <cfRule type="cellIs" dxfId="8282" priority="603" operator="equal">
      <formula>1</formula>
    </cfRule>
    <cfRule type="cellIs" dxfId="8281" priority="604" operator="equal">
      <formula>1</formula>
    </cfRule>
    <cfRule type="cellIs" dxfId="8280" priority="605" operator="equal">
      <formula>4</formula>
    </cfRule>
    <cfRule type="cellIs" dxfId="8279" priority="606" operator="equal">
      <formula>3</formula>
    </cfRule>
    <cfRule type="cellIs" dxfId="8278" priority="607" operator="equal">
      <formula>1</formula>
    </cfRule>
    <cfRule type="cellIs" dxfId="8277" priority="608" operator="equal">
      <formula>4</formula>
    </cfRule>
    <cfRule type="cellIs" dxfId="8276" priority="609" operator="equal">
      <formula>3</formula>
    </cfRule>
    <cfRule type="cellIs" dxfId="8275" priority="610" operator="equal">
      <formula>1</formula>
    </cfRule>
    <cfRule type="cellIs" dxfId="8274" priority="611" operator="equal">
      <formula>4</formula>
    </cfRule>
    <cfRule type="cellIs" dxfId="8273" priority="612" operator="equal">
      <formula>3</formula>
    </cfRule>
    <cfRule type="cellIs" dxfId="8272" priority="613" operator="equal">
      <formula>1</formula>
    </cfRule>
    <cfRule type="cellIs" dxfId="8271" priority="614" operator="equal">
      <formula>4</formula>
    </cfRule>
    <cfRule type="cellIs" dxfId="8270" priority="615" operator="equal">
      <formula>3</formula>
    </cfRule>
    <cfRule type="cellIs" dxfId="8269" priority="616" operator="equal">
      <formula>1</formula>
    </cfRule>
    <cfRule type="cellIs" dxfId="8268" priority="617" operator="equal">
      <formula>4</formula>
    </cfRule>
    <cfRule type="cellIs" dxfId="8267" priority="618" operator="equal">
      <formula>3</formula>
    </cfRule>
    <cfRule type="top10" dxfId="8266" priority="619" rank="10"/>
    <cfRule type="top10" dxfId="8265" priority="620" rank="10"/>
  </conditionalFormatting>
  <conditionalFormatting sqref="M28:N28">
    <cfRule type="cellIs" dxfId="8264" priority="917" operator="equal">
      <formula>1</formula>
    </cfRule>
    <cfRule type="cellIs" dxfId="8263" priority="918" operator="equal">
      <formula>4</formula>
    </cfRule>
    <cfRule type="cellIs" dxfId="8262" priority="919" operator="equal">
      <formula>3</formula>
    </cfRule>
    <cfRule type="top10" dxfId="8261" priority="920" rank="10"/>
    <cfRule type="top10" dxfId="8260" priority="921" rank="10"/>
    <cfRule type="top10" dxfId="8259" priority="922" rank="10"/>
    <cfRule type="top10" dxfId="8258" priority="923" rank="10"/>
    <cfRule type="top10" dxfId="8257" priority="924" rank="10"/>
    <cfRule type="cellIs" dxfId="8256" priority="925" operator="equal">
      <formula>1</formula>
    </cfRule>
    <cfRule type="top10" dxfId="8255" priority="926" rank="10"/>
    <cfRule type="cellIs" dxfId="8254" priority="927" operator="equal">
      <formula>1</formula>
    </cfRule>
    <cfRule type="cellIs" dxfId="8253" priority="928" operator="equal">
      <formula>4</formula>
    </cfRule>
    <cfRule type="cellIs" dxfId="8252" priority="929" operator="equal">
      <formula>3</formula>
    </cfRule>
    <cfRule type="top10" dxfId="8251" priority="930" rank="10"/>
    <cfRule type="top10" dxfId="8250" priority="931" rank="10"/>
    <cfRule type="cellIs" dxfId="8249" priority="932" operator="equal">
      <formula>1</formula>
    </cfRule>
    <cfRule type="top10" dxfId="8248" priority="933" rank="10"/>
    <cfRule type="cellIs" dxfId="8247" priority="934" operator="equal">
      <formula>4</formula>
    </cfRule>
    <cfRule type="cellIs" dxfId="8246" priority="935" operator="equal">
      <formula>3</formula>
    </cfRule>
    <cfRule type="cellIs" dxfId="8245" priority="936" operator="equal">
      <formula>1</formula>
    </cfRule>
  </conditionalFormatting>
  <conditionalFormatting sqref="M28:O28">
    <cfRule type="cellIs" dxfId="8244" priority="2298" operator="equal">
      <formula>2</formula>
    </cfRule>
  </conditionalFormatting>
  <conditionalFormatting sqref="M19:P19">
    <cfRule type="cellIs" dxfId="8243" priority="1315" operator="equal">
      <formula>1</formula>
    </cfRule>
  </conditionalFormatting>
  <conditionalFormatting sqref="M28:P28">
    <cfRule type="cellIs" dxfId="8242" priority="1838" operator="equal">
      <formula>4</formula>
    </cfRule>
    <cfRule type="cellIs" dxfId="8241" priority="1839" operator="equal">
      <formula>3</formula>
    </cfRule>
    <cfRule type="cellIs" dxfId="8240" priority="1840" operator="equal">
      <formula>1</formula>
    </cfRule>
  </conditionalFormatting>
  <conditionalFormatting sqref="M22:T22">
    <cfRule type="cellIs" dxfId="8239" priority="1336" operator="equal">
      <formula>4</formula>
    </cfRule>
    <cfRule type="cellIs" dxfId="8238" priority="1337" operator="equal">
      <formula>3</formula>
    </cfRule>
    <cfRule type="cellIs" dxfId="8237" priority="1338" operator="equal">
      <formula>1</formula>
    </cfRule>
  </conditionalFormatting>
  <conditionalFormatting sqref="N22">
    <cfRule type="cellIs" dxfId="8236" priority="1319" operator="equal">
      <formula>1</formula>
    </cfRule>
    <cfRule type="cellIs" dxfId="8235" priority="1320" operator="equal">
      <formula>4</formula>
    </cfRule>
    <cfRule type="cellIs" dxfId="8234" priority="1321" operator="equal">
      <formula>3</formula>
    </cfRule>
    <cfRule type="top10" dxfId="8233" priority="1322" rank="10"/>
    <cfRule type="top10" dxfId="8232" priority="1323" rank="10"/>
    <cfRule type="top10" dxfId="8231" priority="1324" rank="10"/>
    <cfRule type="top10" dxfId="8230" priority="1325" rank="10"/>
    <cfRule type="top10" dxfId="8229" priority="1326" rank="10"/>
    <cfRule type="cellIs" dxfId="8228" priority="1327" operator="equal">
      <formula>1</formula>
    </cfRule>
    <cfRule type="top10" dxfId="8227" priority="1328" rank="10"/>
    <cfRule type="cellIs" dxfId="8226" priority="1329" operator="equal">
      <formula>1</formula>
    </cfRule>
    <cfRule type="cellIs" dxfId="8225" priority="1330" operator="equal">
      <formula>4</formula>
    </cfRule>
    <cfRule type="cellIs" dxfId="8224" priority="1331" operator="equal">
      <formula>3</formula>
    </cfRule>
    <cfRule type="top10" dxfId="8223" priority="1332" rank="10"/>
    <cfRule type="top10" dxfId="8222" priority="1333" rank="10"/>
    <cfRule type="cellIs" dxfId="8221" priority="1334" operator="equal">
      <formula>1</formula>
    </cfRule>
    <cfRule type="top10" dxfId="8220" priority="1335" rank="10"/>
  </conditionalFormatting>
  <conditionalFormatting sqref="N35">
    <cfRule type="top10" dxfId="8219" priority="314019" rank="10"/>
    <cfRule type="top10" dxfId="8218" priority="314020" rank="10"/>
    <cfRule type="top10" dxfId="8217" priority="314021" rank="10"/>
    <cfRule type="top10" dxfId="8216" priority="314022" rank="10"/>
    <cfRule type="cellIs" dxfId="8215" priority="314023" operator="equal">
      <formula>1</formula>
    </cfRule>
    <cfRule type="top10" dxfId="8214" priority="314024" rank="10"/>
    <cfRule type="cellIs" dxfId="8213" priority="314025" operator="equal">
      <formula>1</formula>
    </cfRule>
    <cfRule type="top10" dxfId="8212" priority="314029" rank="10"/>
    <cfRule type="top10" dxfId="8211" priority="314041" rank="10"/>
    <cfRule type="top10" dxfId="8210" priority="314042" rank="10"/>
    <cfRule type="cellIs" dxfId="8209" priority="314043" operator="equal">
      <formula>4</formula>
    </cfRule>
    <cfRule type="cellIs" dxfId="8208" priority="314044" operator="equal">
      <formula>3</formula>
    </cfRule>
    <cfRule type="cellIs" dxfId="8207" priority="314045" operator="equal">
      <formula>1</formula>
    </cfRule>
    <cfRule type="top10" dxfId="8206" priority="314046" rank="10"/>
    <cfRule type="cellIs" dxfId="8205" priority="314047" operator="equal">
      <formula>1</formula>
    </cfRule>
    <cfRule type="cellIs" dxfId="8204" priority="314048" operator="equal">
      <formula>4</formula>
    </cfRule>
    <cfRule type="cellIs" dxfId="8203" priority="314049" operator="equal">
      <formula>3</formula>
    </cfRule>
    <cfRule type="top10" dxfId="8202" priority="314050" rank="10"/>
    <cfRule type="cellIs" dxfId="8201" priority="314051" operator="equal">
      <formula>1</formula>
    </cfRule>
    <cfRule type="top10" dxfId="8200" priority="314052" rank="10"/>
    <cfRule type="cellIs" dxfId="8199" priority="314053" operator="equal">
      <formula>1</formula>
    </cfRule>
    <cfRule type="top10" dxfId="8198" priority="314054" rank="10"/>
    <cfRule type="cellIs" dxfId="8197" priority="314055" operator="equal">
      <formula>1</formula>
    </cfRule>
    <cfRule type="top10" dxfId="8196" priority="314056" rank="10"/>
    <cfRule type="top10" dxfId="8195" priority="314057" rank="10"/>
    <cfRule type="cellIs" dxfId="8194" priority="314058" operator="equal">
      <formula>1</formula>
    </cfRule>
    <cfRule type="top10" dxfId="8193" priority="314059" rank="10"/>
    <cfRule type="top10" dxfId="8192" priority="314063" rank="10"/>
    <cfRule type="top10" dxfId="8191" priority="314064" rank="10"/>
  </conditionalFormatting>
  <conditionalFormatting sqref="O19">
    <cfRule type="cellIs" dxfId="8190" priority="1296" operator="equal">
      <formula>1</formula>
    </cfRule>
    <cfRule type="cellIs" dxfId="8189" priority="1297" operator="equal">
      <formula>4</formula>
    </cfRule>
    <cfRule type="cellIs" dxfId="8188" priority="1298" operator="equal">
      <formula>3</formula>
    </cfRule>
    <cfRule type="top10" dxfId="8187" priority="1299" rank="10"/>
    <cfRule type="top10" dxfId="8186" priority="1300" rank="10"/>
    <cfRule type="top10" dxfId="8185" priority="1301" rank="10"/>
    <cfRule type="top10" dxfId="8184" priority="1302" rank="10"/>
    <cfRule type="top10" dxfId="8183" priority="1303" rank="10"/>
    <cfRule type="cellIs" dxfId="8182" priority="1304" operator="equal">
      <formula>1</formula>
    </cfRule>
    <cfRule type="top10" dxfId="8181" priority="1305" rank="10"/>
    <cfRule type="cellIs" dxfId="8180" priority="1306" operator="equal">
      <formula>1</formula>
    </cfRule>
    <cfRule type="cellIs" dxfId="8179" priority="1307" operator="equal">
      <formula>4</formula>
    </cfRule>
    <cfRule type="cellIs" dxfId="8178" priority="1308" operator="equal">
      <formula>3</formula>
    </cfRule>
    <cfRule type="top10" dxfId="8177" priority="1309" rank="10"/>
    <cfRule type="top10" dxfId="8176" priority="1310" rank="10"/>
    <cfRule type="cellIs" dxfId="8175" priority="1311" operator="equal">
      <formula>1</formula>
    </cfRule>
    <cfRule type="top10" dxfId="8174" priority="1312" rank="10"/>
    <cfRule type="cellIs" dxfId="8173" priority="1313" operator="equal">
      <formula>4</formula>
    </cfRule>
    <cfRule type="cellIs" dxfId="8172" priority="1314" operator="equal">
      <formula>3</formula>
    </cfRule>
  </conditionalFormatting>
  <conditionalFormatting sqref="O31">
    <cfRule type="top10" dxfId="8171" priority="366" rank="10"/>
    <cfRule type="cellIs" dxfId="8170" priority="367" operator="equal">
      <formula>4</formula>
    </cfRule>
    <cfRule type="cellIs" dxfId="8169" priority="368" operator="equal">
      <formula>3</formula>
    </cfRule>
    <cfRule type="cellIs" dxfId="8168" priority="369" operator="equal">
      <formula>1</formula>
    </cfRule>
    <cfRule type="top10" dxfId="8167" priority="370" rank="10"/>
    <cfRule type="cellIs" dxfId="8166" priority="371" operator="equal">
      <formula>4</formula>
    </cfRule>
    <cfRule type="cellIs" dxfId="8165" priority="372" operator="equal">
      <formula>3</formula>
    </cfRule>
    <cfRule type="cellIs" dxfId="8164" priority="373" operator="equal">
      <formula>1</formula>
    </cfRule>
    <cfRule type="top10" dxfId="8163" priority="374" rank="10"/>
    <cfRule type="top10" dxfId="8162" priority="375" rank="10"/>
    <cfRule type="top10" dxfId="8161" priority="376" rank="10"/>
    <cfRule type="top10" dxfId="8160" priority="377" rank="10"/>
    <cfRule type="top10" dxfId="8159" priority="378" rank="10"/>
    <cfRule type="top10" dxfId="8158" priority="379" rank="10"/>
    <cfRule type="top10" dxfId="8157" priority="380" rank="10"/>
    <cfRule type="top10" dxfId="8156" priority="381" rank="10"/>
    <cfRule type="top10" dxfId="8155" priority="382" rank="10"/>
    <cfRule type="top10" dxfId="8154" priority="383" rank="10"/>
    <cfRule type="cellIs" dxfId="8153" priority="384" operator="equal">
      <formula>4</formula>
    </cfRule>
    <cfRule type="cellIs" dxfId="8152" priority="385" operator="equal">
      <formula>3</formula>
    </cfRule>
    <cfRule type="cellIs" dxfId="8151" priority="386" operator="equal">
      <formula>1</formula>
    </cfRule>
    <cfRule type="cellIs" dxfId="8150" priority="387" operator="equal">
      <formula>1</formula>
    </cfRule>
    <cfRule type="cellIs" dxfId="8149" priority="388" operator="equal">
      <formula>4</formula>
    </cfRule>
    <cfRule type="cellIs" dxfId="8148" priority="389" operator="equal">
      <formula>3</formula>
    </cfRule>
    <cfRule type="cellIs" dxfId="8147" priority="390" operator="equal">
      <formula>1</formula>
    </cfRule>
    <cfRule type="top10" dxfId="8146" priority="625" rank="10"/>
    <cfRule type="cellIs" dxfId="8145" priority="626" operator="equal">
      <formula>1</formula>
    </cfRule>
    <cfRule type="top10" dxfId="8144" priority="627" rank="10"/>
    <cfRule type="cellIs" dxfId="8143" priority="628" operator="equal">
      <formula>1</formula>
    </cfRule>
    <cfRule type="top10" dxfId="8142" priority="629" rank="10"/>
    <cfRule type="cellIs" dxfId="8141" priority="630" operator="equal">
      <formula>1</formula>
    </cfRule>
    <cfRule type="top10" dxfId="8140" priority="631" rank="10"/>
    <cfRule type="top10" dxfId="8139" priority="632" rank="10"/>
    <cfRule type="top10" dxfId="8138" priority="633" rank="10"/>
    <cfRule type="top10" dxfId="8137" priority="634" rank="10"/>
    <cfRule type="cellIs" dxfId="8136" priority="635" operator="equal">
      <formula>1</formula>
    </cfRule>
    <cfRule type="top10" dxfId="8135" priority="636" rank="10"/>
    <cfRule type="cellIs" dxfId="8134" priority="637" operator="equal">
      <formula>1</formula>
    </cfRule>
    <cfRule type="top10" dxfId="8133" priority="638" rank="10"/>
    <cfRule type="top10" dxfId="8132" priority="639" rank="10"/>
    <cfRule type="cellIs" dxfId="8131" priority="640" operator="equal">
      <formula>1</formula>
    </cfRule>
    <cfRule type="top10" dxfId="8130" priority="641" rank="10"/>
    <cfRule type="cellIs" dxfId="8129" priority="642" operator="equal">
      <formula>1</formula>
    </cfRule>
    <cfRule type="top10" dxfId="8128" priority="643" rank="10"/>
    <cfRule type="cellIs" dxfId="8127" priority="644" operator="equal">
      <formula>1</formula>
    </cfRule>
    <cfRule type="top10" dxfId="8126" priority="645" rank="10"/>
    <cfRule type="cellIs" dxfId="8125" priority="646" operator="equal">
      <formula>1</formula>
    </cfRule>
    <cfRule type="top10" dxfId="8124" priority="647" rank="10"/>
    <cfRule type="cellIs" dxfId="8123" priority="648" operator="equal">
      <formula>1</formula>
    </cfRule>
    <cfRule type="top10" dxfId="8122" priority="649" rank="10"/>
    <cfRule type="cellIs" dxfId="8121" priority="650" operator="equal">
      <formula>1</formula>
    </cfRule>
    <cfRule type="top10" dxfId="8120" priority="651" rank="10"/>
    <cfRule type="cellIs" dxfId="8119" priority="652" operator="equal">
      <formula>1</formula>
    </cfRule>
    <cfRule type="top10" dxfId="8118" priority="653" rank="10"/>
    <cfRule type="cellIs" dxfId="8117" priority="654" operator="equal">
      <formula>1</formula>
    </cfRule>
    <cfRule type="cellIs" dxfId="8116" priority="655" operator="equal">
      <formula>4</formula>
    </cfRule>
    <cfRule type="cellIs" dxfId="8115" priority="656" operator="equal">
      <formula>3</formula>
    </cfRule>
    <cfRule type="top10" dxfId="8114" priority="657" rank="10"/>
    <cfRule type="cellIs" dxfId="8113" priority="658" operator="equal">
      <formula>1</formula>
    </cfRule>
    <cfRule type="cellIs" dxfId="8112" priority="659" operator="equal">
      <formula>4</formula>
    </cfRule>
    <cfRule type="cellIs" dxfId="8111" priority="660" operator="equal">
      <formula>3</formula>
    </cfRule>
    <cfRule type="top10" dxfId="8110" priority="661" rank="10"/>
    <cfRule type="cellIs" dxfId="8109" priority="662" operator="equal">
      <formula>1</formula>
    </cfRule>
    <cfRule type="cellIs" dxfId="8108" priority="663" operator="equal">
      <formula>4</formula>
    </cfRule>
    <cfRule type="cellIs" dxfId="8107" priority="664" operator="equal">
      <formula>3</formula>
    </cfRule>
    <cfRule type="top10" dxfId="8106" priority="665" rank="10"/>
    <cfRule type="top10" dxfId="8105" priority="666" rank="10"/>
    <cfRule type="top10" dxfId="8104" priority="667" rank="10"/>
    <cfRule type="cellIs" dxfId="8103" priority="668" operator="equal">
      <formula>1</formula>
    </cfRule>
    <cfRule type="top10" dxfId="8102" priority="669" rank="10"/>
    <cfRule type="cellIs" dxfId="8101" priority="670" operator="equal">
      <formula>1</formula>
    </cfRule>
    <cfRule type="top10" dxfId="8100" priority="671" rank="10"/>
    <cfRule type="cellIs" dxfId="8099" priority="672" operator="equal">
      <formula>1</formula>
    </cfRule>
    <cfRule type="top10" dxfId="8098" priority="673" rank="10"/>
    <cfRule type="cellIs" dxfId="8097" priority="674" operator="equal">
      <formula>1</formula>
    </cfRule>
    <cfRule type="top10" dxfId="8096" priority="675" rank="10"/>
    <cfRule type="top10" dxfId="8095" priority="676" rank="10"/>
    <cfRule type="cellIs" dxfId="8094" priority="677" operator="equal">
      <formula>1</formula>
    </cfRule>
    <cfRule type="top10" dxfId="8093" priority="678" rank="10"/>
    <cfRule type="cellIs" dxfId="8092" priority="679" operator="equal">
      <formula>1</formula>
    </cfRule>
    <cfRule type="top10" dxfId="8091" priority="680" rank="10"/>
    <cfRule type="top10" dxfId="8090" priority="681" rank="10"/>
    <cfRule type="cellIs" dxfId="8089" priority="682" operator="equal">
      <formula>1</formula>
    </cfRule>
    <cfRule type="top10" dxfId="8088" priority="683" rank="10"/>
    <cfRule type="cellIs" dxfId="8087" priority="684" operator="equal">
      <formula>1</formula>
    </cfRule>
    <cfRule type="top10" dxfId="8086" priority="685" rank="10"/>
    <cfRule type="top10" dxfId="8085" priority="686" rank="10"/>
    <cfRule type="top10" dxfId="8084" priority="687" rank="10"/>
    <cfRule type="cellIs" dxfId="8083" priority="688" operator="equal">
      <formula>1</formula>
    </cfRule>
    <cfRule type="top10" dxfId="8082" priority="689" rank="10"/>
    <cfRule type="cellIs" dxfId="8081" priority="690" operator="equal">
      <formula>1</formula>
    </cfRule>
    <cfRule type="top10" dxfId="8080" priority="691" rank="10"/>
    <cfRule type="top10" dxfId="8079" priority="692" rank="10"/>
    <cfRule type="cellIs" dxfId="8078" priority="693" operator="equal">
      <formula>1</formula>
    </cfRule>
    <cfRule type="top10" dxfId="8077" priority="694" rank="10"/>
    <cfRule type="top10" dxfId="8076" priority="695" rank="10"/>
    <cfRule type="cellIs" dxfId="8075" priority="696" operator="equal">
      <formula>4</formula>
    </cfRule>
    <cfRule type="cellIs" dxfId="8074" priority="697" operator="equal">
      <formula>3</formula>
    </cfRule>
    <cfRule type="cellIs" dxfId="8073" priority="698" operator="equal">
      <formula>1</formula>
    </cfRule>
    <cfRule type="top10" dxfId="8072" priority="699" rank="10"/>
    <cfRule type="cellIs" dxfId="8071" priority="700" operator="equal">
      <formula>1</formula>
    </cfRule>
    <cfRule type="top10" dxfId="8070" priority="701" rank="10"/>
    <cfRule type="cellIs" dxfId="8069" priority="702" operator="equal">
      <formula>1</formula>
    </cfRule>
    <cfRule type="top10" dxfId="8068" priority="703" rank="10"/>
    <cfRule type="top10" dxfId="8067" priority="704" rank="10"/>
    <cfRule type="top10" dxfId="8066" priority="705" rank="10"/>
    <cfRule type="top10" dxfId="8065" priority="706" rank="10"/>
    <cfRule type="cellIs" dxfId="8064" priority="707" operator="equal">
      <formula>1</formula>
    </cfRule>
    <cfRule type="top10" dxfId="8063" priority="708" rank="10"/>
    <cfRule type="cellIs" dxfId="8062" priority="709" operator="equal">
      <formula>1</formula>
    </cfRule>
    <cfRule type="top10" dxfId="8061" priority="710" rank="10"/>
    <cfRule type="cellIs" dxfId="8060" priority="711" operator="equal">
      <formula>1</formula>
    </cfRule>
    <cfRule type="cellIs" dxfId="8059" priority="712" operator="equal">
      <formula>4</formula>
    </cfRule>
    <cfRule type="cellIs" dxfId="8058" priority="713" operator="equal">
      <formula>3</formula>
    </cfRule>
    <cfRule type="top10" dxfId="8057" priority="714" rank="10"/>
    <cfRule type="top10" dxfId="8056" priority="715" rank="10"/>
    <cfRule type="cellIs" dxfId="8055" priority="716" operator="equal">
      <formula>1</formula>
    </cfRule>
    <cfRule type="top10" dxfId="8054" priority="717" rank="10"/>
    <cfRule type="cellIs" dxfId="8053" priority="718" operator="equal">
      <formula>1</formula>
    </cfRule>
    <cfRule type="top10" dxfId="8052" priority="719" rank="10"/>
    <cfRule type="top10" dxfId="8051" priority="720" rank="10"/>
    <cfRule type="top10" dxfId="8050" priority="721" rank="10"/>
    <cfRule type="cellIs" dxfId="8049" priority="722" operator="equal">
      <formula>1</formula>
    </cfRule>
    <cfRule type="top10" dxfId="8048" priority="723" rank="10"/>
    <cfRule type="top10" dxfId="8047" priority="724" rank="10"/>
    <cfRule type="cellIs" dxfId="8046" priority="725" operator="equal">
      <formula>1</formula>
    </cfRule>
  </conditionalFormatting>
  <conditionalFormatting sqref="O35">
    <cfRule type="top10" dxfId="8045" priority="313826" rank="10"/>
    <cfRule type="top10" dxfId="8044" priority="313827" rank="10"/>
    <cfRule type="cellIs" dxfId="8043" priority="313828" operator="equal">
      <formula>1</formula>
    </cfRule>
    <cfRule type="top10" dxfId="8042" priority="313829" rank="10"/>
    <cfRule type="cellIs" dxfId="8041" priority="313830" operator="equal">
      <formula>1</formula>
    </cfRule>
    <cfRule type="top10" dxfId="8040" priority="313831" rank="10"/>
    <cfRule type="cellIs" dxfId="8039" priority="313832" operator="equal">
      <formula>1</formula>
    </cfRule>
    <cfRule type="top10" dxfId="8038" priority="313833" rank="10"/>
    <cfRule type="cellIs" dxfId="8037" priority="313834" operator="equal">
      <formula>1</formula>
    </cfRule>
    <cfRule type="top10" dxfId="8036" priority="313835" rank="10"/>
    <cfRule type="top10" dxfId="8035" priority="313836" rank="10"/>
    <cfRule type="cellIs" dxfId="8034" priority="313837" operator="equal">
      <formula>1</formula>
    </cfRule>
    <cfRule type="top10" dxfId="8033" priority="313838" rank="10"/>
    <cfRule type="cellIs" dxfId="8032" priority="313839" operator="equal">
      <formula>1</formula>
    </cfRule>
    <cfRule type="top10" dxfId="8031" priority="313840" rank="10"/>
    <cfRule type="cellIs" dxfId="8030" priority="313841" operator="equal">
      <formula>1</formula>
    </cfRule>
    <cfRule type="cellIs" dxfId="8029" priority="313842" operator="equal">
      <formula>4</formula>
    </cfRule>
    <cfRule type="cellIs" dxfId="8028" priority="313843" operator="equal">
      <formula>3</formula>
    </cfRule>
    <cfRule type="top10" dxfId="8027" priority="313844" rank="10"/>
    <cfRule type="cellIs" dxfId="8026" priority="313845" operator="equal">
      <formula>4</formula>
    </cfRule>
    <cfRule type="cellIs" dxfId="8025" priority="313846" operator="equal">
      <formula>3</formula>
    </cfRule>
    <cfRule type="top10" dxfId="8024" priority="313847" rank="10"/>
    <cfRule type="cellIs" dxfId="8023" priority="313848" operator="equal">
      <formula>1</formula>
    </cfRule>
    <cfRule type="cellIs" dxfId="8022" priority="313849" operator="equal">
      <formula>4</formula>
    </cfRule>
    <cfRule type="cellIs" dxfId="8021" priority="313850" operator="equal">
      <formula>3</formula>
    </cfRule>
    <cfRule type="top10" dxfId="8020" priority="313851" rank="10"/>
    <cfRule type="cellIs" dxfId="8019" priority="313852" operator="equal">
      <formula>1</formula>
    </cfRule>
    <cfRule type="top10" dxfId="8018" priority="313853" rank="10"/>
    <cfRule type="cellIs" dxfId="8017" priority="313854" operator="equal">
      <formula>1</formula>
    </cfRule>
    <cfRule type="top10" dxfId="8016" priority="313855" rank="10"/>
    <cfRule type="cellIs" dxfId="8015" priority="313856" operator="equal">
      <formula>1</formula>
    </cfRule>
    <cfRule type="top10" dxfId="8014" priority="313857" rank="10"/>
    <cfRule type="cellIs" dxfId="8013" priority="313858" operator="equal">
      <formula>1</formula>
    </cfRule>
    <cfRule type="top10" dxfId="8012" priority="313859" rank="10"/>
    <cfRule type="cellIs" dxfId="8011" priority="313860" operator="equal">
      <formula>1</formula>
    </cfRule>
    <cfRule type="top10" dxfId="8010" priority="313861" rank="10"/>
    <cfRule type="cellIs" dxfId="8009" priority="313862" operator="equal">
      <formula>1</formula>
    </cfRule>
    <cfRule type="top10" dxfId="8008" priority="313863" rank="10"/>
    <cfRule type="cellIs" dxfId="8007" priority="313864" operator="equal">
      <formula>1</formula>
    </cfRule>
    <cfRule type="cellIs" dxfId="8006" priority="313865" operator="equal">
      <formula>4</formula>
    </cfRule>
    <cfRule type="cellIs" dxfId="8005" priority="313866" operator="equal">
      <formula>3</formula>
    </cfRule>
    <cfRule type="top10" dxfId="8004" priority="313867" rank="10"/>
    <cfRule type="cellIs" dxfId="8003" priority="313868" operator="equal">
      <formula>1</formula>
    </cfRule>
    <cfRule type="top10" dxfId="8002" priority="313869" rank="10"/>
    <cfRule type="cellIs" dxfId="8001" priority="313870" operator="equal">
      <formula>1</formula>
    </cfRule>
    <cfRule type="top10" dxfId="8000" priority="313871" rank="10"/>
    <cfRule type="top10" dxfId="7999" priority="313872" rank="10"/>
    <cfRule type="cellIs" dxfId="7998" priority="313873" operator="equal">
      <formula>1</formula>
    </cfRule>
    <cfRule type="top10" dxfId="7997" priority="313874" rank="10"/>
    <cfRule type="cellIs" dxfId="7996" priority="313875" operator="equal">
      <formula>1</formula>
    </cfRule>
    <cfRule type="top10" dxfId="7995" priority="313876" rank="10"/>
    <cfRule type="top10" dxfId="7994" priority="313877" rank="10"/>
    <cfRule type="cellIs" dxfId="7993" priority="313878" operator="equal">
      <formula>1</formula>
    </cfRule>
    <cfRule type="top10" dxfId="7992" priority="313879" rank="10"/>
    <cfRule type="cellIs" dxfId="7991" priority="313880" operator="equal">
      <formula>1</formula>
    </cfRule>
    <cfRule type="top10" dxfId="7990" priority="313882" rank="10"/>
    <cfRule type="top10" dxfId="7989" priority="313883" rank="10"/>
    <cfRule type="top10" dxfId="7988" priority="313884" rank="10"/>
    <cfRule type="cellIs" dxfId="7987" priority="313885" operator="equal">
      <formula>1</formula>
    </cfRule>
    <cfRule type="top10" dxfId="7986" priority="313886" rank="10"/>
    <cfRule type="cellIs" dxfId="7985" priority="313887" operator="equal">
      <formula>1</formula>
    </cfRule>
    <cfRule type="top10" dxfId="7984" priority="313888" rank="10"/>
  </conditionalFormatting>
  <conditionalFormatting sqref="O28:P28">
    <cfRule type="top10" dxfId="7983" priority="1833" rank="10"/>
    <cfRule type="top10" dxfId="7982" priority="1834" rank="10"/>
    <cfRule type="top10" dxfId="7981" priority="1835" rank="10"/>
    <cfRule type="top10" dxfId="7980" priority="1836" rank="10"/>
    <cfRule type="top10" dxfId="7979" priority="1837" rank="10"/>
  </conditionalFormatting>
  <conditionalFormatting sqref="O30:Q35">
    <cfRule type="top10" dxfId="7978" priority="313702" rank="10"/>
    <cfRule type="top10" dxfId="7977" priority="313703" rank="10"/>
    <cfRule type="cellIs" dxfId="7976" priority="313704" operator="equal">
      <formula>1</formula>
    </cfRule>
    <cfRule type="top10" dxfId="7975" priority="313705" rank="10"/>
    <cfRule type="cellIs" dxfId="7974" priority="313706" operator="equal">
      <formula>1</formula>
    </cfRule>
    <cfRule type="cellIs" dxfId="7973" priority="313707" operator="equal">
      <formula>4</formula>
    </cfRule>
    <cfRule type="cellIs" dxfId="7972" priority="313708" operator="equal">
      <formula>3</formula>
    </cfRule>
    <cfRule type="top10" dxfId="7971" priority="313709" rank="10"/>
    <cfRule type="top10" dxfId="7970" priority="313710" rank="10"/>
    <cfRule type="cellIs" dxfId="7969" priority="313711" operator="equal">
      <formula>1</formula>
    </cfRule>
    <cfRule type="top10" dxfId="7968" priority="313712" rank="10"/>
    <cfRule type="top10" dxfId="7967" priority="313713" rank="10"/>
    <cfRule type="top10" dxfId="7966" priority="313714" rank="10"/>
    <cfRule type="top10" dxfId="7965" priority="313715" rank="10"/>
  </conditionalFormatting>
  <conditionalFormatting sqref="P35">
    <cfRule type="top10" dxfId="7964" priority="313716" rank="10"/>
    <cfRule type="top10" dxfId="7963" priority="313717" rank="10"/>
    <cfRule type="cellIs" dxfId="7962" priority="313718" operator="equal">
      <formula>1</formula>
    </cfRule>
    <cfRule type="top10" dxfId="7961" priority="313719" rank="10"/>
    <cfRule type="cellIs" dxfId="7960" priority="313720" operator="equal">
      <formula>1</formula>
    </cfRule>
    <cfRule type="top10" dxfId="7959" priority="313721" rank="10"/>
    <cfRule type="cellIs" dxfId="7958" priority="313722" operator="equal">
      <formula>1</formula>
    </cfRule>
    <cfRule type="top10" dxfId="7957" priority="313723" rank="10"/>
    <cfRule type="cellIs" dxfId="7956" priority="313724" operator="equal">
      <formula>1</formula>
    </cfRule>
    <cfRule type="top10" dxfId="7955" priority="313725" rank="10"/>
    <cfRule type="top10" dxfId="7954" priority="313726" rank="10"/>
    <cfRule type="cellIs" dxfId="7953" priority="313727" operator="equal">
      <formula>1</formula>
    </cfRule>
    <cfRule type="top10" dxfId="7952" priority="313728" rank="10"/>
    <cfRule type="cellIs" dxfId="7951" priority="313729" operator="equal">
      <formula>1</formula>
    </cfRule>
    <cfRule type="top10" dxfId="7950" priority="313730" rank="10"/>
    <cfRule type="cellIs" dxfId="7949" priority="313731" operator="equal">
      <formula>1</formula>
    </cfRule>
    <cfRule type="cellIs" dxfId="7948" priority="313732" operator="equal">
      <formula>4</formula>
    </cfRule>
    <cfRule type="cellIs" dxfId="7947" priority="313733" operator="equal">
      <formula>3</formula>
    </cfRule>
    <cfRule type="top10" dxfId="7946" priority="313734" rank="10"/>
    <cfRule type="cellIs" dxfId="7945" priority="313735" operator="equal">
      <formula>4</formula>
    </cfRule>
    <cfRule type="cellIs" dxfId="7944" priority="313736" operator="equal">
      <formula>3</formula>
    </cfRule>
    <cfRule type="top10" dxfId="7943" priority="313737" rank="10"/>
    <cfRule type="cellIs" dxfId="7942" priority="313738" operator="equal">
      <formula>1</formula>
    </cfRule>
    <cfRule type="cellIs" dxfId="7941" priority="313739" operator="equal">
      <formula>4</formula>
    </cfRule>
    <cfRule type="cellIs" dxfId="7940" priority="313740" operator="equal">
      <formula>3</formula>
    </cfRule>
    <cfRule type="top10" dxfId="7939" priority="313741" rank="10"/>
    <cfRule type="cellIs" dxfId="7938" priority="313742" operator="equal">
      <formula>1</formula>
    </cfRule>
    <cfRule type="top10" dxfId="7937" priority="313743" rank="10"/>
    <cfRule type="cellIs" dxfId="7936" priority="313744" operator="equal">
      <formula>1</formula>
    </cfRule>
    <cfRule type="top10" dxfId="7935" priority="313745" rank="10"/>
    <cfRule type="cellIs" dxfId="7934" priority="313746" operator="equal">
      <formula>1</formula>
    </cfRule>
    <cfRule type="top10" dxfId="7933" priority="313747" rank="10"/>
    <cfRule type="cellIs" dxfId="7932" priority="313748" operator="equal">
      <formula>1</formula>
    </cfRule>
    <cfRule type="top10" dxfId="7931" priority="313749" rank="10"/>
    <cfRule type="cellIs" dxfId="7930" priority="313750" operator="equal">
      <formula>1</formula>
    </cfRule>
    <cfRule type="top10" dxfId="7929" priority="313751" rank="10"/>
    <cfRule type="cellIs" dxfId="7928" priority="313752" operator="equal">
      <formula>1</formula>
    </cfRule>
    <cfRule type="top10" dxfId="7927" priority="313753" rank="10"/>
    <cfRule type="cellIs" dxfId="7926" priority="313754" operator="equal">
      <formula>1</formula>
    </cfRule>
    <cfRule type="top10" dxfId="7925" priority="313755" rank="10"/>
    <cfRule type="cellIs" dxfId="7924" priority="313756" operator="equal">
      <formula>1</formula>
    </cfRule>
    <cfRule type="top10" dxfId="7923" priority="313757" rank="10"/>
    <cfRule type="top10" dxfId="7922" priority="313758" rank="10"/>
    <cfRule type="cellIs" dxfId="7921" priority="313759" operator="equal">
      <formula>1</formula>
    </cfRule>
    <cfRule type="top10" dxfId="7920" priority="313760" rank="10"/>
    <cfRule type="cellIs" dxfId="7919" priority="313761" operator="equal">
      <formula>1</formula>
    </cfRule>
    <cfRule type="top10" dxfId="7918" priority="313762" rank="10"/>
    <cfRule type="cellIs" dxfId="7917" priority="313763" operator="equal">
      <formula>1</formula>
    </cfRule>
    <cfRule type="top10" dxfId="7916" priority="313764" rank="10"/>
    <cfRule type="top10" dxfId="7915" priority="313765" rank="10"/>
    <cfRule type="top10" dxfId="7914" priority="313766" rank="10"/>
    <cfRule type="cellIs" dxfId="7913" priority="313767" operator="equal">
      <formula>1</formula>
    </cfRule>
    <cfRule type="top10" dxfId="7912" priority="313768" rank="10"/>
    <cfRule type="cellIs" dxfId="7911" priority="313769" operator="equal">
      <formula>1</formula>
    </cfRule>
    <cfRule type="top10" dxfId="7910" priority="313770" rank="10"/>
  </conditionalFormatting>
  <conditionalFormatting sqref="P35:Q35">
    <cfRule type="top10" dxfId="7909" priority="313969" rank="10"/>
    <cfRule type="cellIs" dxfId="7908" priority="313970" operator="equal">
      <formula>1</formula>
    </cfRule>
    <cfRule type="cellIs" dxfId="7907" priority="313971" operator="equal">
      <formula>4</formula>
    </cfRule>
    <cfRule type="cellIs" dxfId="7906" priority="313972" operator="equal">
      <formula>3</formula>
    </cfRule>
    <cfRule type="top10" dxfId="7905" priority="313973" rank="10"/>
    <cfRule type="cellIs" dxfId="7904" priority="313974" operator="equal">
      <formula>1</formula>
    </cfRule>
    <cfRule type="top10" dxfId="7903" priority="313975" rank="10"/>
    <cfRule type="cellIs" dxfId="7902" priority="313976" operator="equal">
      <formula>1</formula>
    </cfRule>
    <cfRule type="top10" dxfId="7901" priority="313977" rank="10"/>
  </conditionalFormatting>
  <conditionalFormatting sqref="Q27">
    <cfRule type="cellIs" dxfId="7900" priority="1052" operator="equal">
      <formula>1</formula>
    </cfRule>
    <cfRule type="cellIs" dxfId="7899" priority="1053" operator="equal">
      <formula>4</formula>
    </cfRule>
    <cfRule type="cellIs" dxfId="7898" priority="1054" operator="equal">
      <formula>3</formula>
    </cfRule>
    <cfRule type="top10" dxfId="7897" priority="1055" rank="10"/>
    <cfRule type="top10" dxfId="7896" priority="1056" rank="10"/>
    <cfRule type="top10" dxfId="7895" priority="1057" rank="10"/>
    <cfRule type="top10" dxfId="7894" priority="1058" rank="10"/>
    <cfRule type="top10" dxfId="7893" priority="1059" rank="10"/>
    <cfRule type="cellIs" dxfId="7892" priority="1060" operator="equal">
      <formula>1</formula>
    </cfRule>
    <cfRule type="top10" dxfId="7891" priority="1061" rank="10"/>
    <cfRule type="cellIs" dxfId="7890" priority="1062" operator="equal">
      <formula>1</formula>
    </cfRule>
    <cfRule type="cellIs" dxfId="7889" priority="1063" operator="equal">
      <formula>4</formula>
    </cfRule>
    <cfRule type="cellIs" dxfId="7888" priority="1064" operator="equal">
      <formula>3</formula>
    </cfRule>
    <cfRule type="top10" dxfId="7887" priority="1065" rank="10"/>
    <cfRule type="top10" dxfId="7886" priority="1066" rank="10"/>
    <cfRule type="cellIs" dxfId="7885" priority="1067" operator="equal">
      <formula>1</formula>
    </cfRule>
    <cfRule type="top10" dxfId="7884" priority="1068" rank="10"/>
    <cfRule type="cellIs" dxfId="7883" priority="1069" operator="equal">
      <formula>4</formula>
    </cfRule>
    <cfRule type="cellIs" dxfId="7882" priority="1070" operator="equal">
      <formula>3</formula>
    </cfRule>
    <cfRule type="cellIs" dxfId="7881" priority="1071" operator="equal">
      <formula>1</formula>
    </cfRule>
    <cfRule type="top10" dxfId="7880" priority="1072" rank="10"/>
    <cfRule type="cellIs" dxfId="7879" priority="1073" operator="equal">
      <formula>4</formula>
    </cfRule>
    <cfRule type="cellIs" dxfId="7878" priority="1074" operator="equal">
      <formula>3</formula>
    </cfRule>
    <cfRule type="cellIs" dxfId="7877" priority="1075" operator="equal">
      <formula>1</formula>
    </cfRule>
  </conditionalFormatting>
  <conditionalFormatting sqref="Q30">
    <cfRule type="cellIs" dxfId="7876" priority="278157" operator="equal">
      <formula>4</formula>
    </cfRule>
    <cfRule type="cellIs" dxfId="7875" priority="278158" operator="equal">
      <formula>3</formula>
    </cfRule>
    <cfRule type="top10" dxfId="7874" priority="278159" rank="10"/>
    <cfRule type="top10" dxfId="7873" priority="278160" rank="10"/>
    <cfRule type="cellIs" dxfId="7872" priority="278161" operator="equal">
      <formula>4</formula>
    </cfRule>
    <cfRule type="cellIs" dxfId="7871" priority="278162" operator="equal">
      <formula>3</formula>
    </cfRule>
    <cfRule type="cellIs" dxfId="7870" priority="278163" operator="equal">
      <formula>1</formula>
    </cfRule>
    <cfRule type="top10" dxfId="7869" priority="278164" rank="10"/>
    <cfRule type="cellIs" dxfId="7868" priority="278165" operator="equal">
      <formula>1</formula>
    </cfRule>
    <cfRule type="cellIs" dxfId="7867" priority="278166" operator="equal">
      <formula>4</formula>
    </cfRule>
    <cfRule type="cellIs" dxfId="7866" priority="278167" operator="equal">
      <formula>3</formula>
    </cfRule>
    <cfRule type="top10" dxfId="7865" priority="278168" rank="10"/>
    <cfRule type="cellIs" dxfId="7864" priority="278169" operator="equal">
      <formula>1</formula>
    </cfRule>
    <cfRule type="top10" dxfId="7863" priority="278170" rank="10"/>
    <cfRule type="cellIs" dxfId="7862" priority="278171" operator="equal">
      <formula>1</formula>
    </cfRule>
    <cfRule type="cellIs" dxfId="7861" priority="278172" operator="equal">
      <formula>4</formula>
    </cfRule>
    <cfRule type="cellIs" dxfId="7860" priority="278173" operator="equal">
      <formula>3</formula>
    </cfRule>
    <cfRule type="top10" dxfId="7859" priority="278174" rank="10"/>
    <cfRule type="cellIs" dxfId="7858" priority="278175" operator="equal">
      <formula>1</formula>
    </cfRule>
    <cfRule type="top10" dxfId="7857" priority="278176" rank="10"/>
    <cfRule type="top10" dxfId="7856" priority="278177" rank="10"/>
    <cfRule type="top10" dxfId="7855" priority="278178" rank="10"/>
    <cfRule type="cellIs" dxfId="7854" priority="278179" operator="equal">
      <formula>1</formula>
    </cfRule>
    <cfRule type="top10" dxfId="7853" priority="278180" rank="10"/>
    <cfRule type="cellIs" dxfId="7852" priority="278181" operator="equal">
      <formula>1</formula>
    </cfRule>
    <cfRule type="cellIs" dxfId="7851" priority="278182" operator="equal">
      <formula>4</formula>
    </cfRule>
    <cfRule type="cellIs" dxfId="7850" priority="278183" operator="equal">
      <formula>3</formula>
    </cfRule>
    <cfRule type="top10" dxfId="7849" priority="278184" rank="10"/>
    <cfRule type="cellIs" dxfId="7848" priority="278185" operator="equal">
      <formula>1</formula>
    </cfRule>
    <cfRule type="top10" dxfId="7847" priority="278186" rank="10"/>
    <cfRule type="cellIs" dxfId="7846" priority="278187" operator="equal">
      <formula>1</formula>
    </cfRule>
    <cfRule type="top10" dxfId="7845" priority="278188" rank="10"/>
    <cfRule type="cellIs" dxfId="7844" priority="278189" operator="equal">
      <formula>1</formula>
    </cfRule>
    <cfRule type="top10" dxfId="7843" priority="278190" rank="10"/>
    <cfRule type="top10" dxfId="7842" priority="278191" rank="10"/>
    <cfRule type="cellIs" dxfId="7841" priority="278192" operator="equal">
      <formula>1</formula>
    </cfRule>
    <cfRule type="top10" dxfId="7840" priority="278193" rank="10"/>
    <cfRule type="cellIs" dxfId="7839" priority="278194" operator="equal">
      <formula>1</formula>
    </cfRule>
    <cfRule type="top10" dxfId="7838" priority="278195" rank="10"/>
    <cfRule type="cellIs" dxfId="7837" priority="278196" operator="equal">
      <formula>4</formula>
    </cfRule>
    <cfRule type="cellIs" dxfId="7836" priority="278197" operator="equal">
      <formula>3</formula>
    </cfRule>
    <cfRule type="top10" dxfId="7835" priority="278198" rank="10"/>
    <cfRule type="cellIs" dxfId="7834" priority="278199" operator="equal">
      <formula>1</formula>
    </cfRule>
    <cfRule type="cellIs" dxfId="7833" priority="278200" operator="equal">
      <formula>4</formula>
    </cfRule>
    <cfRule type="cellIs" dxfId="7832" priority="278201" operator="equal">
      <formula>3</formula>
    </cfRule>
    <cfRule type="top10" dxfId="7831" priority="278202" rank="10"/>
    <cfRule type="cellIs" dxfId="7830" priority="278203" operator="equal">
      <formula>1</formula>
    </cfRule>
    <cfRule type="cellIs" dxfId="7829" priority="278204" operator="equal">
      <formula>4</formula>
    </cfRule>
    <cfRule type="cellIs" dxfId="7828" priority="278205" operator="equal">
      <formula>3</formula>
    </cfRule>
    <cfRule type="top10" dxfId="7827" priority="278206" rank="10"/>
    <cfRule type="top10" dxfId="7826" priority="278207" rank="10"/>
    <cfRule type="cellIs" dxfId="7825" priority="278208" operator="equal">
      <formula>1</formula>
    </cfRule>
    <cfRule type="top10" dxfId="7824" priority="278209" rank="10"/>
    <cfRule type="cellIs" dxfId="7823" priority="278210" operator="equal">
      <formula>1</formula>
    </cfRule>
    <cfRule type="cellIs" dxfId="7822" priority="278211" operator="equal">
      <formula>4</formula>
    </cfRule>
    <cfRule type="cellIs" dxfId="7821" priority="278212" operator="equal">
      <formula>3</formula>
    </cfRule>
    <cfRule type="top10" dxfId="7820" priority="278213" rank="10"/>
    <cfRule type="top10" dxfId="7819" priority="278214" rank="10"/>
    <cfRule type="cellIs" dxfId="7818" priority="278215" operator="equal">
      <formula>1</formula>
    </cfRule>
    <cfRule type="top10" dxfId="7817" priority="278216" rank="10"/>
    <cfRule type="top10" dxfId="7816" priority="278217" rank="10"/>
    <cfRule type="cellIs" dxfId="7815" priority="278218" operator="equal">
      <formula>1</formula>
    </cfRule>
    <cfRule type="cellIs" dxfId="7814" priority="278219" operator="equal">
      <formula>4</formula>
    </cfRule>
    <cfRule type="cellIs" dxfId="7813" priority="278220" operator="equal">
      <formula>3</formula>
    </cfRule>
    <cfRule type="top10" dxfId="7812" priority="278221" rank="10"/>
    <cfRule type="top10" dxfId="7811" priority="278222" rank="10"/>
    <cfRule type="cellIs" dxfId="7810" priority="278223" operator="equal">
      <formula>4</formula>
    </cfRule>
    <cfRule type="cellIs" dxfId="7809" priority="278224" operator="equal">
      <formula>3</formula>
    </cfRule>
    <cfRule type="cellIs" dxfId="7808" priority="278225" operator="equal">
      <formula>1</formula>
    </cfRule>
    <cfRule type="top10" dxfId="7807" priority="278226" rank="10"/>
    <cfRule type="cellIs" dxfId="7806" priority="278227" operator="equal">
      <formula>1</formula>
    </cfRule>
    <cfRule type="cellIs" dxfId="7805" priority="278228" operator="equal">
      <formula>4</formula>
    </cfRule>
    <cfRule type="cellIs" dxfId="7804" priority="278229" operator="equal">
      <formula>3</formula>
    </cfRule>
    <cfRule type="top10" dxfId="7803" priority="278230" rank="10"/>
    <cfRule type="cellIs" dxfId="7802" priority="278231" operator="equal">
      <formula>1</formula>
    </cfRule>
    <cfRule type="top10" dxfId="7801" priority="278232" rank="10"/>
    <cfRule type="cellIs" dxfId="7800" priority="278233" operator="equal">
      <formula>1</formula>
    </cfRule>
    <cfRule type="cellIs" dxfId="7799" priority="278234" operator="equal">
      <formula>4</formula>
    </cfRule>
    <cfRule type="cellIs" dxfId="7798" priority="278235" operator="equal">
      <formula>3</formula>
    </cfRule>
    <cfRule type="top10" dxfId="7797" priority="278236" rank="10"/>
    <cfRule type="cellIs" dxfId="7796" priority="278237" operator="equal">
      <formula>1</formula>
    </cfRule>
    <cfRule type="top10" dxfId="7795" priority="278238" rank="10"/>
    <cfRule type="top10" dxfId="7794" priority="278239" rank="10"/>
    <cfRule type="cellIs" dxfId="7793" priority="278240" operator="equal">
      <formula>1</formula>
    </cfRule>
    <cfRule type="top10" dxfId="7792" priority="278241" rank="10"/>
    <cfRule type="top10" dxfId="7791" priority="278242" rank="10"/>
    <cfRule type="cellIs" dxfId="7790" priority="278243" operator="equal">
      <formula>1</formula>
    </cfRule>
    <cfRule type="top10" dxfId="7789" priority="278244" rank="10"/>
    <cfRule type="cellIs" dxfId="7788" priority="278245" operator="equal">
      <formula>1</formula>
    </cfRule>
    <cfRule type="cellIs" dxfId="7787" priority="278246" operator="equal">
      <formula>4</formula>
    </cfRule>
    <cfRule type="cellIs" dxfId="7786" priority="278247" operator="equal">
      <formula>3</formula>
    </cfRule>
    <cfRule type="top10" dxfId="7785" priority="278248" rank="10"/>
    <cfRule type="top10" dxfId="7784" priority="278249" rank="10"/>
    <cfRule type="cellIs" dxfId="7783" priority="278250" operator="equal">
      <formula>4</formula>
    </cfRule>
    <cfRule type="cellIs" dxfId="7782" priority="278251" operator="equal">
      <formula>3</formula>
    </cfRule>
    <cfRule type="cellIs" dxfId="7781" priority="278252" operator="equal">
      <formula>1</formula>
    </cfRule>
    <cfRule type="top10" dxfId="7780" priority="278253" rank="10"/>
    <cfRule type="cellIs" dxfId="7779" priority="278254" operator="equal">
      <formula>1</formula>
    </cfRule>
    <cfRule type="cellIs" dxfId="7778" priority="278255" operator="equal">
      <formula>4</formula>
    </cfRule>
    <cfRule type="cellIs" dxfId="7777" priority="278256" operator="equal">
      <formula>3</formula>
    </cfRule>
    <cfRule type="top10" dxfId="7776" priority="278257" rank="10"/>
    <cfRule type="cellIs" dxfId="7775" priority="278258" operator="equal">
      <formula>1</formula>
    </cfRule>
    <cfRule type="cellIs" dxfId="7774" priority="278259" operator="equal">
      <formula>4</formula>
    </cfRule>
    <cfRule type="cellIs" dxfId="7773" priority="278260" operator="equal">
      <formula>3</formula>
    </cfRule>
    <cfRule type="top10" dxfId="7772" priority="278261" rank="10"/>
    <cfRule type="top10" dxfId="7771" priority="278262" rank="10"/>
    <cfRule type="cellIs" dxfId="7770" priority="278263" operator="equal">
      <formula>4</formula>
    </cfRule>
    <cfRule type="cellIs" dxfId="7769" priority="278264" operator="equal">
      <formula>3</formula>
    </cfRule>
    <cfRule type="cellIs" dxfId="7768" priority="278265" operator="equal">
      <formula>1</formula>
    </cfRule>
    <cfRule type="top10" dxfId="7767" priority="278266" rank="10"/>
    <cfRule type="cellIs" dxfId="7766" priority="278267" operator="equal">
      <formula>1</formula>
    </cfRule>
    <cfRule type="cellIs" dxfId="7765" priority="278268" operator="equal">
      <formula>4</formula>
    </cfRule>
    <cfRule type="cellIs" dxfId="7764" priority="278269" operator="equal">
      <formula>3</formula>
    </cfRule>
    <cfRule type="top10" dxfId="7763" priority="278270" rank="10"/>
    <cfRule type="cellIs" dxfId="7762" priority="278271" operator="equal">
      <formula>1</formula>
    </cfRule>
    <cfRule type="top10" dxfId="7761" priority="278272" rank="10"/>
    <cfRule type="cellIs" dxfId="7760" priority="278273" operator="equal">
      <formula>1</formula>
    </cfRule>
    <cfRule type="cellIs" dxfId="7759" priority="278274" operator="equal">
      <formula>4</formula>
    </cfRule>
    <cfRule type="cellIs" dxfId="7758" priority="278275" operator="equal">
      <formula>3</formula>
    </cfRule>
    <cfRule type="top10" dxfId="7757" priority="278276" rank="10"/>
    <cfRule type="cellIs" dxfId="7756" priority="278277" operator="equal">
      <formula>1</formula>
    </cfRule>
    <cfRule type="cellIs" dxfId="7755" priority="278278" operator="equal">
      <formula>4</formula>
    </cfRule>
    <cfRule type="cellIs" dxfId="7754" priority="278279" operator="equal">
      <formula>3</formula>
    </cfRule>
    <cfRule type="top10" dxfId="7753" priority="278280" rank="10"/>
    <cfRule type="top10" dxfId="7752" priority="278281" rank="10"/>
    <cfRule type="cellIs" dxfId="7751" priority="278282" operator="equal">
      <formula>4</formula>
    </cfRule>
    <cfRule type="cellIs" dxfId="7750" priority="278283" operator="equal">
      <formula>3</formula>
    </cfRule>
    <cfRule type="cellIs" dxfId="7749" priority="278284" operator="equal">
      <formula>1</formula>
    </cfRule>
    <cfRule type="top10" dxfId="7748" priority="278285" rank="10"/>
    <cfRule type="cellIs" dxfId="7747" priority="278286" operator="equal">
      <formula>1</formula>
    </cfRule>
    <cfRule type="cellIs" dxfId="7746" priority="278287" operator="equal">
      <formula>4</formula>
    </cfRule>
    <cfRule type="cellIs" dxfId="7745" priority="278288" operator="equal">
      <formula>3</formula>
    </cfRule>
    <cfRule type="top10" dxfId="7744" priority="278289" rank="10"/>
    <cfRule type="cellIs" dxfId="7743" priority="278290" operator="equal">
      <formula>1</formula>
    </cfRule>
    <cfRule type="top10" dxfId="7742" priority="278291" rank="10"/>
    <cfRule type="cellIs" dxfId="7741" priority="278292" operator="equal">
      <formula>1</formula>
    </cfRule>
    <cfRule type="cellIs" dxfId="7740" priority="278293" operator="equal">
      <formula>4</formula>
    </cfRule>
    <cfRule type="cellIs" dxfId="7739" priority="278294" operator="equal">
      <formula>3</formula>
    </cfRule>
    <cfRule type="top10" dxfId="7738" priority="278295" rank="10"/>
    <cfRule type="cellIs" dxfId="7737" priority="278296" operator="equal">
      <formula>1</formula>
    </cfRule>
    <cfRule type="top10" dxfId="7736" priority="278297" rank="10"/>
    <cfRule type="cellIs" dxfId="7735" priority="278298" operator="equal">
      <formula>1</formula>
    </cfRule>
    <cfRule type="cellIs" dxfId="7734" priority="278299" operator="equal">
      <formula>4</formula>
    </cfRule>
    <cfRule type="cellIs" dxfId="7733" priority="278300" operator="equal">
      <formula>3</formula>
    </cfRule>
    <cfRule type="top10" dxfId="7732" priority="278301" rank="10"/>
    <cfRule type="top10" dxfId="7731" priority="278302" rank="10"/>
    <cfRule type="cellIs" dxfId="7730" priority="278303" operator="equal">
      <formula>4</formula>
    </cfRule>
    <cfRule type="cellIs" dxfId="7729" priority="278304" operator="equal">
      <formula>3</formula>
    </cfRule>
    <cfRule type="cellIs" dxfId="7728" priority="278305" operator="equal">
      <formula>1</formula>
    </cfRule>
    <cfRule type="top10" dxfId="7727" priority="278306" rank="10"/>
    <cfRule type="cellIs" dxfId="7726" priority="278307" operator="equal">
      <formula>1</formula>
    </cfRule>
    <cfRule type="cellIs" dxfId="7725" priority="278308" operator="equal">
      <formula>4</formula>
    </cfRule>
    <cfRule type="cellIs" dxfId="7724" priority="278309" operator="equal">
      <formula>3</formula>
    </cfRule>
    <cfRule type="top10" dxfId="7723" priority="278310" rank="10"/>
    <cfRule type="cellIs" dxfId="7722" priority="278311" operator="equal">
      <formula>1</formula>
    </cfRule>
    <cfRule type="cellIs" dxfId="7721" priority="278312" operator="equal">
      <formula>4</formula>
    </cfRule>
    <cfRule type="cellIs" dxfId="7720" priority="278313" operator="equal">
      <formula>3</formula>
    </cfRule>
    <cfRule type="top10" dxfId="7719" priority="278314" rank="10"/>
    <cfRule type="cellIs" dxfId="7718" priority="278315" operator="equal">
      <formula>1</formula>
    </cfRule>
    <cfRule type="top10" dxfId="7717" priority="278316" rank="10"/>
    <cfRule type="cellIs" dxfId="7716" priority="278317" operator="equal">
      <formula>1</formula>
    </cfRule>
    <cfRule type="top10" dxfId="7715" priority="278318" rank="10"/>
    <cfRule type="cellIs" dxfId="7714" priority="278319" operator="equal">
      <formula>4</formula>
    </cfRule>
    <cfRule type="cellIs" dxfId="7713" priority="278320" operator="equal">
      <formula>3</formula>
    </cfRule>
    <cfRule type="cellIs" dxfId="7712" priority="278321" operator="equal">
      <formula>1</formula>
    </cfRule>
    <cfRule type="top10" dxfId="7711" priority="278322" rank="10"/>
    <cfRule type="cellIs" dxfId="7710" priority="278323" operator="equal">
      <formula>1</formula>
    </cfRule>
    <cfRule type="cellIs" dxfId="7709" priority="278324" operator="equal">
      <formula>4</formula>
    </cfRule>
    <cfRule type="cellIs" dxfId="7708" priority="278325" operator="equal">
      <formula>3</formula>
    </cfRule>
    <cfRule type="top10" dxfId="7707" priority="278326" rank="10"/>
    <cfRule type="cellIs" dxfId="7706" priority="278327" operator="equal">
      <formula>1</formula>
    </cfRule>
    <cfRule type="top10" dxfId="7705" priority="278328" rank="10"/>
    <cfRule type="cellIs" dxfId="7704" priority="278329" operator="equal">
      <formula>1</formula>
    </cfRule>
    <cfRule type="cellIs" dxfId="7703" priority="278330" operator="equal">
      <formula>4</formula>
    </cfRule>
    <cfRule type="cellIs" dxfId="7702" priority="278331" operator="equal">
      <formula>3</formula>
    </cfRule>
    <cfRule type="top10" dxfId="7701" priority="278332" rank="10"/>
    <cfRule type="cellIs" dxfId="7700" priority="278333" operator="equal">
      <formula>1</formula>
    </cfRule>
    <cfRule type="top10" dxfId="7699" priority="278334" rank="10"/>
    <cfRule type="cellIs" dxfId="7698" priority="278335" operator="equal">
      <formula>1</formula>
    </cfRule>
    <cfRule type="top10" dxfId="7697" priority="278336" rank="10"/>
    <cfRule type="cellIs" dxfId="7696" priority="278337" operator="equal">
      <formula>1</formula>
    </cfRule>
    <cfRule type="top10" dxfId="7695" priority="278338" rank="10"/>
    <cfRule type="cellIs" dxfId="7694" priority="278339" operator="equal">
      <formula>4</formula>
    </cfRule>
    <cfRule type="cellIs" dxfId="7693" priority="278340" operator="equal">
      <formula>3</formula>
    </cfRule>
    <cfRule type="top10" dxfId="7692" priority="278341" rank="10"/>
    <cfRule type="cellIs" dxfId="7691" priority="278342" operator="equal">
      <formula>1</formula>
    </cfRule>
    <cfRule type="cellIs" dxfId="7690" priority="278343" operator="equal">
      <formula>4</formula>
    </cfRule>
    <cfRule type="cellIs" dxfId="7689" priority="278344" operator="equal">
      <formula>3</formula>
    </cfRule>
    <cfRule type="top10" dxfId="7688" priority="278345" rank="10"/>
    <cfRule type="top10" dxfId="7687" priority="278346" rank="10"/>
    <cfRule type="cellIs" dxfId="7686" priority="278347" operator="equal">
      <formula>4</formula>
    </cfRule>
    <cfRule type="cellIs" dxfId="7685" priority="278348" operator="equal">
      <formula>3</formula>
    </cfRule>
    <cfRule type="cellIs" dxfId="7684" priority="278349" operator="equal">
      <formula>1</formula>
    </cfRule>
    <cfRule type="top10" dxfId="7683" priority="279995" rank="10"/>
    <cfRule type="top10" dxfId="7682" priority="279996" rank="10"/>
    <cfRule type="cellIs" dxfId="7681" priority="279997" operator="equal">
      <formula>4</formula>
    </cfRule>
    <cfRule type="cellIs" dxfId="7680" priority="279998" operator="equal">
      <formula>3</formula>
    </cfRule>
    <cfRule type="cellIs" dxfId="7679" priority="279999" operator="equal">
      <formula>1</formula>
    </cfRule>
    <cfRule type="top10" dxfId="7678" priority="280000" rank="10"/>
    <cfRule type="cellIs" dxfId="7677" priority="280001" operator="equal">
      <formula>1</formula>
    </cfRule>
    <cfRule type="cellIs" dxfId="7676" priority="280002" operator="equal">
      <formula>4</formula>
    </cfRule>
    <cfRule type="cellIs" dxfId="7675" priority="280003" operator="equal">
      <formula>3</formula>
    </cfRule>
    <cfRule type="top10" dxfId="7674" priority="280004" rank="10"/>
    <cfRule type="cellIs" dxfId="7673" priority="280005" operator="equal">
      <formula>1</formula>
    </cfRule>
    <cfRule type="top10" dxfId="7672" priority="280006" rank="10"/>
    <cfRule type="cellIs" dxfId="7671" priority="280007" operator="equal">
      <formula>1</formula>
    </cfRule>
    <cfRule type="cellIs" dxfId="7670" priority="280008" operator="equal">
      <formula>4</formula>
    </cfRule>
    <cfRule type="cellIs" dxfId="7669" priority="280009" operator="equal">
      <formula>3</formula>
    </cfRule>
    <cfRule type="top10" dxfId="7668" priority="280010" rank="10"/>
    <cfRule type="cellIs" dxfId="7667" priority="280011" operator="equal">
      <formula>1</formula>
    </cfRule>
    <cfRule type="top10" dxfId="7666" priority="280012" rank="10"/>
    <cfRule type="top10" dxfId="7665" priority="280013" rank="10"/>
    <cfRule type="top10" dxfId="7664" priority="280014" rank="10"/>
    <cfRule type="cellIs" dxfId="7663" priority="280015" operator="equal">
      <formula>1</formula>
    </cfRule>
    <cfRule type="top10" dxfId="7662" priority="280016" rank="10"/>
    <cfRule type="cellIs" dxfId="7661" priority="280017" operator="equal">
      <formula>1</formula>
    </cfRule>
    <cfRule type="top10" dxfId="7660" priority="280018" rank="10"/>
    <cfRule type="top10" dxfId="7659" priority="280019" rank="10"/>
    <cfRule type="cellIs" dxfId="7658" priority="280020" operator="equal">
      <formula>1</formula>
    </cfRule>
    <cfRule type="top10" dxfId="7657" priority="280021" rank="10"/>
    <cfRule type="cellIs" dxfId="7656" priority="280022" operator="equal">
      <formula>1</formula>
    </cfRule>
    <cfRule type="top10" dxfId="7655" priority="280023" rank="10"/>
    <cfRule type="cellIs" dxfId="7654" priority="280024" operator="equal">
      <formula>4</formula>
    </cfRule>
    <cfRule type="cellIs" dxfId="7653" priority="280025" operator="equal">
      <formula>3</formula>
    </cfRule>
    <cfRule type="top10" dxfId="7652" priority="280026" rank="10"/>
    <cfRule type="cellIs" dxfId="7651" priority="280027" operator="equal">
      <formula>1</formula>
    </cfRule>
    <cfRule type="cellIs" dxfId="7650" priority="280028" operator="equal">
      <formula>4</formula>
    </cfRule>
    <cfRule type="cellIs" dxfId="7649" priority="280029" operator="equal">
      <formula>3</formula>
    </cfRule>
    <cfRule type="top10" dxfId="7648" priority="280030" rank="10"/>
    <cfRule type="top10" dxfId="7647" priority="280031" rank="10"/>
    <cfRule type="cellIs" dxfId="7646" priority="280032" operator="equal">
      <formula>1</formula>
    </cfRule>
    <cfRule type="cellIs" dxfId="7645" priority="280033" operator="equal">
      <formula>4</formula>
    </cfRule>
    <cfRule type="cellIs" dxfId="7644" priority="280034" operator="equal">
      <formula>3</formula>
    </cfRule>
    <cfRule type="top10" dxfId="7643" priority="280035" rank="10"/>
    <cfRule type="cellIs" dxfId="7642" priority="280036" operator="equal">
      <formula>1</formula>
    </cfRule>
  </conditionalFormatting>
  <conditionalFormatting sqref="Q31:Q35">
    <cfRule type="top10" dxfId="7641" priority="313232" rank="10"/>
    <cfRule type="top10" dxfId="7640" priority="313233" rank="10"/>
    <cfRule type="cellIs" dxfId="7639" priority="313234" operator="equal">
      <formula>4</formula>
    </cfRule>
    <cfRule type="cellIs" dxfId="7638" priority="313235" operator="equal">
      <formula>3</formula>
    </cfRule>
    <cfRule type="cellIs" dxfId="7637" priority="313236" operator="equal">
      <formula>1</formula>
    </cfRule>
    <cfRule type="top10" dxfId="7636" priority="313237" rank="10"/>
    <cfRule type="cellIs" dxfId="7635" priority="313238" operator="equal">
      <formula>1</formula>
    </cfRule>
    <cfRule type="cellIs" dxfId="7634" priority="313239" operator="equal">
      <formula>4</formula>
    </cfRule>
    <cfRule type="cellIs" dxfId="7633" priority="313240" operator="equal">
      <formula>3</formula>
    </cfRule>
    <cfRule type="top10" dxfId="7632" priority="313241" rank="10"/>
    <cfRule type="cellIs" dxfId="7631" priority="313242" operator="equal">
      <formula>1</formula>
    </cfRule>
    <cfRule type="top10" dxfId="7630" priority="313243" rank="10"/>
    <cfRule type="cellIs" dxfId="7629" priority="313244" operator="equal">
      <formula>1</formula>
    </cfRule>
    <cfRule type="cellIs" dxfId="7628" priority="313245" operator="equal">
      <formula>4</formula>
    </cfRule>
    <cfRule type="cellIs" dxfId="7627" priority="313246" operator="equal">
      <formula>3</formula>
    </cfRule>
    <cfRule type="top10" dxfId="7626" priority="313247" rank="10"/>
    <cfRule type="cellIs" dxfId="7625" priority="313248" operator="equal">
      <formula>1</formula>
    </cfRule>
    <cfRule type="top10" dxfId="7624" priority="313249" rank="10"/>
    <cfRule type="top10" dxfId="7623" priority="313250" rank="10"/>
    <cfRule type="top10" dxfId="7622" priority="313251" rank="10"/>
    <cfRule type="cellIs" dxfId="7621" priority="313252" operator="equal">
      <formula>1</formula>
    </cfRule>
    <cfRule type="top10" dxfId="7620" priority="313253" rank="10"/>
    <cfRule type="cellIs" dxfId="7619" priority="313254" operator="equal">
      <formula>1</formula>
    </cfRule>
    <cfRule type="top10" dxfId="7618" priority="313255" rank="10"/>
    <cfRule type="top10" dxfId="7617" priority="313256" rank="10"/>
    <cfRule type="cellIs" dxfId="7616" priority="313257" operator="equal">
      <formula>1</formula>
    </cfRule>
    <cfRule type="top10" dxfId="7615" priority="313258" rank="10"/>
    <cfRule type="cellIs" dxfId="7614" priority="313259" operator="equal">
      <formula>1</formula>
    </cfRule>
    <cfRule type="top10" dxfId="7613" priority="313260" rank="10"/>
    <cfRule type="cellIs" dxfId="7612" priority="313261" operator="equal">
      <formula>4</formula>
    </cfRule>
    <cfRule type="cellIs" dxfId="7611" priority="313262" operator="equal">
      <formula>3</formula>
    </cfRule>
    <cfRule type="top10" dxfId="7610" priority="313263" rank="10"/>
    <cfRule type="cellIs" dxfId="7609" priority="313264" operator="equal">
      <formula>1</formula>
    </cfRule>
    <cfRule type="cellIs" dxfId="7608" priority="313265" operator="equal">
      <formula>4</formula>
    </cfRule>
    <cfRule type="cellIs" dxfId="7607" priority="313266" operator="equal">
      <formula>3</formula>
    </cfRule>
    <cfRule type="top10" dxfId="7606" priority="313267" rank="10"/>
    <cfRule type="top10" dxfId="7605" priority="313268" rank="10"/>
    <cfRule type="cellIs" dxfId="7604" priority="313269" operator="equal">
      <formula>1</formula>
    </cfRule>
    <cfRule type="cellIs" dxfId="7603" priority="313270" operator="equal">
      <formula>4</formula>
    </cfRule>
    <cfRule type="cellIs" dxfId="7602" priority="313271" operator="equal">
      <formula>3</formula>
    </cfRule>
    <cfRule type="top10" dxfId="7601" priority="313272" rank="10"/>
    <cfRule type="cellIs" dxfId="7600" priority="313273" operator="equal">
      <formula>1</formula>
    </cfRule>
    <cfRule type="cellIs" dxfId="7599" priority="313274" operator="equal">
      <formula>4</formula>
    </cfRule>
    <cfRule type="cellIs" dxfId="7598" priority="313275" operator="equal">
      <formula>3</formula>
    </cfRule>
    <cfRule type="top10" dxfId="7597" priority="313276" rank="10"/>
    <cfRule type="top10" dxfId="7596" priority="313277" rank="10"/>
    <cfRule type="cellIs" dxfId="7595" priority="313278" operator="equal">
      <formula>4</formula>
    </cfRule>
    <cfRule type="cellIs" dxfId="7594" priority="313279" operator="equal">
      <formula>3</formula>
    </cfRule>
    <cfRule type="cellIs" dxfId="7593" priority="313280" operator="equal">
      <formula>1</formula>
    </cfRule>
    <cfRule type="top10" dxfId="7592" priority="313281" rank="10"/>
    <cfRule type="cellIs" dxfId="7591" priority="313282" operator="equal">
      <formula>1</formula>
    </cfRule>
    <cfRule type="cellIs" dxfId="7590" priority="313283" operator="equal">
      <formula>4</formula>
    </cfRule>
    <cfRule type="cellIs" dxfId="7589" priority="313284" operator="equal">
      <formula>3</formula>
    </cfRule>
    <cfRule type="top10" dxfId="7588" priority="313285" rank="10"/>
    <cfRule type="cellIs" dxfId="7587" priority="313286" operator="equal">
      <formula>1</formula>
    </cfRule>
    <cfRule type="top10" dxfId="7586" priority="313287" rank="10"/>
    <cfRule type="cellIs" dxfId="7585" priority="313288" operator="equal">
      <formula>1</formula>
    </cfRule>
    <cfRule type="cellIs" dxfId="7584" priority="313289" operator="equal">
      <formula>4</formula>
    </cfRule>
    <cfRule type="cellIs" dxfId="7583" priority="313290" operator="equal">
      <formula>3</formula>
    </cfRule>
    <cfRule type="top10" dxfId="7582" priority="313291" rank="10"/>
    <cfRule type="cellIs" dxfId="7581" priority="313292" operator="equal">
      <formula>1</formula>
    </cfRule>
    <cfRule type="top10" dxfId="7580" priority="313293" rank="10"/>
    <cfRule type="top10" dxfId="7579" priority="313294" rank="10"/>
    <cfRule type="top10" dxfId="7578" priority="313295" rank="10"/>
    <cfRule type="cellIs" dxfId="7577" priority="313296" operator="equal">
      <formula>1</formula>
    </cfRule>
    <cfRule type="top10" dxfId="7576" priority="313297" rank="10"/>
    <cfRule type="cellIs" dxfId="7575" priority="313298" operator="equal">
      <formula>1</formula>
    </cfRule>
    <cfRule type="cellIs" dxfId="7574" priority="313299" operator="equal">
      <formula>4</formula>
    </cfRule>
    <cfRule type="cellIs" dxfId="7573" priority="313300" operator="equal">
      <formula>3</formula>
    </cfRule>
    <cfRule type="top10" dxfId="7572" priority="313301" rank="10"/>
    <cfRule type="cellIs" dxfId="7571" priority="313302" operator="equal">
      <formula>1</formula>
    </cfRule>
    <cfRule type="top10" dxfId="7570" priority="313303" rank="10"/>
    <cfRule type="cellIs" dxfId="7569" priority="313304" operator="equal">
      <formula>1</formula>
    </cfRule>
    <cfRule type="top10" dxfId="7568" priority="313305" rank="10"/>
    <cfRule type="cellIs" dxfId="7567" priority="313306" operator="equal">
      <formula>1</formula>
    </cfRule>
    <cfRule type="top10" dxfId="7566" priority="313307" rank="10"/>
    <cfRule type="top10" dxfId="7565" priority="313308" rank="10"/>
    <cfRule type="cellIs" dxfId="7564" priority="313309" operator="equal">
      <formula>1</formula>
    </cfRule>
    <cfRule type="top10" dxfId="7563" priority="313310" rank="10"/>
    <cfRule type="cellIs" dxfId="7562" priority="313311" operator="equal">
      <formula>1</formula>
    </cfRule>
    <cfRule type="top10" dxfId="7561" priority="313312" rank="10"/>
    <cfRule type="cellIs" dxfId="7560" priority="313313" operator="equal">
      <formula>4</formula>
    </cfRule>
    <cfRule type="cellIs" dxfId="7559" priority="313314" operator="equal">
      <formula>3</formula>
    </cfRule>
    <cfRule type="top10" dxfId="7558" priority="313315" rank="10"/>
    <cfRule type="cellIs" dxfId="7557" priority="313316" operator="equal">
      <formula>1</formula>
    </cfRule>
    <cfRule type="cellIs" dxfId="7556" priority="313317" operator="equal">
      <formula>4</formula>
    </cfRule>
    <cfRule type="cellIs" dxfId="7555" priority="313318" operator="equal">
      <formula>3</formula>
    </cfRule>
    <cfRule type="top10" dxfId="7554" priority="313319" rank="10"/>
    <cfRule type="cellIs" dxfId="7553" priority="313320" operator="equal">
      <formula>1</formula>
    </cfRule>
    <cfRule type="cellIs" dxfId="7552" priority="313321" operator="equal">
      <formula>4</formula>
    </cfRule>
    <cfRule type="cellIs" dxfId="7551" priority="313322" operator="equal">
      <formula>3</formula>
    </cfRule>
    <cfRule type="top10" dxfId="7550" priority="313323" rank="10"/>
    <cfRule type="top10" dxfId="7549" priority="313324" rank="10"/>
    <cfRule type="cellIs" dxfId="7548" priority="313325" operator="equal">
      <formula>1</formula>
    </cfRule>
    <cfRule type="top10" dxfId="7547" priority="313326" rank="10"/>
    <cfRule type="cellIs" dxfId="7546" priority="313327" operator="equal">
      <formula>1</formula>
    </cfRule>
    <cfRule type="cellIs" dxfId="7545" priority="313328" operator="equal">
      <formula>4</formula>
    </cfRule>
    <cfRule type="cellIs" dxfId="7544" priority="313329" operator="equal">
      <formula>3</formula>
    </cfRule>
    <cfRule type="top10" dxfId="7543" priority="313330" rank="10"/>
    <cfRule type="top10" dxfId="7542" priority="313331" rank="10"/>
    <cfRule type="cellIs" dxfId="7541" priority="313332" operator="equal">
      <formula>1</formula>
    </cfRule>
    <cfRule type="top10" dxfId="7540" priority="313333" rank="10"/>
    <cfRule type="top10" dxfId="7539" priority="313334" rank="10"/>
    <cfRule type="cellIs" dxfId="7538" priority="313335" operator="equal">
      <formula>1</formula>
    </cfRule>
    <cfRule type="cellIs" dxfId="7537" priority="313336" operator="equal">
      <formula>4</formula>
    </cfRule>
    <cfRule type="cellIs" dxfId="7536" priority="313337" operator="equal">
      <formula>3</formula>
    </cfRule>
    <cfRule type="top10" dxfId="7535" priority="313338" rank="10"/>
    <cfRule type="top10" dxfId="7534" priority="313339" rank="10"/>
    <cfRule type="cellIs" dxfId="7533" priority="313340" operator="equal">
      <formula>4</formula>
    </cfRule>
    <cfRule type="cellIs" dxfId="7532" priority="313341" operator="equal">
      <formula>3</formula>
    </cfRule>
    <cfRule type="cellIs" dxfId="7531" priority="313342" operator="equal">
      <formula>1</formula>
    </cfRule>
    <cfRule type="top10" dxfId="7530" priority="313343" rank="10"/>
    <cfRule type="cellIs" dxfId="7529" priority="313344" operator="equal">
      <formula>1</formula>
    </cfRule>
    <cfRule type="cellIs" dxfId="7528" priority="313345" operator="equal">
      <formula>4</formula>
    </cfRule>
    <cfRule type="cellIs" dxfId="7527" priority="313346" operator="equal">
      <formula>3</formula>
    </cfRule>
    <cfRule type="top10" dxfId="7526" priority="313347" rank="10"/>
    <cfRule type="cellIs" dxfId="7525" priority="313348" operator="equal">
      <formula>1</formula>
    </cfRule>
    <cfRule type="top10" dxfId="7524" priority="313349" rank="10"/>
    <cfRule type="cellIs" dxfId="7523" priority="313350" operator="equal">
      <formula>1</formula>
    </cfRule>
    <cfRule type="cellIs" dxfId="7522" priority="313351" operator="equal">
      <formula>4</formula>
    </cfRule>
    <cfRule type="cellIs" dxfId="7521" priority="313352" operator="equal">
      <formula>3</formula>
    </cfRule>
    <cfRule type="top10" dxfId="7520" priority="313353" rank="10"/>
    <cfRule type="cellIs" dxfId="7519" priority="313354" operator="equal">
      <formula>1</formula>
    </cfRule>
    <cfRule type="top10" dxfId="7518" priority="313355" rank="10"/>
    <cfRule type="top10" dxfId="7517" priority="313356" rank="10"/>
    <cfRule type="cellIs" dxfId="7516" priority="313357" operator="equal">
      <formula>1</formula>
    </cfRule>
    <cfRule type="top10" dxfId="7515" priority="313358" rank="10"/>
    <cfRule type="top10" dxfId="7514" priority="313359" rank="10"/>
    <cfRule type="cellIs" dxfId="7513" priority="313360" operator="equal">
      <formula>1</formula>
    </cfRule>
    <cfRule type="top10" dxfId="7512" priority="313361" rank="10"/>
    <cfRule type="cellIs" dxfId="7511" priority="313362" operator="equal">
      <formula>1</formula>
    </cfRule>
    <cfRule type="cellIs" dxfId="7510" priority="313363" operator="equal">
      <formula>4</formula>
    </cfRule>
    <cfRule type="cellIs" dxfId="7509" priority="313364" operator="equal">
      <formula>3</formula>
    </cfRule>
    <cfRule type="top10" dxfId="7508" priority="313365" rank="10"/>
    <cfRule type="top10" dxfId="7507" priority="313366" rank="10"/>
    <cfRule type="cellIs" dxfId="7506" priority="313367" operator="equal">
      <formula>4</formula>
    </cfRule>
    <cfRule type="cellIs" dxfId="7505" priority="313368" operator="equal">
      <formula>3</formula>
    </cfRule>
    <cfRule type="cellIs" dxfId="7504" priority="313369" operator="equal">
      <formula>1</formula>
    </cfRule>
    <cfRule type="top10" dxfId="7503" priority="313370" rank="10"/>
    <cfRule type="cellIs" dxfId="7502" priority="313371" operator="equal">
      <formula>1</formula>
    </cfRule>
    <cfRule type="cellIs" dxfId="7501" priority="313372" operator="equal">
      <formula>4</formula>
    </cfRule>
    <cfRule type="cellIs" dxfId="7500" priority="313373" operator="equal">
      <formula>3</formula>
    </cfRule>
    <cfRule type="top10" dxfId="7499" priority="313374" rank="10"/>
    <cfRule type="cellIs" dxfId="7498" priority="313375" operator="equal">
      <formula>1</formula>
    </cfRule>
    <cfRule type="cellIs" dxfId="7497" priority="313376" operator="equal">
      <formula>4</formula>
    </cfRule>
    <cfRule type="cellIs" dxfId="7496" priority="313377" operator="equal">
      <formula>3</formula>
    </cfRule>
    <cfRule type="top10" dxfId="7495" priority="313378" rank="10"/>
    <cfRule type="top10" dxfId="7494" priority="313379" rank="10"/>
    <cfRule type="cellIs" dxfId="7493" priority="313380" operator="equal">
      <formula>4</formula>
    </cfRule>
    <cfRule type="cellIs" dxfId="7492" priority="313381" operator="equal">
      <formula>3</formula>
    </cfRule>
    <cfRule type="cellIs" dxfId="7491" priority="313382" operator="equal">
      <formula>1</formula>
    </cfRule>
    <cfRule type="top10" dxfId="7490" priority="313383" rank="10"/>
    <cfRule type="cellIs" dxfId="7489" priority="313384" operator="equal">
      <formula>1</formula>
    </cfRule>
    <cfRule type="cellIs" dxfId="7488" priority="313385" operator="equal">
      <formula>4</formula>
    </cfRule>
    <cfRule type="cellIs" dxfId="7487" priority="313386" operator="equal">
      <formula>3</formula>
    </cfRule>
    <cfRule type="top10" dxfId="7486" priority="313387" rank="10"/>
    <cfRule type="cellIs" dxfId="7485" priority="313388" operator="equal">
      <formula>1</formula>
    </cfRule>
    <cfRule type="top10" dxfId="7484" priority="313389" rank="10"/>
    <cfRule type="cellIs" dxfId="7483" priority="313390" operator="equal">
      <formula>1</formula>
    </cfRule>
    <cfRule type="cellIs" dxfId="7482" priority="313391" operator="equal">
      <formula>4</formula>
    </cfRule>
    <cfRule type="cellIs" dxfId="7481" priority="313392" operator="equal">
      <formula>3</formula>
    </cfRule>
    <cfRule type="top10" dxfId="7480" priority="313393" rank="10"/>
    <cfRule type="cellIs" dxfId="7479" priority="313394" operator="equal">
      <formula>1</formula>
    </cfRule>
    <cfRule type="cellIs" dxfId="7478" priority="313395" operator="equal">
      <formula>4</formula>
    </cfRule>
    <cfRule type="cellIs" dxfId="7477" priority="313396" operator="equal">
      <formula>3</formula>
    </cfRule>
    <cfRule type="top10" dxfId="7476" priority="313397" rank="10"/>
    <cfRule type="top10" dxfId="7475" priority="313398" rank="10"/>
    <cfRule type="cellIs" dxfId="7474" priority="313399" operator="equal">
      <formula>4</formula>
    </cfRule>
    <cfRule type="cellIs" dxfId="7473" priority="313400" operator="equal">
      <formula>3</formula>
    </cfRule>
    <cfRule type="cellIs" dxfId="7472" priority="313401" operator="equal">
      <formula>1</formula>
    </cfRule>
    <cfRule type="top10" dxfId="7471" priority="313402" rank="10"/>
    <cfRule type="cellIs" dxfId="7470" priority="313403" operator="equal">
      <formula>1</formula>
    </cfRule>
    <cfRule type="cellIs" dxfId="7469" priority="313404" operator="equal">
      <formula>4</formula>
    </cfRule>
    <cfRule type="cellIs" dxfId="7468" priority="313405" operator="equal">
      <formula>3</formula>
    </cfRule>
    <cfRule type="top10" dxfId="7467" priority="313406" rank="10"/>
    <cfRule type="cellIs" dxfId="7466" priority="313407" operator="equal">
      <formula>1</formula>
    </cfRule>
    <cfRule type="top10" dxfId="7465" priority="313408" rank="10"/>
    <cfRule type="cellIs" dxfId="7464" priority="313409" operator="equal">
      <formula>1</formula>
    </cfRule>
    <cfRule type="cellIs" dxfId="7463" priority="313410" operator="equal">
      <formula>4</formula>
    </cfRule>
    <cfRule type="cellIs" dxfId="7462" priority="313411" operator="equal">
      <formula>3</formula>
    </cfRule>
    <cfRule type="top10" dxfId="7461" priority="313412" rank="10"/>
    <cfRule type="cellIs" dxfId="7460" priority="313413" operator="equal">
      <formula>1</formula>
    </cfRule>
    <cfRule type="top10" dxfId="7459" priority="313414" rank="10"/>
    <cfRule type="cellIs" dxfId="7458" priority="313415" operator="equal">
      <formula>1</formula>
    </cfRule>
    <cfRule type="cellIs" dxfId="7457" priority="313416" operator="equal">
      <formula>4</formula>
    </cfRule>
    <cfRule type="cellIs" dxfId="7456" priority="313417" operator="equal">
      <formula>3</formula>
    </cfRule>
    <cfRule type="top10" dxfId="7455" priority="313418" rank="10"/>
    <cfRule type="top10" dxfId="7454" priority="313419" rank="10"/>
    <cfRule type="cellIs" dxfId="7453" priority="313420" operator="equal">
      <formula>4</formula>
    </cfRule>
    <cfRule type="cellIs" dxfId="7452" priority="313421" operator="equal">
      <formula>3</formula>
    </cfRule>
    <cfRule type="cellIs" dxfId="7451" priority="313422" operator="equal">
      <formula>1</formula>
    </cfRule>
    <cfRule type="top10" dxfId="7450" priority="313423" rank="10"/>
    <cfRule type="cellIs" dxfId="7449" priority="313424" operator="equal">
      <formula>1</formula>
    </cfRule>
    <cfRule type="cellIs" dxfId="7448" priority="313425" operator="equal">
      <formula>4</formula>
    </cfRule>
    <cfRule type="cellIs" dxfId="7447" priority="313426" operator="equal">
      <formula>3</formula>
    </cfRule>
    <cfRule type="top10" dxfId="7446" priority="313427" rank="10"/>
    <cfRule type="cellIs" dxfId="7445" priority="313428" operator="equal">
      <formula>1</formula>
    </cfRule>
    <cfRule type="cellIs" dxfId="7444" priority="313429" operator="equal">
      <formula>4</formula>
    </cfRule>
    <cfRule type="cellIs" dxfId="7443" priority="313430" operator="equal">
      <formula>3</formula>
    </cfRule>
    <cfRule type="top10" dxfId="7442" priority="313431" rank="10"/>
    <cfRule type="cellIs" dxfId="7441" priority="313432" operator="equal">
      <formula>1</formula>
    </cfRule>
    <cfRule type="top10" dxfId="7440" priority="313433" rank="10"/>
    <cfRule type="cellIs" dxfId="7439" priority="313434" operator="equal">
      <formula>1</formula>
    </cfRule>
    <cfRule type="top10" dxfId="7438" priority="313435" rank="10"/>
    <cfRule type="cellIs" dxfId="7437" priority="313436" operator="equal">
      <formula>4</formula>
    </cfRule>
    <cfRule type="cellIs" dxfId="7436" priority="313437" operator="equal">
      <formula>3</formula>
    </cfRule>
    <cfRule type="cellIs" dxfId="7435" priority="313438" operator="equal">
      <formula>1</formula>
    </cfRule>
    <cfRule type="top10" dxfId="7434" priority="313439" rank="10"/>
    <cfRule type="cellIs" dxfId="7433" priority="313440" operator="equal">
      <formula>1</formula>
    </cfRule>
    <cfRule type="cellIs" dxfId="7432" priority="313441" operator="equal">
      <formula>4</formula>
    </cfRule>
    <cfRule type="cellIs" dxfId="7431" priority="313442" operator="equal">
      <formula>3</formula>
    </cfRule>
    <cfRule type="top10" dxfId="7430" priority="313443" rank="10"/>
    <cfRule type="cellIs" dxfId="7429" priority="313444" operator="equal">
      <formula>1</formula>
    </cfRule>
    <cfRule type="top10" dxfId="7428" priority="313445" rank="10"/>
    <cfRule type="cellIs" dxfId="7427" priority="313446" operator="equal">
      <formula>1</formula>
    </cfRule>
    <cfRule type="cellIs" dxfId="7426" priority="313447" operator="equal">
      <formula>4</formula>
    </cfRule>
    <cfRule type="cellIs" dxfId="7425" priority="313448" operator="equal">
      <formula>3</formula>
    </cfRule>
    <cfRule type="top10" dxfId="7424" priority="313449" rank="10"/>
    <cfRule type="cellIs" dxfId="7423" priority="313450" operator="equal">
      <formula>1</formula>
    </cfRule>
    <cfRule type="top10" dxfId="7422" priority="313451" rank="10"/>
    <cfRule type="cellIs" dxfId="7421" priority="313452" operator="equal">
      <formula>1</formula>
    </cfRule>
    <cfRule type="top10" dxfId="7420" priority="313453" rank="10"/>
    <cfRule type="cellIs" dxfId="7419" priority="313454" operator="equal">
      <formula>1</formula>
    </cfRule>
    <cfRule type="top10" dxfId="7418" priority="313455" rank="10"/>
    <cfRule type="cellIs" dxfId="7417" priority="313456" operator="equal">
      <formula>4</formula>
    </cfRule>
    <cfRule type="cellIs" dxfId="7416" priority="313457" operator="equal">
      <formula>3</formula>
    </cfRule>
    <cfRule type="top10" dxfId="7415" priority="313458" rank="10"/>
    <cfRule type="cellIs" dxfId="7414" priority="313459" operator="equal">
      <formula>1</formula>
    </cfRule>
    <cfRule type="cellIs" dxfId="7413" priority="313460" operator="equal">
      <formula>4</formula>
    </cfRule>
    <cfRule type="cellIs" dxfId="7412" priority="313461" operator="equal">
      <formula>3</formula>
    </cfRule>
    <cfRule type="top10" dxfId="7411" priority="313462" rank="10"/>
    <cfRule type="top10" dxfId="7410" priority="313463" rank="10"/>
    <cfRule type="cellIs" dxfId="7409" priority="313464" operator="equal">
      <formula>4</formula>
    </cfRule>
    <cfRule type="cellIs" dxfId="7408" priority="313465" operator="equal">
      <formula>3</formula>
    </cfRule>
    <cfRule type="cellIs" dxfId="7407" priority="313466" operator="equal">
      <formula>1</formula>
    </cfRule>
  </conditionalFormatting>
  <conditionalFormatting sqref="Q35">
    <cfRule type="top10" dxfId="7406" priority="313771" rank="10"/>
    <cfRule type="top10" dxfId="7405" priority="313772" rank="10"/>
    <cfRule type="cellIs" dxfId="7404" priority="313773" operator="equal">
      <formula>1</formula>
    </cfRule>
    <cfRule type="top10" dxfId="7403" priority="313774" rank="10"/>
    <cfRule type="cellIs" dxfId="7402" priority="313775" operator="equal">
      <formula>1</formula>
    </cfRule>
    <cfRule type="top10" dxfId="7401" priority="313776" rank="10"/>
    <cfRule type="cellIs" dxfId="7400" priority="313777" operator="equal">
      <formula>1</formula>
    </cfRule>
    <cfRule type="top10" dxfId="7399" priority="313778" rank="10"/>
    <cfRule type="cellIs" dxfId="7398" priority="313779" operator="equal">
      <formula>1</formula>
    </cfRule>
    <cfRule type="top10" dxfId="7397" priority="313780" rank="10"/>
    <cfRule type="top10" dxfId="7396" priority="313781" rank="10"/>
    <cfRule type="cellIs" dxfId="7395" priority="313782" operator="equal">
      <formula>1</formula>
    </cfRule>
    <cfRule type="top10" dxfId="7394" priority="313783" rank="10"/>
    <cfRule type="cellIs" dxfId="7393" priority="313784" operator="equal">
      <formula>1</formula>
    </cfRule>
    <cfRule type="top10" dxfId="7392" priority="313785" rank="10"/>
    <cfRule type="cellIs" dxfId="7391" priority="313786" operator="equal">
      <formula>1</formula>
    </cfRule>
    <cfRule type="cellIs" dxfId="7390" priority="313787" operator="equal">
      <formula>4</formula>
    </cfRule>
    <cfRule type="cellIs" dxfId="7389" priority="313788" operator="equal">
      <formula>3</formula>
    </cfRule>
    <cfRule type="top10" dxfId="7388" priority="313789" rank="10"/>
    <cfRule type="cellIs" dxfId="7387" priority="313790" operator="equal">
      <formula>4</formula>
    </cfRule>
    <cfRule type="cellIs" dxfId="7386" priority="313791" operator="equal">
      <formula>3</formula>
    </cfRule>
    <cfRule type="top10" dxfId="7385" priority="313792" rank="10"/>
    <cfRule type="cellIs" dxfId="7384" priority="313793" operator="equal">
      <formula>1</formula>
    </cfRule>
    <cfRule type="cellIs" dxfId="7383" priority="313794" operator="equal">
      <formula>4</formula>
    </cfRule>
    <cfRule type="cellIs" dxfId="7382" priority="313795" operator="equal">
      <formula>3</formula>
    </cfRule>
    <cfRule type="top10" dxfId="7381" priority="313796" rank="10"/>
    <cfRule type="cellIs" dxfId="7380" priority="313797" operator="equal">
      <formula>1</formula>
    </cfRule>
    <cfRule type="top10" dxfId="7379" priority="313798" rank="10"/>
    <cfRule type="cellIs" dxfId="7378" priority="313799" operator="equal">
      <formula>1</formula>
    </cfRule>
    <cfRule type="top10" dxfId="7377" priority="313800" rank="10"/>
    <cfRule type="cellIs" dxfId="7376" priority="313801" operator="equal">
      <formula>1</formula>
    </cfRule>
    <cfRule type="top10" dxfId="7375" priority="313802" rank="10"/>
    <cfRule type="cellIs" dxfId="7374" priority="313803" operator="equal">
      <formula>1</formula>
    </cfRule>
    <cfRule type="top10" dxfId="7373" priority="313804" rank="10"/>
    <cfRule type="cellIs" dxfId="7372" priority="313805" operator="equal">
      <formula>1</formula>
    </cfRule>
    <cfRule type="top10" dxfId="7371" priority="313806" rank="10"/>
    <cfRule type="cellIs" dxfId="7370" priority="313807" operator="equal">
      <formula>1</formula>
    </cfRule>
    <cfRule type="top10" dxfId="7369" priority="313808" rank="10"/>
    <cfRule type="cellIs" dxfId="7368" priority="313809" operator="equal">
      <formula>1</formula>
    </cfRule>
    <cfRule type="top10" dxfId="7367" priority="313810" rank="10"/>
    <cfRule type="cellIs" dxfId="7366" priority="313811" operator="equal">
      <formula>1</formula>
    </cfRule>
    <cfRule type="top10" dxfId="7365" priority="313812" rank="10"/>
    <cfRule type="top10" dxfId="7364" priority="313813" rank="10"/>
    <cfRule type="cellIs" dxfId="7363" priority="313814" operator="equal">
      <formula>1</formula>
    </cfRule>
    <cfRule type="top10" dxfId="7362" priority="313815" rank="10"/>
    <cfRule type="cellIs" dxfId="7361" priority="313816" operator="equal">
      <formula>1</formula>
    </cfRule>
    <cfRule type="top10" dxfId="7360" priority="313817" rank="10"/>
    <cfRule type="cellIs" dxfId="7359" priority="313818" operator="equal">
      <formula>1</formula>
    </cfRule>
    <cfRule type="top10" dxfId="7358" priority="313819" rank="10"/>
    <cfRule type="top10" dxfId="7357" priority="313820" rank="10"/>
    <cfRule type="top10" dxfId="7356" priority="313821" rank="10"/>
    <cfRule type="cellIs" dxfId="7355" priority="313822" operator="equal">
      <formula>1</formula>
    </cfRule>
    <cfRule type="top10" dxfId="7354" priority="313823" rank="10"/>
    <cfRule type="cellIs" dxfId="7353" priority="313824" operator="equal">
      <formula>1</formula>
    </cfRule>
    <cfRule type="top10" dxfId="7352" priority="313825" rank="10"/>
    <cfRule type="top10" dxfId="7351" priority="313889" rank="10"/>
    <cfRule type="top10" dxfId="7350" priority="313890" rank="10"/>
    <cfRule type="cellIs" dxfId="7349" priority="313891" operator="equal">
      <formula>1</formula>
    </cfRule>
    <cfRule type="top10" dxfId="7348" priority="313892" rank="10"/>
    <cfRule type="cellIs" dxfId="7347" priority="313893" operator="equal">
      <formula>1</formula>
    </cfRule>
    <cfRule type="top10" dxfId="7346" priority="313894" rank="10"/>
    <cfRule type="top10" dxfId="7345" priority="313895" rank="10"/>
    <cfRule type="top10" dxfId="7344" priority="313896" rank="10"/>
    <cfRule type="cellIs" dxfId="7343" priority="313897" operator="equal">
      <formula>1</formula>
    </cfRule>
    <cfRule type="top10" dxfId="7342" priority="313898" rank="10"/>
    <cfRule type="top10" dxfId="7341" priority="313899" rank="10"/>
    <cfRule type="cellIs" dxfId="7340" priority="313900" operator="equal">
      <formula>1</formula>
    </cfRule>
    <cfRule type="top10" dxfId="7339" priority="313978" rank="10"/>
    <cfRule type="top10" dxfId="7338" priority="313979" rank="10"/>
    <cfRule type="cellIs" dxfId="7337" priority="313980" operator="equal">
      <formula>4</formula>
    </cfRule>
    <cfRule type="cellIs" dxfId="7336" priority="313981" operator="equal">
      <formula>3</formula>
    </cfRule>
    <cfRule type="cellIs" dxfId="7335" priority="313982" operator="equal">
      <formula>1</formula>
    </cfRule>
    <cfRule type="top10" dxfId="7334" priority="313983" rank="10"/>
    <cfRule type="cellIs" dxfId="7333" priority="313984" operator="equal">
      <formula>1</formula>
    </cfRule>
    <cfRule type="top10" dxfId="7332" priority="313985" rank="10"/>
    <cfRule type="cellIs" dxfId="7331" priority="313986" operator="equal">
      <formula>1</formula>
    </cfRule>
    <cfRule type="top10" dxfId="7330" priority="313997" rank="10"/>
    <cfRule type="cellIs" dxfId="7329" priority="313998" operator="equal">
      <formula>1</formula>
    </cfRule>
    <cfRule type="top10" dxfId="7328" priority="313999" rank="10"/>
    <cfRule type="cellIs" dxfId="7327" priority="314000" operator="equal">
      <formula>1</formula>
    </cfRule>
    <cfRule type="top10" dxfId="7326" priority="314001" rank="10"/>
    <cfRule type="top10" dxfId="7325" priority="314002" rank="10"/>
    <cfRule type="cellIs" dxfId="7324" priority="314003" operator="equal">
      <formula>1</formula>
    </cfRule>
  </conditionalFormatting>
  <conditionalFormatting sqref="Q35:R35 V35">
    <cfRule type="top10" dxfId="7323" priority="314009" rank="10"/>
  </conditionalFormatting>
  <conditionalFormatting sqref="Q35:R35">
    <cfRule type="top10" dxfId="7322" priority="313987" rank="10"/>
    <cfRule type="top10" dxfId="7321" priority="313988" rank="10"/>
  </conditionalFormatting>
  <conditionalFormatting sqref="Q19:T20 T20:T35 Q22:T29 R30:R35 U35:V35">
    <cfRule type="cellIs" dxfId="7320" priority="313509" operator="equal">
      <formula>4</formula>
    </cfRule>
    <cfRule type="cellIs" dxfId="7319" priority="313510" operator="equal">
      <formula>3</formula>
    </cfRule>
    <cfRule type="cellIs" dxfId="7318" priority="313511" operator="equal">
      <formula>1</formula>
    </cfRule>
  </conditionalFormatting>
  <conditionalFormatting sqref="Q29:T29 M22:T22 M27:T27 S25:T25 R30:R35 M25:N25">
    <cfRule type="top10" dxfId="7317" priority="313467" rank="10"/>
    <cfRule type="top10" dxfId="7316" priority="313468" rank="10"/>
    <cfRule type="top10" dxfId="7315" priority="313469" rank="10"/>
    <cfRule type="top10" dxfId="7314" priority="313470" rank="10"/>
    <cfRule type="top10" dxfId="7313" priority="313471" rank="10"/>
  </conditionalFormatting>
  <conditionalFormatting sqref="R19">
    <cfRule type="cellIs" dxfId="7312" priority="1269" operator="equal">
      <formula>1</formula>
    </cfRule>
    <cfRule type="cellIs" dxfId="7311" priority="1270" operator="equal">
      <formula>4</formula>
    </cfRule>
    <cfRule type="cellIs" dxfId="7310" priority="1271" operator="equal">
      <formula>3</formula>
    </cfRule>
    <cfRule type="top10" dxfId="7309" priority="1272" rank="10"/>
    <cfRule type="top10" dxfId="7308" priority="1273" rank="10"/>
    <cfRule type="top10" dxfId="7307" priority="1274" rank="10"/>
    <cfRule type="top10" dxfId="7306" priority="1275" rank="10"/>
    <cfRule type="top10" dxfId="7305" priority="1276" rank="10"/>
    <cfRule type="cellIs" dxfId="7304" priority="1277" operator="equal">
      <formula>1</formula>
    </cfRule>
    <cfRule type="top10" dxfId="7303" priority="1278" rank="10"/>
    <cfRule type="cellIs" dxfId="7302" priority="1279" operator="equal">
      <formula>1</formula>
    </cfRule>
    <cfRule type="cellIs" dxfId="7301" priority="1280" operator="equal">
      <formula>4</formula>
    </cfRule>
    <cfRule type="cellIs" dxfId="7300" priority="1281" operator="equal">
      <formula>3</formula>
    </cfRule>
    <cfRule type="top10" dxfId="7299" priority="1282" rank="10"/>
    <cfRule type="top10" dxfId="7298" priority="1283" rank="10"/>
    <cfRule type="cellIs" dxfId="7297" priority="1284" operator="equal">
      <formula>1</formula>
    </cfRule>
    <cfRule type="top10" dxfId="7296" priority="1285" rank="10"/>
    <cfRule type="cellIs" dxfId="7295" priority="1286" operator="equal">
      <formula>4</formula>
    </cfRule>
    <cfRule type="cellIs" dxfId="7294" priority="1287" operator="equal">
      <formula>3</formula>
    </cfRule>
    <cfRule type="cellIs" dxfId="7293" priority="1288" operator="equal">
      <formula>1</formula>
    </cfRule>
    <cfRule type="top10" dxfId="7292" priority="1289" rank="10"/>
    <cfRule type="cellIs" dxfId="7291" priority="1290" operator="equal">
      <formula>4</formula>
    </cfRule>
    <cfRule type="cellIs" dxfId="7290" priority="1291" operator="equal">
      <formula>3</formula>
    </cfRule>
    <cfRule type="cellIs" dxfId="7289" priority="1292" operator="equal">
      <formula>1</formula>
    </cfRule>
    <cfRule type="top10" dxfId="7288" priority="1668" rank="10"/>
    <cfRule type="top10" dxfId="7287" priority="1669" rank="10"/>
    <cfRule type="top10" dxfId="7286" priority="1670" rank="10"/>
    <cfRule type="top10" dxfId="7285" priority="1671" rank="10"/>
    <cfRule type="top10" dxfId="7284" priority="1672" rank="10"/>
    <cfRule type="cellIs" dxfId="7283" priority="1673" operator="equal">
      <formula>4</formula>
    </cfRule>
    <cfRule type="cellIs" dxfId="7282" priority="1674" operator="equal">
      <formula>3</formula>
    </cfRule>
    <cfRule type="cellIs" dxfId="7281" priority="1675" operator="equal">
      <formula>1</formula>
    </cfRule>
    <cfRule type="top10" dxfId="7280" priority="1676" rank="10"/>
    <cfRule type="cellIs" dxfId="7279" priority="1677" operator="equal">
      <formula>1</formula>
    </cfRule>
    <cfRule type="cellIs" dxfId="7278" priority="1678" operator="equal">
      <formula>4</formula>
    </cfRule>
    <cfRule type="cellIs" dxfId="7277" priority="1679" operator="equal">
      <formula>3</formula>
    </cfRule>
  </conditionalFormatting>
  <conditionalFormatting sqref="R24">
    <cfRule type="top10" dxfId="7276" priority="890" rank="10"/>
    <cfRule type="cellIs" dxfId="7275" priority="891" operator="equal">
      <formula>1</formula>
    </cfRule>
    <cfRule type="cellIs" dxfId="7274" priority="892" operator="equal">
      <formula>4</formula>
    </cfRule>
    <cfRule type="cellIs" dxfId="7273" priority="893" operator="equal">
      <formula>3</formula>
    </cfRule>
  </conditionalFormatting>
  <conditionalFormatting sqref="R28">
    <cfRule type="top10" dxfId="7272" priority="1825" rank="10"/>
    <cfRule type="top10" dxfId="7271" priority="1826" rank="10"/>
    <cfRule type="top10" dxfId="7270" priority="1827" rank="10"/>
    <cfRule type="top10" dxfId="7269" priority="1828" rank="10"/>
    <cfRule type="top10" dxfId="7268" priority="1829" rank="10"/>
    <cfRule type="cellIs" dxfId="7267" priority="1830" operator="equal">
      <formula>4</formula>
    </cfRule>
    <cfRule type="cellIs" dxfId="7266" priority="1831" operator="equal">
      <formula>3</formula>
    </cfRule>
    <cfRule type="cellIs" dxfId="7265" priority="1832" operator="equal">
      <formula>1</formula>
    </cfRule>
  </conditionalFormatting>
  <conditionalFormatting sqref="R30:R35 Q22:T29 Q19:T20 T20:T35 U35:V35">
    <cfRule type="top10" dxfId="7264" priority="313508" rank="10"/>
  </conditionalFormatting>
  <conditionalFormatting sqref="R35 V35">
    <cfRule type="top10" dxfId="7263" priority="313991" rank="10"/>
    <cfRule type="top10" dxfId="7262" priority="313992" rank="10"/>
    <cfRule type="top10" dxfId="7261" priority="313993" rank="10"/>
  </conditionalFormatting>
  <conditionalFormatting sqref="R35">
    <cfRule type="top10" dxfId="7260" priority="313989" rank="10"/>
    <cfRule type="top10" dxfId="7259" priority="313990" rank="10"/>
  </conditionalFormatting>
  <conditionalFormatting sqref="R30:T35 U35:V35">
    <cfRule type="top10" dxfId="7258" priority="313497" rank="10"/>
    <cfRule type="top10" dxfId="7257" priority="313498" rank="10"/>
    <cfRule type="top10" dxfId="7256" priority="313499" rank="10"/>
    <cfRule type="top10" dxfId="7255" priority="313500" rank="10"/>
    <cfRule type="top10" dxfId="7254" priority="313501" rank="10"/>
    <cfRule type="top10" dxfId="7253" priority="313684" rank="10"/>
    <cfRule type="cellIs" dxfId="7252" priority="313685" operator="equal">
      <formula>4</formula>
    </cfRule>
    <cfRule type="cellIs" dxfId="7251" priority="313686" operator="equal">
      <formula>3</formula>
    </cfRule>
    <cfRule type="cellIs" dxfId="7250" priority="313687" operator="equal">
      <formula>1</formula>
    </cfRule>
  </conditionalFormatting>
  <conditionalFormatting sqref="R35:V35">
    <cfRule type="top10" dxfId="7249" priority="313901" rank="10"/>
    <cfRule type="top10" dxfId="7248" priority="313902" rank="10"/>
    <cfRule type="cellIs" dxfId="7247" priority="313903" operator="equal">
      <formula>4</formula>
    </cfRule>
    <cfRule type="cellIs" dxfId="7246" priority="313904" operator="equal">
      <formula>3</formula>
    </cfRule>
    <cfRule type="cellIs" dxfId="7245" priority="313905" operator="equal">
      <formula>1</formula>
    </cfRule>
    <cfRule type="top10" dxfId="7244" priority="313906" rank="10"/>
    <cfRule type="cellIs" dxfId="7243" priority="313907" operator="equal">
      <formula>1</formula>
    </cfRule>
    <cfRule type="cellIs" dxfId="7242" priority="313908" operator="equal">
      <formula>4</formula>
    </cfRule>
    <cfRule type="cellIs" dxfId="7241" priority="313909" operator="equal">
      <formula>3</formula>
    </cfRule>
    <cfRule type="top10" dxfId="7240" priority="313910" rank="10"/>
    <cfRule type="cellIs" dxfId="7239" priority="313911" operator="equal">
      <formula>1</formula>
    </cfRule>
    <cfRule type="top10" dxfId="7238" priority="313912" rank="10"/>
    <cfRule type="cellIs" dxfId="7237" priority="313913" operator="equal">
      <formula>1</formula>
    </cfRule>
    <cfRule type="top10" dxfId="7236" priority="313914" rank="10"/>
    <cfRule type="cellIs" dxfId="7235" priority="313915" operator="equal">
      <formula>1</formula>
    </cfRule>
    <cfRule type="top10" dxfId="7234" priority="313916" rank="10"/>
    <cfRule type="top10" dxfId="7233" priority="313917" rank="10"/>
    <cfRule type="cellIs" dxfId="7232" priority="313918" operator="equal">
      <formula>1</formula>
    </cfRule>
    <cfRule type="top10" dxfId="7231" priority="313919" rank="10"/>
    <cfRule type="top10" dxfId="7230" priority="313923" rank="10"/>
    <cfRule type="top10" dxfId="7229" priority="313924" rank="10"/>
    <cfRule type="top10" dxfId="7228" priority="313925" rank="10"/>
  </conditionalFormatting>
  <conditionalFormatting sqref="S35">
    <cfRule type="top10" dxfId="7227" priority="313920" rank="10"/>
    <cfRule type="top10" dxfId="7226" priority="313921" rank="10"/>
    <cfRule type="top10" dxfId="7225" priority="313922" rank="10"/>
  </conditionalFormatting>
  <conditionalFormatting sqref="T35:V35">
    <cfRule type="cellIs" dxfId="7224" priority="313936" operator="equal">
      <formula>1</formula>
    </cfRule>
    <cfRule type="top10" dxfId="7223" priority="313937" rank="10"/>
    <cfRule type="top10" dxfId="7222" priority="313938" rank="10"/>
    <cfRule type="cellIs" dxfId="7221" priority="313939" operator="equal">
      <formula>1</formula>
    </cfRule>
    <cfRule type="top10" dxfId="7220" priority="313940" rank="10"/>
    <cfRule type="cellIs" dxfId="7219" priority="313941" operator="equal">
      <formula>1</formula>
    </cfRule>
    <cfRule type="cellIs" dxfId="7218" priority="313942" operator="equal">
      <formula>4</formula>
    </cfRule>
    <cfRule type="cellIs" dxfId="7217" priority="313943" operator="equal">
      <formula>3</formula>
    </cfRule>
    <cfRule type="top10" dxfId="7216" priority="313944" rank="10"/>
    <cfRule type="top10" dxfId="7215" priority="313945" rank="10"/>
    <cfRule type="cellIs" dxfId="7214" priority="313946" operator="equal">
      <formula>1</formula>
    </cfRule>
    <cfRule type="top10" dxfId="7213" priority="313947" rank="10"/>
    <cfRule type="top10" dxfId="7212" priority="313948" rank="10"/>
    <cfRule type="cellIs" dxfId="7211" priority="313949" operator="equal">
      <formula>1</formula>
    </cfRule>
    <cfRule type="top10" dxfId="7210" priority="313950" rank="10"/>
    <cfRule type="cellIs" dxfId="7209" priority="313951" operator="equal">
      <formula>1</formula>
    </cfRule>
    <cfRule type="top10" dxfId="7208" priority="313952" rank="10"/>
    <cfRule type="top10" dxfId="7207" priority="313953" rank="10"/>
    <cfRule type="cellIs" dxfId="7206" priority="313954" operator="equal">
      <formula>1</formula>
    </cfRule>
    <cfRule type="cellIs" dxfId="7205" priority="313955" operator="equal">
      <formula>4</formula>
    </cfRule>
    <cfRule type="cellIs" dxfId="7204" priority="313956" operator="equal">
      <formula>3</formula>
    </cfRule>
    <cfRule type="top10" dxfId="7203" priority="313957" rank="10"/>
    <cfRule type="cellIs" dxfId="7202" priority="313958" operator="equal">
      <formula>1</formula>
    </cfRule>
    <cfRule type="cellIs" dxfId="7201" priority="313959" operator="equal">
      <formula>4</formula>
    </cfRule>
    <cfRule type="cellIs" dxfId="7200" priority="313960" operator="equal">
      <formula>3</formula>
    </cfRule>
    <cfRule type="top10" dxfId="7199" priority="313961" rank="10"/>
    <cfRule type="cellIs" dxfId="7198" priority="313962" operator="equal">
      <formula>1</formula>
    </cfRule>
    <cfRule type="cellIs" dxfId="7197" priority="313963" operator="equal">
      <formula>4</formula>
    </cfRule>
    <cfRule type="cellIs" dxfId="7196" priority="313964" operator="equal">
      <formula>3</formula>
    </cfRule>
    <cfRule type="top10" dxfId="7195" priority="313965" rank="10"/>
    <cfRule type="cellIs" dxfId="7194" priority="313966" operator="equal">
      <formula>1</formula>
    </cfRule>
    <cfRule type="top10" dxfId="7193" priority="313967" rank="10"/>
    <cfRule type="cellIs" dxfId="7192" priority="313968" operator="equal">
      <formula>1</formula>
    </cfRule>
  </conditionalFormatting>
  <conditionalFormatting sqref="U19">
    <cfRule type="top10" dxfId="7191" priority="1248" rank="10"/>
    <cfRule type="top10" dxfId="7190" priority="1249" rank="10"/>
    <cfRule type="top10" dxfId="7189" priority="1250" rank="10"/>
    <cfRule type="top10" dxfId="7188" priority="1251" rank="10"/>
    <cfRule type="top10" dxfId="7187" priority="1252" rank="10"/>
    <cfRule type="cellIs" dxfId="7186" priority="1253" operator="equal">
      <formula>1</formula>
    </cfRule>
    <cfRule type="top10" dxfId="7185" priority="1254" rank="10"/>
    <cfRule type="cellIs" dxfId="7184" priority="1255" operator="equal">
      <formula>1</formula>
    </cfRule>
    <cfRule type="cellIs" dxfId="7183" priority="1256" operator="equal">
      <formula>4</formula>
    </cfRule>
    <cfRule type="cellIs" dxfId="7182" priority="1257" operator="equal">
      <formula>3</formula>
    </cfRule>
    <cfRule type="top10" dxfId="7181" priority="1258" rank="10"/>
    <cfRule type="top10" dxfId="7180" priority="1259" rank="10"/>
    <cfRule type="cellIs" dxfId="7179" priority="1260" operator="equal">
      <formula>1</formula>
    </cfRule>
    <cfRule type="top10" dxfId="7178" priority="1261" rank="10"/>
    <cfRule type="cellIs" dxfId="7177" priority="1262" operator="equal">
      <formula>4</formula>
    </cfRule>
    <cfRule type="cellIs" dxfId="7176" priority="1263" operator="equal">
      <formula>3</formula>
    </cfRule>
    <cfRule type="cellIs" dxfId="7175" priority="1264" operator="equal">
      <formula>1</formula>
    </cfRule>
    <cfRule type="top10" dxfId="7174" priority="1265" rank="10"/>
    <cfRule type="cellIs" dxfId="7173" priority="1266" operator="equal">
      <formula>4</formula>
    </cfRule>
    <cfRule type="cellIs" dxfId="7172" priority="1267" operator="equal">
      <formula>3</formula>
    </cfRule>
  </conditionalFormatting>
  <conditionalFormatting sqref="U29">
    <cfRule type="cellIs" dxfId="7171" priority="1079" operator="equal">
      <formula>1</formula>
    </cfRule>
    <cfRule type="cellIs" dxfId="7170" priority="1080" operator="equal">
      <formula>4</formula>
    </cfRule>
    <cfRule type="cellIs" dxfId="7169" priority="1081" operator="equal">
      <formula>3</formula>
    </cfRule>
    <cfRule type="top10" dxfId="7168" priority="1082" rank="10"/>
    <cfRule type="top10" dxfId="7167" priority="1083" rank="10"/>
    <cfRule type="top10" dxfId="7166" priority="1084" rank="10"/>
    <cfRule type="top10" dxfId="7165" priority="1085" rank="10"/>
    <cfRule type="top10" dxfId="7164" priority="1086" rank="10"/>
    <cfRule type="cellIs" dxfId="7163" priority="1087" operator="equal">
      <formula>1</formula>
    </cfRule>
    <cfRule type="top10" dxfId="7162" priority="1088" rank="10"/>
    <cfRule type="cellIs" dxfId="7161" priority="1089" operator="equal">
      <formula>1</formula>
    </cfRule>
    <cfRule type="cellIs" dxfId="7160" priority="1090" operator="equal">
      <formula>4</formula>
    </cfRule>
    <cfRule type="cellIs" dxfId="7159" priority="1091" operator="equal">
      <formula>3</formula>
    </cfRule>
    <cfRule type="top10" dxfId="7158" priority="1092" rank="10"/>
    <cfRule type="top10" dxfId="7157" priority="1093" rank="10"/>
    <cfRule type="cellIs" dxfId="7156" priority="1094" operator="equal">
      <formula>1</formula>
    </cfRule>
    <cfRule type="top10" dxfId="7155" priority="1095" rank="10"/>
    <cfRule type="cellIs" dxfId="7154" priority="1096" operator="equal">
      <formula>4</formula>
    </cfRule>
    <cfRule type="cellIs" dxfId="7153" priority="1097" operator="equal">
      <formula>3</formula>
    </cfRule>
    <cfRule type="cellIs" dxfId="7152" priority="1098" operator="equal">
      <formula>1</formula>
    </cfRule>
    <cfRule type="top10" dxfId="7151" priority="1099" rank="10"/>
  </conditionalFormatting>
  <conditionalFormatting sqref="U19:V19">
    <cfRule type="cellIs" dxfId="7150" priority="1242" operator="equal">
      <formula>4</formula>
    </cfRule>
    <cfRule type="cellIs" dxfId="7149" priority="1243" operator="equal">
      <formula>3</formula>
    </cfRule>
    <cfRule type="cellIs" dxfId="7148" priority="1244" operator="equal">
      <formula>1</formula>
    </cfRule>
  </conditionalFormatting>
  <conditionalFormatting sqref="U20:V29 U19">
    <cfRule type="top10" dxfId="7147" priority="293241" rank="10"/>
  </conditionalFormatting>
  <conditionalFormatting sqref="U30:V35">
    <cfRule type="top10" dxfId="7146" priority="313507" rank="10"/>
  </conditionalFormatting>
  <conditionalFormatting sqref="U31:V31">
    <cfRule type="top10" dxfId="7145" priority="279897" rank="10"/>
    <cfRule type="top10" dxfId="7144" priority="279898" rank="10"/>
    <cfRule type="top10" dxfId="7143" priority="279899" rank="10"/>
    <cfRule type="top10" dxfId="7142" priority="279900" rank="10"/>
    <cfRule type="top10" dxfId="7141" priority="279901" rank="10"/>
    <cfRule type="top10" dxfId="7140" priority="279902" rank="10"/>
    <cfRule type="cellIs" dxfId="7139" priority="279903" operator="equal">
      <formula>4</formula>
    </cfRule>
    <cfRule type="cellIs" dxfId="7138" priority="279904" operator="equal">
      <formula>3</formula>
    </cfRule>
    <cfRule type="cellIs" dxfId="7137" priority="279905" operator="equal">
      <formula>1</formula>
    </cfRule>
  </conditionalFormatting>
  <conditionalFormatting sqref="U32:V32">
    <cfRule type="top10" dxfId="7136" priority="1" rank="10"/>
    <cfRule type="cellIs" dxfId="7135" priority="2" operator="equal">
      <formula>4</formula>
    </cfRule>
    <cfRule type="cellIs" dxfId="7134" priority="3" operator="equal">
      <formula>3</formula>
    </cfRule>
    <cfRule type="cellIs" dxfId="7133" priority="4" operator="equal">
      <formula>1</formula>
    </cfRule>
    <cfRule type="top10" dxfId="7132" priority="5" rank="10"/>
    <cfRule type="top10" dxfId="7131" priority="6" rank="10"/>
    <cfRule type="top10" dxfId="7130" priority="7" rank="10"/>
    <cfRule type="top10" dxfId="7129" priority="8" rank="10"/>
    <cfRule type="top10" dxfId="7128" priority="9" rank="10"/>
    <cfRule type="cellIs" dxfId="7127" priority="10" operator="equal">
      <formula>4</formula>
    </cfRule>
    <cfRule type="cellIs" dxfId="7126" priority="11" operator="equal">
      <formula>3</formula>
    </cfRule>
    <cfRule type="cellIs" dxfId="7125" priority="12" operator="equal">
      <formula>1</formula>
    </cfRule>
    <cfRule type="cellIs" dxfId="7124" priority="13" operator="equal">
      <formula>1</formula>
    </cfRule>
  </conditionalFormatting>
  <conditionalFormatting sqref="U32:V35">
    <cfRule type="cellIs" dxfId="7123" priority="739" operator="equal">
      <formula>4</formula>
    </cfRule>
    <cfRule type="cellIs" dxfId="7122" priority="740" operator="equal">
      <formula>3</formula>
    </cfRule>
    <cfRule type="cellIs" dxfId="7121" priority="741" operator="equal">
      <formula>1</formula>
    </cfRule>
    <cfRule type="cellIs" dxfId="7120" priority="742" operator="equal">
      <formula>1</formula>
    </cfRule>
    <cfRule type="cellIs" dxfId="7119" priority="743" operator="equal">
      <formula>1</formula>
    </cfRule>
    <cfRule type="top10" dxfId="7118" priority="312850" rank="10"/>
    <cfRule type="top10" dxfId="7117" priority="312851" rank="10"/>
    <cfRule type="top10" dxfId="7116" priority="312852" rank="10"/>
    <cfRule type="top10" dxfId="7115" priority="312853" rank="10"/>
    <cfRule type="top10" dxfId="7114" priority="312854" rank="10"/>
    <cfRule type="top10" dxfId="7113" priority="312855" rank="10"/>
    <cfRule type="cellIs" dxfId="7112" priority="312856" operator="equal">
      <formula>4</formula>
    </cfRule>
    <cfRule type="cellIs" dxfId="7111" priority="312857" operator="equal">
      <formula>3</formula>
    </cfRule>
    <cfRule type="cellIs" dxfId="7110" priority="312858" operator="equal">
      <formula>1</formula>
    </cfRule>
    <cfRule type="top10" dxfId="7109" priority="314018" rank="10"/>
  </conditionalFormatting>
  <conditionalFormatting sqref="U19:W19">
    <cfRule type="cellIs" dxfId="7108" priority="1268" operator="equal">
      <formula>1</formula>
    </cfRule>
  </conditionalFormatting>
  <conditionalFormatting sqref="U35:W35">
    <cfRule type="cellIs" dxfId="7107" priority="349" operator="equal">
      <formula>1</formula>
    </cfRule>
    <cfRule type="cellIs" dxfId="7106" priority="350" operator="equal">
      <formula>1</formula>
    </cfRule>
    <cfRule type="cellIs" dxfId="7105" priority="351" operator="equal">
      <formula>1</formula>
    </cfRule>
    <cfRule type="top10" dxfId="7104" priority="313930" rank="10"/>
    <cfRule type="top10" dxfId="7103" priority="313931" rank="10"/>
    <cfRule type="top10" dxfId="7102" priority="313932" rank="10"/>
    <cfRule type="top10" dxfId="7101" priority="313933" rank="10"/>
    <cfRule type="top10" dxfId="7100" priority="313934" rank="10"/>
    <cfRule type="top10" dxfId="7099" priority="313935" rank="10"/>
  </conditionalFormatting>
  <conditionalFormatting sqref="V19">
    <cfRule type="top10" dxfId="7098" priority="1224" rank="10"/>
    <cfRule type="top10" dxfId="7097" priority="1225" rank="10"/>
    <cfRule type="top10" dxfId="7096" priority="1226" rank="10"/>
    <cfRule type="top10" dxfId="7095" priority="1227" rank="10"/>
    <cfRule type="top10" dxfId="7094" priority="1228" rank="10"/>
    <cfRule type="cellIs" dxfId="7093" priority="1229" operator="equal">
      <formula>1</formula>
    </cfRule>
    <cfRule type="top10" dxfId="7092" priority="1230" rank="10"/>
    <cfRule type="cellIs" dxfId="7091" priority="1231" operator="equal">
      <formula>1</formula>
    </cfRule>
    <cfRule type="cellIs" dxfId="7090" priority="1232" operator="equal">
      <formula>4</formula>
    </cfRule>
    <cfRule type="cellIs" dxfId="7089" priority="1233" operator="equal">
      <formula>3</formula>
    </cfRule>
    <cfRule type="top10" dxfId="7088" priority="1234" rank="10"/>
    <cfRule type="top10" dxfId="7087" priority="1235" rank="10"/>
    <cfRule type="cellIs" dxfId="7086" priority="1236" operator="equal">
      <formula>1</formula>
    </cfRule>
    <cfRule type="top10" dxfId="7085" priority="1237" rank="10"/>
    <cfRule type="cellIs" dxfId="7084" priority="1238" operator="equal">
      <formula>4</formula>
    </cfRule>
    <cfRule type="cellIs" dxfId="7083" priority="1239" operator="equal">
      <formula>3</formula>
    </cfRule>
    <cfRule type="cellIs" dxfId="7082" priority="1240" operator="equal">
      <formula>1</formula>
    </cfRule>
    <cfRule type="top10" dxfId="7081" priority="1241" rank="10"/>
  </conditionalFormatting>
  <conditionalFormatting sqref="V20">
    <cfRule type="cellIs" dxfId="7080" priority="1151" operator="equal">
      <formula>1</formula>
    </cfRule>
    <cfRule type="cellIs" dxfId="7079" priority="1152" operator="equal">
      <formula>4</formula>
    </cfRule>
    <cfRule type="cellIs" dxfId="7078" priority="1153" operator="equal">
      <formula>3</formula>
    </cfRule>
    <cfRule type="top10" dxfId="7077" priority="1154" rank="10"/>
    <cfRule type="top10" dxfId="7076" priority="1155" rank="10"/>
    <cfRule type="top10" dxfId="7075" priority="1156" rank="10"/>
    <cfRule type="top10" dxfId="7074" priority="1157" rank="10"/>
    <cfRule type="top10" dxfId="7073" priority="1158" rank="10"/>
    <cfRule type="cellIs" dxfId="7072" priority="1159" operator="equal">
      <formula>1</formula>
    </cfRule>
    <cfRule type="top10" dxfId="7071" priority="1160" rank="10"/>
    <cfRule type="cellIs" dxfId="7070" priority="1161" operator="equal">
      <formula>1</formula>
    </cfRule>
    <cfRule type="cellIs" dxfId="7069" priority="1162" operator="equal">
      <formula>4</formula>
    </cfRule>
    <cfRule type="cellIs" dxfId="7068" priority="1163" operator="equal">
      <formula>3</formula>
    </cfRule>
    <cfRule type="top10" dxfId="7067" priority="1164" rank="10"/>
    <cfRule type="top10" dxfId="7066" priority="1165" rank="10"/>
    <cfRule type="cellIs" dxfId="7065" priority="1166" operator="equal">
      <formula>1</formula>
    </cfRule>
    <cfRule type="top10" dxfId="7064" priority="1167" rank="10"/>
    <cfRule type="cellIs" dxfId="7063" priority="1168" operator="equal">
      <formula>4</formula>
    </cfRule>
    <cfRule type="cellIs" dxfId="7062" priority="1169" operator="equal">
      <formula>3</formula>
    </cfRule>
    <cfRule type="cellIs" dxfId="7061" priority="1170" operator="equal">
      <formula>1</formula>
    </cfRule>
  </conditionalFormatting>
  <conditionalFormatting sqref="V22:V24">
    <cfRule type="cellIs" dxfId="7060" priority="1127" operator="equal">
      <formula>1</formula>
    </cfRule>
    <cfRule type="cellIs" dxfId="7059" priority="1128" operator="equal">
      <formula>4</formula>
    </cfRule>
    <cfRule type="cellIs" dxfId="7058" priority="1129" operator="equal">
      <formula>3</formula>
    </cfRule>
    <cfRule type="top10" dxfId="7057" priority="1130" rank="10"/>
    <cfRule type="top10" dxfId="7056" priority="1131" rank="10"/>
    <cfRule type="top10" dxfId="7055" priority="1132" rank="10"/>
    <cfRule type="top10" dxfId="7054" priority="1133" rank="10"/>
    <cfRule type="top10" dxfId="7053" priority="1134" rank="10"/>
    <cfRule type="cellIs" dxfId="7052" priority="1135" operator="equal">
      <formula>1</formula>
    </cfRule>
    <cfRule type="top10" dxfId="7051" priority="1136" rank="10"/>
    <cfRule type="cellIs" dxfId="7050" priority="1137" operator="equal">
      <formula>1</formula>
    </cfRule>
    <cfRule type="cellIs" dxfId="7049" priority="1138" operator="equal">
      <formula>4</formula>
    </cfRule>
    <cfRule type="cellIs" dxfId="7048" priority="1139" operator="equal">
      <formula>3</formula>
    </cfRule>
    <cfRule type="top10" dxfId="7047" priority="1140" rank="10"/>
    <cfRule type="top10" dxfId="7046" priority="1141" rank="10"/>
    <cfRule type="cellIs" dxfId="7045" priority="1142" operator="equal">
      <formula>1</formula>
    </cfRule>
    <cfRule type="top10" dxfId="7044" priority="1143" rank="10"/>
    <cfRule type="cellIs" dxfId="7043" priority="1144" operator="equal">
      <formula>4</formula>
    </cfRule>
    <cfRule type="cellIs" dxfId="7042" priority="1145" operator="equal">
      <formula>3</formula>
    </cfRule>
    <cfRule type="cellIs" dxfId="7041" priority="1146" operator="equal">
      <formula>1</formula>
    </cfRule>
    <cfRule type="top10" dxfId="7040" priority="1147" rank="10"/>
    <cfRule type="cellIs" dxfId="7039" priority="1148" operator="equal">
      <formula>4</formula>
    </cfRule>
    <cfRule type="cellIs" dxfId="7038" priority="1149" operator="equal">
      <formula>3</formula>
    </cfRule>
    <cfRule type="cellIs" dxfId="7037" priority="1150" operator="equal">
      <formula>1</formula>
    </cfRule>
  </conditionalFormatting>
  <conditionalFormatting sqref="V26:V29">
    <cfRule type="top10" dxfId="7036" priority="293191" rank="10"/>
    <cfRule type="top10" dxfId="7035" priority="293199" rank="10"/>
    <cfRule type="top10" dxfId="7034" priority="293200" rank="10"/>
    <cfRule type="cellIs" dxfId="7033" priority="293201" operator="equal">
      <formula>1</formula>
    </cfRule>
    <cfRule type="top10" dxfId="7032" priority="293202" rank="10"/>
    <cfRule type="cellIs" dxfId="7031" priority="293203" operator="equal">
      <formula>1</formula>
    </cfRule>
    <cfRule type="cellIs" dxfId="7030" priority="293204" operator="equal">
      <formula>4</formula>
    </cfRule>
    <cfRule type="cellIs" dxfId="7029" priority="293205" operator="equal">
      <formula>3</formula>
    </cfRule>
    <cfRule type="top10" dxfId="7028" priority="293206" rank="10"/>
    <cfRule type="top10" dxfId="7027" priority="293207" rank="10"/>
    <cfRule type="cellIs" dxfId="7026" priority="293208" operator="equal">
      <formula>1</formula>
    </cfRule>
    <cfRule type="top10" dxfId="7025" priority="293209" rank="10"/>
    <cfRule type="top10" dxfId="7024" priority="293221" rank="10"/>
    <cfRule type="top10" dxfId="7023" priority="293222" rank="10"/>
    <cfRule type="top10" dxfId="7022" priority="293223" rank="10"/>
  </conditionalFormatting>
  <conditionalFormatting sqref="V35">
    <cfRule type="top10" dxfId="7021" priority="313926" rank="10"/>
    <cfRule type="cellIs" dxfId="7020" priority="313927" operator="equal">
      <formula>1</formula>
    </cfRule>
    <cfRule type="top10" dxfId="7019" priority="313928" rank="10"/>
    <cfRule type="cellIs" dxfId="7018" priority="313929" operator="equal">
      <formula>1</formula>
    </cfRule>
  </conditionalFormatting>
  <conditionalFormatting sqref="V19:W19">
    <cfRule type="cellIs" dxfId="7017" priority="1218" operator="equal">
      <formula>4</formula>
    </cfRule>
    <cfRule type="cellIs" dxfId="7016" priority="1219" operator="equal">
      <formula>3</formula>
    </cfRule>
    <cfRule type="cellIs" dxfId="7015" priority="1220" operator="equal">
      <formula>1</formula>
    </cfRule>
  </conditionalFormatting>
  <conditionalFormatting sqref="W19">
    <cfRule type="top10" dxfId="7014" priority="1200" rank="10"/>
    <cfRule type="top10" dxfId="7013" priority="1201" rank="10"/>
    <cfRule type="top10" dxfId="7012" priority="1202" rank="10"/>
    <cfRule type="top10" dxfId="7011" priority="1203" rank="10"/>
    <cfRule type="top10" dxfId="7010" priority="1204" rank="10"/>
    <cfRule type="cellIs" dxfId="7009" priority="1205" operator="equal">
      <formula>1</formula>
    </cfRule>
    <cfRule type="top10" dxfId="7008" priority="1206" rank="10"/>
    <cfRule type="cellIs" dxfId="7007" priority="1207" operator="equal">
      <formula>1</formula>
    </cfRule>
    <cfRule type="cellIs" dxfId="7006" priority="1208" operator="equal">
      <formula>4</formula>
    </cfRule>
    <cfRule type="cellIs" dxfId="7005" priority="1209" operator="equal">
      <formula>3</formula>
    </cfRule>
    <cfRule type="top10" dxfId="7004" priority="1210" rank="10"/>
    <cfRule type="top10" dxfId="7003" priority="1211" rank="10"/>
    <cfRule type="cellIs" dxfId="7002" priority="1212" operator="equal">
      <formula>1</formula>
    </cfRule>
    <cfRule type="top10" dxfId="7001" priority="1213" rank="10"/>
    <cfRule type="cellIs" dxfId="7000" priority="1214" operator="equal">
      <formula>4</formula>
    </cfRule>
    <cfRule type="cellIs" dxfId="6999" priority="1215" operator="equal">
      <formula>3</formula>
    </cfRule>
    <cfRule type="cellIs" dxfId="6998" priority="1216" operator="equal">
      <formula>1</formula>
    </cfRule>
    <cfRule type="top10" dxfId="6997" priority="1217" rank="10"/>
  </conditionalFormatting>
  <conditionalFormatting sqref="W19:W22">
    <cfRule type="cellIs" dxfId="6996" priority="1191" operator="equal">
      <formula>4</formula>
    </cfRule>
    <cfRule type="cellIs" dxfId="6995" priority="1192" operator="equal">
      <formula>3</formula>
    </cfRule>
    <cfRule type="cellIs" dxfId="6994" priority="1193" operator="equal">
      <formula>1</formula>
    </cfRule>
  </conditionalFormatting>
  <conditionalFormatting sqref="W19:W29">
    <cfRule type="top10" dxfId="6993" priority="293244" rank="10"/>
    <cfRule type="top10" dxfId="6992" priority="293245" rank="10"/>
    <cfRule type="cellIs" dxfId="6991" priority="293246" operator="equal">
      <formula>1</formula>
    </cfRule>
    <cfRule type="top10" dxfId="6990" priority="293247" rank="10"/>
    <cfRule type="cellIs" dxfId="6989" priority="293248" operator="equal">
      <formula>1</formula>
    </cfRule>
    <cfRule type="top10" dxfId="6988" priority="293249" rank="10"/>
    <cfRule type="cellIs" dxfId="6987" priority="293250" operator="equal">
      <formula>1</formula>
    </cfRule>
    <cfRule type="top10" dxfId="6986" priority="293251" rank="10"/>
    <cfRule type="top10" dxfId="6985" priority="293260" rank="10"/>
  </conditionalFormatting>
  <conditionalFormatting sqref="W20:W21">
    <cfRule type="cellIs" dxfId="6984" priority="1174" operator="equal">
      <formula>1</formula>
    </cfRule>
    <cfRule type="cellIs" dxfId="6983" priority="1175" operator="equal">
      <formula>4</formula>
    </cfRule>
    <cfRule type="cellIs" dxfId="6982" priority="1176" operator="equal">
      <formula>3</formula>
    </cfRule>
    <cfRule type="top10" dxfId="6981" priority="1177" rank="10"/>
    <cfRule type="top10" dxfId="6980" priority="1178" rank="10"/>
    <cfRule type="top10" dxfId="6979" priority="1179" rank="10"/>
    <cfRule type="top10" dxfId="6978" priority="1180" rank="10"/>
    <cfRule type="top10" dxfId="6977" priority="1181" rank="10"/>
    <cfRule type="cellIs" dxfId="6976" priority="1182" operator="equal">
      <formula>1</formula>
    </cfRule>
    <cfRule type="top10" dxfId="6975" priority="1183" rank="10"/>
    <cfRule type="cellIs" dxfId="6974" priority="1184" operator="equal">
      <formula>1</formula>
    </cfRule>
    <cfRule type="cellIs" dxfId="6973" priority="1185" operator="equal">
      <formula>4</formula>
    </cfRule>
    <cfRule type="cellIs" dxfId="6972" priority="1186" operator="equal">
      <formula>3</formula>
    </cfRule>
    <cfRule type="top10" dxfId="6971" priority="1187" rank="10"/>
    <cfRule type="top10" dxfId="6970" priority="1188" rank="10"/>
    <cfRule type="cellIs" dxfId="6969" priority="1189" operator="equal">
      <formula>1</formula>
    </cfRule>
    <cfRule type="top10" dxfId="6968" priority="1190" rank="10"/>
  </conditionalFormatting>
  <conditionalFormatting sqref="W22">
    <cfRule type="top10" dxfId="6967" priority="1922" rank="10"/>
    <cfRule type="top10" dxfId="6966" priority="1923" rank="10"/>
    <cfRule type="cellIs" dxfId="6965" priority="1924" operator="equal">
      <formula>4</formula>
    </cfRule>
    <cfRule type="cellIs" dxfId="6964" priority="1925" operator="equal">
      <formula>3</formula>
    </cfRule>
    <cfRule type="cellIs" dxfId="6963" priority="1926" operator="equal">
      <formula>1</formula>
    </cfRule>
    <cfRule type="top10" dxfId="6962" priority="1927" rank="10"/>
    <cfRule type="cellIs" dxfId="6961" priority="1928" operator="equal">
      <formula>1</formula>
    </cfRule>
    <cfRule type="cellIs" dxfId="6960" priority="1929" operator="equal">
      <formula>4</formula>
    </cfRule>
    <cfRule type="cellIs" dxfId="6959" priority="1930" operator="equal">
      <formula>3</formula>
    </cfRule>
    <cfRule type="top10" dxfId="6958" priority="1931" rank="10"/>
    <cfRule type="cellIs" dxfId="6957" priority="1932" operator="equal">
      <formula>1</formula>
    </cfRule>
    <cfRule type="top10" dxfId="6956" priority="1933" rank="10"/>
    <cfRule type="cellIs" dxfId="6955" priority="1934" operator="equal">
      <formula>1</formula>
    </cfRule>
    <cfRule type="top10" dxfId="6954" priority="1935" rank="10"/>
    <cfRule type="cellIs" dxfId="6953" priority="1936" operator="equal">
      <formula>1</formula>
    </cfRule>
    <cfRule type="top10" dxfId="6952" priority="1937" rank="10"/>
    <cfRule type="top10" dxfId="6951" priority="1938" rank="10"/>
  </conditionalFormatting>
  <conditionalFormatting sqref="W24">
    <cfRule type="top10" dxfId="6950" priority="1899" rank="10"/>
    <cfRule type="top10" dxfId="6949" priority="1900" rank="10"/>
    <cfRule type="cellIs" dxfId="6948" priority="1901" operator="equal">
      <formula>4</formula>
    </cfRule>
    <cfRule type="cellIs" dxfId="6947" priority="1902" operator="equal">
      <formula>3</formula>
    </cfRule>
    <cfRule type="cellIs" dxfId="6946" priority="1903" operator="equal">
      <formula>1</formula>
    </cfRule>
    <cfRule type="top10" dxfId="6945" priority="1904" rank="10"/>
    <cfRule type="cellIs" dxfId="6944" priority="1905" operator="equal">
      <formula>1</formula>
    </cfRule>
    <cfRule type="cellIs" dxfId="6943" priority="1906" operator="equal">
      <formula>4</formula>
    </cfRule>
    <cfRule type="cellIs" dxfId="6942" priority="1907" operator="equal">
      <formula>3</formula>
    </cfRule>
    <cfRule type="top10" dxfId="6941" priority="1908" rank="10"/>
    <cfRule type="cellIs" dxfId="6940" priority="1909" operator="equal">
      <formula>1</formula>
    </cfRule>
    <cfRule type="top10" dxfId="6939" priority="1910" rank="10"/>
    <cfRule type="cellIs" dxfId="6938" priority="1911" operator="equal">
      <formula>1</formula>
    </cfRule>
    <cfRule type="cellIs" dxfId="6937" priority="1912" operator="equal">
      <formula>4</formula>
    </cfRule>
    <cfRule type="cellIs" dxfId="6936" priority="1913" operator="equal">
      <formula>3</formula>
    </cfRule>
    <cfRule type="top10" dxfId="6935" priority="1914" rank="10"/>
    <cfRule type="cellIs" dxfId="6934" priority="1915" operator="equal">
      <formula>1</formula>
    </cfRule>
    <cfRule type="top10" dxfId="6933" priority="1916" rank="10"/>
    <cfRule type="top10" dxfId="6932" priority="1917" rank="10"/>
    <cfRule type="cellIs" dxfId="6931" priority="1918" operator="equal">
      <formula>1</formula>
    </cfRule>
  </conditionalFormatting>
  <conditionalFormatting sqref="W24:W25">
    <cfRule type="cellIs" dxfId="6930" priority="1893" operator="equal">
      <formula>1</formula>
    </cfRule>
    <cfRule type="cellIs" dxfId="6929" priority="1894" operator="equal">
      <formula>4</formula>
    </cfRule>
    <cfRule type="cellIs" dxfId="6928" priority="1895" operator="equal">
      <formula>3</formula>
    </cfRule>
  </conditionalFormatting>
  <conditionalFormatting sqref="W25">
    <cfRule type="top10" dxfId="6927" priority="1892" rank="10"/>
  </conditionalFormatting>
  <conditionalFormatting sqref="W26:W28">
    <cfRule type="top10" dxfId="6926" priority="293096" rank="10"/>
    <cfRule type="top10" dxfId="6925" priority="293097" rank="10"/>
    <cfRule type="cellIs" dxfId="6924" priority="293098" operator="equal">
      <formula>4</formula>
    </cfRule>
    <cfRule type="cellIs" dxfId="6923" priority="293099" operator="equal">
      <formula>3</formula>
    </cfRule>
    <cfRule type="cellIs" dxfId="6922" priority="293100" operator="equal">
      <formula>1</formula>
    </cfRule>
    <cfRule type="top10" dxfId="6921" priority="293101" rank="10"/>
    <cfRule type="cellIs" dxfId="6920" priority="293102" operator="equal">
      <formula>1</formula>
    </cfRule>
    <cfRule type="cellIs" dxfId="6919" priority="293103" operator="equal">
      <formula>4</formula>
    </cfRule>
    <cfRule type="cellIs" dxfId="6918" priority="293104" operator="equal">
      <formula>3</formula>
    </cfRule>
    <cfRule type="top10" dxfId="6917" priority="293105" rank="10"/>
    <cfRule type="cellIs" dxfId="6916" priority="293106" operator="equal">
      <formula>1</formula>
    </cfRule>
    <cfRule type="top10" dxfId="6915" priority="293107" rank="10"/>
    <cfRule type="cellIs" dxfId="6914" priority="293108" operator="equal">
      <formula>1</formula>
    </cfRule>
    <cfRule type="top10" dxfId="6913" priority="293109" rank="10"/>
    <cfRule type="cellIs" dxfId="6912" priority="293110" operator="equal">
      <formula>1</formula>
    </cfRule>
    <cfRule type="top10" dxfId="6911" priority="293111" rank="10"/>
    <cfRule type="top10" dxfId="6910" priority="293112" rank="10"/>
    <cfRule type="cellIs" dxfId="6909" priority="293113" operator="equal">
      <formula>1</formula>
    </cfRule>
  </conditionalFormatting>
  <conditionalFormatting sqref="W29">
    <cfRule type="top10" dxfId="6908" priority="1867" rank="10"/>
    <cfRule type="cellIs" dxfId="6907" priority="1868" operator="equal">
      <formula>4</formula>
    </cfRule>
    <cfRule type="cellIs" dxfId="6906" priority="1869" operator="equal">
      <formula>3</formula>
    </cfRule>
    <cfRule type="cellIs" dxfId="6905" priority="1870" operator="equal">
      <formula>1</formula>
    </cfRule>
  </conditionalFormatting>
  <conditionalFormatting sqref="W30:W35">
    <cfRule type="cellIs" dxfId="6904" priority="313543" operator="equal">
      <formula>4</formula>
    </cfRule>
    <cfRule type="cellIs" dxfId="6903" priority="313544" operator="equal">
      <formula>3</formula>
    </cfRule>
    <cfRule type="top10" dxfId="6902" priority="313545" rank="10"/>
    <cfRule type="top10" dxfId="6901" priority="313546" rank="10"/>
    <cfRule type="cellIs" dxfId="6900" priority="313547" operator="equal">
      <formula>4</formula>
    </cfRule>
    <cfRule type="cellIs" dxfId="6899" priority="313548" operator="equal">
      <formula>3</formula>
    </cfRule>
    <cfRule type="cellIs" dxfId="6898" priority="313549" operator="equal">
      <formula>1</formula>
    </cfRule>
    <cfRule type="top10" dxfId="6897" priority="313550" rank="10"/>
    <cfRule type="cellIs" dxfId="6896" priority="313551" operator="equal">
      <formula>1</formula>
    </cfRule>
    <cfRule type="cellIs" dxfId="6895" priority="313552" operator="equal">
      <formula>4</formula>
    </cfRule>
    <cfRule type="cellIs" dxfId="6894" priority="313553" operator="equal">
      <formula>3</formula>
    </cfRule>
    <cfRule type="top10" dxfId="6893" priority="313554" rank="10"/>
    <cfRule type="cellIs" dxfId="6892" priority="313555" operator="equal">
      <formula>1</formula>
    </cfRule>
    <cfRule type="top10" dxfId="6891" priority="313556" rank="10"/>
    <cfRule type="cellIs" dxfId="6890" priority="313557" operator="equal">
      <formula>1</formula>
    </cfRule>
    <cfRule type="cellIs" dxfId="6889" priority="313558" operator="equal">
      <formula>4</formula>
    </cfRule>
    <cfRule type="cellIs" dxfId="6888" priority="313559" operator="equal">
      <formula>3</formula>
    </cfRule>
    <cfRule type="top10" dxfId="6887" priority="313560" rank="10"/>
    <cfRule type="cellIs" dxfId="6886" priority="313561" operator="equal">
      <formula>1</formula>
    </cfRule>
    <cfRule type="top10" dxfId="6885" priority="313562" rank="10"/>
    <cfRule type="top10" dxfId="6884" priority="313563" rank="10"/>
    <cfRule type="top10" dxfId="6883" priority="313564" rank="10"/>
    <cfRule type="cellIs" dxfId="6882" priority="313565" operator="equal">
      <formula>1</formula>
    </cfRule>
  </conditionalFormatting>
  <conditionalFormatting sqref="X19:Y38">
    <cfRule type="cellIs" dxfId="6881" priority="2034" operator="equal">
      <formula>4</formula>
    </cfRule>
    <cfRule type="cellIs" dxfId="6880" priority="2035" operator="equal">
      <formula>2</formula>
    </cfRule>
    <cfRule type="cellIs" dxfId="6879" priority="2036" operator="equal">
      <formula>3</formula>
    </cfRule>
    <cfRule type="cellIs" dxfId="6878" priority="2037" operator="equal">
      <formula>1</formula>
    </cfRule>
  </conditionalFormatting>
  <printOptions horizontalCentered="1" verticalCentered="1"/>
  <pageMargins left="0" right="0" top="0" bottom="0" header="0" footer="0"/>
  <pageSetup paperSize="8" scale="19" orientation="landscape" r:id="rId1"/>
  <headerFooter>
    <oddFooter>&amp;CICTMF020-HR&amp;RRev A 
 date 11/03/2024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8AE7-3F19-475D-9FAE-6EDC4B972303}">
  <dimension ref="B3:F14"/>
  <sheetViews>
    <sheetView workbookViewId="0">
      <selection activeCell="C6" sqref="C6"/>
    </sheetView>
  </sheetViews>
  <sheetFormatPr defaultColWidth="8.88671875" defaultRowHeight="14.4"/>
  <cols>
    <col min="1" max="1" width="8.88671875" style="2"/>
    <col min="2" max="2" width="12.6640625" style="2" customWidth="1"/>
    <col min="3" max="3" width="8.88671875" style="2"/>
    <col min="4" max="4" width="71.6640625" style="2" customWidth="1"/>
    <col min="5" max="5" width="13.6640625" style="2" customWidth="1"/>
    <col min="6" max="6" width="19.88671875" style="2" customWidth="1"/>
    <col min="7" max="16384" width="8.88671875" style="2"/>
  </cols>
  <sheetData>
    <row r="3" spans="2:6">
      <c r="B3" s="20" t="s">
        <v>21</v>
      </c>
    </row>
    <row r="5" spans="2:6">
      <c r="B5" s="19" t="s">
        <v>1</v>
      </c>
      <c r="C5" s="19" t="s">
        <v>22</v>
      </c>
      <c r="D5" s="19" t="s">
        <v>23</v>
      </c>
      <c r="E5" s="19" t="s">
        <v>24</v>
      </c>
      <c r="F5" s="19" t="s">
        <v>25</v>
      </c>
    </row>
    <row r="6" spans="2:6" s="18" customFormat="1" ht="19.2" customHeight="1">
      <c r="B6" s="16">
        <v>45362</v>
      </c>
      <c r="C6" s="17" t="s">
        <v>20</v>
      </c>
      <c r="D6" s="17" t="s">
        <v>28</v>
      </c>
      <c r="E6" s="17" t="s">
        <v>26</v>
      </c>
      <c r="F6" s="17" t="s">
        <v>27</v>
      </c>
    </row>
    <row r="7" spans="2:6" ht="19.2" customHeight="1">
      <c r="B7" s="15"/>
      <c r="C7" s="15"/>
      <c r="D7" s="15"/>
      <c r="E7" s="15"/>
      <c r="F7" s="15"/>
    </row>
    <row r="8" spans="2:6" ht="19.2" customHeight="1">
      <c r="B8" s="15"/>
      <c r="C8" s="15"/>
      <c r="D8" s="15"/>
      <c r="E8" s="15"/>
      <c r="F8" s="15"/>
    </row>
    <row r="9" spans="2:6" ht="19.2" customHeight="1">
      <c r="B9" s="15"/>
      <c r="C9" s="15"/>
      <c r="D9" s="15"/>
      <c r="E9" s="15"/>
      <c r="F9" s="15"/>
    </row>
    <row r="10" spans="2:6" ht="19.2" customHeight="1">
      <c r="B10" s="15"/>
      <c r="C10" s="15"/>
      <c r="D10" s="15"/>
      <c r="E10" s="15"/>
      <c r="F10" s="15"/>
    </row>
    <row r="11" spans="2:6" ht="19.2" customHeight="1">
      <c r="B11" s="15"/>
      <c r="C11" s="15"/>
      <c r="D11" s="15"/>
      <c r="E11" s="15"/>
      <c r="F11" s="15"/>
    </row>
    <row r="12" spans="2:6" ht="19.2" customHeight="1">
      <c r="B12" s="15"/>
      <c r="C12" s="15"/>
      <c r="D12" s="15"/>
      <c r="E12" s="15"/>
      <c r="F12" s="15"/>
    </row>
    <row r="13" spans="2:6" ht="19.2" customHeight="1">
      <c r="B13" s="15"/>
      <c r="C13" s="15"/>
      <c r="D13" s="15"/>
      <c r="E13" s="15"/>
      <c r="F13" s="15"/>
    </row>
    <row r="14" spans="2:6" ht="19.2" customHeight="1">
      <c r="B14" s="15"/>
      <c r="C14" s="15"/>
      <c r="D14" s="15"/>
      <c r="E14" s="15"/>
      <c r="F14" s="1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3E75-033E-4F4F-AC5F-0C35E6596137}">
  <dimension ref="A1:L127"/>
  <sheetViews>
    <sheetView view="pageBreakPreview" topLeftCell="A4" zoomScale="60" zoomScaleNormal="100" workbookViewId="0">
      <selection activeCell="K12" sqref="K12:L19"/>
    </sheetView>
  </sheetViews>
  <sheetFormatPr defaultRowHeight="14.4"/>
  <cols>
    <col min="2" max="2" width="16.5546875" bestFit="1" customWidth="1"/>
    <col min="3" max="3" width="60.5546875" bestFit="1" customWidth="1"/>
    <col min="4" max="4" width="55.109375" customWidth="1"/>
    <col min="5" max="5" width="17.44140625" customWidth="1"/>
    <col min="12" max="12" width="38.109375" customWidth="1"/>
  </cols>
  <sheetData>
    <row r="1" spans="1:12" ht="15" customHeight="1">
      <c r="A1" s="281"/>
      <c r="B1" s="1159" t="s">
        <v>2</v>
      </c>
      <c r="C1" s="1159" t="s">
        <v>664</v>
      </c>
      <c r="D1" s="1162" t="s">
        <v>663</v>
      </c>
      <c r="E1" s="1165" t="s">
        <v>8</v>
      </c>
    </row>
    <row r="2" spans="1:12">
      <c r="A2" s="282"/>
      <c r="B2" s="1160"/>
      <c r="C2" s="1160"/>
      <c r="D2" s="1163"/>
      <c r="E2" s="1166"/>
    </row>
    <row r="3" spans="1:12">
      <c r="A3" s="282"/>
      <c r="B3" s="1160"/>
      <c r="C3" s="1160"/>
      <c r="D3" s="1163"/>
      <c r="E3" s="1166"/>
    </row>
    <row r="4" spans="1:12" ht="15" thickBot="1">
      <c r="A4" s="283"/>
      <c r="B4" s="1161"/>
      <c r="C4" s="1161"/>
      <c r="D4" s="1164"/>
      <c r="E4" s="1167"/>
    </row>
    <row r="5" spans="1:12" ht="24" customHeight="1">
      <c r="A5" s="292">
        <v>1</v>
      </c>
      <c r="B5" s="280" t="s">
        <v>674</v>
      </c>
      <c r="C5" s="280" t="s">
        <v>1029</v>
      </c>
      <c r="D5" s="261">
        <v>45147</v>
      </c>
      <c r="E5" s="293" t="s">
        <v>217</v>
      </c>
    </row>
    <row r="6" spans="1:12" ht="21">
      <c r="A6" s="285">
        <v>2</v>
      </c>
      <c r="B6" s="207" t="s">
        <v>500</v>
      </c>
      <c r="C6" s="207" t="s">
        <v>1030</v>
      </c>
      <c r="D6" s="208">
        <v>44115</v>
      </c>
      <c r="E6" s="286" t="s">
        <v>217</v>
      </c>
    </row>
    <row r="7" spans="1:12" ht="21">
      <c r="A7" s="285">
        <v>3</v>
      </c>
      <c r="B7" s="207" t="s">
        <v>218</v>
      </c>
      <c r="C7" s="207" t="s">
        <v>620</v>
      </c>
      <c r="D7" s="208">
        <v>45240</v>
      </c>
      <c r="E7" s="286" t="s">
        <v>214</v>
      </c>
    </row>
    <row r="8" spans="1:12" ht="21">
      <c r="A8" s="285">
        <v>4</v>
      </c>
      <c r="B8" s="207" t="s">
        <v>473</v>
      </c>
      <c r="C8" s="207" t="s">
        <v>1031</v>
      </c>
      <c r="D8" s="208">
        <v>45225</v>
      </c>
      <c r="E8" s="286" t="s">
        <v>214</v>
      </c>
    </row>
    <row r="9" spans="1:12" ht="21">
      <c r="A9" s="285">
        <v>5</v>
      </c>
      <c r="B9" s="207" t="s">
        <v>474</v>
      </c>
      <c r="C9" s="207" t="s">
        <v>1032</v>
      </c>
      <c r="D9" s="208">
        <v>45225</v>
      </c>
      <c r="E9" s="286" t="s">
        <v>214</v>
      </c>
    </row>
    <row r="10" spans="1:12" ht="21">
      <c r="A10" s="285">
        <v>6</v>
      </c>
      <c r="B10" s="207" t="s">
        <v>40</v>
      </c>
      <c r="C10" s="207" t="s">
        <v>1033</v>
      </c>
      <c r="D10" s="208">
        <v>45020</v>
      </c>
      <c r="E10" s="286" t="s">
        <v>214</v>
      </c>
    </row>
    <row r="11" spans="1:12" ht="21">
      <c r="A11" s="285">
        <v>7</v>
      </c>
      <c r="B11" s="207" t="s">
        <v>219</v>
      </c>
      <c r="C11" s="207" t="s">
        <v>1034</v>
      </c>
      <c r="D11" s="208">
        <v>45147</v>
      </c>
      <c r="E11" s="286" t="s">
        <v>216</v>
      </c>
    </row>
    <row r="12" spans="1:12" ht="21">
      <c r="A12" s="285">
        <v>8</v>
      </c>
      <c r="B12" s="207" t="s">
        <v>220</v>
      </c>
      <c r="C12" s="207" t="s">
        <v>221</v>
      </c>
      <c r="D12" s="208">
        <v>43696</v>
      </c>
      <c r="E12" s="286" t="s">
        <v>217</v>
      </c>
      <c r="K12" s="534" t="e">
        <f>+AVERAGE(K27:K95)</f>
        <v>#DIV/0!</v>
      </c>
      <c r="L12" s="534" t="e">
        <f>+AVERAGE(L27:L95)</f>
        <v>#DIV/0!</v>
      </c>
    </row>
    <row r="13" spans="1:12" ht="21">
      <c r="A13" s="285">
        <v>9</v>
      </c>
      <c r="B13" s="207" t="s">
        <v>468</v>
      </c>
      <c r="C13" s="207" t="s">
        <v>297</v>
      </c>
      <c r="D13" s="208">
        <v>44197</v>
      </c>
      <c r="E13" s="286" t="s">
        <v>216</v>
      </c>
      <c r="K13" s="535"/>
      <c r="L13" s="535"/>
    </row>
    <row r="14" spans="1:12" ht="21">
      <c r="A14" s="285">
        <v>10</v>
      </c>
      <c r="B14" s="207" t="s">
        <v>222</v>
      </c>
      <c r="C14" s="207" t="s">
        <v>223</v>
      </c>
      <c r="D14" s="208">
        <v>43696</v>
      </c>
      <c r="E14" s="286" t="s">
        <v>217</v>
      </c>
      <c r="K14" s="535"/>
      <c r="L14" s="535"/>
    </row>
    <row r="15" spans="1:12" ht="21">
      <c r="A15" s="285">
        <v>11</v>
      </c>
      <c r="B15" s="207" t="s">
        <v>224</v>
      </c>
      <c r="C15" s="207" t="s">
        <v>225</v>
      </c>
      <c r="D15" s="208">
        <v>43621</v>
      </c>
      <c r="E15" s="286" t="s">
        <v>216</v>
      </c>
      <c r="K15" s="535"/>
      <c r="L15" s="535"/>
    </row>
    <row r="16" spans="1:12" ht="21">
      <c r="A16" s="285">
        <v>12</v>
      </c>
      <c r="B16" s="207" t="s">
        <v>226</v>
      </c>
      <c r="C16" s="207" t="s">
        <v>227</v>
      </c>
      <c r="D16" s="208">
        <v>43782</v>
      </c>
      <c r="E16" s="286" t="s">
        <v>216</v>
      </c>
      <c r="K16" s="535"/>
      <c r="L16" s="535"/>
    </row>
    <row r="17" spans="1:12" ht="21">
      <c r="A17" s="285">
        <v>13</v>
      </c>
      <c r="B17" s="207" t="s">
        <v>228</v>
      </c>
      <c r="C17" s="207" t="s">
        <v>229</v>
      </c>
      <c r="D17" s="208">
        <v>43864</v>
      </c>
      <c r="E17" s="286" t="s">
        <v>217</v>
      </c>
      <c r="K17" s="535"/>
      <c r="L17" s="535"/>
    </row>
    <row r="18" spans="1:12" ht="21">
      <c r="A18" s="285">
        <v>14</v>
      </c>
      <c r="B18" s="207" t="s">
        <v>230</v>
      </c>
      <c r="C18" s="207" t="s">
        <v>231</v>
      </c>
      <c r="D18" s="208">
        <v>43924</v>
      </c>
      <c r="E18" s="286" t="s">
        <v>214</v>
      </c>
      <c r="K18" s="535"/>
      <c r="L18" s="535"/>
    </row>
    <row r="19" spans="1:12" ht="23.4">
      <c r="A19" s="285">
        <v>15</v>
      </c>
      <c r="B19" s="206" t="s">
        <v>171</v>
      </c>
      <c r="C19" s="274" t="s">
        <v>172</v>
      </c>
      <c r="D19" s="229">
        <v>44119</v>
      </c>
      <c r="E19" s="287" t="s">
        <v>215</v>
      </c>
      <c r="K19" s="536"/>
      <c r="L19" s="536"/>
    </row>
    <row r="20" spans="1:12" ht="21">
      <c r="A20" s="285">
        <v>16</v>
      </c>
      <c r="B20" s="207" t="s">
        <v>38</v>
      </c>
      <c r="C20" s="207" t="s">
        <v>39</v>
      </c>
      <c r="D20" s="208">
        <v>43899</v>
      </c>
      <c r="E20" s="286" t="s">
        <v>216</v>
      </c>
    </row>
    <row r="21" spans="1:12" ht="21">
      <c r="A21" s="285">
        <v>17</v>
      </c>
      <c r="B21" s="207" t="s">
        <v>232</v>
      </c>
      <c r="C21" s="207" t="s">
        <v>1035</v>
      </c>
      <c r="D21" s="208">
        <v>42950</v>
      </c>
      <c r="E21" s="286" t="s">
        <v>214</v>
      </c>
    </row>
    <row r="22" spans="1:12" ht="21.6" thickBot="1">
      <c r="A22" s="288">
        <v>18</v>
      </c>
      <c r="B22" s="295" t="s">
        <v>233</v>
      </c>
      <c r="C22" s="295" t="s">
        <v>234</v>
      </c>
      <c r="D22" s="290">
        <v>44119</v>
      </c>
      <c r="E22" s="291" t="s">
        <v>214</v>
      </c>
    </row>
    <row r="23" spans="1:12" ht="15" customHeight="1">
      <c r="A23" s="281"/>
      <c r="B23" s="1159" t="s">
        <v>2</v>
      </c>
      <c r="C23" s="1159" t="s">
        <v>664</v>
      </c>
      <c r="D23" s="1162" t="s">
        <v>663</v>
      </c>
      <c r="E23" s="1165" t="s">
        <v>8</v>
      </c>
    </row>
    <row r="24" spans="1:12">
      <c r="A24" s="282"/>
      <c r="B24" s="1160"/>
      <c r="C24" s="1160"/>
      <c r="D24" s="1163"/>
      <c r="E24" s="1166"/>
    </row>
    <row r="25" spans="1:12">
      <c r="A25" s="282"/>
      <c r="B25" s="1160"/>
      <c r="C25" s="1160"/>
      <c r="D25" s="1163"/>
      <c r="E25" s="1166"/>
    </row>
    <row r="26" spans="1:12" ht="15" thickBot="1">
      <c r="A26" s="283"/>
      <c r="B26" s="1161"/>
      <c r="C26" s="1161"/>
      <c r="D26" s="1164"/>
      <c r="E26" s="1167"/>
    </row>
    <row r="27" spans="1:12" ht="25.5" customHeight="1">
      <c r="A27" s="292">
        <v>19</v>
      </c>
      <c r="B27" s="280" t="s">
        <v>238</v>
      </c>
      <c r="C27" s="280" t="s">
        <v>239</v>
      </c>
      <c r="D27" s="261">
        <v>44289</v>
      </c>
      <c r="E27" s="293" t="s">
        <v>214</v>
      </c>
    </row>
    <row r="28" spans="1:12" ht="21">
      <c r="A28" s="285">
        <v>20</v>
      </c>
      <c r="B28" s="207" t="s">
        <v>240</v>
      </c>
      <c r="C28" s="207" t="s">
        <v>241</v>
      </c>
      <c r="D28" s="208">
        <v>44289</v>
      </c>
      <c r="E28" s="286" t="s">
        <v>214</v>
      </c>
    </row>
    <row r="29" spans="1:12" ht="21">
      <c r="A29" s="285">
        <v>21</v>
      </c>
      <c r="B29" s="207" t="s">
        <v>242</v>
      </c>
      <c r="C29" s="207" t="s">
        <v>243</v>
      </c>
      <c r="D29" s="208">
        <v>44292</v>
      </c>
      <c r="E29" s="286" t="s">
        <v>214</v>
      </c>
    </row>
    <row r="30" spans="1:12" ht="21">
      <c r="A30" s="285">
        <v>22</v>
      </c>
      <c r="B30" s="273" t="s">
        <v>244</v>
      </c>
      <c r="C30" s="273" t="s">
        <v>1036</v>
      </c>
      <c r="D30" s="208">
        <v>44441</v>
      </c>
      <c r="E30" s="286" t="s">
        <v>217</v>
      </c>
    </row>
    <row r="31" spans="1:12" ht="21">
      <c r="A31" s="285">
        <v>23</v>
      </c>
      <c r="B31" s="207" t="s">
        <v>245</v>
      </c>
      <c r="C31" s="207" t="s">
        <v>1037</v>
      </c>
      <c r="D31" s="208">
        <v>44417</v>
      </c>
      <c r="E31" s="286" t="s">
        <v>217</v>
      </c>
    </row>
    <row r="32" spans="1:12" ht="21">
      <c r="A32" s="285">
        <v>24</v>
      </c>
      <c r="B32" s="207" t="s">
        <v>246</v>
      </c>
      <c r="C32" s="207" t="s">
        <v>247</v>
      </c>
      <c r="D32" s="208">
        <v>43654</v>
      </c>
      <c r="E32" s="286" t="s">
        <v>214</v>
      </c>
    </row>
    <row r="33" spans="1:5" ht="21">
      <c r="A33" s="285">
        <v>25</v>
      </c>
      <c r="B33" s="207" t="s">
        <v>42</v>
      </c>
      <c r="C33" s="207" t="s">
        <v>43</v>
      </c>
      <c r="D33" s="208">
        <v>44713</v>
      </c>
      <c r="E33" s="286" t="s">
        <v>217</v>
      </c>
    </row>
    <row r="34" spans="1:5" ht="21">
      <c r="A34" s="285">
        <v>26</v>
      </c>
      <c r="B34" s="207" t="s">
        <v>248</v>
      </c>
      <c r="C34" s="207" t="s">
        <v>249</v>
      </c>
      <c r="D34" s="208">
        <v>44713</v>
      </c>
      <c r="E34" s="286" t="s">
        <v>214</v>
      </c>
    </row>
    <row r="35" spans="1:5" ht="21">
      <c r="A35" s="285">
        <v>27</v>
      </c>
      <c r="B35" s="207" t="s">
        <v>34</v>
      </c>
      <c r="C35" s="207" t="s">
        <v>1038</v>
      </c>
      <c r="D35" s="208">
        <v>44441</v>
      </c>
      <c r="E35" s="286" t="s">
        <v>214</v>
      </c>
    </row>
    <row r="36" spans="1:5" ht="21">
      <c r="A36" s="285">
        <v>28</v>
      </c>
      <c r="B36" s="207" t="s">
        <v>36</v>
      </c>
      <c r="C36" s="207" t="s">
        <v>37</v>
      </c>
      <c r="D36" s="211">
        <v>44819</v>
      </c>
      <c r="E36" s="286" t="s">
        <v>214</v>
      </c>
    </row>
    <row r="37" spans="1:5" ht="21">
      <c r="A37" s="285">
        <v>29</v>
      </c>
      <c r="B37" s="207" t="s">
        <v>251</v>
      </c>
      <c r="C37" s="207" t="s">
        <v>252</v>
      </c>
      <c r="D37" s="208">
        <v>44567</v>
      </c>
      <c r="E37" s="286" t="s">
        <v>216</v>
      </c>
    </row>
    <row r="38" spans="1:5" ht="21">
      <c r="A38" s="285">
        <v>30</v>
      </c>
      <c r="B38" s="207" t="s">
        <v>253</v>
      </c>
      <c r="C38" s="207" t="s">
        <v>1039</v>
      </c>
      <c r="D38" s="208">
        <v>43873</v>
      </c>
      <c r="E38" s="286" t="s">
        <v>216</v>
      </c>
    </row>
    <row r="39" spans="1:5" ht="21">
      <c r="A39" s="285">
        <v>31</v>
      </c>
      <c r="B39" s="207" t="s">
        <v>254</v>
      </c>
      <c r="C39" s="207" t="s">
        <v>255</v>
      </c>
      <c r="D39" s="208">
        <v>43862</v>
      </c>
      <c r="E39" s="286" t="s">
        <v>215</v>
      </c>
    </row>
    <row r="40" spans="1:5" ht="21">
      <c r="A40" s="285">
        <v>32</v>
      </c>
      <c r="B40" s="207" t="s">
        <v>256</v>
      </c>
      <c r="C40" s="207" t="s">
        <v>257</v>
      </c>
      <c r="D40" s="211">
        <v>44958</v>
      </c>
      <c r="E40" s="286" t="s">
        <v>216</v>
      </c>
    </row>
    <row r="41" spans="1:5" ht="21">
      <c r="A41" s="285">
        <v>33</v>
      </c>
      <c r="B41" s="207" t="s">
        <v>258</v>
      </c>
      <c r="C41" s="207" t="s">
        <v>259</v>
      </c>
      <c r="D41" s="208">
        <v>44958</v>
      </c>
      <c r="E41" s="286" t="s">
        <v>272</v>
      </c>
    </row>
    <row r="42" spans="1:5" ht="21">
      <c r="A42" s="285">
        <v>34</v>
      </c>
      <c r="B42" s="207" t="s">
        <v>1027</v>
      </c>
      <c r="C42" s="207" t="s">
        <v>1040</v>
      </c>
      <c r="D42" s="208">
        <v>45262</v>
      </c>
      <c r="E42" s="286" t="s">
        <v>215</v>
      </c>
    </row>
    <row r="43" spans="1:5" ht="21">
      <c r="A43" s="285">
        <v>35</v>
      </c>
      <c r="B43" s="207" t="s">
        <v>260</v>
      </c>
      <c r="C43" s="207" t="s">
        <v>1041</v>
      </c>
      <c r="D43" s="211">
        <v>44910</v>
      </c>
      <c r="E43" s="286" t="s">
        <v>216</v>
      </c>
    </row>
    <row r="44" spans="1:5" ht="21.6" thickBot="1">
      <c r="A44" s="288">
        <v>36</v>
      </c>
      <c r="B44" s="295" t="s">
        <v>261</v>
      </c>
      <c r="C44" s="295" t="s">
        <v>1042</v>
      </c>
      <c r="D44" s="296">
        <v>44117</v>
      </c>
      <c r="E44" s="291" t="s">
        <v>217</v>
      </c>
    </row>
    <row r="45" spans="1:5">
      <c r="A45" s="281"/>
      <c r="B45" s="1159" t="s">
        <v>2</v>
      </c>
      <c r="C45" s="1159" t="s">
        <v>664</v>
      </c>
      <c r="D45" s="1162" t="s">
        <v>663</v>
      </c>
      <c r="E45" s="1171" t="s">
        <v>8</v>
      </c>
    </row>
    <row r="46" spans="1:5">
      <c r="A46" s="282"/>
      <c r="B46" s="1160"/>
      <c r="C46" s="1160"/>
      <c r="D46" s="1163"/>
      <c r="E46" s="1172"/>
    </row>
    <row r="47" spans="1:5">
      <c r="A47" s="282"/>
      <c r="B47" s="1160"/>
      <c r="C47" s="1160"/>
      <c r="D47" s="1163"/>
      <c r="E47" s="1172"/>
    </row>
    <row r="48" spans="1:5" ht="15" thickBot="1">
      <c r="A48" s="283"/>
      <c r="B48" s="1161"/>
      <c r="C48" s="1161"/>
      <c r="D48" s="1164"/>
      <c r="E48" s="1173"/>
    </row>
    <row r="49" spans="1:5" ht="21">
      <c r="A49" s="292">
        <v>37</v>
      </c>
      <c r="B49" s="280" t="s">
        <v>262</v>
      </c>
      <c r="C49" s="280" t="s">
        <v>601</v>
      </c>
      <c r="D49" s="294">
        <v>45061</v>
      </c>
      <c r="E49" s="293" t="s">
        <v>217</v>
      </c>
    </row>
    <row r="50" spans="1:5" ht="21">
      <c r="A50" s="285">
        <v>38</v>
      </c>
      <c r="B50" s="207" t="s">
        <v>263</v>
      </c>
      <c r="C50" s="207" t="s">
        <v>1043</v>
      </c>
      <c r="D50" s="208">
        <v>44910</v>
      </c>
      <c r="E50" s="286" t="s">
        <v>215</v>
      </c>
    </row>
    <row r="51" spans="1:5" ht="21">
      <c r="A51" s="285">
        <v>39</v>
      </c>
      <c r="B51" s="279" t="s">
        <v>715</v>
      </c>
      <c r="C51" s="207" t="s">
        <v>264</v>
      </c>
      <c r="D51" s="208">
        <v>44993</v>
      </c>
      <c r="E51" s="286" t="s">
        <v>215</v>
      </c>
    </row>
    <row r="52" spans="1:5" ht="21">
      <c r="A52" s="285">
        <v>40</v>
      </c>
      <c r="B52" s="207" t="s">
        <v>265</v>
      </c>
      <c r="C52" s="207" t="s">
        <v>266</v>
      </c>
      <c r="D52" s="208">
        <v>45092</v>
      </c>
      <c r="E52" s="286" t="s">
        <v>216</v>
      </c>
    </row>
    <row r="53" spans="1:5" ht="21">
      <c r="A53" s="285">
        <v>41</v>
      </c>
      <c r="B53" s="207" t="s">
        <v>44</v>
      </c>
      <c r="C53" s="207" t="s">
        <v>45</v>
      </c>
      <c r="D53" s="208">
        <v>44993</v>
      </c>
      <c r="E53" s="286" t="s">
        <v>215</v>
      </c>
    </row>
    <row r="54" spans="1:5" ht="21">
      <c r="A54" s="285">
        <v>42</v>
      </c>
      <c r="B54" s="207" t="s">
        <v>267</v>
      </c>
      <c r="C54" s="207" t="s">
        <v>268</v>
      </c>
      <c r="D54" s="208">
        <v>45265</v>
      </c>
      <c r="E54" s="286" t="s">
        <v>217</v>
      </c>
    </row>
    <row r="55" spans="1:5" ht="21">
      <c r="A55" s="285">
        <v>43</v>
      </c>
      <c r="B55" s="207" t="s">
        <v>269</v>
      </c>
      <c r="C55" s="207" t="s">
        <v>270</v>
      </c>
      <c r="D55" s="208">
        <v>45020</v>
      </c>
      <c r="E55" s="286" t="s">
        <v>217</v>
      </c>
    </row>
    <row r="56" spans="1:5" ht="21">
      <c r="A56" s="285">
        <v>44</v>
      </c>
      <c r="B56" s="207" t="s">
        <v>271</v>
      </c>
      <c r="C56" s="207" t="s">
        <v>1044</v>
      </c>
      <c r="D56" s="208">
        <v>44501</v>
      </c>
      <c r="E56" s="286" t="s">
        <v>216</v>
      </c>
    </row>
    <row r="57" spans="1:5" ht="21">
      <c r="A57" s="285">
        <v>45</v>
      </c>
      <c r="B57" s="236" t="s">
        <v>335</v>
      </c>
      <c r="C57" s="207" t="s">
        <v>1045</v>
      </c>
      <c r="D57" s="219">
        <v>43565</v>
      </c>
      <c r="E57" s="286" t="s">
        <v>217</v>
      </c>
    </row>
    <row r="58" spans="1:5" ht="21">
      <c r="A58" s="285">
        <v>46</v>
      </c>
      <c r="B58" s="207" t="s">
        <v>519</v>
      </c>
      <c r="C58" s="207" t="s">
        <v>1046</v>
      </c>
      <c r="D58" s="208">
        <v>45331</v>
      </c>
      <c r="E58" s="286" t="s">
        <v>216</v>
      </c>
    </row>
    <row r="59" spans="1:5" ht="21">
      <c r="A59" s="285">
        <v>47</v>
      </c>
      <c r="B59" s="207" t="s">
        <v>520</v>
      </c>
      <c r="C59" s="207" t="s">
        <v>1047</v>
      </c>
      <c r="D59" s="211">
        <v>45537</v>
      </c>
      <c r="E59" s="286" t="s">
        <v>215</v>
      </c>
    </row>
    <row r="60" spans="1:5" ht="21">
      <c r="A60" s="285">
        <v>48</v>
      </c>
      <c r="B60" s="207" t="s">
        <v>521</v>
      </c>
      <c r="C60" s="207" t="s">
        <v>1028</v>
      </c>
      <c r="D60" s="211">
        <v>45331</v>
      </c>
      <c r="E60" s="286" t="s">
        <v>217</v>
      </c>
    </row>
    <row r="61" spans="1:5" ht="27" customHeight="1">
      <c r="A61" s="285">
        <v>49</v>
      </c>
      <c r="B61" s="279" t="s">
        <v>512</v>
      </c>
      <c r="C61" s="207" t="s">
        <v>513</v>
      </c>
      <c r="D61" s="211">
        <v>45331</v>
      </c>
      <c r="E61" s="286" t="s">
        <v>214</v>
      </c>
    </row>
    <row r="62" spans="1:5" ht="21">
      <c r="A62" s="285">
        <v>50</v>
      </c>
      <c r="B62" s="207" t="s">
        <v>608</v>
      </c>
      <c r="C62" s="207" t="s">
        <v>1048</v>
      </c>
      <c r="D62" s="208">
        <v>45225</v>
      </c>
      <c r="E62" s="286" t="s">
        <v>216</v>
      </c>
    </row>
    <row r="63" spans="1:5" ht="21">
      <c r="A63" s="285">
        <v>51</v>
      </c>
      <c r="B63" s="207" t="s">
        <v>651</v>
      </c>
      <c r="C63" s="207" t="s">
        <v>652</v>
      </c>
      <c r="D63" s="208">
        <v>45628</v>
      </c>
      <c r="E63" s="286" t="s">
        <v>217</v>
      </c>
    </row>
    <row r="64" spans="1:5" ht="21">
      <c r="A64" s="285">
        <v>52</v>
      </c>
      <c r="B64" s="207" t="s">
        <v>653</v>
      </c>
      <c r="C64" s="207" t="s">
        <v>1049</v>
      </c>
      <c r="D64" s="211">
        <v>45628</v>
      </c>
      <c r="E64" s="286" t="s">
        <v>217</v>
      </c>
    </row>
    <row r="65" spans="1:12" ht="21">
      <c r="A65" s="285">
        <v>53</v>
      </c>
      <c r="B65" s="207" t="s">
        <v>666</v>
      </c>
      <c r="C65" s="207" t="s">
        <v>673</v>
      </c>
      <c r="D65" s="208">
        <v>45628</v>
      </c>
      <c r="E65" s="286" t="s">
        <v>215</v>
      </c>
      <c r="L65" t="s">
        <v>1058</v>
      </c>
    </row>
    <row r="66" spans="1:12" ht="21">
      <c r="A66" s="285">
        <v>54</v>
      </c>
      <c r="B66" s="207" t="s">
        <v>684</v>
      </c>
      <c r="C66" s="207" t="s">
        <v>685</v>
      </c>
      <c r="D66" s="208">
        <v>45691</v>
      </c>
      <c r="E66" s="286" t="s">
        <v>216</v>
      </c>
    </row>
    <row r="67" spans="1:12" ht="21">
      <c r="A67" s="285">
        <v>55</v>
      </c>
      <c r="B67" s="207" t="s">
        <v>686</v>
      </c>
      <c r="C67" s="207" t="s">
        <v>687</v>
      </c>
      <c r="D67" s="208">
        <v>45691</v>
      </c>
      <c r="E67" s="286" t="s">
        <v>217</v>
      </c>
    </row>
    <row r="68" spans="1:12" ht="21">
      <c r="A68" s="285">
        <v>56</v>
      </c>
      <c r="B68" s="207" t="s">
        <v>688</v>
      </c>
      <c r="C68" s="207" t="s">
        <v>689</v>
      </c>
      <c r="D68" s="208">
        <v>45691</v>
      </c>
      <c r="E68" s="286" t="s">
        <v>216</v>
      </c>
      <c r="F68" s="284"/>
    </row>
    <row r="69" spans="1:12" ht="21">
      <c r="A69" s="285">
        <v>57</v>
      </c>
      <c r="B69" s="207" t="s">
        <v>690</v>
      </c>
      <c r="C69" s="207" t="s">
        <v>691</v>
      </c>
      <c r="D69" s="208">
        <v>45691</v>
      </c>
      <c r="E69" s="286" t="s">
        <v>217</v>
      </c>
    </row>
    <row r="70" spans="1:12" ht="21.6" thickBot="1">
      <c r="A70" s="288">
        <v>58</v>
      </c>
      <c r="B70" s="295" t="s">
        <v>692</v>
      </c>
      <c r="C70" s="295" t="s">
        <v>693</v>
      </c>
      <c r="D70" s="296">
        <v>45691</v>
      </c>
      <c r="E70" s="291" t="s">
        <v>217</v>
      </c>
    </row>
    <row r="71" spans="1:12" ht="15" customHeight="1">
      <c r="A71" s="281"/>
      <c r="B71" s="1159" t="s">
        <v>2</v>
      </c>
      <c r="C71" s="1159" t="s">
        <v>664</v>
      </c>
      <c r="D71" s="1162" t="s">
        <v>663</v>
      </c>
      <c r="E71" s="1165" t="s">
        <v>8</v>
      </c>
    </row>
    <row r="72" spans="1:12" ht="15" customHeight="1">
      <c r="A72" s="282"/>
      <c r="B72" s="1160"/>
      <c r="C72" s="1160"/>
      <c r="D72" s="1163"/>
      <c r="E72" s="1166"/>
    </row>
    <row r="73" spans="1:12">
      <c r="A73" s="282"/>
      <c r="B73" s="1160"/>
      <c r="C73" s="1160"/>
      <c r="D73" s="1163"/>
      <c r="E73" s="1166"/>
    </row>
    <row r="74" spans="1:12" ht="15" thickBot="1">
      <c r="A74" s="283"/>
      <c r="B74" s="1161"/>
      <c r="C74" s="1161"/>
      <c r="D74" s="1164"/>
      <c r="E74" s="1167"/>
    </row>
    <row r="75" spans="1:12" ht="21">
      <c r="A75" s="292">
        <v>59</v>
      </c>
      <c r="B75" s="280" t="s">
        <v>732</v>
      </c>
      <c r="C75" s="280" t="s">
        <v>1050</v>
      </c>
      <c r="D75" s="294">
        <v>45692</v>
      </c>
      <c r="E75" s="293" t="s">
        <v>217</v>
      </c>
    </row>
    <row r="76" spans="1:12" ht="21">
      <c r="A76" s="285">
        <v>60</v>
      </c>
      <c r="B76" s="207" t="s">
        <v>733</v>
      </c>
      <c r="C76" s="207" t="s">
        <v>1051</v>
      </c>
      <c r="D76" s="208">
        <v>45692</v>
      </c>
      <c r="E76" s="286" t="s">
        <v>217</v>
      </c>
    </row>
    <row r="77" spans="1:12" ht="21">
      <c r="A77" s="285">
        <v>61</v>
      </c>
      <c r="B77" s="207" t="s">
        <v>745</v>
      </c>
      <c r="C77" s="207" t="s">
        <v>746</v>
      </c>
      <c r="D77" s="211">
        <v>45692</v>
      </c>
      <c r="E77" s="286" t="s">
        <v>217</v>
      </c>
    </row>
    <row r="78" spans="1:12" ht="21">
      <c r="A78" s="285">
        <v>62</v>
      </c>
      <c r="B78" s="207" t="s">
        <v>751</v>
      </c>
      <c r="C78" s="207" t="s">
        <v>1052</v>
      </c>
      <c r="D78" s="208">
        <v>45692</v>
      </c>
      <c r="E78" s="286" t="s">
        <v>217</v>
      </c>
    </row>
    <row r="79" spans="1:12" ht="21">
      <c r="A79" s="285">
        <v>63</v>
      </c>
      <c r="B79" s="207" t="s">
        <v>758</v>
      </c>
      <c r="C79" s="207" t="s">
        <v>759</v>
      </c>
      <c r="D79" s="208">
        <v>45751</v>
      </c>
      <c r="E79" s="286" t="s">
        <v>217</v>
      </c>
    </row>
    <row r="80" spans="1:12" ht="18" customHeight="1">
      <c r="A80" s="285">
        <v>64</v>
      </c>
      <c r="B80" s="207" t="s">
        <v>760</v>
      </c>
      <c r="C80" s="207" t="s">
        <v>761</v>
      </c>
      <c r="D80" s="208">
        <v>45751</v>
      </c>
      <c r="E80" s="286" t="s">
        <v>217</v>
      </c>
    </row>
    <row r="81" spans="1:5" ht="21">
      <c r="A81" s="285">
        <v>65</v>
      </c>
      <c r="B81" s="207" t="s">
        <v>762</v>
      </c>
      <c r="C81" s="207" t="s">
        <v>763</v>
      </c>
      <c r="D81" s="208">
        <v>45751</v>
      </c>
      <c r="E81" s="286" t="s">
        <v>217</v>
      </c>
    </row>
    <row r="82" spans="1:5" ht="21">
      <c r="A82" s="285">
        <v>66</v>
      </c>
      <c r="B82" s="207" t="s">
        <v>782</v>
      </c>
      <c r="C82" s="207" t="s">
        <v>783</v>
      </c>
      <c r="D82" s="208">
        <v>45693</v>
      </c>
      <c r="E82" s="286" t="s">
        <v>784</v>
      </c>
    </row>
    <row r="83" spans="1:5" ht="21">
      <c r="A83" s="285">
        <v>67</v>
      </c>
      <c r="B83" s="207" t="s">
        <v>785</v>
      </c>
      <c r="C83" s="207" t="s">
        <v>1005</v>
      </c>
      <c r="D83" s="208">
        <v>45719</v>
      </c>
      <c r="E83" s="286" t="s">
        <v>215</v>
      </c>
    </row>
    <row r="84" spans="1:5" ht="21">
      <c r="A84" s="285">
        <v>68</v>
      </c>
      <c r="B84" s="207" t="s">
        <v>829</v>
      </c>
      <c r="C84" s="207" t="s">
        <v>1053</v>
      </c>
      <c r="D84" s="208">
        <v>45945</v>
      </c>
      <c r="E84" s="286" t="s">
        <v>217</v>
      </c>
    </row>
    <row r="85" spans="1:5" ht="21">
      <c r="A85" s="285">
        <v>69</v>
      </c>
      <c r="B85" s="207" t="s">
        <v>830</v>
      </c>
      <c r="C85" s="207" t="s">
        <v>831</v>
      </c>
      <c r="D85" s="208">
        <v>45945</v>
      </c>
      <c r="E85" s="286" t="s">
        <v>217</v>
      </c>
    </row>
    <row r="86" spans="1:5" ht="21">
      <c r="A86" s="285">
        <v>70</v>
      </c>
      <c r="B86" s="207" t="s">
        <v>752</v>
      </c>
      <c r="C86" s="207" t="s">
        <v>753</v>
      </c>
      <c r="D86" s="208">
        <v>45692</v>
      </c>
      <c r="E86" s="286" t="s">
        <v>217</v>
      </c>
    </row>
    <row r="87" spans="1:5" ht="21">
      <c r="A87" s="285">
        <v>71</v>
      </c>
      <c r="B87" s="207" t="s">
        <v>832</v>
      </c>
      <c r="C87" s="207" t="s">
        <v>833</v>
      </c>
      <c r="D87" s="208">
        <v>45945</v>
      </c>
      <c r="E87" s="286" t="s">
        <v>784</v>
      </c>
    </row>
    <row r="88" spans="1:5" ht="21">
      <c r="A88" s="285">
        <v>72</v>
      </c>
      <c r="B88" s="207" t="s">
        <v>834</v>
      </c>
      <c r="C88" s="207" t="s">
        <v>835</v>
      </c>
      <c r="D88" s="208">
        <v>45945</v>
      </c>
      <c r="E88" s="286" t="s">
        <v>784</v>
      </c>
    </row>
    <row r="89" spans="1:5" ht="21">
      <c r="A89" s="285">
        <v>73</v>
      </c>
      <c r="B89" s="207" t="s">
        <v>836</v>
      </c>
      <c r="C89" s="207" t="s">
        <v>837</v>
      </c>
      <c r="D89" s="208">
        <v>45945</v>
      </c>
      <c r="E89" s="286" t="s">
        <v>784</v>
      </c>
    </row>
    <row r="90" spans="1:5" ht="21">
      <c r="A90" s="285">
        <v>74</v>
      </c>
      <c r="B90" s="207" t="s">
        <v>838</v>
      </c>
      <c r="C90" s="207" t="s">
        <v>1054</v>
      </c>
      <c r="D90" s="208">
        <v>45945</v>
      </c>
      <c r="E90" s="286" t="s">
        <v>217</v>
      </c>
    </row>
    <row r="91" spans="1:5" ht="21">
      <c r="A91" s="285">
        <v>75</v>
      </c>
      <c r="B91" s="243" t="s">
        <v>851</v>
      </c>
      <c r="C91" s="243" t="s">
        <v>839</v>
      </c>
      <c r="D91" s="208">
        <v>45964</v>
      </c>
      <c r="E91" s="286" t="s">
        <v>784</v>
      </c>
    </row>
    <row r="92" spans="1:5" ht="21">
      <c r="A92" s="285">
        <v>76</v>
      </c>
      <c r="B92" s="243" t="s">
        <v>852</v>
      </c>
      <c r="C92" s="243" t="s">
        <v>840</v>
      </c>
      <c r="D92" s="208">
        <v>45964</v>
      </c>
      <c r="E92" s="286" t="s">
        <v>784</v>
      </c>
    </row>
    <row r="93" spans="1:5" ht="21">
      <c r="A93" s="285">
        <v>77</v>
      </c>
      <c r="B93" s="243" t="s">
        <v>853</v>
      </c>
      <c r="C93" s="243" t="s">
        <v>841</v>
      </c>
      <c r="D93" s="208">
        <v>45964</v>
      </c>
      <c r="E93" s="286" t="s">
        <v>784</v>
      </c>
    </row>
    <row r="94" spans="1:5" ht="21">
      <c r="A94" s="285">
        <v>78</v>
      </c>
      <c r="B94" s="243" t="s">
        <v>854</v>
      </c>
      <c r="C94" s="277" t="s">
        <v>842</v>
      </c>
      <c r="D94" s="208">
        <v>45964</v>
      </c>
      <c r="E94" s="286" t="s">
        <v>215</v>
      </c>
    </row>
    <row r="95" spans="1:5" ht="21">
      <c r="A95" s="285">
        <v>79</v>
      </c>
      <c r="B95" s="243" t="s">
        <v>855</v>
      </c>
      <c r="C95" s="243" t="s">
        <v>843</v>
      </c>
      <c r="D95" s="208">
        <v>45964</v>
      </c>
      <c r="E95" s="286" t="s">
        <v>217</v>
      </c>
    </row>
    <row r="96" spans="1:5" ht="21">
      <c r="A96" s="285">
        <v>80</v>
      </c>
      <c r="B96" s="243" t="s">
        <v>856</v>
      </c>
      <c r="C96" s="243" t="s">
        <v>844</v>
      </c>
      <c r="D96" s="208">
        <v>45964</v>
      </c>
      <c r="E96" s="286" t="s">
        <v>215</v>
      </c>
    </row>
    <row r="97" spans="1:5" ht="25.8">
      <c r="A97" s="285">
        <v>81</v>
      </c>
      <c r="B97" s="188" t="s">
        <v>825</v>
      </c>
      <c r="C97" s="180" t="s">
        <v>826</v>
      </c>
      <c r="D97" s="181">
        <v>45945</v>
      </c>
      <c r="E97" s="286" t="s">
        <v>784</v>
      </c>
    </row>
    <row r="98" spans="1:5" ht="21">
      <c r="A98" s="285">
        <v>82</v>
      </c>
      <c r="B98" s="243" t="s">
        <v>857</v>
      </c>
      <c r="C98" s="243" t="s">
        <v>845</v>
      </c>
      <c r="D98" s="208">
        <v>45964</v>
      </c>
      <c r="E98" s="286" t="s">
        <v>216</v>
      </c>
    </row>
    <row r="99" spans="1:5" ht="21.6" thickBot="1">
      <c r="A99" s="288">
        <v>83</v>
      </c>
      <c r="B99" s="289" t="s">
        <v>858</v>
      </c>
      <c r="C99" s="289" t="s">
        <v>846</v>
      </c>
      <c r="D99" s="290">
        <v>45964</v>
      </c>
      <c r="E99" s="291" t="s">
        <v>784</v>
      </c>
    </row>
    <row r="100" spans="1:5" ht="15" customHeight="1">
      <c r="A100" s="281" cm="1">
        <f t="array" aca="1" ref="A100" ca="1">_xlnm.Print_Area+_xlnm.Print_Area</f>
        <v>0</v>
      </c>
      <c r="B100" s="1168" t="s">
        <v>2</v>
      </c>
      <c r="C100" s="1159" t="s">
        <v>664</v>
      </c>
      <c r="D100" s="1162" t="s">
        <v>663</v>
      </c>
      <c r="E100" s="1165" t="s">
        <v>8</v>
      </c>
    </row>
    <row r="101" spans="1:5">
      <c r="A101" s="282"/>
      <c r="B101" s="1169"/>
      <c r="C101" s="1160"/>
      <c r="D101" s="1163"/>
      <c r="E101" s="1166"/>
    </row>
    <row r="102" spans="1:5">
      <c r="A102" s="282"/>
      <c r="B102" s="1169"/>
      <c r="C102" s="1160"/>
      <c r="D102" s="1163"/>
      <c r="E102" s="1166"/>
    </row>
    <row r="103" spans="1:5" ht="15" thickBot="1">
      <c r="A103" s="283"/>
      <c r="B103" s="1170"/>
      <c r="C103" s="1161"/>
      <c r="D103" s="1164"/>
      <c r="E103" s="1167"/>
    </row>
    <row r="104" spans="1:5" ht="21">
      <c r="A104" s="285">
        <v>84</v>
      </c>
      <c r="B104" s="243" t="s">
        <v>859</v>
      </c>
      <c r="C104" s="243" t="s">
        <v>847</v>
      </c>
      <c r="D104" s="208">
        <v>45964</v>
      </c>
      <c r="E104" s="286" t="s">
        <v>216</v>
      </c>
    </row>
    <row r="105" spans="1:5" ht="21">
      <c r="A105" s="285">
        <v>85</v>
      </c>
      <c r="B105" s="243" t="s">
        <v>860</v>
      </c>
      <c r="C105" s="243" t="s">
        <v>848</v>
      </c>
      <c r="D105" s="208">
        <v>45964</v>
      </c>
      <c r="E105" s="286" t="s">
        <v>215</v>
      </c>
    </row>
    <row r="106" spans="1:5" ht="21">
      <c r="A106" s="285">
        <v>86</v>
      </c>
      <c r="B106" s="243" t="s">
        <v>861</v>
      </c>
      <c r="C106" s="243" t="s">
        <v>849</v>
      </c>
      <c r="D106" s="208">
        <v>45964</v>
      </c>
      <c r="E106" s="286" t="s">
        <v>216</v>
      </c>
    </row>
    <row r="107" spans="1:5" ht="21">
      <c r="A107" s="285">
        <v>87</v>
      </c>
      <c r="B107" s="243" t="s">
        <v>862</v>
      </c>
      <c r="C107" s="243" t="s">
        <v>850</v>
      </c>
      <c r="D107" s="208">
        <v>45964</v>
      </c>
      <c r="E107" s="286" t="s">
        <v>216</v>
      </c>
    </row>
    <row r="108" spans="1:5" ht="21">
      <c r="A108" s="285">
        <v>88</v>
      </c>
      <c r="B108" s="243" t="s">
        <v>917</v>
      </c>
      <c r="C108" s="243" t="s">
        <v>1055</v>
      </c>
      <c r="D108" s="208">
        <v>45992</v>
      </c>
      <c r="E108" s="286" t="s">
        <v>217</v>
      </c>
    </row>
    <row r="109" spans="1:5" ht="21">
      <c r="A109" s="285">
        <v>89</v>
      </c>
      <c r="B109" s="243" t="s">
        <v>918</v>
      </c>
      <c r="C109" s="243" t="s">
        <v>1056</v>
      </c>
      <c r="D109" s="208">
        <v>45993</v>
      </c>
      <c r="E109" s="286" t="s">
        <v>217</v>
      </c>
    </row>
    <row r="110" spans="1:5" ht="21">
      <c r="A110" s="285">
        <v>90</v>
      </c>
      <c r="B110" s="243" t="s">
        <v>969</v>
      </c>
      <c r="C110" s="243" t="s">
        <v>970</v>
      </c>
      <c r="D110" s="208">
        <v>45992</v>
      </c>
      <c r="E110" s="286" t="s">
        <v>784</v>
      </c>
    </row>
    <row r="111" spans="1:5" ht="21">
      <c r="A111" s="285">
        <v>91</v>
      </c>
      <c r="B111" s="243" t="s">
        <v>971</v>
      </c>
      <c r="C111" s="243" t="s">
        <v>1057</v>
      </c>
      <c r="D111" s="208">
        <v>46006</v>
      </c>
      <c r="E111" s="286" t="s">
        <v>784</v>
      </c>
    </row>
    <row r="112" spans="1:5" ht="21">
      <c r="A112" s="285">
        <v>92</v>
      </c>
      <c r="B112" s="243" t="s">
        <v>972</v>
      </c>
      <c r="C112" s="243" t="s">
        <v>973</v>
      </c>
      <c r="D112" s="208">
        <v>46006</v>
      </c>
      <c r="E112" s="286" t="s">
        <v>784</v>
      </c>
    </row>
    <row r="113" spans="1:5" ht="21">
      <c r="A113" s="285">
        <v>93</v>
      </c>
      <c r="B113" s="243" t="s">
        <v>987</v>
      </c>
      <c r="C113" s="243" t="s">
        <v>988</v>
      </c>
      <c r="D113" s="208">
        <v>46007</v>
      </c>
      <c r="E113" s="286" t="s">
        <v>217</v>
      </c>
    </row>
    <row r="114" spans="1:5" ht="21">
      <c r="A114" s="285">
        <v>94</v>
      </c>
      <c r="B114" s="243" t="s">
        <v>915</v>
      </c>
      <c r="C114" s="243" t="s">
        <v>916</v>
      </c>
      <c r="D114" s="208">
        <v>45964</v>
      </c>
      <c r="E114" s="286" t="s">
        <v>215</v>
      </c>
    </row>
    <row r="115" spans="1:5" ht="21">
      <c r="A115" s="285">
        <v>95</v>
      </c>
      <c r="B115" s="243" t="s">
        <v>989</v>
      </c>
      <c r="C115" s="243" t="s">
        <v>990</v>
      </c>
      <c r="D115" s="208">
        <v>46006</v>
      </c>
      <c r="E115" s="286" t="s">
        <v>216</v>
      </c>
    </row>
    <row r="116" spans="1:5" ht="21">
      <c r="A116" s="285">
        <v>96</v>
      </c>
      <c r="B116" s="243" t="s">
        <v>991</v>
      </c>
      <c r="C116" s="243" t="s">
        <v>992</v>
      </c>
      <c r="D116" s="208">
        <v>46006</v>
      </c>
      <c r="E116" s="286" t="s">
        <v>216</v>
      </c>
    </row>
    <row r="117" spans="1:5" ht="21">
      <c r="A117" s="285">
        <v>97</v>
      </c>
      <c r="B117" s="243" t="s">
        <v>993</v>
      </c>
      <c r="C117" s="243" t="s">
        <v>994</v>
      </c>
      <c r="D117" s="208">
        <v>46006</v>
      </c>
      <c r="E117" s="286" t="s">
        <v>216</v>
      </c>
    </row>
    <row r="118" spans="1:5" ht="21">
      <c r="A118" s="285">
        <v>98</v>
      </c>
      <c r="B118" s="243" t="s">
        <v>995</v>
      </c>
      <c r="C118" s="243" t="s">
        <v>996</v>
      </c>
      <c r="D118" s="208">
        <v>46006</v>
      </c>
      <c r="E118" s="286" t="s">
        <v>216</v>
      </c>
    </row>
    <row r="119" spans="1:5" ht="21">
      <c r="A119" s="285">
        <v>99</v>
      </c>
      <c r="B119" s="243" t="s">
        <v>997</v>
      </c>
      <c r="C119" s="243" t="s">
        <v>998</v>
      </c>
      <c r="D119" s="208">
        <v>46006</v>
      </c>
      <c r="E119" s="286" t="s">
        <v>216</v>
      </c>
    </row>
    <row r="120" spans="1:5" ht="21">
      <c r="A120" s="285">
        <v>100</v>
      </c>
      <c r="B120" s="243" t="s">
        <v>1026</v>
      </c>
      <c r="C120" s="243" t="s">
        <v>1007</v>
      </c>
      <c r="D120" s="208">
        <v>46006</v>
      </c>
      <c r="E120" s="286" t="s">
        <v>1006</v>
      </c>
    </row>
    <row r="121" spans="1:5" ht="21">
      <c r="A121" s="285">
        <v>101</v>
      </c>
      <c r="B121" s="243" t="s">
        <v>999</v>
      </c>
      <c r="C121" s="243" t="s">
        <v>1000</v>
      </c>
      <c r="D121" s="208">
        <v>46006</v>
      </c>
      <c r="E121" s="286" t="s">
        <v>216</v>
      </c>
    </row>
    <row r="122" spans="1:5" ht="21">
      <c r="A122" s="285">
        <v>102</v>
      </c>
      <c r="B122" s="243" t="s">
        <v>1014</v>
      </c>
      <c r="C122" s="243" t="s">
        <v>1015</v>
      </c>
      <c r="D122" s="208">
        <v>46037</v>
      </c>
      <c r="E122" s="286" t="s">
        <v>216</v>
      </c>
    </row>
    <row r="123" spans="1:5" ht="21">
      <c r="A123" s="285">
        <v>103</v>
      </c>
      <c r="B123" s="243" t="s">
        <v>1016</v>
      </c>
      <c r="C123" s="243" t="s">
        <v>1017</v>
      </c>
      <c r="D123" s="208">
        <v>46037</v>
      </c>
      <c r="E123" s="286" t="s">
        <v>216</v>
      </c>
    </row>
    <row r="124" spans="1:5" ht="21">
      <c r="A124" s="285">
        <v>104</v>
      </c>
      <c r="B124" s="243" t="s">
        <v>1018</v>
      </c>
      <c r="C124" s="243" t="s">
        <v>1019</v>
      </c>
      <c r="D124" s="208">
        <v>46037</v>
      </c>
      <c r="E124" s="286" t="s">
        <v>216</v>
      </c>
    </row>
    <row r="125" spans="1:5" ht="21">
      <c r="A125" s="285">
        <v>105</v>
      </c>
      <c r="B125" s="243" t="s">
        <v>1020</v>
      </c>
      <c r="C125" s="243" t="s">
        <v>1021</v>
      </c>
      <c r="D125" s="208">
        <v>46037</v>
      </c>
      <c r="E125" s="286" t="s">
        <v>216</v>
      </c>
    </row>
    <row r="126" spans="1:5" ht="21">
      <c r="A126" s="285">
        <v>106</v>
      </c>
      <c r="B126" s="243" t="s">
        <v>1022</v>
      </c>
      <c r="C126" s="243" t="s">
        <v>1023</v>
      </c>
      <c r="D126" s="208">
        <v>46037</v>
      </c>
      <c r="E126" s="286" t="s">
        <v>216</v>
      </c>
    </row>
    <row r="127" spans="1:5" ht="21.6" thickBot="1">
      <c r="A127" s="288">
        <v>107</v>
      </c>
      <c r="B127" s="289" t="s">
        <v>1024</v>
      </c>
      <c r="C127" s="289" t="s">
        <v>1025</v>
      </c>
      <c r="D127" s="290">
        <v>46037</v>
      </c>
      <c r="E127" s="291" t="s">
        <v>216</v>
      </c>
    </row>
  </sheetData>
  <mergeCells count="22">
    <mergeCell ref="K12:K19"/>
    <mergeCell ref="L12:L19"/>
    <mergeCell ref="B100:B103"/>
    <mergeCell ref="C100:C103"/>
    <mergeCell ref="D100:D103"/>
    <mergeCell ref="E100:E103"/>
    <mergeCell ref="B71:B74"/>
    <mergeCell ref="C71:C74"/>
    <mergeCell ref="D71:D74"/>
    <mergeCell ref="E71:E74"/>
    <mergeCell ref="B45:B48"/>
    <mergeCell ref="C45:C48"/>
    <mergeCell ref="D45:D48"/>
    <mergeCell ref="E45:E48"/>
    <mergeCell ref="B1:B4"/>
    <mergeCell ref="C1:C4"/>
    <mergeCell ref="D1:D4"/>
    <mergeCell ref="E1:E4"/>
    <mergeCell ref="B23:B26"/>
    <mergeCell ref="C23:C26"/>
    <mergeCell ref="D23:D26"/>
    <mergeCell ref="E23:E26"/>
  </mergeCells>
  <phoneticPr fontId="20" type="noConversion"/>
  <conditionalFormatting sqref="B105:C127">
    <cfRule type="duplicateValues" dxfId="6877" priority="83"/>
  </conditionalFormatting>
  <conditionalFormatting sqref="C105:C127">
    <cfRule type="duplicateValues" dxfId="6876" priority="79"/>
  </conditionalFormatting>
  <conditionalFormatting sqref="B105:B127">
    <cfRule type="duplicateValues" dxfId="6875" priority="67"/>
    <cfRule type="duplicateValues" dxfId="6874" priority="68"/>
    <cfRule type="duplicateValues" dxfId="6873" priority="69"/>
    <cfRule type="duplicateValues" dxfId="6872" priority="70"/>
    <cfRule type="duplicateValues" dxfId="6871" priority="71"/>
    <cfRule type="duplicateValues" dxfId="6870" priority="72"/>
    <cfRule type="duplicateValues" dxfId="6869" priority="73"/>
    <cfRule type="duplicateValues" dxfId="6868" priority="74"/>
    <cfRule type="duplicateValues" dxfId="6867" priority="75"/>
    <cfRule type="duplicateValues" dxfId="6866" priority="76"/>
    <cfRule type="duplicateValues" dxfId="6865" priority="77"/>
    <cfRule type="duplicateValues" dxfId="6864" priority="78"/>
  </conditionalFormatting>
  <conditionalFormatting sqref="B19">
    <cfRule type="duplicateValues" dxfId="6863" priority="66"/>
  </conditionalFormatting>
  <conditionalFormatting sqref="C57">
    <cfRule type="duplicateValues" dxfId="6862" priority="52"/>
    <cfRule type="duplicateValues" dxfId="6861" priority="53"/>
    <cfRule type="duplicateValues" dxfId="6860" priority="54"/>
    <cfRule type="duplicateValues" dxfId="6859" priority="55"/>
    <cfRule type="duplicateValues" dxfId="6858" priority="56"/>
    <cfRule type="duplicateValues" dxfId="6857" priority="57"/>
    <cfRule type="duplicateValues" dxfId="6856" priority="58"/>
  </conditionalFormatting>
  <conditionalFormatting sqref="B97">
    <cfRule type="duplicateValues" dxfId="6855" priority="50"/>
    <cfRule type="duplicateValues" dxfId="6854" priority="51"/>
  </conditionalFormatting>
  <conditionalFormatting sqref="B98:C99 B91:C96">
    <cfRule type="duplicateValues" dxfId="6853" priority="49"/>
  </conditionalFormatting>
  <conditionalFormatting sqref="C97">
    <cfRule type="duplicateValues" dxfId="6852" priority="45"/>
    <cfRule type="duplicateValues" dxfId="6851" priority="46"/>
    <cfRule type="duplicateValues" dxfId="6850" priority="47"/>
    <cfRule type="containsText" dxfId="6849" priority="48" operator="containsText" text="Mt">
      <formula>NOT(ISERROR(SEARCH("Mt",C97)))</formula>
    </cfRule>
  </conditionalFormatting>
  <conditionalFormatting sqref="D97">
    <cfRule type="duplicateValues" dxfId="6848" priority="43"/>
    <cfRule type="duplicateValues" dxfId="6847" priority="44"/>
  </conditionalFormatting>
  <conditionalFormatting sqref="C98:C99 C91:C96">
    <cfRule type="duplicateValues" dxfId="6846" priority="42"/>
  </conditionalFormatting>
  <conditionalFormatting sqref="B91:B96 B98:B99">
    <cfRule type="duplicateValues" dxfId="6845" priority="30"/>
    <cfRule type="duplicateValues" dxfId="6844" priority="31"/>
    <cfRule type="duplicateValues" dxfId="6843" priority="32"/>
    <cfRule type="duplicateValues" dxfId="6842" priority="33"/>
    <cfRule type="duplicateValues" dxfId="6841" priority="34"/>
    <cfRule type="duplicateValues" dxfId="6840" priority="35"/>
    <cfRule type="duplicateValues" dxfId="6839" priority="36"/>
    <cfRule type="duplicateValues" dxfId="6838" priority="37"/>
    <cfRule type="duplicateValues" dxfId="6837" priority="38"/>
    <cfRule type="duplicateValues" dxfId="6836" priority="39"/>
    <cfRule type="duplicateValues" dxfId="6835" priority="40"/>
    <cfRule type="duplicateValues" dxfId="6834" priority="41"/>
  </conditionalFormatting>
  <conditionalFormatting sqref="B104:C104">
    <cfRule type="duplicateValues" dxfId="6833" priority="14"/>
  </conditionalFormatting>
  <conditionalFormatting sqref="C104">
    <cfRule type="duplicateValues" dxfId="6832" priority="13"/>
  </conditionalFormatting>
  <conditionalFormatting sqref="B104">
    <cfRule type="duplicateValues" dxfId="6831" priority="1"/>
    <cfRule type="duplicateValues" dxfId="6830" priority="2"/>
    <cfRule type="duplicateValues" dxfId="6829" priority="3"/>
    <cfRule type="duplicateValues" dxfId="6828" priority="4"/>
    <cfRule type="duplicateValues" dxfId="6827" priority="5"/>
    <cfRule type="duplicateValues" dxfId="6826" priority="6"/>
    <cfRule type="duplicateValues" dxfId="6825" priority="7"/>
    <cfRule type="duplicateValues" dxfId="6824" priority="8"/>
    <cfRule type="duplicateValues" dxfId="6823" priority="9"/>
    <cfRule type="duplicateValues" dxfId="6822" priority="10"/>
    <cfRule type="duplicateValues" dxfId="6821" priority="11"/>
    <cfRule type="duplicateValues" dxfId="6820" priority="12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landscape" r:id="rId1"/>
  <rowBreaks count="4" manualBreakCount="4">
    <brk id="22" max="4" man="1"/>
    <brk id="44" max="4" man="1"/>
    <brk id="70" max="4" man="1"/>
    <brk id="99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5240-15AF-4E5C-BEB9-992C7AD75F4D}">
  <sheetPr filterMode="1"/>
  <dimension ref="A1:DV738"/>
  <sheetViews>
    <sheetView view="pageBreakPreview" topLeftCell="B1" zoomScale="40" zoomScaleNormal="50" zoomScaleSheetLayoutView="40" workbookViewId="0">
      <pane xSplit="2" topLeftCell="D1" activePane="topRight" state="frozen"/>
      <selection activeCell="B14" sqref="B14"/>
      <selection pane="topRight" activeCell="P68" sqref="P68"/>
    </sheetView>
  </sheetViews>
  <sheetFormatPr defaultColWidth="9.109375" defaultRowHeight="17.399999999999999"/>
  <cols>
    <col min="1" max="1" width="31.109375" hidden="1" customWidth="1"/>
    <col min="2" max="2" width="38.5546875" style="147" customWidth="1"/>
    <col min="3" max="3" width="67" style="147" customWidth="1"/>
    <col min="4" max="4" width="34.44140625" style="147" bestFit="1" customWidth="1"/>
    <col min="5" max="5" width="44.44140625" style="147" bestFit="1" customWidth="1"/>
    <col min="6" max="8" width="16.5546875" style="30" bestFit="1" customWidth="1"/>
    <col min="9" max="9" width="21.5546875" style="30" bestFit="1" customWidth="1"/>
    <col min="10" max="10" width="16.5546875" style="30" bestFit="1" customWidth="1"/>
    <col min="11" max="14" width="21.5546875" style="30" bestFit="1" customWidth="1"/>
    <col min="15" max="16" width="16.5546875" style="30" bestFit="1" customWidth="1"/>
    <col min="17" max="17" width="21.5546875" style="30" bestFit="1" customWidth="1"/>
    <col min="18" max="18" width="16.5546875" style="30" bestFit="1" customWidth="1"/>
    <col min="19" max="26" width="21.5546875" style="30" bestFit="1" customWidth="1"/>
    <col min="27" max="27" width="16.5546875" style="103" bestFit="1" customWidth="1"/>
    <col min="28" max="28" width="21.5546875" style="103" bestFit="1" customWidth="1"/>
    <col min="29" max="29" width="16.5546875" style="103" bestFit="1" customWidth="1"/>
    <col min="30" max="31" width="21.5546875" style="30" bestFit="1" customWidth="1"/>
    <col min="32" max="35" width="16.5546875" style="30" bestFit="1" customWidth="1"/>
    <col min="36" max="42" width="21.5546875" style="30" bestFit="1" customWidth="1"/>
    <col min="43" max="44" width="16.5546875" style="30" bestFit="1" customWidth="1"/>
    <col min="45" max="45" width="21.5546875" style="30" bestFit="1" customWidth="1"/>
    <col min="46" max="47" width="16.5546875" style="30" bestFit="1" customWidth="1"/>
    <col min="48" max="49" width="21.5546875" style="30" bestFit="1" customWidth="1"/>
    <col min="50" max="50" width="16.5546875" style="30" bestFit="1" customWidth="1"/>
    <col min="51" max="51" width="21.5546875" style="30" bestFit="1" customWidth="1"/>
    <col min="52" max="52" width="16.5546875" style="30" bestFit="1" customWidth="1"/>
    <col min="53" max="69" width="21.5546875" style="30" bestFit="1" customWidth="1"/>
    <col min="70" max="70" width="16.5546875" style="30" bestFit="1" customWidth="1"/>
    <col min="71" max="72" width="21.5546875" style="30" bestFit="1" customWidth="1"/>
    <col min="73" max="74" width="16.5546875" style="30" bestFit="1" customWidth="1"/>
    <col min="75" max="76" width="21.5546875" style="30" bestFit="1" customWidth="1"/>
    <col min="77" max="77" width="16.5546875" style="30" bestFit="1" customWidth="1"/>
    <col min="78" max="78" width="22.33203125" style="30" bestFit="1" customWidth="1"/>
    <col min="79" max="84" width="21.5546875" style="30" bestFit="1" customWidth="1"/>
    <col min="85" max="85" width="16.5546875" style="30" bestFit="1" customWidth="1"/>
    <col min="86" max="96" width="21.5546875" style="30" bestFit="1" customWidth="1"/>
    <col min="97" max="97" width="25.88671875" style="30" bestFit="1" customWidth="1"/>
    <col min="98" max="104" width="21.5546875" style="30" bestFit="1" customWidth="1"/>
    <col min="105" max="108" width="16.5546875" style="30" bestFit="1" customWidth="1"/>
    <col min="109" max="112" width="21.5546875" style="30" bestFit="1" customWidth="1"/>
    <col min="113" max="113" width="16.5546875" style="30" bestFit="1" customWidth="1"/>
    <col min="114" max="118" width="21.5546875" style="30" bestFit="1" customWidth="1"/>
    <col min="119" max="123" width="21.5546875" bestFit="1" customWidth="1"/>
    <col min="124" max="124" width="16.5546875" bestFit="1" customWidth="1"/>
    <col min="125" max="126" width="27" bestFit="1" customWidth="1"/>
    <col min="127" max="132" width="70.88671875" customWidth="1"/>
  </cols>
  <sheetData>
    <row r="1" spans="1:126" s="1" customFormat="1" ht="85.5" customHeight="1" thickBot="1">
      <c r="A1" s="601"/>
      <c r="B1" s="786"/>
      <c r="C1" s="786"/>
      <c r="D1" s="786"/>
      <c r="E1" s="788" t="s">
        <v>29</v>
      </c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788"/>
      <c r="BL1" s="788"/>
      <c r="BM1" s="788"/>
      <c r="BN1" s="788"/>
      <c r="BO1" s="788"/>
      <c r="BP1" s="788"/>
      <c r="BQ1" s="788"/>
      <c r="BR1" s="788"/>
      <c r="BS1" s="788"/>
      <c r="BT1" s="788"/>
      <c r="BU1" s="788"/>
      <c r="BV1" s="788"/>
      <c r="BW1" s="788"/>
      <c r="BX1" s="788"/>
      <c r="BY1" s="788"/>
      <c r="BZ1" s="788"/>
      <c r="CA1" s="788"/>
      <c r="CB1" s="788"/>
      <c r="CC1" s="788"/>
      <c r="CD1" s="788"/>
      <c r="CE1" s="788"/>
      <c r="CF1" s="788"/>
      <c r="CG1" s="788"/>
      <c r="CH1" s="788"/>
      <c r="CI1" s="788"/>
      <c r="CJ1" s="788"/>
      <c r="CK1" s="788"/>
      <c r="CL1" s="788"/>
      <c r="CM1" s="788"/>
      <c r="CN1" s="788"/>
      <c r="CO1" s="788"/>
      <c r="CP1" s="788"/>
      <c r="CQ1" s="788"/>
      <c r="CR1" s="788"/>
      <c r="CS1" s="788"/>
      <c r="CT1" s="788"/>
      <c r="CU1" s="788"/>
      <c r="CV1" s="788"/>
      <c r="CW1" s="788"/>
      <c r="CX1" s="788"/>
      <c r="CY1" s="788"/>
      <c r="CZ1" s="788"/>
      <c r="DA1" s="788"/>
      <c r="DB1" s="788"/>
      <c r="DC1" s="788"/>
      <c r="DD1" s="788"/>
      <c r="DE1" s="788"/>
      <c r="DF1" s="788"/>
      <c r="DG1" s="788"/>
      <c r="DH1" s="788"/>
      <c r="DI1" s="788"/>
      <c r="DJ1" s="788"/>
      <c r="DK1" s="788"/>
      <c r="DL1" s="788"/>
      <c r="DM1" s="788"/>
      <c r="DN1" s="788"/>
      <c r="DO1" s="788"/>
      <c r="DP1" s="788"/>
      <c r="DQ1" s="788"/>
      <c r="DR1" s="788"/>
      <c r="DS1" s="788"/>
      <c r="DT1" s="129" t="s">
        <v>0</v>
      </c>
      <c r="DU1" s="789" t="s">
        <v>597</v>
      </c>
      <c r="DV1" s="790"/>
    </row>
    <row r="2" spans="1:126" s="1" customFormat="1" ht="85.5" customHeight="1" thickBot="1">
      <c r="A2" s="603"/>
      <c r="B2" s="787"/>
      <c r="C2" s="787"/>
      <c r="D2" s="787"/>
      <c r="E2" s="791" t="s">
        <v>30</v>
      </c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791"/>
      <c r="AD2" s="791"/>
      <c r="AE2" s="791"/>
      <c r="AF2" s="791"/>
      <c r="AG2" s="791"/>
      <c r="AH2" s="791"/>
      <c r="AI2" s="791"/>
      <c r="AJ2" s="791"/>
      <c r="AK2" s="791"/>
      <c r="AL2" s="791"/>
      <c r="AM2" s="791"/>
      <c r="AN2" s="791"/>
      <c r="AO2" s="791"/>
      <c r="AP2" s="791"/>
      <c r="AQ2" s="791"/>
      <c r="AR2" s="791"/>
      <c r="AS2" s="791"/>
      <c r="AT2" s="791"/>
      <c r="AU2" s="791"/>
      <c r="AV2" s="791"/>
      <c r="AW2" s="791"/>
      <c r="AX2" s="791"/>
      <c r="AY2" s="791"/>
      <c r="AZ2" s="791"/>
      <c r="BA2" s="791"/>
      <c r="BB2" s="791"/>
      <c r="BC2" s="791"/>
      <c r="BD2" s="791"/>
      <c r="BE2" s="791"/>
      <c r="BF2" s="791"/>
      <c r="BG2" s="791"/>
      <c r="BH2" s="791"/>
      <c r="BI2" s="791"/>
      <c r="BJ2" s="791"/>
      <c r="BK2" s="791"/>
      <c r="BL2" s="791"/>
      <c r="BM2" s="791"/>
      <c r="BN2" s="791"/>
      <c r="BO2" s="791"/>
      <c r="BP2" s="791"/>
      <c r="BQ2" s="791"/>
      <c r="BR2" s="791"/>
      <c r="BS2" s="791"/>
      <c r="BT2" s="791"/>
      <c r="BU2" s="791"/>
      <c r="BV2" s="791"/>
      <c r="BW2" s="791"/>
      <c r="BX2" s="791"/>
      <c r="BY2" s="791"/>
      <c r="BZ2" s="791"/>
      <c r="CA2" s="791"/>
      <c r="CB2" s="791"/>
      <c r="CC2" s="791"/>
      <c r="CD2" s="791"/>
      <c r="CE2" s="791"/>
      <c r="CF2" s="791"/>
      <c r="CG2" s="791"/>
      <c r="CH2" s="791"/>
      <c r="CI2" s="791"/>
      <c r="CJ2" s="791"/>
      <c r="CK2" s="791"/>
      <c r="CL2" s="791"/>
      <c r="CM2" s="791"/>
      <c r="CN2" s="791"/>
      <c r="CO2" s="791"/>
      <c r="CP2" s="791"/>
      <c r="CQ2" s="791"/>
      <c r="CR2" s="791"/>
      <c r="CS2" s="791"/>
      <c r="CT2" s="791"/>
      <c r="CU2" s="791"/>
      <c r="CV2" s="791"/>
      <c r="CW2" s="791"/>
      <c r="CX2" s="791"/>
      <c r="CY2" s="791"/>
      <c r="CZ2" s="791"/>
      <c r="DA2" s="791"/>
      <c r="DB2" s="791"/>
      <c r="DC2" s="791"/>
      <c r="DD2" s="791"/>
      <c r="DE2" s="791"/>
      <c r="DF2" s="791"/>
      <c r="DG2" s="791"/>
      <c r="DH2" s="791"/>
      <c r="DI2" s="791"/>
      <c r="DJ2" s="791"/>
      <c r="DK2" s="791"/>
      <c r="DL2" s="791"/>
      <c r="DM2" s="791"/>
      <c r="DN2" s="791"/>
      <c r="DO2" s="791"/>
      <c r="DP2" s="791"/>
      <c r="DQ2" s="791"/>
      <c r="DR2" s="791"/>
      <c r="DS2" s="791"/>
      <c r="DT2" s="129" t="s">
        <v>1</v>
      </c>
      <c r="DU2" s="792">
        <v>45358</v>
      </c>
      <c r="DV2" s="793"/>
    </row>
    <row r="3" spans="1:126" s="2" customFormat="1" ht="22.5" customHeight="1">
      <c r="A3" s="32"/>
      <c r="B3" s="141"/>
      <c r="C3" s="142"/>
      <c r="E3" s="14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3"/>
      <c r="DP3" s="3"/>
      <c r="DQ3" s="3"/>
      <c r="DR3" s="794" t="s">
        <v>518</v>
      </c>
      <c r="DS3" s="794"/>
      <c r="DT3" s="794"/>
      <c r="DU3" s="795">
        <f>+AVERAGE(DU16:DU97)</f>
        <v>0.24881982690794655</v>
      </c>
      <c r="DV3" s="795">
        <f>+AVERAGE(DV16:DV97)</f>
        <v>0.81131602404322756</v>
      </c>
    </row>
    <row r="4" spans="1:126" s="2" customFormat="1" ht="29.25" customHeight="1">
      <c r="A4" s="32"/>
      <c r="B4" s="142"/>
      <c r="C4" s="215" t="s">
        <v>4</v>
      </c>
      <c r="E4" s="142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R4" s="794"/>
      <c r="DS4" s="794"/>
      <c r="DT4" s="794"/>
      <c r="DU4" s="796"/>
      <c r="DV4" s="796"/>
    </row>
    <row r="5" spans="1:126" s="6" customFormat="1" ht="29.25" customHeight="1">
      <c r="A5" s="32"/>
      <c r="B5" s="142"/>
      <c r="C5" s="142"/>
      <c r="E5" s="142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7"/>
      <c r="DP5" s="7"/>
      <c r="DQ5" s="7"/>
      <c r="DR5" s="794"/>
      <c r="DS5" s="794"/>
      <c r="DT5" s="794"/>
      <c r="DU5" s="796"/>
      <c r="DV5" s="796"/>
    </row>
    <row r="6" spans="1:126" s="6" customFormat="1" ht="29.25" customHeight="1">
      <c r="A6" s="32"/>
      <c r="B6" s="142"/>
      <c r="C6" s="143" t="s">
        <v>5</v>
      </c>
      <c r="E6" s="142"/>
      <c r="F6" s="27" t="s">
        <v>213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7"/>
      <c r="DP6" s="7"/>
      <c r="DQ6" s="7"/>
      <c r="DR6" s="794"/>
      <c r="DS6" s="794"/>
      <c r="DT6" s="794"/>
      <c r="DU6" s="796"/>
      <c r="DV6" s="796"/>
    </row>
    <row r="7" spans="1:126" s="6" customFormat="1" ht="29.25" customHeight="1">
      <c r="A7" s="32"/>
      <c r="B7" s="142"/>
      <c r="C7" s="143" t="s">
        <v>6</v>
      </c>
      <c r="E7" s="14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9"/>
      <c r="DL7" s="9"/>
      <c r="DM7" s="9"/>
      <c r="DN7" s="9"/>
      <c r="DR7" s="794"/>
      <c r="DS7" s="794"/>
      <c r="DT7" s="794"/>
      <c r="DU7" s="796"/>
      <c r="DV7" s="796"/>
    </row>
    <row r="8" spans="1:126" s="6" customFormat="1" ht="29.25" customHeight="1">
      <c r="A8" s="32"/>
      <c r="B8" s="142"/>
      <c r="C8" s="143" t="s">
        <v>7</v>
      </c>
      <c r="E8" s="142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R8" s="794"/>
      <c r="DS8" s="794"/>
      <c r="DT8" s="794"/>
      <c r="DU8" s="796"/>
      <c r="DV8" s="796"/>
    </row>
    <row r="9" spans="1:126" s="2" customFormat="1" ht="29.25" customHeight="1">
      <c r="A9" s="32"/>
      <c r="B9" s="144"/>
      <c r="C9" s="143"/>
      <c r="E9" s="14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5"/>
      <c r="DP9" s="5"/>
      <c r="DQ9" s="5"/>
      <c r="DR9" s="794"/>
      <c r="DS9" s="794"/>
      <c r="DT9" s="794"/>
      <c r="DU9" s="796"/>
      <c r="DV9" s="796"/>
    </row>
    <row r="10" spans="1:126" s="2" customFormat="1" ht="16.5" customHeight="1" thickBot="1">
      <c r="A10" s="32"/>
      <c r="B10" s="144"/>
      <c r="C10" s="143" t="s">
        <v>10</v>
      </c>
      <c r="D10" s="144"/>
      <c r="E10" s="14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5"/>
      <c r="DP10" s="5"/>
      <c r="DQ10" s="5"/>
      <c r="DR10" s="1174"/>
      <c r="DS10" s="1174"/>
      <c r="DT10" s="1174"/>
      <c r="DU10" s="797"/>
      <c r="DV10" s="797"/>
    </row>
    <row r="11" spans="1:126" ht="71.25" customHeight="1" thickTop="1" thickBot="1">
      <c r="A11" s="42"/>
      <c r="B11" s="145"/>
      <c r="C11" s="145"/>
      <c r="D11" s="145"/>
      <c r="E11" s="144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798"/>
      <c r="V11" s="799"/>
      <c r="W11" s="799"/>
      <c r="X11" s="799"/>
      <c r="Y11" s="799"/>
      <c r="Z11" s="799"/>
      <c r="AA11" s="799"/>
      <c r="AB11" s="799"/>
      <c r="AC11" s="800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1177"/>
      <c r="DC11" s="1177"/>
      <c r="DD11" s="1177"/>
      <c r="DE11" s="1177"/>
      <c r="DF11" s="1177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1178"/>
      <c r="DS11" s="1178"/>
      <c r="DT11" s="1178"/>
      <c r="DU11" s="803" t="s">
        <v>11</v>
      </c>
      <c r="DV11" s="803" t="s">
        <v>517</v>
      </c>
    </row>
    <row r="12" spans="1:126" ht="137.25" customHeight="1" thickTop="1" thickBot="1">
      <c r="A12" s="1179" t="s">
        <v>2</v>
      </c>
      <c r="B12" s="1182" t="s">
        <v>2</v>
      </c>
      <c r="C12" s="1182" t="s">
        <v>3</v>
      </c>
      <c r="D12" s="1175" t="s">
        <v>611</v>
      </c>
      <c r="E12" s="1183" t="s">
        <v>9</v>
      </c>
      <c r="F12" s="1185" t="s">
        <v>487</v>
      </c>
      <c r="G12" s="1186"/>
      <c r="H12" s="1186"/>
      <c r="I12" s="1186"/>
      <c r="J12" s="1186"/>
      <c r="K12" s="1186"/>
      <c r="L12" s="1186"/>
      <c r="M12" s="1186"/>
      <c r="N12" s="1186"/>
      <c r="O12" s="1186"/>
      <c r="P12" s="1186"/>
      <c r="Q12" s="1186"/>
      <c r="R12" s="1187"/>
      <c r="S12" s="1198" t="s">
        <v>486</v>
      </c>
      <c r="T12" s="1199"/>
      <c r="U12" s="1199"/>
      <c r="V12" s="1199"/>
      <c r="W12" s="1199"/>
      <c r="X12" s="1199"/>
      <c r="Y12" s="1199"/>
      <c r="Z12" s="1199"/>
      <c r="AA12" s="1199"/>
      <c r="AB12" s="1199"/>
      <c r="AC12" s="1200"/>
      <c r="AD12" s="1198" t="s">
        <v>479</v>
      </c>
      <c r="AE12" s="1199"/>
      <c r="AF12" s="1199"/>
      <c r="AG12" s="1199"/>
      <c r="AH12" s="1199"/>
      <c r="AI12" s="1199"/>
      <c r="AJ12" s="1199"/>
      <c r="AK12" s="1200"/>
      <c r="AL12" s="1198" t="s">
        <v>480</v>
      </c>
      <c r="AM12" s="1199"/>
      <c r="AN12" s="1199"/>
      <c r="AO12" s="1199"/>
      <c r="AP12" s="1199"/>
      <c r="AQ12" s="1200"/>
      <c r="AR12" s="1203" t="s">
        <v>442</v>
      </c>
      <c r="AS12" s="1204"/>
      <c r="AT12" s="1204"/>
      <c r="AU12" s="1204"/>
      <c r="AV12" s="1204"/>
      <c r="AW12" s="1204"/>
      <c r="AX12" s="1204"/>
      <c r="AY12" s="1204"/>
      <c r="AZ12" s="1204"/>
      <c r="BA12" s="1204"/>
      <c r="BB12" s="1204"/>
      <c r="BC12" s="1204"/>
      <c r="BD12" s="1204"/>
      <c r="BE12" s="1204"/>
      <c r="BF12" s="1205"/>
      <c r="BG12" s="1203" t="s">
        <v>442</v>
      </c>
      <c r="BH12" s="1204"/>
      <c r="BI12" s="1205"/>
      <c r="BJ12" s="47" t="s">
        <v>446</v>
      </c>
      <c r="BK12" s="47" t="s">
        <v>482</v>
      </c>
      <c r="BL12" s="1203" t="s">
        <v>443</v>
      </c>
      <c r="BM12" s="1204"/>
      <c r="BN12" s="1205"/>
      <c r="BO12" s="1189" t="s">
        <v>442</v>
      </c>
      <c r="BP12" s="1190"/>
      <c r="BQ12" s="1191"/>
      <c r="BR12" s="1189" t="s">
        <v>440</v>
      </c>
      <c r="BS12" s="1191"/>
      <c r="BT12" s="1192" t="s">
        <v>444</v>
      </c>
      <c r="BU12" s="1193"/>
      <c r="BV12" s="1193"/>
      <c r="BW12" s="1193"/>
      <c r="BX12" s="1194"/>
      <c r="BY12" s="108"/>
      <c r="BZ12" s="47" t="s">
        <v>445</v>
      </c>
      <c r="CA12" s="1189" t="s">
        <v>478</v>
      </c>
      <c r="CB12" s="1190"/>
      <c r="CC12" s="1191"/>
      <c r="CD12" s="47" t="s">
        <v>488</v>
      </c>
      <c r="CE12" s="1189" t="s">
        <v>477</v>
      </c>
      <c r="CF12" s="1190"/>
      <c r="CG12" s="1190"/>
      <c r="CH12" s="1191"/>
      <c r="CI12" s="1189" t="s">
        <v>442</v>
      </c>
      <c r="CJ12" s="1191"/>
      <c r="CK12" s="1189" t="s">
        <v>442</v>
      </c>
      <c r="CL12" s="1191"/>
      <c r="CM12" s="1189" t="s">
        <v>447</v>
      </c>
      <c r="CN12" s="1190"/>
      <c r="CO12" s="1190"/>
      <c r="CP12" s="1190"/>
      <c r="CQ12" s="1191"/>
      <c r="CR12" s="1189" t="s">
        <v>447</v>
      </c>
      <c r="CS12" s="1190"/>
      <c r="CT12" s="1190"/>
      <c r="CU12" s="1191"/>
      <c r="CV12" s="1189" t="s">
        <v>447</v>
      </c>
      <c r="CW12" s="1191"/>
      <c r="CX12" s="1189" t="s">
        <v>457</v>
      </c>
      <c r="CY12" s="1191"/>
      <c r="CZ12" s="47" t="s">
        <v>495</v>
      </c>
      <c r="DA12" s="1195" t="s">
        <v>489</v>
      </c>
      <c r="DB12" s="1196"/>
      <c r="DC12" s="1196"/>
      <c r="DD12" s="1196"/>
      <c r="DE12" s="1196"/>
      <c r="DF12" s="1197"/>
      <c r="DG12" s="1189" t="s">
        <v>446</v>
      </c>
      <c r="DH12" s="1191"/>
      <c r="DI12" s="47" t="s">
        <v>443</v>
      </c>
      <c r="DJ12" s="47" t="s">
        <v>443</v>
      </c>
      <c r="DK12" s="1189" t="s">
        <v>475</v>
      </c>
      <c r="DL12" s="1190"/>
      <c r="DM12" s="1191"/>
      <c r="DN12" s="1189" t="s">
        <v>442</v>
      </c>
      <c r="DO12" s="1190"/>
      <c r="DP12" s="1190"/>
      <c r="DQ12" s="1191"/>
      <c r="DR12" s="1188" t="s">
        <v>66</v>
      </c>
      <c r="DS12" s="1188" t="s">
        <v>67</v>
      </c>
      <c r="DT12" s="1188" t="s">
        <v>68</v>
      </c>
      <c r="DU12" s="803"/>
      <c r="DV12" s="803"/>
    </row>
    <row r="13" spans="1:126" ht="34.5" customHeight="1">
      <c r="A13" s="1180"/>
      <c r="B13" s="806"/>
      <c r="C13" s="806"/>
      <c r="D13" s="809"/>
      <c r="E13" s="812"/>
      <c r="F13" s="837" t="s">
        <v>636</v>
      </c>
      <c r="G13" s="834"/>
      <c r="H13" s="837" t="s">
        <v>618</v>
      </c>
      <c r="I13" s="833"/>
      <c r="J13" s="834"/>
      <c r="K13" s="837" t="s">
        <v>523</v>
      </c>
      <c r="L13" s="834"/>
      <c r="M13" s="837" t="s">
        <v>524</v>
      </c>
      <c r="N13" s="834"/>
      <c r="O13" s="837" t="s">
        <v>526</v>
      </c>
      <c r="P13" s="834"/>
      <c r="Q13" s="837" t="s">
        <v>525</v>
      </c>
      <c r="R13" s="834"/>
      <c r="S13" s="837" t="s">
        <v>530</v>
      </c>
      <c r="T13" s="833"/>
      <c r="U13" s="834"/>
      <c r="V13" s="837" t="s">
        <v>528</v>
      </c>
      <c r="W13" s="834"/>
      <c r="X13" s="837" t="s">
        <v>527</v>
      </c>
      <c r="Y13" s="833"/>
      <c r="Z13" s="834"/>
      <c r="AA13" s="837" t="s">
        <v>529</v>
      </c>
      <c r="AB13" s="833"/>
      <c r="AC13" s="834"/>
      <c r="AD13" s="837" t="s">
        <v>533</v>
      </c>
      <c r="AE13" s="834"/>
      <c r="AF13" s="837" t="s">
        <v>532</v>
      </c>
      <c r="AG13" s="834"/>
      <c r="AH13" s="837" t="s">
        <v>531</v>
      </c>
      <c r="AI13" s="834"/>
      <c r="AJ13" s="837" t="s">
        <v>534</v>
      </c>
      <c r="AK13" s="834"/>
      <c r="AL13" s="837" t="s">
        <v>569</v>
      </c>
      <c r="AM13" s="834"/>
      <c r="AN13" s="837" t="s">
        <v>584</v>
      </c>
      <c r="AO13" s="834"/>
      <c r="AP13" s="837" t="s">
        <v>570</v>
      </c>
      <c r="AQ13" s="834"/>
      <c r="AR13" s="837" t="s">
        <v>574</v>
      </c>
      <c r="AS13" s="833"/>
      <c r="AT13" s="834"/>
      <c r="AU13" s="837" t="s">
        <v>573</v>
      </c>
      <c r="AV13" s="833"/>
      <c r="AW13" s="834"/>
      <c r="AX13" s="837" t="s">
        <v>572</v>
      </c>
      <c r="AY13" s="833"/>
      <c r="AZ13" s="834"/>
      <c r="BA13" s="837" t="s">
        <v>571</v>
      </c>
      <c r="BB13" s="833"/>
      <c r="BC13" s="834"/>
      <c r="BD13" s="837" t="s">
        <v>575</v>
      </c>
      <c r="BE13" s="833"/>
      <c r="BF13" s="834"/>
      <c r="BG13" s="819" t="s">
        <v>576</v>
      </c>
      <c r="BH13" s="819" t="s">
        <v>577</v>
      </c>
      <c r="BI13" s="819" t="s">
        <v>578</v>
      </c>
      <c r="BJ13" s="819" t="s">
        <v>182</v>
      </c>
      <c r="BK13" s="819" t="s">
        <v>183</v>
      </c>
      <c r="BL13" s="1206" t="s">
        <v>579</v>
      </c>
      <c r="BM13" s="1206" t="s">
        <v>580</v>
      </c>
      <c r="BN13" s="1206" t="s">
        <v>581</v>
      </c>
      <c r="BO13" s="1206" t="s">
        <v>582</v>
      </c>
      <c r="BP13" s="1206" t="s">
        <v>583</v>
      </c>
      <c r="BQ13" s="1206" t="s">
        <v>449</v>
      </c>
      <c r="BR13" s="837" t="s">
        <v>186</v>
      </c>
      <c r="BS13" s="834"/>
      <c r="BT13" s="837" t="s">
        <v>448</v>
      </c>
      <c r="BU13" s="833"/>
      <c r="BV13" s="834"/>
      <c r="BW13" s="821" t="s">
        <v>189</v>
      </c>
      <c r="BX13" s="823"/>
      <c r="BY13" s="819" t="s">
        <v>585</v>
      </c>
      <c r="BZ13" s="848" t="s">
        <v>594</v>
      </c>
      <c r="CA13" s="821" t="s">
        <v>190</v>
      </c>
      <c r="CB13" s="822"/>
      <c r="CC13" s="823"/>
      <c r="CD13" s="850" t="s">
        <v>192</v>
      </c>
      <c r="CE13" s="837" t="s">
        <v>193</v>
      </c>
      <c r="CF13" s="834"/>
      <c r="CG13" s="821" t="s">
        <v>194</v>
      </c>
      <c r="CH13" s="823"/>
      <c r="CI13" s="837" t="s">
        <v>498</v>
      </c>
      <c r="CJ13" s="834"/>
      <c r="CK13" s="837" t="s">
        <v>496</v>
      </c>
      <c r="CL13" s="834"/>
      <c r="CM13" s="837" t="s">
        <v>678</v>
      </c>
      <c r="CN13" s="833"/>
      <c r="CO13" s="833"/>
      <c r="CP13" s="833"/>
      <c r="CQ13" s="834"/>
      <c r="CR13" s="882" t="s">
        <v>679</v>
      </c>
      <c r="CS13" s="883"/>
      <c r="CT13" s="883"/>
      <c r="CU13" s="884"/>
      <c r="CV13" s="821" t="s">
        <v>586</v>
      </c>
      <c r="CW13" s="823"/>
      <c r="CX13" s="821" t="s">
        <v>453</v>
      </c>
      <c r="CY13" s="823"/>
      <c r="CZ13" s="819" t="s">
        <v>472</v>
      </c>
      <c r="DA13" s="821" t="s">
        <v>595</v>
      </c>
      <c r="DB13" s="823"/>
      <c r="DC13" s="821" t="s">
        <v>596</v>
      </c>
      <c r="DD13" s="823"/>
      <c r="DE13" s="819" t="s">
        <v>510</v>
      </c>
      <c r="DF13" s="819" t="s">
        <v>463</v>
      </c>
      <c r="DG13" s="821" t="s">
        <v>455</v>
      </c>
      <c r="DH13" s="823"/>
      <c r="DI13" s="819" t="s">
        <v>209</v>
      </c>
      <c r="DJ13" s="819" t="s">
        <v>456</v>
      </c>
      <c r="DK13" s="821" t="s">
        <v>461</v>
      </c>
      <c r="DL13" s="822"/>
      <c r="DM13" s="823"/>
      <c r="DN13" s="821" t="s">
        <v>466</v>
      </c>
      <c r="DO13" s="823" t="s">
        <v>459</v>
      </c>
      <c r="DP13" s="821" t="s">
        <v>460</v>
      </c>
      <c r="DQ13" s="823"/>
      <c r="DR13" s="816"/>
      <c r="DS13" s="816"/>
      <c r="DT13" s="816"/>
      <c r="DU13" s="803"/>
      <c r="DV13" s="803"/>
    </row>
    <row r="14" spans="1:126" ht="201.75" customHeight="1" thickBot="1">
      <c r="A14" s="1180"/>
      <c r="B14" s="806"/>
      <c r="C14" s="806"/>
      <c r="D14" s="809"/>
      <c r="E14" s="812"/>
      <c r="F14" s="838"/>
      <c r="G14" s="836"/>
      <c r="H14" s="838"/>
      <c r="I14" s="835"/>
      <c r="J14" s="836"/>
      <c r="K14" s="838"/>
      <c r="L14" s="836"/>
      <c r="M14" s="838"/>
      <c r="N14" s="836"/>
      <c r="O14" s="838"/>
      <c r="P14" s="836"/>
      <c r="Q14" s="838"/>
      <c r="R14" s="836"/>
      <c r="S14" s="838"/>
      <c r="T14" s="835"/>
      <c r="U14" s="836"/>
      <c r="V14" s="838"/>
      <c r="W14" s="836"/>
      <c r="X14" s="838"/>
      <c r="Y14" s="835"/>
      <c r="Z14" s="836"/>
      <c r="AA14" s="838"/>
      <c r="AB14" s="835"/>
      <c r="AC14" s="836"/>
      <c r="AD14" s="838"/>
      <c r="AE14" s="836"/>
      <c r="AF14" s="838"/>
      <c r="AG14" s="836"/>
      <c r="AH14" s="838"/>
      <c r="AI14" s="836"/>
      <c r="AJ14" s="838"/>
      <c r="AK14" s="836"/>
      <c r="AL14" s="838"/>
      <c r="AM14" s="836"/>
      <c r="AN14" s="838"/>
      <c r="AO14" s="836"/>
      <c r="AP14" s="838"/>
      <c r="AQ14" s="836"/>
      <c r="AR14" s="838"/>
      <c r="AS14" s="835"/>
      <c r="AT14" s="836"/>
      <c r="AU14" s="838"/>
      <c r="AV14" s="835"/>
      <c r="AW14" s="836"/>
      <c r="AX14" s="838"/>
      <c r="AY14" s="835"/>
      <c r="AZ14" s="836"/>
      <c r="BA14" s="838"/>
      <c r="BB14" s="835"/>
      <c r="BC14" s="836"/>
      <c r="BD14" s="838"/>
      <c r="BE14" s="835"/>
      <c r="BF14" s="836"/>
      <c r="BG14" s="820"/>
      <c r="BH14" s="820"/>
      <c r="BI14" s="820"/>
      <c r="BJ14" s="820"/>
      <c r="BK14" s="820"/>
      <c r="BL14" s="1207"/>
      <c r="BM14" s="1207"/>
      <c r="BN14" s="1207"/>
      <c r="BO14" s="1207"/>
      <c r="BP14" s="1207"/>
      <c r="BQ14" s="1207"/>
      <c r="BR14" s="838"/>
      <c r="BS14" s="836"/>
      <c r="BT14" s="838"/>
      <c r="BU14" s="835"/>
      <c r="BV14" s="836"/>
      <c r="BW14" s="824"/>
      <c r="BX14" s="826"/>
      <c r="BY14" s="820"/>
      <c r="BZ14" s="849"/>
      <c r="CA14" s="824"/>
      <c r="CB14" s="825"/>
      <c r="CC14" s="826"/>
      <c r="CD14" s="851"/>
      <c r="CE14" s="838"/>
      <c r="CF14" s="836"/>
      <c r="CG14" s="824"/>
      <c r="CH14" s="826"/>
      <c r="CI14" s="838"/>
      <c r="CJ14" s="836"/>
      <c r="CK14" s="838"/>
      <c r="CL14" s="836"/>
      <c r="CM14" s="838"/>
      <c r="CN14" s="835"/>
      <c r="CO14" s="835"/>
      <c r="CP14" s="835"/>
      <c r="CQ14" s="836"/>
      <c r="CR14" s="885"/>
      <c r="CS14" s="886"/>
      <c r="CT14" s="886"/>
      <c r="CU14" s="887"/>
      <c r="CV14" s="824"/>
      <c r="CW14" s="826"/>
      <c r="CX14" s="824"/>
      <c r="CY14" s="826"/>
      <c r="CZ14" s="820"/>
      <c r="DA14" s="824"/>
      <c r="DB14" s="826"/>
      <c r="DC14" s="824"/>
      <c r="DD14" s="826"/>
      <c r="DE14" s="820"/>
      <c r="DF14" s="820"/>
      <c r="DG14" s="824"/>
      <c r="DH14" s="826"/>
      <c r="DI14" s="820"/>
      <c r="DJ14" s="820"/>
      <c r="DK14" s="824"/>
      <c r="DL14" s="825"/>
      <c r="DM14" s="826"/>
      <c r="DN14" s="824"/>
      <c r="DO14" s="826"/>
      <c r="DP14" s="824"/>
      <c r="DQ14" s="826"/>
      <c r="DR14" s="816"/>
      <c r="DS14" s="816"/>
      <c r="DT14" s="816"/>
      <c r="DU14" s="803"/>
      <c r="DV14" s="803"/>
    </row>
    <row r="15" spans="1:126" s="217" customFormat="1" ht="201" customHeight="1" thickBot="1">
      <c r="A15" s="1181"/>
      <c r="B15" s="806"/>
      <c r="C15" s="806"/>
      <c r="D15" s="1176"/>
      <c r="E15" s="1184"/>
      <c r="F15" s="216" t="s">
        <v>175</v>
      </c>
      <c r="G15" s="216" t="s">
        <v>64</v>
      </c>
      <c r="H15" s="216" t="s">
        <v>175</v>
      </c>
      <c r="I15" s="216" t="s">
        <v>179</v>
      </c>
      <c r="J15" s="216" t="s">
        <v>64</v>
      </c>
      <c r="K15" s="216" t="s">
        <v>175</v>
      </c>
      <c r="L15" s="216" t="s">
        <v>64</v>
      </c>
      <c r="M15" s="216" t="s">
        <v>175</v>
      </c>
      <c r="N15" s="216" t="s">
        <v>64</v>
      </c>
      <c r="O15" s="216" t="s">
        <v>175</v>
      </c>
      <c r="P15" s="216" t="s">
        <v>64</v>
      </c>
      <c r="Q15" s="216" t="s">
        <v>175</v>
      </c>
      <c r="R15" s="216" t="s">
        <v>64</v>
      </c>
      <c r="S15" s="216" t="s">
        <v>177</v>
      </c>
      <c r="T15" s="216" t="s">
        <v>175</v>
      </c>
      <c r="U15" s="216" t="s">
        <v>64</v>
      </c>
      <c r="V15" s="216" t="s">
        <v>177</v>
      </c>
      <c r="W15" s="216" t="s">
        <v>64</v>
      </c>
      <c r="X15" s="216" t="s">
        <v>177</v>
      </c>
      <c r="Y15" s="216" t="s">
        <v>175</v>
      </c>
      <c r="Z15" s="216" t="s">
        <v>64</v>
      </c>
      <c r="AA15" s="216" t="s">
        <v>175</v>
      </c>
      <c r="AB15" s="216" t="s">
        <v>177</v>
      </c>
      <c r="AC15" s="216" t="s">
        <v>64</v>
      </c>
      <c r="AD15" s="216" t="s">
        <v>175</v>
      </c>
      <c r="AE15" s="216" t="s">
        <v>64</v>
      </c>
      <c r="AF15" s="216" t="s">
        <v>175</v>
      </c>
      <c r="AG15" s="216" t="s">
        <v>64</v>
      </c>
      <c r="AH15" s="216" t="s">
        <v>175</v>
      </c>
      <c r="AI15" s="216" t="s">
        <v>64</v>
      </c>
      <c r="AJ15" s="216" t="s">
        <v>175</v>
      </c>
      <c r="AK15" s="216" t="s">
        <v>64</v>
      </c>
      <c r="AL15" s="216" t="s">
        <v>175</v>
      </c>
      <c r="AM15" s="216" t="s">
        <v>64</v>
      </c>
      <c r="AN15" s="216" t="s">
        <v>175</v>
      </c>
      <c r="AO15" s="216" t="s">
        <v>64</v>
      </c>
      <c r="AP15" s="216" t="s">
        <v>175</v>
      </c>
      <c r="AQ15" s="216" t="s">
        <v>64</v>
      </c>
      <c r="AR15" s="216" t="s">
        <v>175</v>
      </c>
      <c r="AS15" s="216" t="s">
        <v>179</v>
      </c>
      <c r="AT15" s="216" t="s">
        <v>180</v>
      </c>
      <c r="AU15" s="216" t="s">
        <v>175</v>
      </c>
      <c r="AV15" s="216" t="s">
        <v>179</v>
      </c>
      <c r="AW15" s="216" t="s">
        <v>180</v>
      </c>
      <c r="AX15" s="216" t="s">
        <v>175</v>
      </c>
      <c r="AY15" s="216" t="s">
        <v>179</v>
      </c>
      <c r="AZ15" s="216" t="s">
        <v>180</v>
      </c>
      <c r="BA15" s="216" t="s">
        <v>175</v>
      </c>
      <c r="BB15" s="216" t="s">
        <v>179</v>
      </c>
      <c r="BC15" s="216" t="s">
        <v>180</v>
      </c>
      <c r="BD15" s="216" t="s">
        <v>175</v>
      </c>
      <c r="BE15" s="216" t="s">
        <v>179</v>
      </c>
      <c r="BF15" s="216" t="s">
        <v>180</v>
      </c>
      <c r="BG15" s="216" t="s">
        <v>458</v>
      </c>
      <c r="BH15" s="216" t="s">
        <v>458</v>
      </c>
      <c r="BI15" s="216" t="s">
        <v>458</v>
      </c>
      <c r="BJ15" s="216" t="s">
        <v>471</v>
      </c>
      <c r="BK15" s="216" t="s">
        <v>471</v>
      </c>
      <c r="BL15" s="216" t="s">
        <v>458</v>
      </c>
      <c r="BM15" s="216" t="s">
        <v>458</v>
      </c>
      <c r="BN15" s="216" t="s">
        <v>458</v>
      </c>
      <c r="BO15" s="216"/>
      <c r="BP15" s="216" t="s">
        <v>471</v>
      </c>
      <c r="BQ15" s="216" t="s">
        <v>471</v>
      </c>
      <c r="BR15" s="216" t="s">
        <v>175</v>
      </c>
      <c r="BS15" s="216" t="s">
        <v>64</v>
      </c>
      <c r="BT15" s="216" t="s">
        <v>187</v>
      </c>
      <c r="BU15" s="216" t="s">
        <v>60</v>
      </c>
      <c r="BV15" s="216" t="s">
        <v>188</v>
      </c>
      <c r="BW15" s="216" t="s">
        <v>60</v>
      </c>
      <c r="BX15" s="216" t="s">
        <v>188</v>
      </c>
      <c r="BY15" s="216" t="s">
        <v>471</v>
      </c>
      <c r="BZ15" s="216" t="s">
        <v>471</v>
      </c>
      <c r="CA15" s="216" t="s">
        <v>177</v>
      </c>
      <c r="CB15" s="216" t="s">
        <v>191</v>
      </c>
      <c r="CC15" s="216" t="s">
        <v>64</v>
      </c>
      <c r="CD15" s="216" t="s">
        <v>64</v>
      </c>
      <c r="CE15" s="216" t="s">
        <v>195</v>
      </c>
      <c r="CF15" s="216" t="s">
        <v>64</v>
      </c>
      <c r="CG15" s="216" t="s">
        <v>175</v>
      </c>
      <c r="CH15" s="216" t="s">
        <v>64</v>
      </c>
      <c r="CI15" s="216" t="s">
        <v>197</v>
      </c>
      <c r="CJ15" s="216" t="s">
        <v>198</v>
      </c>
      <c r="CK15" s="216" t="s">
        <v>197</v>
      </c>
      <c r="CL15" s="216" t="s">
        <v>198</v>
      </c>
      <c r="CM15" s="216" t="s">
        <v>199</v>
      </c>
      <c r="CN15" s="216" t="s">
        <v>200</v>
      </c>
      <c r="CO15" s="216" t="s">
        <v>677</v>
      </c>
      <c r="CP15" s="216" t="s">
        <v>204</v>
      </c>
      <c r="CQ15" s="216" t="s">
        <v>64</v>
      </c>
      <c r="CR15" s="216" t="s">
        <v>680</v>
      </c>
      <c r="CS15" s="216" t="s">
        <v>681</v>
      </c>
      <c r="CT15" s="216" t="s">
        <v>682</v>
      </c>
      <c r="CU15" s="216" t="s">
        <v>64</v>
      </c>
      <c r="CV15" s="216" t="s">
        <v>208</v>
      </c>
      <c r="CW15" s="216" t="s">
        <v>64</v>
      </c>
      <c r="CX15" s="216" t="s">
        <v>205</v>
      </c>
      <c r="CY15" s="216" t="s">
        <v>206</v>
      </c>
      <c r="CZ15" s="216" t="s">
        <v>471</v>
      </c>
      <c r="DA15" s="216" t="s">
        <v>175</v>
      </c>
      <c r="DB15" s="216" t="s">
        <v>64</v>
      </c>
      <c r="DC15" s="216" t="s">
        <v>175</v>
      </c>
      <c r="DD15" s="216" t="s">
        <v>64</v>
      </c>
      <c r="DE15" s="216" t="s">
        <v>485</v>
      </c>
      <c r="DF15" s="216" t="s">
        <v>206</v>
      </c>
      <c r="DG15" s="216" t="s">
        <v>175</v>
      </c>
      <c r="DH15" s="216" t="s">
        <v>64</v>
      </c>
      <c r="DI15" s="216" t="s">
        <v>64</v>
      </c>
      <c r="DJ15" s="216" t="s">
        <v>485</v>
      </c>
      <c r="DK15" s="216" t="s">
        <v>175</v>
      </c>
      <c r="DL15" s="216" t="s">
        <v>462</v>
      </c>
      <c r="DM15" s="216" t="s">
        <v>206</v>
      </c>
      <c r="DN15" s="216" t="s">
        <v>175</v>
      </c>
      <c r="DO15" s="216" t="s">
        <v>206</v>
      </c>
      <c r="DP15" s="216" t="s">
        <v>175</v>
      </c>
      <c r="DQ15" s="216" t="s">
        <v>206</v>
      </c>
      <c r="DR15" s="818"/>
      <c r="DS15" s="818"/>
      <c r="DT15" s="818"/>
      <c r="DU15" s="804"/>
      <c r="DV15" s="804"/>
    </row>
    <row r="16" spans="1:126" ht="68.25" customHeight="1" thickBot="1">
      <c r="A16" s="218" t="s">
        <v>281</v>
      </c>
      <c r="B16" s="236" t="s">
        <v>281</v>
      </c>
      <c r="C16" s="239" t="s">
        <v>282</v>
      </c>
      <c r="D16" s="219">
        <v>43621</v>
      </c>
      <c r="E16" s="220" t="s">
        <v>434</v>
      </c>
      <c r="F16" s="164">
        <v>4</v>
      </c>
      <c r="G16" s="165">
        <v>4</v>
      </c>
      <c r="H16" s="165">
        <v>4</v>
      </c>
      <c r="I16" s="165" t="s">
        <v>69</v>
      </c>
      <c r="J16" s="165">
        <v>4</v>
      </c>
      <c r="K16" s="165" t="s">
        <v>69</v>
      </c>
      <c r="L16" s="165" t="s">
        <v>69</v>
      </c>
      <c r="M16" s="165" t="s">
        <v>69</v>
      </c>
      <c r="N16" s="165" t="s">
        <v>69</v>
      </c>
      <c r="O16" s="165">
        <v>4</v>
      </c>
      <c r="P16" s="165">
        <v>4</v>
      </c>
      <c r="Q16" s="165" t="s">
        <v>69</v>
      </c>
      <c r="R16" s="165">
        <v>4</v>
      </c>
      <c r="S16" s="165" t="s">
        <v>69</v>
      </c>
      <c r="T16" s="165" t="s">
        <v>69</v>
      </c>
      <c r="U16" s="165" t="s">
        <v>69</v>
      </c>
      <c r="V16" s="165" t="s">
        <v>69</v>
      </c>
      <c r="W16" s="165" t="s">
        <v>69</v>
      </c>
      <c r="X16" s="165" t="s">
        <v>69</v>
      </c>
      <c r="Y16" s="165" t="s">
        <v>69</v>
      </c>
      <c r="Z16" s="165" t="s">
        <v>69</v>
      </c>
      <c r="AA16" s="165">
        <v>4</v>
      </c>
      <c r="AB16" s="165" t="s">
        <v>69</v>
      </c>
      <c r="AC16" s="165">
        <v>4</v>
      </c>
      <c r="AD16" s="165" t="s">
        <v>69</v>
      </c>
      <c r="AE16" s="165" t="s">
        <v>69</v>
      </c>
      <c r="AF16" s="165">
        <v>3</v>
      </c>
      <c r="AG16" s="165">
        <v>3</v>
      </c>
      <c r="AH16" s="165">
        <v>3</v>
      </c>
      <c r="AI16" s="165">
        <v>3</v>
      </c>
      <c r="AJ16" s="165" t="s">
        <v>69</v>
      </c>
      <c r="AK16" s="165" t="s">
        <v>69</v>
      </c>
      <c r="AL16" s="165" t="s">
        <v>69</v>
      </c>
      <c r="AM16" s="165" t="s">
        <v>69</v>
      </c>
      <c r="AN16" s="165" t="s">
        <v>69</v>
      </c>
      <c r="AO16" s="165" t="s">
        <v>69</v>
      </c>
      <c r="AP16" s="165" t="s">
        <v>69</v>
      </c>
      <c r="AQ16" s="165">
        <v>4</v>
      </c>
      <c r="AR16" s="165">
        <v>4</v>
      </c>
      <c r="AS16" s="165" t="s">
        <v>69</v>
      </c>
      <c r="AT16" s="165">
        <v>4</v>
      </c>
      <c r="AU16" s="165">
        <v>4</v>
      </c>
      <c r="AV16" s="165" t="s">
        <v>69</v>
      </c>
      <c r="AW16" s="165" t="s">
        <v>69</v>
      </c>
      <c r="AX16" s="165">
        <v>4</v>
      </c>
      <c r="AY16" s="165" t="s">
        <v>69</v>
      </c>
      <c r="AZ16" s="165">
        <v>4</v>
      </c>
      <c r="BA16" s="165" t="s">
        <v>69</v>
      </c>
      <c r="BB16" s="165" t="s">
        <v>69</v>
      </c>
      <c r="BC16" s="165" t="s">
        <v>69</v>
      </c>
      <c r="BD16" s="165" t="s">
        <v>69</v>
      </c>
      <c r="BE16" s="165" t="s">
        <v>69</v>
      </c>
      <c r="BF16" s="165" t="s">
        <v>69</v>
      </c>
      <c r="BG16" s="165" t="s">
        <v>69</v>
      </c>
      <c r="BH16" s="165" t="s">
        <v>69</v>
      </c>
      <c r="BI16" s="165" t="s">
        <v>69</v>
      </c>
      <c r="BJ16" s="165" t="s">
        <v>69</v>
      </c>
      <c r="BK16" s="165" t="s">
        <v>69</v>
      </c>
      <c r="BL16" s="165" t="s">
        <v>69</v>
      </c>
      <c r="BM16" s="165" t="s">
        <v>69</v>
      </c>
      <c r="BN16" s="165" t="s">
        <v>69</v>
      </c>
      <c r="BO16" s="165" t="s">
        <v>69</v>
      </c>
      <c r="BP16" s="165" t="s">
        <v>69</v>
      </c>
      <c r="BQ16" s="165" t="s">
        <v>69</v>
      </c>
      <c r="BR16" s="165">
        <v>4</v>
      </c>
      <c r="BS16" s="165" t="s">
        <v>69</v>
      </c>
      <c r="BT16" s="165" t="s">
        <v>69</v>
      </c>
      <c r="BU16" s="165">
        <v>3</v>
      </c>
      <c r="BV16" s="165">
        <v>3</v>
      </c>
      <c r="BW16" s="165" t="s">
        <v>69</v>
      </c>
      <c r="BX16" s="165" t="s">
        <v>69</v>
      </c>
      <c r="BY16" s="165">
        <v>4</v>
      </c>
      <c r="BZ16" s="165" t="s">
        <v>69</v>
      </c>
      <c r="CA16" s="165" t="s">
        <v>69</v>
      </c>
      <c r="CB16" s="165" t="s">
        <v>69</v>
      </c>
      <c r="CC16" s="165" t="s">
        <v>69</v>
      </c>
      <c r="CD16" s="165" t="s">
        <v>69</v>
      </c>
      <c r="CE16" s="165" t="s">
        <v>69</v>
      </c>
      <c r="CF16" s="165" t="s">
        <v>69</v>
      </c>
      <c r="CG16" s="165">
        <v>4</v>
      </c>
      <c r="CH16" s="165" t="s">
        <v>69</v>
      </c>
      <c r="CI16" s="165" t="s">
        <v>69</v>
      </c>
      <c r="CJ16" s="165" t="s">
        <v>69</v>
      </c>
      <c r="CK16" s="165" t="s">
        <v>69</v>
      </c>
      <c r="CL16" s="165" t="s">
        <v>69</v>
      </c>
      <c r="CM16" s="165" t="s">
        <v>69</v>
      </c>
      <c r="CN16" s="165" t="s">
        <v>69</v>
      </c>
      <c r="CO16" s="165" t="s">
        <v>69</v>
      </c>
      <c r="CP16" s="165" t="s">
        <v>69</v>
      </c>
      <c r="CQ16" s="165" t="s">
        <v>69</v>
      </c>
      <c r="CR16" s="165" t="s">
        <v>69</v>
      </c>
      <c r="CS16" s="165" t="s">
        <v>69</v>
      </c>
      <c r="CT16" s="165" t="s">
        <v>69</v>
      </c>
      <c r="CU16" s="165" t="s">
        <v>69</v>
      </c>
      <c r="CV16" s="165" t="s">
        <v>69</v>
      </c>
      <c r="CW16" s="165" t="s">
        <v>69</v>
      </c>
      <c r="CX16" s="165" t="s">
        <v>69</v>
      </c>
      <c r="CY16" s="165" t="s">
        <v>69</v>
      </c>
      <c r="CZ16" s="165" t="s">
        <v>69</v>
      </c>
      <c r="DA16" s="165">
        <v>4</v>
      </c>
      <c r="DB16" s="165">
        <v>4</v>
      </c>
      <c r="DC16" s="165">
        <v>4</v>
      </c>
      <c r="DD16" s="165">
        <v>4</v>
      </c>
      <c r="DE16" s="165" t="s">
        <v>69</v>
      </c>
      <c r="DF16" s="165" t="s">
        <v>69</v>
      </c>
      <c r="DG16" s="165" t="s">
        <v>69</v>
      </c>
      <c r="DH16" s="165" t="s">
        <v>69</v>
      </c>
      <c r="DI16" s="165">
        <v>3</v>
      </c>
      <c r="DJ16" s="165" t="s">
        <v>69</v>
      </c>
      <c r="DK16" s="165" t="s">
        <v>69</v>
      </c>
      <c r="DL16" s="165" t="s">
        <v>69</v>
      </c>
      <c r="DM16" s="165" t="s">
        <v>69</v>
      </c>
      <c r="DN16" s="165" t="s">
        <v>69</v>
      </c>
      <c r="DO16" s="165" t="s">
        <v>69</v>
      </c>
      <c r="DP16" s="165" t="s">
        <v>69</v>
      </c>
      <c r="DQ16" s="165" t="s">
        <v>69</v>
      </c>
      <c r="DR16" s="165" t="s">
        <v>69</v>
      </c>
      <c r="DS16" s="165" t="s">
        <v>69</v>
      </c>
      <c r="DT16" s="166">
        <v>4</v>
      </c>
      <c r="DU16" s="110">
        <f>COUNTIF(F16:DT16,"&gt;0")/62</f>
        <v>0.4838709677419355</v>
      </c>
      <c r="DV16" s="104">
        <f>+COUNTIF(F16:DT16,"&gt;2")/COUNTIF(F16:DT16,"&gt;1")</f>
        <v>1</v>
      </c>
    </row>
    <row r="17" spans="1:126" ht="68.25" hidden="1" customHeight="1" thickBot="1">
      <c r="A17" s="218"/>
      <c r="B17" s="236" t="s">
        <v>141</v>
      </c>
      <c r="C17" s="239" t="s">
        <v>792</v>
      </c>
      <c r="D17" s="219"/>
      <c r="E17" s="220"/>
      <c r="F17" s="149">
        <v>4</v>
      </c>
      <c r="G17" s="149">
        <v>4</v>
      </c>
      <c r="H17" s="149">
        <v>4</v>
      </c>
      <c r="I17" s="149" t="s">
        <v>212</v>
      </c>
      <c r="J17" s="149">
        <v>4</v>
      </c>
      <c r="K17" s="149">
        <v>4</v>
      </c>
      <c r="L17" s="149">
        <v>4</v>
      </c>
      <c r="M17" s="149">
        <v>4</v>
      </c>
      <c r="N17" s="149">
        <v>4</v>
      </c>
      <c r="O17" s="149">
        <v>4</v>
      </c>
      <c r="P17" s="149" t="s">
        <v>212</v>
      </c>
      <c r="Q17" s="149" t="s">
        <v>69</v>
      </c>
      <c r="R17" s="149">
        <v>4</v>
      </c>
      <c r="S17" s="149" t="s">
        <v>212</v>
      </c>
      <c r="T17" s="149">
        <v>4</v>
      </c>
      <c r="U17" s="149" t="s">
        <v>69</v>
      </c>
      <c r="V17" s="149">
        <v>4</v>
      </c>
      <c r="W17" s="149" t="s">
        <v>212</v>
      </c>
      <c r="X17" s="149" t="s">
        <v>212</v>
      </c>
      <c r="Y17" s="149" t="s">
        <v>212</v>
      </c>
      <c r="Z17" s="149" t="s">
        <v>212</v>
      </c>
      <c r="AA17" s="149" t="s">
        <v>69</v>
      </c>
      <c r="AB17" s="149" t="s">
        <v>69</v>
      </c>
      <c r="AC17" s="149" t="s">
        <v>69</v>
      </c>
      <c r="AD17" s="149" t="s">
        <v>69</v>
      </c>
      <c r="AE17" s="149">
        <v>4</v>
      </c>
      <c r="AF17" s="149" t="s">
        <v>69</v>
      </c>
      <c r="AG17" s="149">
        <v>4</v>
      </c>
      <c r="AH17" s="149" t="s">
        <v>212</v>
      </c>
      <c r="AI17" s="149">
        <v>4</v>
      </c>
      <c r="AJ17" s="149" t="s">
        <v>212</v>
      </c>
      <c r="AK17" s="149" t="s">
        <v>212</v>
      </c>
      <c r="AL17" s="149">
        <v>4</v>
      </c>
      <c r="AM17" s="149">
        <v>4</v>
      </c>
      <c r="AN17" s="149" t="s">
        <v>69</v>
      </c>
      <c r="AO17" s="149">
        <v>4</v>
      </c>
      <c r="AP17" s="149" t="s">
        <v>212</v>
      </c>
      <c r="AQ17" s="149">
        <v>4</v>
      </c>
      <c r="AR17" s="149">
        <v>4</v>
      </c>
      <c r="AS17" s="149">
        <v>4</v>
      </c>
      <c r="AT17" s="149" t="s">
        <v>69</v>
      </c>
      <c r="AU17" s="149">
        <v>4</v>
      </c>
      <c r="AV17" s="149">
        <v>4</v>
      </c>
      <c r="AW17" s="149">
        <v>4</v>
      </c>
      <c r="AX17" s="149">
        <v>4</v>
      </c>
      <c r="AY17" s="149">
        <v>4</v>
      </c>
      <c r="AZ17" s="149">
        <v>4</v>
      </c>
      <c r="BA17" s="149" t="s">
        <v>69</v>
      </c>
      <c r="BB17" s="149">
        <v>4</v>
      </c>
      <c r="BC17" s="149" t="s">
        <v>69</v>
      </c>
      <c r="BD17" s="149" t="s">
        <v>212</v>
      </c>
      <c r="BE17" s="149" t="s">
        <v>212</v>
      </c>
      <c r="BF17" s="149">
        <v>4</v>
      </c>
      <c r="BG17" s="149" t="s">
        <v>69</v>
      </c>
      <c r="BH17" s="149" t="s">
        <v>69</v>
      </c>
      <c r="BI17" s="149" t="s">
        <v>212</v>
      </c>
      <c r="BJ17" s="149">
        <v>1</v>
      </c>
      <c r="BK17" s="149" t="s">
        <v>69</v>
      </c>
      <c r="BL17" s="149" t="s">
        <v>69</v>
      </c>
      <c r="BM17" s="149" t="s">
        <v>69</v>
      </c>
      <c r="BN17" s="149" t="s">
        <v>69</v>
      </c>
      <c r="BO17" s="149" t="s">
        <v>69</v>
      </c>
      <c r="BP17" s="149" t="s">
        <v>69</v>
      </c>
      <c r="BQ17" s="149" t="s">
        <v>69</v>
      </c>
      <c r="BR17" s="150">
        <v>4</v>
      </c>
      <c r="BS17" s="149">
        <v>4</v>
      </c>
      <c r="BT17" s="149" t="s">
        <v>69</v>
      </c>
      <c r="BU17" s="149" t="s">
        <v>69</v>
      </c>
      <c r="BV17" s="149" t="s">
        <v>69</v>
      </c>
      <c r="BW17" s="149" t="s">
        <v>69</v>
      </c>
      <c r="BX17" s="149">
        <v>4</v>
      </c>
      <c r="BY17" s="149" t="s">
        <v>69</v>
      </c>
      <c r="BZ17" s="149" t="s">
        <v>69</v>
      </c>
      <c r="CA17" s="149" t="s">
        <v>69</v>
      </c>
      <c r="CB17" s="149" t="s">
        <v>69</v>
      </c>
      <c r="CC17" s="149" t="s">
        <v>69</v>
      </c>
      <c r="CD17" s="149" t="s">
        <v>69</v>
      </c>
      <c r="CE17" s="149" t="s">
        <v>69</v>
      </c>
      <c r="CF17" s="149" t="s">
        <v>69</v>
      </c>
      <c r="CG17" s="149" t="s">
        <v>69</v>
      </c>
      <c r="CH17" s="149" t="s">
        <v>69</v>
      </c>
      <c r="CI17" s="149" t="s">
        <v>69</v>
      </c>
      <c r="CJ17" s="149" t="s">
        <v>69</v>
      </c>
      <c r="CK17" s="151" t="s">
        <v>69</v>
      </c>
      <c r="CL17" s="151" t="s">
        <v>69</v>
      </c>
      <c r="CM17" s="151" t="s">
        <v>69</v>
      </c>
      <c r="CN17" s="151" t="s">
        <v>69</v>
      </c>
      <c r="CO17" s="151" t="s">
        <v>69</v>
      </c>
      <c r="CP17" s="151" t="s">
        <v>69</v>
      </c>
      <c r="CQ17" s="151" t="s">
        <v>69</v>
      </c>
      <c r="CR17" s="151" t="s">
        <v>69</v>
      </c>
      <c r="CS17" s="151">
        <v>4</v>
      </c>
      <c r="CT17" s="149" t="s">
        <v>69</v>
      </c>
      <c r="CU17" s="149" t="s">
        <v>69</v>
      </c>
      <c r="CV17" s="149" t="s">
        <v>212</v>
      </c>
      <c r="CW17" s="149" t="s">
        <v>212</v>
      </c>
      <c r="CX17" s="149" t="s">
        <v>212</v>
      </c>
      <c r="CY17" s="149" t="s">
        <v>69</v>
      </c>
      <c r="CZ17" s="149" t="s">
        <v>69</v>
      </c>
      <c r="DA17" s="149" t="s">
        <v>69</v>
      </c>
      <c r="DB17" s="149">
        <v>4</v>
      </c>
      <c r="DC17" s="149" t="s">
        <v>69</v>
      </c>
      <c r="DD17" s="149" t="s">
        <v>69</v>
      </c>
      <c r="DE17" s="149" t="s">
        <v>69</v>
      </c>
      <c r="DF17" s="149" t="s">
        <v>69</v>
      </c>
      <c r="DG17" s="149" t="s">
        <v>69</v>
      </c>
      <c r="DH17" s="149" t="s">
        <v>69</v>
      </c>
      <c r="DI17" s="149" t="s">
        <v>69</v>
      </c>
      <c r="DJ17" s="152" t="s">
        <v>69</v>
      </c>
      <c r="DK17" s="152" t="s">
        <v>69</v>
      </c>
      <c r="DL17" s="152" t="s">
        <v>69</v>
      </c>
      <c r="DM17" s="152" t="s">
        <v>69</v>
      </c>
      <c r="DN17" s="152" t="s">
        <v>69</v>
      </c>
      <c r="DO17" s="152" t="s">
        <v>69</v>
      </c>
      <c r="DP17" s="152" t="s">
        <v>69</v>
      </c>
      <c r="DQ17" s="149" t="s">
        <v>69</v>
      </c>
      <c r="DR17" s="149" t="s">
        <v>69</v>
      </c>
      <c r="DS17" s="153">
        <v>4</v>
      </c>
      <c r="DT17" s="240"/>
      <c r="DU17" s="110">
        <f t="shared" ref="DU17:DU18" si="0">COUNTIF(F17:DT17,"&gt;0")/62</f>
        <v>0.58064516129032262</v>
      </c>
      <c r="DV17" s="104">
        <f t="shared" ref="DV17:DV18" si="1">+COUNTIF(F17:DT17,"&gt;2")/COUNTIF(F17:DT17,"&gt;1")</f>
        <v>1</v>
      </c>
    </row>
    <row r="18" spans="1:126" ht="68.25" hidden="1" customHeight="1" thickBot="1">
      <c r="A18" s="218"/>
      <c r="B18" s="236" t="s">
        <v>134</v>
      </c>
      <c r="C18" s="239" t="s">
        <v>135</v>
      </c>
      <c r="D18" s="229" t="s">
        <v>612</v>
      </c>
      <c r="E18" s="220"/>
      <c r="F18" s="149">
        <v>4</v>
      </c>
      <c r="G18" s="149" t="s">
        <v>212</v>
      </c>
      <c r="H18" s="149">
        <v>4</v>
      </c>
      <c r="I18" s="149" t="s">
        <v>212</v>
      </c>
      <c r="J18" s="149" t="s">
        <v>212</v>
      </c>
      <c r="K18" s="149">
        <v>4</v>
      </c>
      <c r="L18" s="149" t="s">
        <v>212</v>
      </c>
      <c r="M18" s="149" t="s">
        <v>212</v>
      </c>
      <c r="N18" s="149" t="s">
        <v>212</v>
      </c>
      <c r="O18" s="149">
        <v>4</v>
      </c>
      <c r="P18" s="149" t="s">
        <v>212</v>
      </c>
      <c r="Q18" s="149" t="s">
        <v>69</v>
      </c>
      <c r="R18" s="149" t="s">
        <v>69</v>
      </c>
      <c r="S18" s="149" t="s">
        <v>212</v>
      </c>
      <c r="T18" s="149" t="s">
        <v>212</v>
      </c>
      <c r="U18" s="149" t="s">
        <v>212</v>
      </c>
      <c r="V18" s="149" t="s">
        <v>212</v>
      </c>
      <c r="W18" s="149" t="s">
        <v>212</v>
      </c>
      <c r="X18" s="149" t="s">
        <v>212</v>
      </c>
      <c r="Y18" s="149" t="s">
        <v>212</v>
      </c>
      <c r="Z18" s="149" t="s">
        <v>212</v>
      </c>
      <c r="AA18" s="149" t="s">
        <v>69</v>
      </c>
      <c r="AB18" s="149" t="s">
        <v>69</v>
      </c>
      <c r="AC18" s="149" t="s">
        <v>69</v>
      </c>
      <c r="AD18" s="149" t="s">
        <v>69</v>
      </c>
      <c r="AE18" s="149" t="s">
        <v>69</v>
      </c>
      <c r="AF18" s="149">
        <v>4</v>
      </c>
      <c r="AG18" s="149" t="s">
        <v>69</v>
      </c>
      <c r="AH18" s="149">
        <v>4</v>
      </c>
      <c r="AI18" s="149" t="s">
        <v>212</v>
      </c>
      <c r="AJ18" s="149" t="s">
        <v>212</v>
      </c>
      <c r="AK18" s="149" t="s">
        <v>212</v>
      </c>
      <c r="AL18" s="149" t="s">
        <v>69</v>
      </c>
      <c r="AM18" s="149" t="s">
        <v>69</v>
      </c>
      <c r="AN18" s="149" t="s">
        <v>69</v>
      </c>
      <c r="AO18" s="149" t="s">
        <v>69</v>
      </c>
      <c r="AP18" s="149" t="s">
        <v>212</v>
      </c>
      <c r="AQ18" s="149" t="s">
        <v>212</v>
      </c>
      <c r="AR18" s="149">
        <v>4</v>
      </c>
      <c r="AS18" s="149" t="s">
        <v>69</v>
      </c>
      <c r="AT18" s="149" t="s">
        <v>69</v>
      </c>
      <c r="AU18" s="149" t="s">
        <v>69</v>
      </c>
      <c r="AV18" s="149" t="s">
        <v>69</v>
      </c>
      <c r="AW18" s="149" t="s">
        <v>69</v>
      </c>
      <c r="AX18" s="149">
        <v>4</v>
      </c>
      <c r="AY18" s="149" t="s">
        <v>69</v>
      </c>
      <c r="AZ18" s="149" t="s">
        <v>69</v>
      </c>
      <c r="BA18" s="149" t="s">
        <v>69</v>
      </c>
      <c r="BB18" s="149" t="s">
        <v>69</v>
      </c>
      <c r="BC18" s="149" t="s">
        <v>69</v>
      </c>
      <c r="BD18" s="149">
        <v>3</v>
      </c>
      <c r="BE18" s="149" t="s">
        <v>212</v>
      </c>
      <c r="BF18" s="149" t="s">
        <v>212</v>
      </c>
      <c r="BG18" s="149" t="s">
        <v>69</v>
      </c>
      <c r="BH18" s="149" t="s">
        <v>69</v>
      </c>
      <c r="BI18" s="149" t="s">
        <v>212</v>
      </c>
      <c r="BJ18" s="149" t="s">
        <v>212</v>
      </c>
      <c r="BK18" s="149" t="s">
        <v>212</v>
      </c>
      <c r="BL18" s="149" t="s">
        <v>69</v>
      </c>
      <c r="BM18" s="149" t="s">
        <v>69</v>
      </c>
      <c r="BN18" s="149" t="s">
        <v>212</v>
      </c>
      <c r="BO18" s="149" t="s">
        <v>69</v>
      </c>
      <c r="BP18" s="149" t="s">
        <v>212</v>
      </c>
      <c r="BQ18" s="149" t="s">
        <v>69</v>
      </c>
      <c r="BR18" s="150">
        <v>4</v>
      </c>
      <c r="BS18" s="149" t="s">
        <v>212</v>
      </c>
      <c r="BT18" s="149" t="s">
        <v>212</v>
      </c>
      <c r="BU18" s="149" t="s">
        <v>69</v>
      </c>
      <c r="BV18" s="149" t="s">
        <v>69</v>
      </c>
      <c r="BW18" s="149" t="s">
        <v>69</v>
      </c>
      <c r="BX18" s="149" t="s">
        <v>212</v>
      </c>
      <c r="BY18" s="149" t="s">
        <v>212</v>
      </c>
      <c r="BZ18" s="149" t="s">
        <v>212</v>
      </c>
      <c r="CA18" s="149" t="s">
        <v>212</v>
      </c>
      <c r="CB18" s="149" t="s">
        <v>69</v>
      </c>
      <c r="CC18" s="149" t="s">
        <v>69</v>
      </c>
      <c r="CD18" s="149" t="s">
        <v>69</v>
      </c>
      <c r="CE18" s="149" t="s">
        <v>212</v>
      </c>
      <c r="CF18" s="149" t="s">
        <v>212</v>
      </c>
      <c r="CG18" s="149">
        <v>3</v>
      </c>
      <c r="CH18" s="149" t="s">
        <v>69</v>
      </c>
      <c r="CI18" s="149" t="s">
        <v>69</v>
      </c>
      <c r="CJ18" s="149" t="s">
        <v>69</v>
      </c>
      <c r="CK18" s="151" t="s">
        <v>69</v>
      </c>
      <c r="CL18" s="151" t="s">
        <v>69</v>
      </c>
      <c r="CM18" s="151" t="s">
        <v>69</v>
      </c>
      <c r="CN18" s="151" t="s">
        <v>69</v>
      </c>
      <c r="CO18" s="151" t="s">
        <v>69</v>
      </c>
      <c r="CP18" s="151" t="s">
        <v>69</v>
      </c>
      <c r="CQ18" s="151" t="s">
        <v>69</v>
      </c>
      <c r="CR18" s="151" t="s">
        <v>69</v>
      </c>
      <c r="CS18" s="151" t="s">
        <v>69</v>
      </c>
      <c r="CT18" s="149">
        <v>4</v>
      </c>
      <c r="CU18" s="149" t="s">
        <v>69</v>
      </c>
      <c r="CV18" s="149" t="s">
        <v>212</v>
      </c>
      <c r="CW18" s="149" t="s">
        <v>212</v>
      </c>
      <c r="CX18" s="149" t="s">
        <v>212</v>
      </c>
      <c r="CY18" s="149">
        <v>4</v>
      </c>
      <c r="CZ18" s="149" t="s">
        <v>69</v>
      </c>
      <c r="DA18" s="149">
        <v>4</v>
      </c>
      <c r="DB18" s="149">
        <v>4</v>
      </c>
      <c r="DC18" s="149">
        <v>4</v>
      </c>
      <c r="DD18" s="149">
        <v>3</v>
      </c>
      <c r="DE18" s="149">
        <v>3</v>
      </c>
      <c r="DF18" s="149" t="s">
        <v>69</v>
      </c>
      <c r="DG18" s="149" t="s">
        <v>69</v>
      </c>
      <c r="DH18" s="149" t="s">
        <v>69</v>
      </c>
      <c r="DI18" s="149" t="s">
        <v>69</v>
      </c>
      <c r="DJ18" s="152" t="s">
        <v>69</v>
      </c>
      <c r="DK18" s="152" t="s">
        <v>69</v>
      </c>
      <c r="DL18" s="152" t="s">
        <v>69</v>
      </c>
      <c r="DM18" s="152" t="s">
        <v>69</v>
      </c>
      <c r="DN18" s="152" t="s">
        <v>69</v>
      </c>
      <c r="DO18" s="152" t="s">
        <v>69</v>
      </c>
      <c r="DP18" s="152" t="s">
        <v>69</v>
      </c>
      <c r="DQ18" s="149" t="s">
        <v>212</v>
      </c>
      <c r="DR18" s="149" t="s">
        <v>212</v>
      </c>
      <c r="DS18" s="153" t="s">
        <v>212</v>
      </c>
      <c r="DT18" s="240"/>
      <c r="DU18" s="110">
        <f t="shared" si="0"/>
        <v>0.29032258064516131</v>
      </c>
      <c r="DV18" s="104">
        <f t="shared" si="1"/>
        <v>1</v>
      </c>
    </row>
    <row r="19" spans="1:126" ht="68.25" hidden="1" customHeight="1" thickBot="1">
      <c r="A19" s="218" t="s">
        <v>283</v>
      </c>
      <c r="B19" s="236" t="s">
        <v>283</v>
      </c>
      <c r="C19" s="239" t="s">
        <v>284</v>
      </c>
      <c r="D19" s="219">
        <v>44077</v>
      </c>
      <c r="E19" s="220" t="s">
        <v>434</v>
      </c>
      <c r="F19" s="167">
        <v>4</v>
      </c>
      <c r="G19" s="154">
        <v>4</v>
      </c>
      <c r="H19" s="154">
        <v>4</v>
      </c>
      <c r="I19" s="154" t="s">
        <v>69</v>
      </c>
      <c r="J19" s="154" t="s">
        <v>69</v>
      </c>
      <c r="K19" s="154" t="s">
        <v>69</v>
      </c>
      <c r="L19" s="154" t="s">
        <v>69</v>
      </c>
      <c r="M19" s="154" t="s">
        <v>69</v>
      </c>
      <c r="N19" s="154" t="s">
        <v>69</v>
      </c>
      <c r="O19" s="154">
        <v>4</v>
      </c>
      <c r="P19" s="154">
        <v>4</v>
      </c>
      <c r="Q19" s="154" t="s">
        <v>69</v>
      </c>
      <c r="R19" s="154">
        <v>4</v>
      </c>
      <c r="S19" s="154" t="s">
        <v>69</v>
      </c>
      <c r="T19" s="165" t="s">
        <v>69</v>
      </c>
      <c r="U19" s="165" t="s">
        <v>69</v>
      </c>
      <c r="V19" s="154" t="s">
        <v>69</v>
      </c>
      <c r="W19" s="154" t="s">
        <v>69</v>
      </c>
      <c r="X19" s="154" t="s">
        <v>69</v>
      </c>
      <c r="Y19" s="154" t="s">
        <v>69</v>
      </c>
      <c r="Z19" s="154" t="s">
        <v>69</v>
      </c>
      <c r="AA19" s="154">
        <v>4</v>
      </c>
      <c r="AB19" s="154" t="s">
        <v>69</v>
      </c>
      <c r="AC19" s="154">
        <v>4</v>
      </c>
      <c r="AD19" s="154" t="s">
        <v>69</v>
      </c>
      <c r="AE19" s="154" t="s">
        <v>69</v>
      </c>
      <c r="AF19" s="154" t="s">
        <v>69</v>
      </c>
      <c r="AG19" s="154" t="s">
        <v>69</v>
      </c>
      <c r="AH19" s="154" t="s">
        <v>69</v>
      </c>
      <c r="AI19" s="154" t="s">
        <v>69</v>
      </c>
      <c r="AJ19" s="154" t="s">
        <v>69</v>
      </c>
      <c r="AK19" s="154" t="s">
        <v>69</v>
      </c>
      <c r="AL19" s="154">
        <v>3</v>
      </c>
      <c r="AM19" s="154">
        <v>4</v>
      </c>
      <c r="AN19" s="154">
        <v>4</v>
      </c>
      <c r="AO19" s="154">
        <v>4</v>
      </c>
      <c r="AP19" s="154">
        <v>4</v>
      </c>
      <c r="AQ19" s="154">
        <v>4</v>
      </c>
      <c r="AR19" s="154">
        <v>4</v>
      </c>
      <c r="AS19" s="154">
        <v>4</v>
      </c>
      <c r="AT19" s="154">
        <v>4</v>
      </c>
      <c r="AU19" s="154">
        <v>4</v>
      </c>
      <c r="AV19" s="154" t="s">
        <v>69</v>
      </c>
      <c r="AW19" s="154" t="s">
        <v>69</v>
      </c>
      <c r="AX19" s="154">
        <v>4</v>
      </c>
      <c r="AY19" s="154">
        <v>4</v>
      </c>
      <c r="AZ19" s="154">
        <v>3</v>
      </c>
      <c r="BA19" s="154" t="s">
        <v>69</v>
      </c>
      <c r="BB19" s="154" t="s">
        <v>69</v>
      </c>
      <c r="BC19" s="154">
        <v>4</v>
      </c>
      <c r="BD19" s="154" t="s">
        <v>69</v>
      </c>
      <c r="BE19" s="154" t="s">
        <v>69</v>
      </c>
      <c r="BF19" s="154" t="s">
        <v>69</v>
      </c>
      <c r="BG19" s="154" t="s">
        <v>69</v>
      </c>
      <c r="BH19" s="154" t="s">
        <v>69</v>
      </c>
      <c r="BI19" s="154" t="s">
        <v>69</v>
      </c>
      <c r="BJ19" s="154">
        <v>4</v>
      </c>
      <c r="BK19" s="154" t="s">
        <v>69</v>
      </c>
      <c r="BL19" s="154">
        <v>4</v>
      </c>
      <c r="BM19" s="154">
        <v>4</v>
      </c>
      <c r="BN19" s="154">
        <v>4</v>
      </c>
      <c r="BO19" s="154" t="s">
        <v>69</v>
      </c>
      <c r="BP19" s="154" t="s">
        <v>69</v>
      </c>
      <c r="BQ19" s="154" t="s">
        <v>69</v>
      </c>
      <c r="BR19" s="154">
        <v>4</v>
      </c>
      <c r="BS19" s="154" t="s">
        <v>69</v>
      </c>
      <c r="BT19" s="154" t="s">
        <v>69</v>
      </c>
      <c r="BU19" s="154" t="s">
        <v>69</v>
      </c>
      <c r="BV19" s="154" t="s">
        <v>69</v>
      </c>
      <c r="BW19" s="154" t="s">
        <v>69</v>
      </c>
      <c r="BX19" s="154" t="s">
        <v>69</v>
      </c>
      <c r="BY19" s="154">
        <v>4</v>
      </c>
      <c r="BZ19" s="154" t="s">
        <v>69</v>
      </c>
      <c r="CA19" s="154" t="s">
        <v>69</v>
      </c>
      <c r="CB19" s="154" t="s">
        <v>69</v>
      </c>
      <c r="CC19" s="154" t="s">
        <v>69</v>
      </c>
      <c r="CD19" s="154" t="s">
        <v>69</v>
      </c>
      <c r="CE19" s="154" t="s">
        <v>69</v>
      </c>
      <c r="CF19" s="154" t="s">
        <v>69</v>
      </c>
      <c r="CG19" s="154">
        <v>4</v>
      </c>
      <c r="CH19" s="154" t="s">
        <v>69</v>
      </c>
      <c r="CI19" s="154" t="s">
        <v>69</v>
      </c>
      <c r="CJ19" s="154" t="s">
        <v>69</v>
      </c>
      <c r="CK19" s="154" t="s">
        <v>69</v>
      </c>
      <c r="CL19" s="154" t="s">
        <v>69</v>
      </c>
      <c r="CM19" s="154" t="s">
        <v>69</v>
      </c>
      <c r="CN19" s="154" t="s">
        <v>69</v>
      </c>
      <c r="CO19" s="154" t="s">
        <v>69</v>
      </c>
      <c r="CP19" s="154" t="s">
        <v>69</v>
      </c>
      <c r="CQ19" s="154" t="s">
        <v>69</v>
      </c>
      <c r="CR19" s="154" t="s">
        <v>69</v>
      </c>
      <c r="CS19" s="154" t="s">
        <v>69</v>
      </c>
      <c r="CT19" s="154" t="s">
        <v>69</v>
      </c>
      <c r="CU19" s="154" t="s">
        <v>69</v>
      </c>
      <c r="CV19" s="154">
        <v>4</v>
      </c>
      <c r="CW19" s="154">
        <v>4</v>
      </c>
      <c r="CX19" s="154" t="s">
        <v>69</v>
      </c>
      <c r="CY19" s="154" t="s">
        <v>69</v>
      </c>
      <c r="CZ19" s="154" t="s">
        <v>69</v>
      </c>
      <c r="DA19" s="154" t="s">
        <v>69</v>
      </c>
      <c r="DB19" s="154" t="s">
        <v>69</v>
      </c>
      <c r="DC19" s="154" t="s">
        <v>69</v>
      </c>
      <c r="DD19" s="154" t="s">
        <v>69</v>
      </c>
      <c r="DE19" s="154" t="s">
        <v>69</v>
      </c>
      <c r="DF19" s="154" t="s">
        <v>69</v>
      </c>
      <c r="DG19" s="154" t="s">
        <v>69</v>
      </c>
      <c r="DH19" s="154" t="s">
        <v>69</v>
      </c>
      <c r="DI19" s="154" t="s">
        <v>69</v>
      </c>
      <c r="DJ19" s="154" t="s">
        <v>69</v>
      </c>
      <c r="DK19" s="154" t="s">
        <v>69</v>
      </c>
      <c r="DL19" s="154" t="s">
        <v>69</v>
      </c>
      <c r="DM19" s="154" t="s">
        <v>69</v>
      </c>
      <c r="DN19" s="154" t="s">
        <v>69</v>
      </c>
      <c r="DO19" s="154" t="s">
        <v>69</v>
      </c>
      <c r="DP19" s="154" t="s">
        <v>69</v>
      </c>
      <c r="DQ19" s="154" t="s">
        <v>69</v>
      </c>
      <c r="DR19" s="165">
        <v>2</v>
      </c>
      <c r="DS19" s="154" t="s">
        <v>69</v>
      </c>
      <c r="DT19" s="168">
        <v>4</v>
      </c>
      <c r="DU19" s="110">
        <f t="shared" ref="DU19:DU75" si="2">COUNTIF(F19:DT19,"&gt;0")/62</f>
        <v>0.532258064516129</v>
      </c>
      <c r="DV19" s="104">
        <f t="shared" ref="DV19:DV75" si="3">+COUNTIF(F19:DT19,"&gt;2")/COUNTIF(F19:DT19,"&gt;1")</f>
        <v>0.96969696969696972</v>
      </c>
    </row>
    <row r="20" spans="1:126" ht="68.25" hidden="1" customHeight="1" thickBot="1">
      <c r="A20" s="218" t="s">
        <v>289</v>
      </c>
      <c r="B20" s="236" t="s">
        <v>289</v>
      </c>
      <c r="C20" s="239" t="s">
        <v>290</v>
      </c>
      <c r="D20" s="219">
        <v>44175</v>
      </c>
      <c r="E20" s="220" t="s">
        <v>434</v>
      </c>
      <c r="F20" s="167" t="s">
        <v>69</v>
      </c>
      <c r="G20" s="154" t="s">
        <v>69</v>
      </c>
      <c r="H20" s="154" t="s">
        <v>69</v>
      </c>
      <c r="I20" s="154" t="s">
        <v>69</v>
      </c>
      <c r="J20" s="154" t="s">
        <v>69</v>
      </c>
      <c r="K20" s="154" t="s">
        <v>69</v>
      </c>
      <c r="L20" s="154" t="s">
        <v>69</v>
      </c>
      <c r="M20" s="154" t="s">
        <v>69</v>
      </c>
      <c r="N20" s="154" t="s">
        <v>69</v>
      </c>
      <c r="O20" s="154">
        <v>4</v>
      </c>
      <c r="P20" s="154" t="s">
        <v>69</v>
      </c>
      <c r="Q20" s="154" t="s">
        <v>69</v>
      </c>
      <c r="R20" s="154" t="s">
        <v>69</v>
      </c>
      <c r="S20" s="154">
        <v>2</v>
      </c>
      <c r="T20" s="165" t="s">
        <v>69</v>
      </c>
      <c r="U20" s="165" t="s">
        <v>69</v>
      </c>
      <c r="V20" s="154" t="s">
        <v>69</v>
      </c>
      <c r="W20" s="154" t="s">
        <v>69</v>
      </c>
      <c r="X20" s="154" t="s">
        <v>69</v>
      </c>
      <c r="Y20" s="154" t="s">
        <v>69</v>
      </c>
      <c r="Z20" s="154" t="s">
        <v>69</v>
      </c>
      <c r="AA20" s="154">
        <v>4</v>
      </c>
      <c r="AB20" s="154" t="s">
        <v>69</v>
      </c>
      <c r="AC20" s="154" t="s">
        <v>69</v>
      </c>
      <c r="AD20" s="154" t="s">
        <v>69</v>
      </c>
      <c r="AE20" s="154" t="s">
        <v>69</v>
      </c>
      <c r="AF20" s="154" t="s">
        <v>69</v>
      </c>
      <c r="AG20" s="154" t="s">
        <v>69</v>
      </c>
      <c r="AH20" s="154" t="s">
        <v>69</v>
      </c>
      <c r="AI20" s="154" t="s">
        <v>69</v>
      </c>
      <c r="AJ20" s="154" t="s">
        <v>69</v>
      </c>
      <c r="AK20" s="154" t="s">
        <v>69</v>
      </c>
      <c r="AL20" s="154" t="s">
        <v>69</v>
      </c>
      <c r="AM20" s="154" t="s">
        <v>69</v>
      </c>
      <c r="AN20" s="154" t="s">
        <v>69</v>
      </c>
      <c r="AO20" s="154" t="s">
        <v>69</v>
      </c>
      <c r="AP20" s="154" t="s">
        <v>69</v>
      </c>
      <c r="AQ20" s="154" t="s">
        <v>69</v>
      </c>
      <c r="AR20" s="154" t="s">
        <v>69</v>
      </c>
      <c r="AS20" s="154" t="s">
        <v>69</v>
      </c>
      <c r="AT20" s="154" t="s">
        <v>69</v>
      </c>
      <c r="AU20" s="154" t="s">
        <v>69</v>
      </c>
      <c r="AV20" s="154" t="s">
        <v>69</v>
      </c>
      <c r="AW20" s="154" t="s">
        <v>69</v>
      </c>
      <c r="AX20" s="154" t="s">
        <v>69</v>
      </c>
      <c r="AY20" s="154" t="s">
        <v>69</v>
      </c>
      <c r="AZ20" s="154" t="s">
        <v>69</v>
      </c>
      <c r="BA20" s="154" t="s">
        <v>69</v>
      </c>
      <c r="BB20" s="154" t="s">
        <v>69</v>
      </c>
      <c r="BC20" s="154" t="s">
        <v>69</v>
      </c>
      <c r="BD20" s="154" t="s">
        <v>69</v>
      </c>
      <c r="BE20" s="154" t="s">
        <v>69</v>
      </c>
      <c r="BF20" s="154" t="s">
        <v>69</v>
      </c>
      <c r="BG20" s="154" t="s">
        <v>69</v>
      </c>
      <c r="BH20" s="154" t="s">
        <v>69</v>
      </c>
      <c r="BI20" s="154" t="s">
        <v>69</v>
      </c>
      <c r="BJ20" s="154" t="s">
        <v>69</v>
      </c>
      <c r="BK20" s="154" t="s">
        <v>69</v>
      </c>
      <c r="BL20" s="154">
        <v>4</v>
      </c>
      <c r="BM20" s="154">
        <v>4</v>
      </c>
      <c r="BN20" s="154">
        <v>4</v>
      </c>
      <c r="BO20" s="154" t="s">
        <v>69</v>
      </c>
      <c r="BP20" s="154" t="s">
        <v>69</v>
      </c>
      <c r="BQ20" s="154" t="s">
        <v>69</v>
      </c>
      <c r="BR20" s="154">
        <v>4</v>
      </c>
      <c r="BS20" s="154" t="s">
        <v>69</v>
      </c>
      <c r="BT20" s="154" t="s">
        <v>69</v>
      </c>
      <c r="BU20" s="154" t="s">
        <v>69</v>
      </c>
      <c r="BV20" s="154" t="s">
        <v>69</v>
      </c>
      <c r="BW20" s="154" t="s">
        <v>69</v>
      </c>
      <c r="BX20" s="154" t="s">
        <v>69</v>
      </c>
      <c r="BY20" s="154" t="s">
        <v>69</v>
      </c>
      <c r="BZ20" s="154" t="s">
        <v>69</v>
      </c>
      <c r="CA20" s="154">
        <v>3</v>
      </c>
      <c r="CB20" s="154">
        <v>4</v>
      </c>
      <c r="CC20" s="154">
        <v>4</v>
      </c>
      <c r="CD20" s="154" t="s">
        <v>69</v>
      </c>
      <c r="CE20" s="154" t="s">
        <v>69</v>
      </c>
      <c r="CF20" s="154" t="s">
        <v>69</v>
      </c>
      <c r="CG20" s="154">
        <v>4</v>
      </c>
      <c r="CH20" s="154">
        <v>4</v>
      </c>
      <c r="CI20" s="154" t="s">
        <v>69</v>
      </c>
      <c r="CJ20" s="154" t="s">
        <v>69</v>
      </c>
      <c r="CK20" s="154" t="s">
        <v>69</v>
      </c>
      <c r="CL20" s="154" t="s">
        <v>69</v>
      </c>
      <c r="CM20" s="154" t="s">
        <v>69</v>
      </c>
      <c r="CN20" s="154" t="s">
        <v>69</v>
      </c>
      <c r="CO20" s="154" t="s">
        <v>69</v>
      </c>
      <c r="CP20" s="154" t="s">
        <v>69</v>
      </c>
      <c r="CQ20" s="154" t="s">
        <v>69</v>
      </c>
      <c r="CR20" s="154" t="s">
        <v>69</v>
      </c>
      <c r="CS20" s="154" t="s">
        <v>69</v>
      </c>
      <c r="CT20" s="154" t="s">
        <v>69</v>
      </c>
      <c r="CU20" s="154" t="s">
        <v>69</v>
      </c>
      <c r="CV20" s="154" t="s">
        <v>69</v>
      </c>
      <c r="CW20" s="154" t="s">
        <v>69</v>
      </c>
      <c r="CX20" s="154" t="s">
        <v>69</v>
      </c>
      <c r="CY20" s="154" t="s">
        <v>69</v>
      </c>
      <c r="CZ20" s="154" t="s">
        <v>69</v>
      </c>
      <c r="DA20" s="154" t="s">
        <v>69</v>
      </c>
      <c r="DB20" s="154" t="s">
        <v>69</v>
      </c>
      <c r="DC20" s="154" t="s">
        <v>69</v>
      </c>
      <c r="DD20" s="154" t="s">
        <v>69</v>
      </c>
      <c r="DE20" s="154" t="s">
        <v>69</v>
      </c>
      <c r="DF20" s="154">
        <v>4</v>
      </c>
      <c r="DG20" s="154" t="s">
        <v>69</v>
      </c>
      <c r="DH20" s="154" t="s">
        <v>69</v>
      </c>
      <c r="DI20" s="154" t="s">
        <v>69</v>
      </c>
      <c r="DJ20" s="154">
        <v>2</v>
      </c>
      <c r="DK20" s="154">
        <v>3</v>
      </c>
      <c r="DL20" s="154">
        <v>3</v>
      </c>
      <c r="DM20" s="154" t="s">
        <v>69</v>
      </c>
      <c r="DN20" s="154" t="s">
        <v>69</v>
      </c>
      <c r="DO20" s="154" t="s">
        <v>69</v>
      </c>
      <c r="DP20" s="154" t="s">
        <v>69</v>
      </c>
      <c r="DQ20" s="154" t="s">
        <v>69</v>
      </c>
      <c r="DR20" s="154" t="s">
        <v>69</v>
      </c>
      <c r="DS20" s="154" t="s">
        <v>69</v>
      </c>
      <c r="DT20" s="168">
        <v>4</v>
      </c>
      <c r="DU20" s="110">
        <f t="shared" si="2"/>
        <v>0.27419354838709675</v>
      </c>
      <c r="DV20" s="104">
        <f t="shared" si="3"/>
        <v>0.88235294117647056</v>
      </c>
    </row>
    <row r="21" spans="1:126" ht="68.25" hidden="1" customHeight="1" thickBot="1">
      <c r="A21" s="218" t="s">
        <v>291</v>
      </c>
      <c r="B21" s="236" t="s">
        <v>291</v>
      </c>
      <c r="C21" s="239" t="s">
        <v>292</v>
      </c>
      <c r="D21" s="219">
        <v>44055</v>
      </c>
      <c r="E21" s="220" t="s">
        <v>434</v>
      </c>
      <c r="F21" s="167" t="s">
        <v>69</v>
      </c>
      <c r="G21" s="154" t="s">
        <v>69</v>
      </c>
      <c r="H21" s="154" t="s">
        <v>69</v>
      </c>
      <c r="I21" s="154" t="s">
        <v>69</v>
      </c>
      <c r="J21" s="154" t="s">
        <v>69</v>
      </c>
      <c r="K21" s="154" t="s">
        <v>69</v>
      </c>
      <c r="L21" s="154" t="s">
        <v>69</v>
      </c>
      <c r="M21" s="154" t="s">
        <v>69</v>
      </c>
      <c r="N21" s="154" t="s">
        <v>69</v>
      </c>
      <c r="O21" s="154" t="s">
        <v>69</v>
      </c>
      <c r="P21" s="154" t="s">
        <v>69</v>
      </c>
      <c r="Q21" s="154" t="s">
        <v>69</v>
      </c>
      <c r="R21" s="154">
        <v>4</v>
      </c>
      <c r="S21" s="154" t="s">
        <v>69</v>
      </c>
      <c r="T21" s="165" t="s">
        <v>69</v>
      </c>
      <c r="U21" s="165" t="s">
        <v>69</v>
      </c>
      <c r="V21" s="154" t="s">
        <v>69</v>
      </c>
      <c r="W21" s="154" t="s">
        <v>69</v>
      </c>
      <c r="X21" s="154" t="s">
        <v>69</v>
      </c>
      <c r="Y21" s="154" t="s">
        <v>69</v>
      </c>
      <c r="Z21" s="154" t="s">
        <v>69</v>
      </c>
      <c r="AA21" s="154">
        <v>4</v>
      </c>
      <c r="AB21" s="154" t="s">
        <v>69</v>
      </c>
      <c r="AC21" s="154" t="s">
        <v>69</v>
      </c>
      <c r="AD21" s="154" t="s">
        <v>69</v>
      </c>
      <c r="AE21" s="154" t="s">
        <v>69</v>
      </c>
      <c r="AF21" s="154" t="s">
        <v>69</v>
      </c>
      <c r="AG21" s="154" t="s">
        <v>69</v>
      </c>
      <c r="AH21" s="154" t="s">
        <v>69</v>
      </c>
      <c r="AI21" s="154" t="s">
        <v>69</v>
      </c>
      <c r="AJ21" s="154">
        <v>4</v>
      </c>
      <c r="AK21" s="154">
        <v>4</v>
      </c>
      <c r="AL21" s="154" t="s">
        <v>69</v>
      </c>
      <c r="AM21" s="154" t="s">
        <v>69</v>
      </c>
      <c r="AN21" s="154" t="s">
        <v>69</v>
      </c>
      <c r="AO21" s="154" t="s">
        <v>69</v>
      </c>
      <c r="AP21" s="154" t="s">
        <v>69</v>
      </c>
      <c r="AQ21" s="154" t="s">
        <v>69</v>
      </c>
      <c r="AR21" s="154" t="s">
        <v>69</v>
      </c>
      <c r="AS21" s="154" t="s">
        <v>69</v>
      </c>
      <c r="AT21" s="154" t="s">
        <v>69</v>
      </c>
      <c r="AU21" s="154">
        <v>4</v>
      </c>
      <c r="AV21" s="154" t="s">
        <v>69</v>
      </c>
      <c r="AW21" s="154" t="s">
        <v>69</v>
      </c>
      <c r="AX21" s="154" t="s">
        <v>69</v>
      </c>
      <c r="AY21" s="154" t="s">
        <v>69</v>
      </c>
      <c r="AZ21" s="154" t="s">
        <v>69</v>
      </c>
      <c r="BA21" s="154" t="s">
        <v>69</v>
      </c>
      <c r="BB21" s="154" t="s">
        <v>69</v>
      </c>
      <c r="BC21" s="154" t="s">
        <v>69</v>
      </c>
      <c r="BD21" s="154" t="s">
        <v>69</v>
      </c>
      <c r="BE21" s="169">
        <v>2</v>
      </c>
      <c r="BF21" s="154">
        <v>2</v>
      </c>
      <c r="BG21" s="154" t="s">
        <v>69</v>
      </c>
      <c r="BH21" s="154" t="s">
        <v>69</v>
      </c>
      <c r="BI21" s="154" t="s">
        <v>69</v>
      </c>
      <c r="BJ21" s="154" t="s">
        <v>69</v>
      </c>
      <c r="BK21" s="154" t="s">
        <v>69</v>
      </c>
      <c r="BL21" s="154">
        <v>4</v>
      </c>
      <c r="BM21" s="154" t="s">
        <v>69</v>
      </c>
      <c r="BN21" s="154" t="s">
        <v>69</v>
      </c>
      <c r="BO21" s="154">
        <v>4</v>
      </c>
      <c r="BP21" s="154" t="s">
        <v>69</v>
      </c>
      <c r="BQ21" s="154" t="s">
        <v>69</v>
      </c>
      <c r="BR21" s="154">
        <v>4</v>
      </c>
      <c r="BS21" s="154" t="s">
        <v>69</v>
      </c>
      <c r="BT21" s="154" t="s">
        <v>69</v>
      </c>
      <c r="BU21" s="154">
        <v>4</v>
      </c>
      <c r="BV21" s="154">
        <v>4</v>
      </c>
      <c r="BW21" s="154">
        <v>4</v>
      </c>
      <c r="BX21" s="154">
        <v>4</v>
      </c>
      <c r="BY21" s="154">
        <v>4</v>
      </c>
      <c r="BZ21" s="154" t="s">
        <v>69</v>
      </c>
      <c r="CA21" s="154">
        <v>4</v>
      </c>
      <c r="CB21" s="154">
        <v>4</v>
      </c>
      <c r="CC21" s="154">
        <v>4</v>
      </c>
      <c r="CD21" s="154" t="s">
        <v>69</v>
      </c>
      <c r="CE21" s="154" t="s">
        <v>69</v>
      </c>
      <c r="CF21" s="154" t="s">
        <v>69</v>
      </c>
      <c r="CG21" s="154">
        <v>4</v>
      </c>
      <c r="CH21" s="154" t="s">
        <v>69</v>
      </c>
      <c r="CI21" s="154" t="s">
        <v>69</v>
      </c>
      <c r="CJ21" s="154" t="s">
        <v>69</v>
      </c>
      <c r="CK21" s="154" t="s">
        <v>69</v>
      </c>
      <c r="CL21" s="154" t="s">
        <v>69</v>
      </c>
      <c r="CM21" s="154" t="s">
        <v>69</v>
      </c>
      <c r="CN21" s="154" t="s">
        <v>69</v>
      </c>
      <c r="CO21" s="154" t="s">
        <v>69</v>
      </c>
      <c r="CP21" s="154" t="s">
        <v>69</v>
      </c>
      <c r="CQ21" s="154" t="s">
        <v>69</v>
      </c>
      <c r="CR21" s="154" t="s">
        <v>69</v>
      </c>
      <c r="CS21" s="154" t="s">
        <v>69</v>
      </c>
      <c r="CT21" s="154" t="s">
        <v>69</v>
      </c>
      <c r="CU21" s="154" t="s">
        <v>69</v>
      </c>
      <c r="CV21" s="154" t="s">
        <v>69</v>
      </c>
      <c r="CW21" s="154" t="s">
        <v>69</v>
      </c>
      <c r="CX21" s="154" t="s">
        <v>69</v>
      </c>
      <c r="CY21" s="154" t="s">
        <v>69</v>
      </c>
      <c r="CZ21" s="154" t="s">
        <v>69</v>
      </c>
      <c r="DA21" s="154" t="s">
        <v>69</v>
      </c>
      <c r="DB21" s="154" t="s">
        <v>69</v>
      </c>
      <c r="DC21" s="154" t="s">
        <v>69</v>
      </c>
      <c r="DD21" s="154" t="s">
        <v>69</v>
      </c>
      <c r="DE21" s="154" t="s">
        <v>69</v>
      </c>
      <c r="DF21" s="154" t="s">
        <v>69</v>
      </c>
      <c r="DG21" s="154" t="s">
        <v>69</v>
      </c>
      <c r="DH21" s="154" t="s">
        <v>69</v>
      </c>
      <c r="DI21" s="154" t="s">
        <v>69</v>
      </c>
      <c r="DJ21" s="154" t="s">
        <v>69</v>
      </c>
      <c r="DK21" s="154" t="s">
        <v>69</v>
      </c>
      <c r="DL21" s="154" t="s">
        <v>69</v>
      </c>
      <c r="DM21" s="154" t="s">
        <v>69</v>
      </c>
      <c r="DN21" s="154" t="s">
        <v>69</v>
      </c>
      <c r="DO21" s="154" t="s">
        <v>69</v>
      </c>
      <c r="DP21" s="154" t="s">
        <v>69</v>
      </c>
      <c r="DQ21" s="154" t="s">
        <v>69</v>
      </c>
      <c r="DR21" s="154" t="s">
        <v>69</v>
      </c>
      <c r="DS21" s="154" t="s">
        <v>69</v>
      </c>
      <c r="DT21" s="168">
        <v>4</v>
      </c>
      <c r="DU21" s="110">
        <f t="shared" si="2"/>
        <v>0.32258064516129031</v>
      </c>
      <c r="DV21" s="104">
        <f t="shared" si="3"/>
        <v>0.9</v>
      </c>
    </row>
    <row r="22" spans="1:126" ht="68.25" hidden="1" customHeight="1" thickBot="1">
      <c r="A22" s="218" t="s">
        <v>295</v>
      </c>
      <c r="B22" s="236" t="s">
        <v>468</v>
      </c>
      <c r="C22" s="239" t="s">
        <v>297</v>
      </c>
      <c r="D22" s="219">
        <v>44197</v>
      </c>
      <c r="E22" s="220" t="s">
        <v>434</v>
      </c>
      <c r="F22" s="167">
        <v>4</v>
      </c>
      <c r="G22" s="154" t="s">
        <v>69</v>
      </c>
      <c r="H22" s="154" t="s">
        <v>69</v>
      </c>
      <c r="I22" s="154" t="s">
        <v>69</v>
      </c>
      <c r="J22" s="154" t="s">
        <v>69</v>
      </c>
      <c r="K22" s="154" t="s">
        <v>69</v>
      </c>
      <c r="L22" s="154">
        <v>2</v>
      </c>
      <c r="M22" s="154">
        <v>4</v>
      </c>
      <c r="N22" s="154" t="s">
        <v>69</v>
      </c>
      <c r="O22" s="154">
        <v>4</v>
      </c>
      <c r="P22" s="154" t="s">
        <v>69</v>
      </c>
      <c r="Q22" s="154">
        <v>4</v>
      </c>
      <c r="R22" s="154" t="s">
        <v>69</v>
      </c>
      <c r="S22" s="154" t="s">
        <v>69</v>
      </c>
      <c r="T22" s="165" t="s">
        <v>69</v>
      </c>
      <c r="U22" s="165" t="s">
        <v>69</v>
      </c>
      <c r="V22" s="154" t="s">
        <v>69</v>
      </c>
      <c r="W22" s="154" t="s">
        <v>69</v>
      </c>
      <c r="X22" s="154" t="s">
        <v>69</v>
      </c>
      <c r="Y22" s="154" t="s">
        <v>69</v>
      </c>
      <c r="Z22" s="154" t="s">
        <v>69</v>
      </c>
      <c r="AA22" s="154">
        <v>4</v>
      </c>
      <c r="AB22" s="154" t="s">
        <v>69</v>
      </c>
      <c r="AC22" s="154" t="s">
        <v>69</v>
      </c>
      <c r="AD22" s="154">
        <v>4</v>
      </c>
      <c r="AE22" s="154">
        <v>4</v>
      </c>
      <c r="AF22" s="154">
        <v>4</v>
      </c>
      <c r="AG22" s="154">
        <v>4</v>
      </c>
      <c r="AH22" s="154" t="s">
        <v>69</v>
      </c>
      <c r="AI22" s="154" t="s">
        <v>69</v>
      </c>
      <c r="AJ22" s="154" t="s">
        <v>69</v>
      </c>
      <c r="AK22" s="154" t="s">
        <v>69</v>
      </c>
      <c r="AL22" s="154" t="s">
        <v>69</v>
      </c>
      <c r="AM22" s="154" t="s">
        <v>69</v>
      </c>
      <c r="AN22" s="154" t="s">
        <v>69</v>
      </c>
      <c r="AO22" s="154" t="s">
        <v>69</v>
      </c>
      <c r="AP22" s="154">
        <v>2</v>
      </c>
      <c r="AQ22" s="154" t="s">
        <v>69</v>
      </c>
      <c r="AR22" s="154" t="s">
        <v>69</v>
      </c>
      <c r="AS22" s="154">
        <v>4</v>
      </c>
      <c r="AT22" s="154" t="s">
        <v>69</v>
      </c>
      <c r="AU22" s="154" t="s">
        <v>69</v>
      </c>
      <c r="AV22" s="154">
        <v>4</v>
      </c>
      <c r="AW22" s="154" t="s">
        <v>69</v>
      </c>
      <c r="AX22" s="154" t="s">
        <v>69</v>
      </c>
      <c r="AY22" s="154">
        <v>4</v>
      </c>
      <c r="AZ22" s="154" t="s">
        <v>69</v>
      </c>
      <c r="BA22" s="154" t="s">
        <v>69</v>
      </c>
      <c r="BB22" s="154">
        <v>4</v>
      </c>
      <c r="BC22" s="154" t="s">
        <v>69</v>
      </c>
      <c r="BD22" s="154" t="s">
        <v>69</v>
      </c>
      <c r="BE22" s="154">
        <v>4</v>
      </c>
      <c r="BF22" s="154" t="s">
        <v>69</v>
      </c>
      <c r="BG22" s="154" t="s">
        <v>69</v>
      </c>
      <c r="BH22" s="154" t="s">
        <v>69</v>
      </c>
      <c r="BI22" s="154" t="s">
        <v>69</v>
      </c>
      <c r="BJ22" s="154" t="s">
        <v>69</v>
      </c>
      <c r="BK22" s="154" t="s">
        <v>69</v>
      </c>
      <c r="BL22" s="154" t="s">
        <v>69</v>
      </c>
      <c r="BM22" s="154">
        <v>3</v>
      </c>
      <c r="BN22" s="154" t="s">
        <v>69</v>
      </c>
      <c r="BO22" s="154" t="s">
        <v>69</v>
      </c>
      <c r="BP22" s="154" t="s">
        <v>69</v>
      </c>
      <c r="BQ22" s="154">
        <v>4</v>
      </c>
      <c r="BR22" s="154">
        <v>4</v>
      </c>
      <c r="BS22" s="154" t="s">
        <v>69</v>
      </c>
      <c r="BT22" s="154" t="s">
        <v>69</v>
      </c>
      <c r="BU22" s="154">
        <v>4</v>
      </c>
      <c r="BV22" s="154">
        <v>4</v>
      </c>
      <c r="BW22" s="154" t="s">
        <v>69</v>
      </c>
      <c r="BX22" s="154" t="s">
        <v>69</v>
      </c>
      <c r="BY22" s="154">
        <v>4</v>
      </c>
      <c r="BZ22" s="154">
        <v>2</v>
      </c>
      <c r="CA22" s="154" t="s">
        <v>69</v>
      </c>
      <c r="CB22" s="154" t="s">
        <v>69</v>
      </c>
      <c r="CC22" s="154" t="s">
        <v>69</v>
      </c>
      <c r="CD22" s="154" t="s">
        <v>69</v>
      </c>
      <c r="CE22" s="154" t="s">
        <v>69</v>
      </c>
      <c r="CF22" s="154" t="s">
        <v>69</v>
      </c>
      <c r="CG22" s="154">
        <v>4</v>
      </c>
      <c r="CH22" s="154" t="s">
        <v>69</v>
      </c>
      <c r="CI22" s="154" t="s">
        <v>69</v>
      </c>
      <c r="CJ22" s="154" t="s">
        <v>69</v>
      </c>
      <c r="CK22" s="154" t="s">
        <v>69</v>
      </c>
      <c r="CL22" s="154" t="s">
        <v>69</v>
      </c>
      <c r="CM22" s="154" t="s">
        <v>69</v>
      </c>
      <c r="CN22" s="154" t="s">
        <v>69</v>
      </c>
      <c r="CO22" s="154" t="s">
        <v>69</v>
      </c>
      <c r="CP22" s="154" t="s">
        <v>69</v>
      </c>
      <c r="CQ22" s="154" t="s">
        <v>69</v>
      </c>
      <c r="CR22" s="154" t="s">
        <v>69</v>
      </c>
      <c r="CS22" s="154" t="s">
        <v>69</v>
      </c>
      <c r="CT22" s="154">
        <v>3</v>
      </c>
      <c r="CU22" s="154" t="s">
        <v>69</v>
      </c>
      <c r="CV22" s="154">
        <v>4</v>
      </c>
      <c r="CW22" s="154">
        <v>4</v>
      </c>
      <c r="CX22" s="154">
        <v>3</v>
      </c>
      <c r="CY22" s="154" t="s">
        <v>69</v>
      </c>
      <c r="CZ22" s="154" t="s">
        <v>69</v>
      </c>
      <c r="DA22" s="154">
        <v>4</v>
      </c>
      <c r="DB22" s="154">
        <v>4</v>
      </c>
      <c r="DC22" s="154">
        <v>4</v>
      </c>
      <c r="DD22" s="154">
        <v>4</v>
      </c>
      <c r="DE22" s="154">
        <v>4</v>
      </c>
      <c r="DF22" s="154" t="s">
        <v>69</v>
      </c>
      <c r="DG22" s="154" t="s">
        <v>69</v>
      </c>
      <c r="DH22" s="154" t="s">
        <v>69</v>
      </c>
      <c r="DI22" s="154" t="s">
        <v>69</v>
      </c>
      <c r="DJ22" s="154" t="s">
        <v>69</v>
      </c>
      <c r="DK22" s="154" t="s">
        <v>69</v>
      </c>
      <c r="DL22" s="154" t="s">
        <v>69</v>
      </c>
      <c r="DM22" s="154" t="s">
        <v>69</v>
      </c>
      <c r="DN22" s="154" t="s">
        <v>69</v>
      </c>
      <c r="DO22" s="154" t="s">
        <v>69</v>
      </c>
      <c r="DP22" s="154" t="s">
        <v>69</v>
      </c>
      <c r="DQ22" s="154" t="s">
        <v>69</v>
      </c>
      <c r="DR22" s="154">
        <v>2</v>
      </c>
      <c r="DS22" s="154" t="s">
        <v>69</v>
      </c>
      <c r="DT22" s="168">
        <v>4</v>
      </c>
      <c r="DU22" s="110">
        <f t="shared" si="2"/>
        <v>0.56451612903225812</v>
      </c>
      <c r="DV22" s="104">
        <f t="shared" si="3"/>
        <v>0.88571428571428568</v>
      </c>
    </row>
    <row r="23" spans="1:126" ht="68.25" hidden="1" customHeight="1" thickBot="1">
      <c r="A23" s="218" t="s">
        <v>468</v>
      </c>
      <c r="B23" s="236" t="s">
        <v>298</v>
      </c>
      <c r="C23" s="239" t="s">
        <v>299</v>
      </c>
      <c r="D23" s="219">
        <v>44441</v>
      </c>
      <c r="E23" s="220" t="s">
        <v>434</v>
      </c>
      <c r="F23" s="167">
        <v>4</v>
      </c>
      <c r="G23" s="154">
        <v>4</v>
      </c>
      <c r="H23" s="154">
        <v>4</v>
      </c>
      <c r="I23" s="154" t="s">
        <v>69</v>
      </c>
      <c r="J23" s="154" t="s">
        <v>69</v>
      </c>
      <c r="K23" s="154">
        <v>2</v>
      </c>
      <c r="L23" s="154">
        <v>2</v>
      </c>
      <c r="M23" s="154" t="s">
        <v>69</v>
      </c>
      <c r="N23" s="154" t="s">
        <v>69</v>
      </c>
      <c r="O23" s="154">
        <v>4</v>
      </c>
      <c r="P23" s="154">
        <v>3</v>
      </c>
      <c r="Q23" s="154">
        <v>3</v>
      </c>
      <c r="R23" s="154" t="s">
        <v>69</v>
      </c>
      <c r="S23" s="154" t="s">
        <v>69</v>
      </c>
      <c r="T23" s="165" t="s">
        <v>69</v>
      </c>
      <c r="U23" s="165" t="s">
        <v>69</v>
      </c>
      <c r="V23" s="154" t="s">
        <v>69</v>
      </c>
      <c r="W23" s="154" t="s">
        <v>69</v>
      </c>
      <c r="X23" s="154" t="s">
        <v>69</v>
      </c>
      <c r="Y23" s="154" t="s">
        <v>69</v>
      </c>
      <c r="Z23" s="154" t="s">
        <v>69</v>
      </c>
      <c r="AA23" s="154" t="s">
        <v>69</v>
      </c>
      <c r="AB23" s="154" t="s">
        <v>69</v>
      </c>
      <c r="AC23" s="154" t="s">
        <v>69</v>
      </c>
      <c r="AD23" s="154">
        <v>4</v>
      </c>
      <c r="AE23" s="154" t="s">
        <v>69</v>
      </c>
      <c r="AF23" s="154">
        <v>4</v>
      </c>
      <c r="AG23" s="154">
        <v>2</v>
      </c>
      <c r="AH23" s="154">
        <v>4</v>
      </c>
      <c r="AI23" s="154" t="s">
        <v>69</v>
      </c>
      <c r="AJ23" s="154" t="s">
        <v>69</v>
      </c>
      <c r="AK23" s="154" t="s">
        <v>69</v>
      </c>
      <c r="AL23" s="154" t="s">
        <v>69</v>
      </c>
      <c r="AM23" s="154" t="s">
        <v>69</v>
      </c>
      <c r="AN23" s="154" t="s">
        <v>69</v>
      </c>
      <c r="AO23" s="154" t="s">
        <v>69</v>
      </c>
      <c r="AP23" s="154" t="s">
        <v>69</v>
      </c>
      <c r="AQ23" s="154" t="s">
        <v>69</v>
      </c>
      <c r="AR23" s="154">
        <v>4</v>
      </c>
      <c r="AS23" s="154" t="s">
        <v>69</v>
      </c>
      <c r="AT23" s="154" t="s">
        <v>69</v>
      </c>
      <c r="AU23" s="154">
        <v>4</v>
      </c>
      <c r="AV23" s="154" t="s">
        <v>69</v>
      </c>
      <c r="AW23" s="154" t="s">
        <v>69</v>
      </c>
      <c r="AX23" s="154">
        <v>4</v>
      </c>
      <c r="AY23" s="154" t="s">
        <v>69</v>
      </c>
      <c r="AZ23" s="154" t="s">
        <v>69</v>
      </c>
      <c r="BA23" s="154" t="s">
        <v>69</v>
      </c>
      <c r="BB23" s="154" t="s">
        <v>69</v>
      </c>
      <c r="BC23" s="154" t="s">
        <v>69</v>
      </c>
      <c r="BD23" s="154">
        <v>2</v>
      </c>
      <c r="BE23" s="154">
        <v>4</v>
      </c>
      <c r="BF23" s="154">
        <v>4</v>
      </c>
      <c r="BG23" s="154" t="s">
        <v>69</v>
      </c>
      <c r="BH23" s="154" t="s">
        <v>69</v>
      </c>
      <c r="BI23" s="154" t="s">
        <v>69</v>
      </c>
      <c r="BJ23" s="154" t="s">
        <v>69</v>
      </c>
      <c r="BK23" s="154" t="s">
        <v>69</v>
      </c>
      <c r="BL23" s="154" t="s">
        <v>69</v>
      </c>
      <c r="BM23" s="154" t="s">
        <v>69</v>
      </c>
      <c r="BN23" s="154">
        <v>2</v>
      </c>
      <c r="BO23" s="154" t="s">
        <v>69</v>
      </c>
      <c r="BP23" s="154">
        <v>3</v>
      </c>
      <c r="BQ23" s="154" t="s">
        <v>69</v>
      </c>
      <c r="BR23" s="154">
        <v>4</v>
      </c>
      <c r="BS23" s="154" t="s">
        <v>69</v>
      </c>
      <c r="BT23" s="154" t="s">
        <v>69</v>
      </c>
      <c r="BU23" s="154">
        <v>4</v>
      </c>
      <c r="BV23" s="154">
        <v>4</v>
      </c>
      <c r="BW23" s="154" t="s">
        <v>69</v>
      </c>
      <c r="BX23" s="154" t="s">
        <v>69</v>
      </c>
      <c r="BY23" s="154">
        <v>3</v>
      </c>
      <c r="BZ23" s="154" t="s">
        <v>69</v>
      </c>
      <c r="CA23" s="154">
        <v>4</v>
      </c>
      <c r="CB23" s="154">
        <v>4</v>
      </c>
      <c r="CC23" s="154" t="s">
        <v>69</v>
      </c>
      <c r="CD23" s="154" t="s">
        <v>69</v>
      </c>
      <c r="CE23" s="154" t="s">
        <v>69</v>
      </c>
      <c r="CF23" s="154" t="s">
        <v>69</v>
      </c>
      <c r="CG23" s="154">
        <v>4</v>
      </c>
      <c r="CH23" s="154" t="s">
        <v>69</v>
      </c>
      <c r="CI23" s="154">
        <v>4</v>
      </c>
      <c r="CJ23" s="154">
        <v>4</v>
      </c>
      <c r="CK23" s="154" t="s">
        <v>69</v>
      </c>
      <c r="CL23" s="154" t="s">
        <v>69</v>
      </c>
      <c r="CM23" s="154" t="s">
        <v>69</v>
      </c>
      <c r="CN23" s="154" t="s">
        <v>69</v>
      </c>
      <c r="CO23" s="154" t="s">
        <v>69</v>
      </c>
      <c r="CP23" s="154" t="s">
        <v>69</v>
      </c>
      <c r="CQ23" s="154" t="s">
        <v>69</v>
      </c>
      <c r="CR23" s="154" t="s">
        <v>69</v>
      </c>
      <c r="CS23" s="154" t="s">
        <v>69</v>
      </c>
      <c r="CT23" s="154" t="s">
        <v>69</v>
      </c>
      <c r="CU23" s="154" t="s">
        <v>69</v>
      </c>
      <c r="CV23" s="154" t="s">
        <v>69</v>
      </c>
      <c r="CW23" s="154" t="s">
        <v>69</v>
      </c>
      <c r="CX23" s="154">
        <v>3</v>
      </c>
      <c r="CY23" s="154" t="s">
        <v>69</v>
      </c>
      <c r="CZ23" s="154" t="s">
        <v>69</v>
      </c>
      <c r="DA23" s="154" t="s">
        <v>69</v>
      </c>
      <c r="DB23" s="154">
        <v>4</v>
      </c>
      <c r="DC23" s="154" t="s">
        <v>69</v>
      </c>
      <c r="DD23" s="154">
        <v>4</v>
      </c>
      <c r="DE23" s="154" t="s">
        <v>69</v>
      </c>
      <c r="DF23" s="154" t="s">
        <v>69</v>
      </c>
      <c r="DG23" s="154" t="s">
        <v>69</v>
      </c>
      <c r="DH23" s="154">
        <v>4</v>
      </c>
      <c r="DI23" s="154" t="s">
        <v>69</v>
      </c>
      <c r="DJ23" s="154" t="s">
        <v>69</v>
      </c>
      <c r="DK23" s="154" t="s">
        <v>69</v>
      </c>
      <c r="DL23" s="154" t="s">
        <v>69</v>
      </c>
      <c r="DM23" s="154" t="s">
        <v>69</v>
      </c>
      <c r="DN23" s="154" t="s">
        <v>69</v>
      </c>
      <c r="DO23" s="154" t="s">
        <v>69</v>
      </c>
      <c r="DP23" s="154" t="s">
        <v>69</v>
      </c>
      <c r="DQ23" s="154" t="s">
        <v>69</v>
      </c>
      <c r="DR23" s="154" t="s">
        <v>69</v>
      </c>
      <c r="DS23" s="154" t="s">
        <v>69</v>
      </c>
      <c r="DT23" s="168">
        <v>4</v>
      </c>
      <c r="DU23" s="110">
        <f t="shared" si="2"/>
        <v>0.54838709677419351</v>
      </c>
      <c r="DV23" s="104">
        <f t="shared" si="3"/>
        <v>0.8529411764705882</v>
      </c>
    </row>
    <row r="24" spans="1:126" ht="68.25" hidden="1" customHeight="1" thickBot="1">
      <c r="A24" s="218" t="s">
        <v>298</v>
      </c>
      <c r="B24" s="236" t="s">
        <v>300</v>
      </c>
      <c r="C24" s="239" t="s">
        <v>301</v>
      </c>
      <c r="D24" s="219">
        <v>44441</v>
      </c>
      <c r="E24" s="220" t="s">
        <v>434</v>
      </c>
      <c r="F24" s="167" t="s">
        <v>69</v>
      </c>
      <c r="G24" s="154" t="s">
        <v>69</v>
      </c>
      <c r="H24" s="154" t="s">
        <v>69</v>
      </c>
      <c r="I24" s="154" t="s">
        <v>69</v>
      </c>
      <c r="J24" s="154" t="s">
        <v>69</v>
      </c>
      <c r="K24" s="154" t="s">
        <v>69</v>
      </c>
      <c r="L24" s="154" t="s">
        <v>69</v>
      </c>
      <c r="M24" s="154" t="s">
        <v>69</v>
      </c>
      <c r="N24" s="154" t="s">
        <v>69</v>
      </c>
      <c r="O24" s="154" t="s">
        <v>69</v>
      </c>
      <c r="P24" s="154" t="s">
        <v>69</v>
      </c>
      <c r="Q24" s="154">
        <v>3</v>
      </c>
      <c r="R24" s="154" t="s">
        <v>69</v>
      </c>
      <c r="S24" s="154" t="s">
        <v>69</v>
      </c>
      <c r="T24" s="165" t="s">
        <v>69</v>
      </c>
      <c r="U24" s="165" t="s">
        <v>69</v>
      </c>
      <c r="V24" s="154" t="s">
        <v>69</v>
      </c>
      <c r="W24" s="154" t="s">
        <v>69</v>
      </c>
      <c r="X24" s="154" t="s">
        <v>69</v>
      </c>
      <c r="Y24" s="154" t="s">
        <v>69</v>
      </c>
      <c r="Z24" s="154" t="s">
        <v>69</v>
      </c>
      <c r="AA24" s="154">
        <v>4</v>
      </c>
      <c r="AB24" s="154" t="s">
        <v>69</v>
      </c>
      <c r="AC24" s="154" t="s">
        <v>69</v>
      </c>
      <c r="AD24" s="154">
        <v>4</v>
      </c>
      <c r="AE24" s="154" t="s">
        <v>69</v>
      </c>
      <c r="AF24" s="154" t="s">
        <v>69</v>
      </c>
      <c r="AG24" s="154" t="s">
        <v>69</v>
      </c>
      <c r="AH24" s="154">
        <v>4</v>
      </c>
      <c r="AI24" s="154">
        <v>4</v>
      </c>
      <c r="AJ24" s="154" t="s">
        <v>69</v>
      </c>
      <c r="AK24" s="154" t="s">
        <v>69</v>
      </c>
      <c r="AL24" s="154" t="s">
        <v>69</v>
      </c>
      <c r="AM24" s="154" t="s">
        <v>69</v>
      </c>
      <c r="AN24" s="154" t="s">
        <v>69</v>
      </c>
      <c r="AO24" s="154" t="s">
        <v>69</v>
      </c>
      <c r="AP24" s="154">
        <v>3</v>
      </c>
      <c r="AQ24" s="154" t="s">
        <v>69</v>
      </c>
      <c r="AR24" s="154" t="s">
        <v>69</v>
      </c>
      <c r="AS24" s="154" t="s">
        <v>69</v>
      </c>
      <c r="AT24" s="154" t="s">
        <v>69</v>
      </c>
      <c r="AU24" s="154" t="s">
        <v>69</v>
      </c>
      <c r="AV24" s="154" t="s">
        <v>69</v>
      </c>
      <c r="AW24" s="154" t="s">
        <v>69</v>
      </c>
      <c r="AX24" s="154" t="s">
        <v>69</v>
      </c>
      <c r="AY24" s="154" t="s">
        <v>69</v>
      </c>
      <c r="AZ24" s="154" t="s">
        <v>69</v>
      </c>
      <c r="BA24" s="154" t="s">
        <v>69</v>
      </c>
      <c r="BB24" s="154" t="s">
        <v>69</v>
      </c>
      <c r="BC24" s="154" t="s">
        <v>69</v>
      </c>
      <c r="BD24" s="154" t="s">
        <v>69</v>
      </c>
      <c r="BE24" s="154">
        <v>2</v>
      </c>
      <c r="BF24" s="154" t="s">
        <v>69</v>
      </c>
      <c r="BG24" s="154" t="s">
        <v>69</v>
      </c>
      <c r="BH24" s="154" t="s">
        <v>69</v>
      </c>
      <c r="BI24" s="154" t="s">
        <v>69</v>
      </c>
      <c r="BJ24" s="154" t="s">
        <v>69</v>
      </c>
      <c r="BK24" s="154" t="s">
        <v>69</v>
      </c>
      <c r="BL24" s="154" t="s">
        <v>69</v>
      </c>
      <c r="BM24" s="154" t="s">
        <v>69</v>
      </c>
      <c r="BN24" s="154" t="s">
        <v>69</v>
      </c>
      <c r="BO24" s="154" t="s">
        <v>69</v>
      </c>
      <c r="BP24" s="154" t="s">
        <v>69</v>
      </c>
      <c r="BQ24" s="154" t="s">
        <v>69</v>
      </c>
      <c r="BR24" s="154">
        <v>4</v>
      </c>
      <c r="BS24" s="154" t="s">
        <v>69</v>
      </c>
      <c r="BT24" s="154" t="s">
        <v>69</v>
      </c>
      <c r="BU24" s="154" t="s">
        <v>69</v>
      </c>
      <c r="BV24" s="154" t="s">
        <v>69</v>
      </c>
      <c r="BW24" s="154" t="s">
        <v>69</v>
      </c>
      <c r="BX24" s="154" t="s">
        <v>69</v>
      </c>
      <c r="BY24" s="154" t="s">
        <v>69</v>
      </c>
      <c r="BZ24" s="154" t="s">
        <v>69</v>
      </c>
      <c r="CA24" s="154" t="s">
        <v>69</v>
      </c>
      <c r="CB24" s="154" t="s">
        <v>69</v>
      </c>
      <c r="CC24" s="154" t="s">
        <v>69</v>
      </c>
      <c r="CD24" s="154" t="s">
        <v>69</v>
      </c>
      <c r="CE24" s="154" t="s">
        <v>69</v>
      </c>
      <c r="CF24" s="154" t="s">
        <v>69</v>
      </c>
      <c r="CG24" s="154">
        <v>4</v>
      </c>
      <c r="CH24" s="154" t="s">
        <v>69</v>
      </c>
      <c r="CI24" s="154" t="s">
        <v>69</v>
      </c>
      <c r="CJ24" s="154" t="s">
        <v>69</v>
      </c>
      <c r="CK24" s="154" t="s">
        <v>69</v>
      </c>
      <c r="CL24" s="154" t="s">
        <v>69</v>
      </c>
      <c r="CM24" s="154" t="s">
        <v>69</v>
      </c>
      <c r="CN24" s="154" t="s">
        <v>69</v>
      </c>
      <c r="CO24" s="154" t="s">
        <v>69</v>
      </c>
      <c r="CP24" s="154" t="s">
        <v>69</v>
      </c>
      <c r="CQ24" s="154"/>
      <c r="CR24" s="154" t="s">
        <v>69</v>
      </c>
      <c r="CS24" s="154" t="s">
        <v>69</v>
      </c>
      <c r="CT24" s="154">
        <v>3</v>
      </c>
      <c r="CU24" s="154">
        <v>3</v>
      </c>
      <c r="CV24" s="154">
        <v>4</v>
      </c>
      <c r="CW24" s="154" t="s">
        <v>69</v>
      </c>
      <c r="CX24" s="154" t="s">
        <v>69</v>
      </c>
      <c r="CY24" s="154" t="s">
        <v>69</v>
      </c>
      <c r="CZ24" s="154" t="s">
        <v>69</v>
      </c>
      <c r="DA24" s="154" t="s">
        <v>69</v>
      </c>
      <c r="DB24" s="154" t="s">
        <v>69</v>
      </c>
      <c r="DC24" s="154" t="s">
        <v>69</v>
      </c>
      <c r="DD24" s="154" t="s">
        <v>69</v>
      </c>
      <c r="DE24" s="154" t="s">
        <v>69</v>
      </c>
      <c r="DF24" s="154" t="s">
        <v>69</v>
      </c>
      <c r="DG24" s="154" t="s">
        <v>69</v>
      </c>
      <c r="DH24" s="154" t="s">
        <v>69</v>
      </c>
      <c r="DI24" s="154" t="s">
        <v>69</v>
      </c>
      <c r="DJ24" s="154" t="s">
        <v>69</v>
      </c>
      <c r="DK24" s="154" t="s">
        <v>69</v>
      </c>
      <c r="DL24" s="154">
        <v>3</v>
      </c>
      <c r="DM24" s="154" t="s">
        <v>69</v>
      </c>
      <c r="DN24" s="154" t="s">
        <v>69</v>
      </c>
      <c r="DO24" s="154" t="s">
        <v>69</v>
      </c>
      <c r="DP24" s="154" t="s">
        <v>69</v>
      </c>
      <c r="DQ24" s="154" t="s">
        <v>69</v>
      </c>
      <c r="DR24" s="154" t="s">
        <v>69</v>
      </c>
      <c r="DS24" s="154" t="s">
        <v>69</v>
      </c>
      <c r="DT24" s="168">
        <v>4</v>
      </c>
      <c r="DU24" s="110">
        <f t="shared" si="2"/>
        <v>0.22580645161290322</v>
      </c>
      <c r="DV24" s="104">
        <f t="shared" si="3"/>
        <v>0.9285714285714286</v>
      </c>
    </row>
    <row r="25" spans="1:126" ht="68.25" hidden="1" customHeight="1" thickBot="1">
      <c r="A25" s="221" t="s">
        <v>300</v>
      </c>
      <c r="B25" s="236" t="s">
        <v>304</v>
      </c>
      <c r="C25" s="239" t="s">
        <v>305</v>
      </c>
      <c r="D25" s="219">
        <v>44289</v>
      </c>
      <c r="E25" s="220" t="s">
        <v>434</v>
      </c>
      <c r="F25" s="167">
        <v>4</v>
      </c>
      <c r="G25" s="154">
        <v>4</v>
      </c>
      <c r="H25" s="154">
        <v>4</v>
      </c>
      <c r="I25" s="154" t="s">
        <v>69</v>
      </c>
      <c r="J25" s="154">
        <v>4</v>
      </c>
      <c r="K25" s="154">
        <v>2</v>
      </c>
      <c r="L25" s="154" t="s">
        <v>69</v>
      </c>
      <c r="M25" s="154">
        <v>3</v>
      </c>
      <c r="N25" s="154">
        <v>2</v>
      </c>
      <c r="O25" s="154">
        <v>4</v>
      </c>
      <c r="P25" s="154">
        <v>4</v>
      </c>
      <c r="Q25" s="154" t="s">
        <v>69</v>
      </c>
      <c r="R25" s="154" t="s">
        <v>69</v>
      </c>
      <c r="S25" s="154" t="s">
        <v>69</v>
      </c>
      <c r="T25" s="165" t="s">
        <v>69</v>
      </c>
      <c r="U25" s="165" t="s">
        <v>69</v>
      </c>
      <c r="V25" s="154" t="s">
        <v>69</v>
      </c>
      <c r="W25" s="154" t="s">
        <v>69</v>
      </c>
      <c r="X25" s="154" t="s">
        <v>69</v>
      </c>
      <c r="Y25" s="154" t="s">
        <v>69</v>
      </c>
      <c r="Z25" s="154" t="s">
        <v>69</v>
      </c>
      <c r="AA25" s="154">
        <v>4</v>
      </c>
      <c r="AB25" s="154" t="s">
        <v>69</v>
      </c>
      <c r="AC25" s="154" t="s">
        <v>69</v>
      </c>
      <c r="AD25" s="154" t="s">
        <v>69</v>
      </c>
      <c r="AE25" s="154" t="s">
        <v>69</v>
      </c>
      <c r="AF25" s="154" t="s">
        <v>69</v>
      </c>
      <c r="AG25" s="154" t="s">
        <v>69</v>
      </c>
      <c r="AH25" s="154" t="s">
        <v>69</v>
      </c>
      <c r="AI25" s="154" t="s">
        <v>69</v>
      </c>
      <c r="AJ25" s="154" t="s">
        <v>69</v>
      </c>
      <c r="AK25" s="154" t="s">
        <v>69</v>
      </c>
      <c r="AL25" s="154" t="s">
        <v>69</v>
      </c>
      <c r="AM25" s="154" t="s">
        <v>69</v>
      </c>
      <c r="AN25" s="154" t="s">
        <v>69</v>
      </c>
      <c r="AO25" s="154" t="s">
        <v>69</v>
      </c>
      <c r="AP25" s="154">
        <v>2</v>
      </c>
      <c r="AQ25" s="154" t="s">
        <v>69</v>
      </c>
      <c r="AR25" s="154">
        <v>4</v>
      </c>
      <c r="AS25" s="154" t="s">
        <v>69</v>
      </c>
      <c r="AT25" s="154">
        <v>4</v>
      </c>
      <c r="AU25" s="154">
        <v>4</v>
      </c>
      <c r="AV25" s="154" t="s">
        <v>69</v>
      </c>
      <c r="AW25" s="154" t="s">
        <v>69</v>
      </c>
      <c r="AX25" s="154">
        <v>4</v>
      </c>
      <c r="AY25" s="154" t="s">
        <v>69</v>
      </c>
      <c r="AZ25" s="154" t="s">
        <v>69</v>
      </c>
      <c r="BA25" s="154" t="s">
        <v>69</v>
      </c>
      <c r="BB25" s="154" t="s">
        <v>69</v>
      </c>
      <c r="BC25" s="154" t="s">
        <v>69</v>
      </c>
      <c r="BD25" s="154">
        <v>2</v>
      </c>
      <c r="BE25" s="154"/>
      <c r="BF25" s="154">
        <v>4</v>
      </c>
      <c r="BG25" s="154" t="s">
        <v>69</v>
      </c>
      <c r="BH25" s="154" t="s">
        <v>69</v>
      </c>
      <c r="BI25" s="154" t="s">
        <v>69</v>
      </c>
      <c r="BJ25" s="154" t="s">
        <v>69</v>
      </c>
      <c r="BK25" s="154" t="s">
        <v>69</v>
      </c>
      <c r="BL25" s="154" t="s">
        <v>69</v>
      </c>
      <c r="BM25" s="154" t="s">
        <v>69</v>
      </c>
      <c r="BN25" s="154" t="s">
        <v>69</v>
      </c>
      <c r="BO25" s="154" t="s">
        <v>69</v>
      </c>
      <c r="BP25" s="154" t="s">
        <v>69</v>
      </c>
      <c r="BQ25" s="154" t="s">
        <v>69</v>
      </c>
      <c r="BR25" s="154">
        <v>4</v>
      </c>
      <c r="BS25" s="154">
        <v>4</v>
      </c>
      <c r="BT25" s="154" t="s">
        <v>69</v>
      </c>
      <c r="BU25" s="154" t="s">
        <v>69</v>
      </c>
      <c r="BV25" s="154" t="s">
        <v>69</v>
      </c>
      <c r="BW25" s="154" t="s">
        <v>69</v>
      </c>
      <c r="BX25" s="154" t="s">
        <v>69</v>
      </c>
      <c r="BY25" s="154" t="s">
        <v>69</v>
      </c>
      <c r="BZ25" s="154" t="s">
        <v>69</v>
      </c>
      <c r="CA25" s="154" t="s">
        <v>69</v>
      </c>
      <c r="CB25" s="154" t="s">
        <v>69</v>
      </c>
      <c r="CC25" s="154" t="s">
        <v>69</v>
      </c>
      <c r="CD25" s="154" t="s">
        <v>69</v>
      </c>
      <c r="CE25" s="154" t="s">
        <v>69</v>
      </c>
      <c r="CF25" s="154" t="s">
        <v>69</v>
      </c>
      <c r="CG25" s="154">
        <v>4</v>
      </c>
      <c r="CH25" s="154" t="s">
        <v>69</v>
      </c>
      <c r="CI25" s="154">
        <v>4</v>
      </c>
      <c r="CJ25" s="154">
        <v>4</v>
      </c>
      <c r="CK25" s="154" t="s">
        <v>69</v>
      </c>
      <c r="CL25" s="154" t="s">
        <v>69</v>
      </c>
      <c r="CM25" s="154" t="s">
        <v>69</v>
      </c>
      <c r="CN25" s="154" t="s">
        <v>69</v>
      </c>
      <c r="CO25" s="154" t="s">
        <v>69</v>
      </c>
      <c r="CP25" s="154" t="s">
        <v>69</v>
      </c>
      <c r="CQ25" s="154">
        <v>3</v>
      </c>
      <c r="CR25" s="154" t="s">
        <v>69</v>
      </c>
      <c r="CS25" s="154" t="s">
        <v>69</v>
      </c>
      <c r="CT25" s="154" t="s">
        <v>69</v>
      </c>
      <c r="CU25" s="154" t="s">
        <v>69</v>
      </c>
      <c r="CV25" s="154" t="s">
        <v>69</v>
      </c>
      <c r="CW25" s="154" t="s">
        <v>69</v>
      </c>
      <c r="CX25" s="154" t="s">
        <v>69</v>
      </c>
      <c r="CY25" s="154" t="s">
        <v>69</v>
      </c>
      <c r="CZ25" s="154" t="s">
        <v>69</v>
      </c>
      <c r="DA25" s="154" t="s">
        <v>69</v>
      </c>
      <c r="DB25" s="154" t="s">
        <v>69</v>
      </c>
      <c r="DC25" s="154" t="s">
        <v>69</v>
      </c>
      <c r="DD25" s="154" t="s">
        <v>69</v>
      </c>
      <c r="DE25" s="154" t="s">
        <v>69</v>
      </c>
      <c r="DF25" s="154" t="s">
        <v>69</v>
      </c>
      <c r="DG25" s="154" t="s">
        <v>69</v>
      </c>
      <c r="DH25" s="154" t="s">
        <v>69</v>
      </c>
      <c r="DI25" s="154" t="s">
        <v>69</v>
      </c>
      <c r="DJ25" s="154" t="s">
        <v>69</v>
      </c>
      <c r="DK25" s="154">
        <v>4</v>
      </c>
      <c r="DL25" s="154">
        <v>4</v>
      </c>
      <c r="DM25" s="154">
        <v>4</v>
      </c>
      <c r="DN25" s="154" t="s">
        <v>69</v>
      </c>
      <c r="DO25" s="154" t="s">
        <v>69</v>
      </c>
      <c r="DP25" s="154" t="s">
        <v>69</v>
      </c>
      <c r="DQ25" s="154" t="s">
        <v>69</v>
      </c>
      <c r="DR25" s="154" t="s">
        <v>69</v>
      </c>
      <c r="DS25" s="154" t="s">
        <v>69</v>
      </c>
      <c r="DT25" s="168">
        <v>4</v>
      </c>
      <c r="DU25" s="110">
        <f t="shared" si="2"/>
        <v>0.43548387096774194</v>
      </c>
      <c r="DV25" s="104">
        <f t="shared" si="3"/>
        <v>0.85185185185185186</v>
      </c>
    </row>
    <row r="26" spans="1:126" ht="68.25" hidden="1" customHeight="1" thickBot="1">
      <c r="A26" s="221" t="s">
        <v>304</v>
      </c>
      <c r="B26" s="236" t="s">
        <v>306</v>
      </c>
      <c r="C26" s="239" t="s">
        <v>307</v>
      </c>
      <c r="D26" s="219" t="s">
        <v>621</v>
      </c>
      <c r="E26" s="220" t="s">
        <v>434</v>
      </c>
      <c r="F26" s="167" t="s">
        <v>69</v>
      </c>
      <c r="G26" s="154" t="s">
        <v>69</v>
      </c>
      <c r="H26" s="154" t="s">
        <v>69</v>
      </c>
      <c r="I26" s="154" t="s">
        <v>69</v>
      </c>
      <c r="J26" s="154" t="s">
        <v>69</v>
      </c>
      <c r="K26" s="154" t="s">
        <v>69</v>
      </c>
      <c r="L26" s="154" t="s">
        <v>69</v>
      </c>
      <c r="M26" s="154" t="s">
        <v>69</v>
      </c>
      <c r="N26" s="154" t="s">
        <v>69</v>
      </c>
      <c r="O26" s="154" t="s">
        <v>69</v>
      </c>
      <c r="P26" s="154" t="s">
        <v>69</v>
      </c>
      <c r="Q26" s="154">
        <v>3</v>
      </c>
      <c r="R26" s="154" t="s">
        <v>69</v>
      </c>
      <c r="S26" s="154" t="s">
        <v>69</v>
      </c>
      <c r="T26" s="165" t="s">
        <v>69</v>
      </c>
      <c r="U26" s="165" t="s">
        <v>69</v>
      </c>
      <c r="V26" s="154">
        <v>4</v>
      </c>
      <c r="W26" s="154">
        <v>3</v>
      </c>
      <c r="X26" s="154" t="s">
        <v>69</v>
      </c>
      <c r="Y26" s="154" t="s">
        <v>69</v>
      </c>
      <c r="Z26" s="154" t="s">
        <v>69</v>
      </c>
      <c r="AA26" s="154">
        <v>4</v>
      </c>
      <c r="AB26" s="154" t="s">
        <v>69</v>
      </c>
      <c r="AC26" s="154" t="s">
        <v>69</v>
      </c>
      <c r="AD26" s="154" t="s">
        <v>69</v>
      </c>
      <c r="AE26" s="154" t="s">
        <v>69</v>
      </c>
      <c r="AF26" s="154" t="s">
        <v>69</v>
      </c>
      <c r="AG26" s="154" t="s">
        <v>69</v>
      </c>
      <c r="AH26" s="154" t="s">
        <v>69</v>
      </c>
      <c r="AI26" s="154" t="s">
        <v>69</v>
      </c>
      <c r="AJ26" s="154" t="s">
        <v>69</v>
      </c>
      <c r="AK26" s="154" t="s">
        <v>69</v>
      </c>
      <c r="AL26" s="154" t="s">
        <v>69</v>
      </c>
      <c r="AM26" s="154" t="s">
        <v>69</v>
      </c>
      <c r="AN26" s="154" t="s">
        <v>69</v>
      </c>
      <c r="AO26" s="154" t="s">
        <v>69</v>
      </c>
      <c r="AP26" s="154" t="s">
        <v>69</v>
      </c>
      <c r="AQ26" s="154" t="s">
        <v>69</v>
      </c>
      <c r="AR26" s="154" t="s">
        <v>69</v>
      </c>
      <c r="AS26" s="154" t="s">
        <v>69</v>
      </c>
      <c r="AT26" s="154" t="s">
        <v>69</v>
      </c>
      <c r="AU26" s="154" t="s">
        <v>69</v>
      </c>
      <c r="AV26" s="154" t="s">
        <v>69</v>
      </c>
      <c r="AW26" s="154" t="s">
        <v>69</v>
      </c>
      <c r="AX26" s="154" t="s">
        <v>69</v>
      </c>
      <c r="AY26" s="154" t="s">
        <v>69</v>
      </c>
      <c r="AZ26" s="154" t="s">
        <v>69</v>
      </c>
      <c r="BA26" s="154" t="s">
        <v>69</v>
      </c>
      <c r="BB26" s="154" t="s">
        <v>69</v>
      </c>
      <c r="BC26" s="154" t="s">
        <v>69</v>
      </c>
      <c r="BD26" s="154" t="s">
        <v>69</v>
      </c>
      <c r="BE26" s="154" t="s">
        <v>69</v>
      </c>
      <c r="BF26" s="154" t="s">
        <v>69</v>
      </c>
      <c r="BG26" s="154" t="s">
        <v>69</v>
      </c>
      <c r="BH26" s="154" t="s">
        <v>69</v>
      </c>
      <c r="BI26" s="154" t="s">
        <v>69</v>
      </c>
      <c r="BJ26" s="154" t="s">
        <v>69</v>
      </c>
      <c r="BK26" s="154">
        <v>4</v>
      </c>
      <c r="BL26" s="154">
        <v>4</v>
      </c>
      <c r="BM26" s="154">
        <v>4</v>
      </c>
      <c r="BN26" s="154">
        <v>4</v>
      </c>
      <c r="BO26" s="154" t="s">
        <v>69</v>
      </c>
      <c r="BP26" s="154">
        <v>4</v>
      </c>
      <c r="BQ26" s="154" t="s">
        <v>69</v>
      </c>
      <c r="BR26" s="154">
        <v>4</v>
      </c>
      <c r="BS26" s="154" t="s">
        <v>69</v>
      </c>
      <c r="BT26" s="154" t="s">
        <v>69</v>
      </c>
      <c r="BU26" s="154" t="s">
        <v>69</v>
      </c>
      <c r="BV26" s="154" t="s">
        <v>69</v>
      </c>
      <c r="BW26" s="154" t="s">
        <v>69</v>
      </c>
      <c r="BX26" s="154" t="s">
        <v>69</v>
      </c>
      <c r="BY26" s="154">
        <v>4</v>
      </c>
      <c r="BZ26" s="154" t="s">
        <v>69</v>
      </c>
      <c r="CA26" s="154">
        <v>3</v>
      </c>
      <c r="CB26" s="154">
        <v>3</v>
      </c>
      <c r="CC26" s="154" t="s">
        <v>69</v>
      </c>
      <c r="CD26" s="154" t="s">
        <v>69</v>
      </c>
      <c r="CE26" s="154" t="s">
        <v>69</v>
      </c>
      <c r="CF26" s="154" t="s">
        <v>69</v>
      </c>
      <c r="CG26" s="154">
        <v>4</v>
      </c>
      <c r="CH26" s="154">
        <v>4</v>
      </c>
      <c r="CI26" s="154" t="s">
        <v>69</v>
      </c>
      <c r="CJ26" s="154" t="s">
        <v>69</v>
      </c>
      <c r="CK26" s="154" t="s">
        <v>69</v>
      </c>
      <c r="CL26" s="154" t="s">
        <v>69</v>
      </c>
      <c r="CM26" s="154" t="s">
        <v>69</v>
      </c>
      <c r="CN26" s="154" t="s">
        <v>69</v>
      </c>
      <c r="CO26" s="154" t="s">
        <v>69</v>
      </c>
      <c r="CP26" s="154" t="s">
        <v>69</v>
      </c>
      <c r="CQ26" s="154" t="s">
        <v>69</v>
      </c>
      <c r="CR26" s="154" t="s">
        <v>69</v>
      </c>
      <c r="CS26" s="154" t="s">
        <v>69</v>
      </c>
      <c r="CT26" s="154" t="s">
        <v>69</v>
      </c>
      <c r="CU26" s="154">
        <v>4</v>
      </c>
      <c r="CV26" s="154">
        <v>4</v>
      </c>
      <c r="CW26" s="154">
        <v>3</v>
      </c>
      <c r="CX26" s="154">
        <v>3</v>
      </c>
      <c r="CY26" s="154">
        <v>3</v>
      </c>
      <c r="CZ26" s="154" t="s">
        <v>69</v>
      </c>
      <c r="DA26" s="154" t="s">
        <v>69</v>
      </c>
      <c r="DB26" s="154" t="s">
        <v>69</v>
      </c>
      <c r="DC26" s="154" t="s">
        <v>69</v>
      </c>
      <c r="DD26" s="154" t="s">
        <v>69</v>
      </c>
      <c r="DE26" s="154" t="s">
        <v>69</v>
      </c>
      <c r="DF26" s="154">
        <v>2</v>
      </c>
      <c r="DG26" s="154" t="s">
        <v>69</v>
      </c>
      <c r="DH26" s="154" t="s">
        <v>69</v>
      </c>
      <c r="DI26" s="154" t="s">
        <v>69</v>
      </c>
      <c r="DJ26" s="154" t="s">
        <v>69</v>
      </c>
      <c r="DK26" s="154" t="s">
        <v>69</v>
      </c>
      <c r="DL26" s="154" t="s">
        <v>69</v>
      </c>
      <c r="DM26" s="154" t="s">
        <v>69</v>
      </c>
      <c r="DN26" s="154" t="s">
        <v>69</v>
      </c>
      <c r="DO26" s="154">
        <v>2</v>
      </c>
      <c r="DP26" s="154" t="s">
        <v>69</v>
      </c>
      <c r="DQ26" s="154" t="s">
        <v>69</v>
      </c>
      <c r="DR26" s="154" t="s">
        <v>69</v>
      </c>
      <c r="DS26" s="154" t="s">
        <v>69</v>
      </c>
      <c r="DT26" s="168">
        <v>4</v>
      </c>
      <c r="DU26" s="110">
        <f t="shared" si="2"/>
        <v>0.37096774193548387</v>
      </c>
      <c r="DV26" s="104">
        <f t="shared" si="3"/>
        <v>0.91304347826086951</v>
      </c>
    </row>
    <row r="27" spans="1:126" ht="68.25" hidden="1" customHeight="1" thickBot="1">
      <c r="A27" s="218" t="s">
        <v>306</v>
      </c>
      <c r="B27" s="236" t="s">
        <v>313</v>
      </c>
      <c r="C27" s="239" t="s">
        <v>314</v>
      </c>
      <c r="D27" s="219">
        <v>44292</v>
      </c>
      <c r="E27" s="220" t="s">
        <v>434</v>
      </c>
      <c r="F27" s="154" t="s">
        <v>69</v>
      </c>
      <c r="G27" s="154" t="s">
        <v>69</v>
      </c>
      <c r="H27" s="154" t="s">
        <v>69</v>
      </c>
      <c r="I27" s="154" t="s">
        <v>69</v>
      </c>
      <c r="J27" s="154" t="s">
        <v>69</v>
      </c>
      <c r="K27" s="154" t="s">
        <v>69</v>
      </c>
      <c r="L27" s="154" t="s">
        <v>69</v>
      </c>
      <c r="M27" s="154" t="s">
        <v>69</v>
      </c>
      <c r="N27" s="154" t="s">
        <v>69</v>
      </c>
      <c r="O27" s="154">
        <v>4</v>
      </c>
      <c r="P27" s="154" t="s">
        <v>69</v>
      </c>
      <c r="Q27" s="154" t="s">
        <v>69</v>
      </c>
      <c r="R27" s="154" t="s">
        <v>69</v>
      </c>
      <c r="S27" s="154" t="s">
        <v>69</v>
      </c>
      <c r="T27" s="165" t="s">
        <v>69</v>
      </c>
      <c r="U27" s="165" t="s">
        <v>69</v>
      </c>
      <c r="V27" s="154" t="s">
        <v>69</v>
      </c>
      <c r="W27" s="154" t="s">
        <v>69</v>
      </c>
      <c r="X27" s="154">
        <v>4</v>
      </c>
      <c r="Y27" s="154" t="s">
        <v>69</v>
      </c>
      <c r="Z27" s="154" t="s">
        <v>69</v>
      </c>
      <c r="AA27" s="154">
        <v>4</v>
      </c>
      <c r="AB27" s="154" t="s">
        <v>69</v>
      </c>
      <c r="AC27" s="154" t="s">
        <v>69</v>
      </c>
      <c r="AD27" s="154" t="s">
        <v>69</v>
      </c>
      <c r="AE27" s="154" t="s">
        <v>69</v>
      </c>
      <c r="AF27" s="154" t="s">
        <v>69</v>
      </c>
      <c r="AG27" s="154" t="s">
        <v>69</v>
      </c>
      <c r="AH27" s="154" t="s">
        <v>69</v>
      </c>
      <c r="AI27" s="154" t="s">
        <v>69</v>
      </c>
      <c r="AJ27" s="154" t="s">
        <v>69</v>
      </c>
      <c r="AK27" s="154" t="s">
        <v>69</v>
      </c>
      <c r="AL27" s="154" t="s">
        <v>69</v>
      </c>
      <c r="AM27" s="154" t="s">
        <v>69</v>
      </c>
      <c r="AN27" s="154" t="s">
        <v>69</v>
      </c>
      <c r="AO27" s="154" t="s">
        <v>69</v>
      </c>
      <c r="AP27" s="154">
        <v>3</v>
      </c>
      <c r="AQ27" s="154" t="s">
        <v>69</v>
      </c>
      <c r="AR27" s="154" t="s">
        <v>69</v>
      </c>
      <c r="AS27" s="154">
        <v>4</v>
      </c>
      <c r="AT27" s="154" t="s">
        <v>69</v>
      </c>
      <c r="AU27" s="154">
        <v>4</v>
      </c>
      <c r="AV27" s="154">
        <v>4</v>
      </c>
      <c r="AW27" s="154" t="s">
        <v>69</v>
      </c>
      <c r="AX27" s="154" t="s">
        <v>69</v>
      </c>
      <c r="AY27" s="154">
        <v>4</v>
      </c>
      <c r="AZ27" s="154" t="s">
        <v>69</v>
      </c>
      <c r="BA27" s="154">
        <v>4</v>
      </c>
      <c r="BB27" s="154" t="s">
        <v>69</v>
      </c>
      <c r="BC27" s="154" t="s">
        <v>69</v>
      </c>
      <c r="BD27" s="154" t="s">
        <v>69</v>
      </c>
      <c r="BE27" s="154">
        <v>4</v>
      </c>
      <c r="BF27" s="154"/>
      <c r="BG27" s="154" t="s">
        <v>69</v>
      </c>
      <c r="BH27" s="154" t="s">
        <v>69</v>
      </c>
      <c r="BI27" s="154" t="s">
        <v>69</v>
      </c>
      <c r="BJ27" s="154" t="s">
        <v>69</v>
      </c>
      <c r="BK27" s="154">
        <v>2</v>
      </c>
      <c r="BL27" s="154" t="s">
        <v>69</v>
      </c>
      <c r="BM27" s="154" t="s">
        <v>69</v>
      </c>
      <c r="BN27" s="154" t="s">
        <v>69</v>
      </c>
      <c r="BO27" s="154" t="s">
        <v>69</v>
      </c>
      <c r="BP27" s="154" t="s">
        <v>69</v>
      </c>
      <c r="BQ27" s="154" t="s">
        <v>69</v>
      </c>
      <c r="BR27" s="154">
        <v>4</v>
      </c>
      <c r="BS27" s="154" t="s">
        <v>69</v>
      </c>
      <c r="BT27" s="154" t="s">
        <v>69</v>
      </c>
      <c r="BU27" s="154" t="s">
        <v>69</v>
      </c>
      <c r="BV27" s="154" t="s">
        <v>69</v>
      </c>
      <c r="BW27" s="154" t="s">
        <v>69</v>
      </c>
      <c r="BX27" s="154" t="s">
        <v>69</v>
      </c>
      <c r="BY27" s="154" t="s">
        <v>69</v>
      </c>
      <c r="BZ27" s="154">
        <v>4</v>
      </c>
      <c r="CA27" s="154"/>
      <c r="CB27" s="154" t="s">
        <v>69</v>
      </c>
      <c r="CC27" s="154" t="s">
        <v>69</v>
      </c>
      <c r="CD27" s="154" t="s">
        <v>69</v>
      </c>
      <c r="CE27" s="154" t="s">
        <v>69</v>
      </c>
      <c r="CF27" s="154" t="s">
        <v>69</v>
      </c>
      <c r="CG27" s="154">
        <v>4</v>
      </c>
      <c r="CH27" s="154" t="s">
        <v>69</v>
      </c>
      <c r="CI27" s="154" t="s">
        <v>69</v>
      </c>
      <c r="CJ27" s="154" t="s">
        <v>69</v>
      </c>
      <c r="CK27" s="154" t="s">
        <v>69</v>
      </c>
      <c r="CL27" s="154" t="s">
        <v>69</v>
      </c>
      <c r="CM27" s="154">
        <v>3</v>
      </c>
      <c r="CN27" s="154" t="s">
        <v>69</v>
      </c>
      <c r="CO27" s="154">
        <v>3</v>
      </c>
      <c r="CP27" s="154">
        <v>3</v>
      </c>
      <c r="CQ27" s="154" t="s">
        <v>69</v>
      </c>
      <c r="CR27" s="154">
        <v>3</v>
      </c>
      <c r="CS27" s="154" t="s">
        <v>69</v>
      </c>
      <c r="CT27" s="154" t="s">
        <v>69</v>
      </c>
      <c r="CU27" s="154" t="s">
        <v>69</v>
      </c>
      <c r="CV27" s="154" t="s">
        <v>69</v>
      </c>
      <c r="CW27" s="154" t="s">
        <v>69</v>
      </c>
      <c r="CX27" s="154" t="s">
        <v>69</v>
      </c>
      <c r="CY27" s="154" t="s">
        <v>69</v>
      </c>
      <c r="CZ27" s="154" t="s">
        <v>69</v>
      </c>
      <c r="DA27" s="154" t="s">
        <v>69</v>
      </c>
      <c r="DB27" s="154" t="s">
        <v>69</v>
      </c>
      <c r="DC27" s="154" t="s">
        <v>69</v>
      </c>
      <c r="DD27" s="154" t="s">
        <v>69</v>
      </c>
      <c r="DE27" s="154" t="s">
        <v>69</v>
      </c>
      <c r="DF27" s="154" t="s">
        <v>69</v>
      </c>
      <c r="DG27" s="154" t="s">
        <v>69</v>
      </c>
      <c r="DH27" s="154" t="s">
        <v>69</v>
      </c>
      <c r="DI27" s="154" t="s">
        <v>69</v>
      </c>
      <c r="DJ27" s="154" t="s">
        <v>69</v>
      </c>
      <c r="DK27" s="154">
        <v>3</v>
      </c>
      <c r="DL27" s="154">
        <v>4</v>
      </c>
      <c r="DM27" s="154" t="s">
        <v>69</v>
      </c>
      <c r="DN27" s="154" t="s">
        <v>69</v>
      </c>
      <c r="DO27" s="154" t="s">
        <v>69</v>
      </c>
      <c r="DP27" s="154" t="s">
        <v>69</v>
      </c>
      <c r="DQ27" s="154" t="s">
        <v>69</v>
      </c>
      <c r="DR27" s="154" t="s">
        <v>69</v>
      </c>
      <c r="DS27" s="154" t="s">
        <v>69</v>
      </c>
      <c r="DT27" s="168">
        <v>4</v>
      </c>
      <c r="DU27" s="110">
        <f t="shared" si="2"/>
        <v>0.33870967741935482</v>
      </c>
      <c r="DV27" s="104">
        <f t="shared" si="3"/>
        <v>0.95238095238095233</v>
      </c>
    </row>
    <row r="28" spans="1:126" ht="68.25" hidden="1" customHeight="1" thickBot="1">
      <c r="A28" s="218" t="s">
        <v>313</v>
      </c>
      <c r="B28" s="236" t="s">
        <v>315</v>
      </c>
      <c r="C28" s="239" t="s">
        <v>316</v>
      </c>
      <c r="D28" s="219">
        <v>44292</v>
      </c>
      <c r="E28" s="220" t="s">
        <v>434</v>
      </c>
      <c r="F28" s="167">
        <v>4</v>
      </c>
      <c r="G28" s="154">
        <v>4</v>
      </c>
      <c r="H28" s="154" t="s">
        <v>69</v>
      </c>
      <c r="I28" s="154" t="s">
        <v>69</v>
      </c>
      <c r="J28" s="154">
        <v>4</v>
      </c>
      <c r="K28" s="154" t="s">
        <v>69</v>
      </c>
      <c r="L28" s="154" t="s">
        <v>69</v>
      </c>
      <c r="M28" s="154" t="s">
        <v>69</v>
      </c>
      <c r="N28" s="154" t="s">
        <v>69</v>
      </c>
      <c r="O28" s="154">
        <v>4</v>
      </c>
      <c r="P28" s="154">
        <v>4</v>
      </c>
      <c r="Q28" s="154" t="s">
        <v>69</v>
      </c>
      <c r="R28" s="154" t="s">
        <v>69</v>
      </c>
      <c r="S28" s="154">
        <v>4</v>
      </c>
      <c r="T28" s="165" t="s">
        <v>69</v>
      </c>
      <c r="U28" s="165" t="s">
        <v>69</v>
      </c>
      <c r="V28" s="154" t="s">
        <v>69</v>
      </c>
      <c r="W28" s="154" t="s">
        <v>69</v>
      </c>
      <c r="X28" s="154" t="s">
        <v>69</v>
      </c>
      <c r="Y28" s="154">
        <v>4</v>
      </c>
      <c r="Z28" s="154">
        <v>4</v>
      </c>
      <c r="AA28" s="154" t="s">
        <v>69</v>
      </c>
      <c r="AB28" s="154" t="s">
        <v>69</v>
      </c>
      <c r="AC28" s="154">
        <v>4</v>
      </c>
      <c r="AD28" s="154" t="s">
        <v>69</v>
      </c>
      <c r="AE28" s="154" t="s">
        <v>69</v>
      </c>
      <c r="AF28" s="154" t="s">
        <v>69</v>
      </c>
      <c r="AG28" s="154" t="s">
        <v>69</v>
      </c>
      <c r="AH28" s="154" t="s">
        <v>69</v>
      </c>
      <c r="AI28" s="154" t="s">
        <v>69</v>
      </c>
      <c r="AJ28" s="154" t="s">
        <v>69</v>
      </c>
      <c r="AK28" s="154" t="s">
        <v>69</v>
      </c>
      <c r="AL28" s="154" t="s">
        <v>69</v>
      </c>
      <c r="AM28" s="154" t="s">
        <v>69</v>
      </c>
      <c r="AN28" s="154" t="s">
        <v>69</v>
      </c>
      <c r="AO28" s="154" t="s">
        <v>69</v>
      </c>
      <c r="AP28" s="154">
        <v>4</v>
      </c>
      <c r="AQ28" s="154">
        <v>4</v>
      </c>
      <c r="AR28" s="154" t="s">
        <v>69</v>
      </c>
      <c r="AS28" s="154" t="s">
        <v>69</v>
      </c>
      <c r="AT28" s="154">
        <v>4</v>
      </c>
      <c r="AU28" s="154" t="s">
        <v>69</v>
      </c>
      <c r="AV28" s="154" t="s">
        <v>69</v>
      </c>
      <c r="AW28" s="154">
        <v>4</v>
      </c>
      <c r="AX28" s="154" t="s">
        <v>69</v>
      </c>
      <c r="AY28" s="154" t="s">
        <v>69</v>
      </c>
      <c r="AZ28" s="154">
        <v>4</v>
      </c>
      <c r="BA28" s="154" t="s">
        <v>69</v>
      </c>
      <c r="BB28" s="154" t="s">
        <v>69</v>
      </c>
      <c r="BC28" s="154">
        <v>4</v>
      </c>
      <c r="BD28" s="154" t="s">
        <v>69</v>
      </c>
      <c r="BE28" s="154" t="s">
        <v>69</v>
      </c>
      <c r="BF28" s="154">
        <v>4</v>
      </c>
      <c r="BG28" s="154" t="s">
        <v>69</v>
      </c>
      <c r="BH28" s="154" t="s">
        <v>69</v>
      </c>
      <c r="BI28" s="154" t="s">
        <v>69</v>
      </c>
      <c r="BJ28" s="154" t="s">
        <v>69</v>
      </c>
      <c r="BK28" s="154" t="s">
        <v>69</v>
      </c>
      <c r="BL28" s="154" t="s">
        <v>69</v>
      </c>
      <c r="BM28" s="154" t="s">
        <v>69</v>
      </c>
      <c r="BN28" s="154" t="s">
        <v>69</v>
      </c>
      <c r="BO28" s="154" t="s">
        <v>69</v>
      </c>
      <c r="BP28" s="154" t="s">
        <v>69</v>
      </c>
      <c r="BQ28" s="154">
        <v>4</v>
      </c>
      <c r="BR28" s="154">
        <v>4</v>
      </c>
      <c r="BS28" s="154">
        <v>4</v>
      </c>
      <c r="BT28" s="154" t="s">
        <v>69</v>
      </c>
      <c r="BU28" s="154" t="s">
        <v>69</v>
      </c>
      <c r="BV28" s="154" t="s">
        <v>69</v>
      </c>
      <c r="BW28" s="154" t="s">
        <v>69</v>
      </c>
      <c r="BX28" s="154" t="s">
        <v>69</v>
      </c>
      <c r="BY28" s="154" t="s">
        <v>69</v>
      </c>
      <c r="BZ28" s="154" t="s">
        <v>69</v>
      </c>
      <c r="CA28" s="154" t="s">
        <v>69</v>
      </c>
      <c r="CB28" s="154">
        <v>4</v>
      </c>
      <c r="CC28" s="154">
        <v>4</v>
      </c>
      <c r="CD28" s="154" t="s">
        <v>69</v>
      </c>
      <c r="CE28" s="154" t="s">
        <v>69</v>
      </c>
      <c r="CF28" s="154" t="s">
        <v>69</v>
      </c>
      <c r="CG28" s="154">
        <v>4</v>
      </c>
      <c r="CH28" s="154">
        <v>4</v>
      </c>
      <c r="CI28" s="154">
        <v>4</v>
      </c>
      <c r="CJ28" s="154">
        <v>4</v>
      </c>
      <c r="CK28" s="154" t="s">
        <v>69</v>
      </c>
      <c r="CL28" s="154" t="s">
        <v>69</v>
      </c>
      <c r="CM28" s="154" t="s">
        <v>69</v>
      </c>
      <c r="CN28" s="154" t="s">
        <v>69</v>
      </c>
      <c r="CO28" s="154" t="s">
        <v>69</v>
      </c>
      <c r="CP28" s="154" t="s">
        <v>69</v>
      </c>
      <c r="CQ28" s="154"/>
      <c r="CR28" s="154" t="s">
        <v>69</v>
      </c>
      <c r="CS28" s="154" t="s">
        <v>69</v>
      </c>
      <c r="CT28" s="154" t="s">
        <v>69</v>
      </c>
      <c r="CU28" s="154" t="s">
        <v>69</v>
      </c>
      <c r="CV28" s="154" t="s">
        <v>69</v>
      </c>
      <c r="CW28" s="154" t="s">
        <v>69</v>
      </c>
      <c r="CX28" s="154" t="s">
        <v>69</v>
      </c>
      <c r="CY28" s="154">
        <v>4</v>
      </c>
      <c r="CZ28" s="154" t="s">
        <v>69</v>
      </c>
      <c r="DA28" s="154" t="s">
        <v>69</v>
      </c>
      <c r="DB28" s="154" t="s">
        <v>69</v>
      </c>
      <c r="DC28" s="154">
        <v>4</v>
      </c>
      <c r="DD28" s="154">
        <v>2</v>
      </c>
      <c r="DE28" s="154" t="s">
        <v>69</v>
      </c>
      <c r="DF28" s="154" t="s">
        <v>69</v>
      </c>
      <c r="DG28" s="154" t="s">
        <v>69</v>
      </c>
      <c r="DH28" s="154" t="s">
        <v>69</v>
      </c>
      <c r="DI28" s="154" t="s">
        <v>69</v>
      </c>
      <c r="DJ28" s="154">
        <v>4</v>
      </c>
      <c r="DK28" s="154">
        <v>4</v>
      </c>
      <c r="DL28" s="154">
        <v>4</v>
      </c>
      <c r="DM28" s="154">
        <v>4</v>
      </c>
      <c r="DN28" s="154" t="s">
        <v>69</v>
      </c>
      <c r="DO28" s="154" t="s">
        <v>69</v>
      </c>
      <c r="DP28" s="154" t="s">
        <v>69</v>
      </c>
      <c r="DQ28" s="154" t="s">
        <v>69</v>
      </c>
      <c r="DR28" s="154">
        <v>3</v>
      </c>
      <c r="DS28" s="154" t="s">
        <v>69</v>
      </c>
      <c r="DT28" s="168">
        <v>4</v>
      </c>
      <c r="DU28" s="110">
        <f t="shared" si="2"/>
        <v>0.54838709677419351</v>
      </c>
      <c r="DV28" s="104">
        <f t="shared" si="3"/>
        <v>0.97058823529411764</v>
      </c>
    </row>
    <row r="29" spans="1:126" ht="68.25" hidden="1" customHeight="1" thickBot="1">
      <c r="A29" s="218" t="s">
        <v>315</v>
      </c>
      <c r="B29" s="236" t="s">
        <v>319</v>
      </c>
      <c r="C29" s="239" t="s">
        <v>320</v>
      </c>
      <c r="D29" s="219">
        <v>44052</v>
      </c>
      <c r="E29" s="220" t="s">
        <v>434</v>
      </c>
      <c r="F29" s="167" t="s">
        <v>69</v>
      </c>
      <c r="G29" s="154" t="s">
        <v>69</v>
      </c>
      <c r="H29" s="154" t="s">
        <v>69</v>
      </c>
      <c r="I29" s="154">
        <v>4</v>
      </c>
      <c r="J29" s="154" t="s">
        <v>69</v>
      </c>
      <c r="K29" s="154" t="s">
        <v>69</v>
      </c>
      <c r="L29" s="154" t="s">
        <v>69</v>
      </c>
      <c r="M29" s="154" t="s">
        <v>69</v>
      </c>
      <c r="N29" s="154" t="s">
        <v>69</v>
      </c>
      <c r="O29" s="154">
        <v>4</v>
      </c>
      <c r="P29" s="154">
        <v>4</v>
      </c>
      <c r="Q29" s="154">
        <v>2</v>
      </c>
      <c r="R29" s="154" t="s">
        <v>69</v>
      </c>
      <c r="S29" s="154" t="s">
        <v>69</v>
      </c>
      <c r="T29" s="165" t="s">
        <v>69</v>
      </c>
      <c r="U29" s="165" t="s">
        <v>69</v>
      </c>
      <c r="V29" s="154">
        <v>4</v>
      </c>
      <c r="W29" s="154">
        <v>4</v>
      </c>
      <c r="X29" s="154" t="s">
        <v>69</v>
      </c>
      <c r="Y29" s="154" t="s">
        <v>69</v>
      </c>
      <c r="Z29" s="154" t="s">
        <v>69</v>
      </c>
      <c r="AA29" s="154" t="s">
        <v>69</v>
      </c>
      <c r="AB29" s="154" t="s">
        <v>69</v>
      </c>
      <c r="AC29" s="154" t="s">
        <v>69</v>
      </c>
      <c r="AD29" s="154" t="s">
        <v>69</v>
      </c>
      <c r="AE29" s="154" t="s">
        <v>69</v>
      </c>
      <c r="AF29" s="154" t="s">
        <v>69</v>
      </c>
      <c r="AG29" s="154" t="s">
        <v>69</v>
      </c>
      <c r="AH29" s="154" t="s">
        <v>69</v>
      </c>
      <c r="AI29" s="154" t="s">
        <v>69</v>
      </c>
      <c r="AJ29" s="154" t="s">
        <v>69</v>
      </c>
      <c r="AK29" s="154" t="s">
        <v>69</v>
      </c>
      <c r="AL29" s="154" t="s">
        <v>69</v>
      </c>
      <c r="AM29" s="154" t="s">
        <v>69</v>
      </c>
      <c r="AN29" s="154" t="s">
        <v>69</v>
      </c>
      <c r="AO29" s="154" t="s">
        <v>69</v>
      </c>
      <c r="AP29" s="154" t="s">
        <v>69</v>
      </c>
      <c r="AQ29" s="154" t="s">
        <v>69</v>
      </c>
      <c r="AR29" s="154" t="s">
        <v>69</v>
      </c>
      <c r="AS29" s="154" t="s">
        <v>69</v>
      </c>
      <c r="AT29" s="154" t="s">
        <v>69</v>
      </c>
      <c r="AU29" s="154" t="s">
        <v>69</v>
      </c>
      <c r="AV29" s="154" t="s">
        <v>69</v>
      </c>
      <c r="AW29" s="154" t="s">
        <v>69</v>
      </c>
      <c r="AX29" s="154" t="s">
        <v>69</v>
      </c>
      <c r="AY29" s="154" t="s">
        <v>69</v>
      </c>
      <c r="AZ29" s="154" t="s">
        <v>69</v>
      </c>
      <c r="BA29" s="154" t="s">
        <v>69</v>
      </c>
      <c r="BB29" s="154" t="s">
        <v>69</v>
      </c>
      <c r="BC29" s="154" t="s">
        <v>69</v>
      </c>
      <c r="BD29" s="154" t="s">
        <v>69</v>
      </c>
      <c r="BE29" s="154" t="s">
        <v>69</v>
      </c>
      <c r="BF29" s="154" t="s">
        <v>69</v>
      </c>
      <c r="BG29" s="154" t="s">
        <v>69</v>
      </c>
      <c r="BH29" s="154"/>
      <c r="BI29" s="154" t="s">
        <v>69</v>
      </c>
      <c r="BJ29" s="154" t="s">
        <v>69</v>
      </c>
      <c r="BK29" s="154" t="s">
        <v>69</v>
      </c>
      <c r="BL29" s="154" t="s">
        <v>69</v>
      </c>
      <c r="BM29" s="154" t="s">
        <v>69</v>
      </c>
      <c r="BN29" s="154" t="s">
        <v>69</v>
      </c>
      <c r="BO29" s="154" t="s">
        <v>69</v>
      </c>
      <c r="BP29" s="154">
        <v>4</v>
      </c>
      <c r="BQ29" s="154" t="s">
        <v>69</v>
      </c>
      <c r="BR29" s="154">
        <v>4</v>
      </c>
      <c r="BS29" s="154" t="s">
        <v>69</v>
      </c>
      <c r="BT29" s="154" t="s">
        <v>69</v>
      </c>
      <c r="BU29" s="154">
        <v>4</v>
      </c>
      <c r="BV29" s="154">
        <v>4</v>
      </c>
      <c r="BW29" s="154" t="s">
        <v>69</v>
      </c>
      <c r="BX29" s="154" t="s">
        <v>69</v>
      </c>
      <c r="BY29" s="154">
        <v>4</v>
      </c>
      <c r="BZ29" s="154" t="s">
        <v>69</v>
      </c>
      <c r="CA29" s="154" t="s">
        <v>69</v>
      </c>
      <c r="CB29" s="154" t="s">
        <v>69</v>
      </c>
      <c r="CC29" s="154" t="s">
        <v>69</v>
      </c>
      <c r="CD29" s="154" t="s">
        <v>69</v>
      </c>
      <c r="CE29" s="154" t="s">
        <v>69</v>
      </c>
      <c r="CF29" s="154" t="s">
        <v>69</v>
      </c>
      <c r="CG29" s="154">
        <v>4</v>
      </c>
      <c r="CH29" s="154">
        <v>4</v>
      </c>
      <c r="CI29" s="154" t="s">
        <v>69</v>
      </c>
      <c r="CJ29" s="154" t="s">
        <v>69</v>
      </c>
      <c r="CK29" s="154" t="s">
        <v>69</v>
      </c>
      <c r="CL29" s="154" t="s">
        <v>69</v>
      </c>
      <c r="CM29" s="154" t="s">
        <v>69</v>
      </c>
      <c r="CN29" s="154" t="s">
        <v>69</v>
      </c>
      <c r="CO29" s="154" t="s">
        <v>69</v>
      </c>
      <c r="CP29" s="154" t="s">
        <v>69</v>
      </c>
      <c r="CQ29" s="154" t="s">
        <v>69</v>
      </c>
      <c r="CR29" s="154" t="s">
        <v>69</v>
      </c>
      <c r="CS29" s="154" t="s">
        <v>69</v>
      </c>
      <c r="CT29" s="154" t="s">
        <v>69</v>
      </c>
      <c r="CU29" s="154" t="s">
        <v>69</v>
      </c>
      <c r="CV29" s="154">
        <v>4</v>
      </c>
      <c r="CW29" s="154">
        <v>4</v>
      </c>
      <c r="CX29" s="154" t="s">
        <v>69</v>
      </c>
      <c r="CY29" s="154" t="s">
        <v>69</v>
      </c>
      <c r="CZ29" s="154" t="s">
        <v>69</v>
      </c>
      <c r="DA29" s="154">
        <v>2</v>
      </c>
      <c r="DB29" s="154">
        <v>4</v>
      </c>
      <c r="DC29" s="154" t="s">
        <v>69</v>
      </c>
      <c r="DD29" s="154" t="s">
        <v>69</v>
      </c>
      <c r="DE29" s="154" t="s">
        <v>69</v>
      </c>
      <c r="DF29" s="154" t="s">
        <v>69</v>
      </c>
      <c r="DG29" s="154" t="s">
        <v>69</v>
      </c>
      <c r="DH29" s="154" t="s">
        <v>69</v>
      </c>
      <c r="DI29" s="154" t="s">
        <v>69</v>
      </c>
      <c r="DJ29" s="154" t="s">
        <v>69</v>
      </c>
      <c r="DK29" s="154" t="s">
        <v>69</v>
      </c>
      <c r="DL29" s="154">
        <v>4</v>
      </c>
      <c r="DM29" s="154">
        <v>4</v>
      </c>
      <c r="DN29" s="154" t="s">
        <v>69</v>
      </c>
      <c r="DO29" s="154">
        <v>2</v>
      </c>
      <c r="DP29" s="154" t="s">
        <v>69</v>
      </c>
      <c r="DQ29" s="154">
        <v>2</v>
      </c>
      <c r="DR29" s="154" t="s">
        <v>69</v>
      </c>
      <c r="DS29" s="154" t="s">
        <v>69</v>
      </c>
      <c r="DT29" s="168">
        <v>4</v>
      </c>
      <c r="DU29" s="110">
        <f t="shared" si="2"/>
        <v>0.35483870967741937</v>
      </c>
      <c r="DV29" s="104">
        <f t="shared" si="3"/>
        <v>0.81818181818181823</v>
      </c>
    </row>
    <row r="30" spans="1:126" ht="68.25" hidden="1" customHeight="1" thickBot="1">
      <c r="A30" s="218" t="s">
        <v>331</v>
      </c>
      <c r="B30" s="236" t="s">
        <v>335</v>
      </c>
      <c r="C30" s="239" t="s">
        <v>336</v>
      </c>
      <c r="D30" s="219">
        <v>43565</v>
      </c>
      <c r="E30" s="220" t="s">
        <v>434</v>
      </c>
      <c r="F30" s="167" t="s">
        <v>69</v>
      </c>
      <c r="G30" s="154" t="s">
        <v>69</v>
      </c>
      <c r="H30" s="154" t="s">
        <v>69</v>
      </c>
      <c r="I30" s="154" t="s">
        <v>69</v>
      </c>
      <c r="J30" s="154" t="s">
        <v>69</v>
      </c>
      <c r="K30" s="154" t="s">
        <v>69</v>
      </c>
      <c r="L30" s="154" t="s">
        <v>69</v>
      </c>
      <c r="M30" s="154">
        <v>4</v>
      </c>
      <c r="N30" s="154">
        <v>4</v>
      </c>
      <c r="O30" s="154" t="s">
        <v>69</v>
      </c>
      <c r="P30" s="154" t="s">
        <v>69</v>
      </c>
      <c r="Q30" s="154" t="s">
        <v>69</v>
      </c>
      <c r="R30" s="154" t="s">
        <v>69</v>
      </c>
      <c r="S30" s="154" t="s">
        <v>69</v>
      </c>
      <c r="T30" s="165" t="s">
        <v>69</v>
      </c>
      <c r="U30" s="165" t="s">
        <v>69</v>
      </c>
      <c r="V30" s="154" t="s">
        <v>69</v>
      </c>
      <c r="W30" s="154" t="s">
        <v>69</v>
      </c>
      <c r="X30" s="154" t="s">
        <v>69</v>
      </c>
      <c r="Y30" s="154" t="s">
        <v>69</v>
      </c>
      <c r="Z30" s="154" t="s">
        <v>69</v>
      </c>
      <c r="AA30" s="154" t="s">
        <v>69</v>
      </c>
      <c r="AB30" s="154" t="s">
        <v>69</v>
      </c>
      <c r="AC30" s="154" t="s">
        <v>69</v>
      </c>
      <c r="AD30" s="154" t="s">
        <v>69</v>
      </c>
      <c r="AE30" s="154" t="s">
        <v>69</v>
      </c>
      <c r="AF30" s="154" t="s">
        <v>69</v>
      </c>
      <c r="AG30" s="154" t="s">
        <v>69</v>
      </c>
      <c r="AH30" s="154" t="s">
        <v>69</v>
      </c>
      <c r="AI30" s="154" t="s">
        <v>69</v>
      </c>
      <c r="AJ30" s="154" t="s">
        <v>69</v>
      </c>
      <c r="AK30" s="154" t="s">
        <v>69</v>
      </c>
      <c r="AL30" s="154" t="s">
        <v>69</v>
      </c>
      <c r="AM30" s="154" t="s">
        <v>69</v>
      </c>
      <c r="AN30" s="154" t="s">
        <v>69</v>
      </c>
      <c r="AO30" s="154" t="s">
        <v>69</v>
      </c>
      <c r="AP30" s="154" t="s">
        <v>69</v>
      </c>
      <c r="AQ30" s="154" t="s">
        <v>69</v>
      </c>
      <c r="AR30" s="154" t="s">
        <v>69</v>
      </c>
      <c r="AS30" s="154" t="s">
        <v>69</v>
      </c>
      <c r="AT30" s="154" t="s">
        <v>69</v>
      </c>
      <c r="AU30" s="154" t="s">
        <v>69</v>
      </c>
      <c r="AV30" s="154" t="s">
        <v>69</v>
      </c>
      <c r="AW30" s="154" t="s">
        <v>69</v>
      </c>
      <c r="AX30" s="154" t="s">
        <v>69</v>
      </c>
      <c r="AY30" s="154" t="s">
        <v>69</v>
      </c>
      <c r="AZ30" s="154" t="s">
        <v>69</v>
      </c>
      <c r="BA30" s="154" t="s">
        <v>69</v>
      </c>
      <c r="BB30" s="154" t="s">
        <v>69</v>
      </c>
      <c r="BC30" s="154" t="s">
        <v>69</v>
      </c>
      <c r="BD30" s="154" t="s">
        <v>69</v>
      </c>
      <c r="BE30" s="154" t="s">
        <v>69</v>
      </c>
      <c r="BF30" s="154" t="s">
        <v>69</v>
      </c>
      <c r="BG30" s="154" t="s">
        <v>69</v>
      </c>
      <c r="BH30" s="154" t="s">
        <v>69</v>
      </c>
      <c r="BI30" s="154">
        <v>4</v>
      </c>
      <c r="BJ30" s="154" t="s">
        <v>69</v>
      </c>
      <c r="BK30" s="154" t="s">
        <v>69</v>
      </c>
      <c r="BL30" s="154" t="s">
        <v>69</v>
      </c>
      <c r="BM30" s="154" t="s">
        <v>69</v>
      </c>
      <c r="BN30" s="154" t="s">
        <v>69</v>
      </c>
      <c r="BO30" s="154">
        <v>2</v>
      </c>
      <c r="BP30" s="154">
        <v>3</v>
      </c>
      <c r="BQ30" s="154" t="s">
        <v>69</v>
      </c>
      <c r="BR30" s="154" t="s">
        <v>69</v>
      </c>
      <c r="BS30" s="154" t="s">
        <v>69</v>
      </c>
      <c r="BT30" s="154" t="s">
        <v>69</v>
      </c>
      <c r="BU30" s="154" t="s">
        <v>69</v>
      </c>
      <c r="BV30" s="154" t="s">
        <v>69</v>
      </c>
      <c r="BW30" s="154" t="s">
        <v>69</v>
      </c>
      <c r="BX30" s="154" t="s">
        <v>69</v>
      </c>
      <c r="BY30" s="154" t="s">
        <v>69</v>
      </c>
      <c r="BZ30" s="154" t="s">
        <v>69</v>
      </c>
      <c r="CA30" s="154" t="s">
        <v>69</v>
      </c>
      <c r="CB30" s="154" t="s">
        <v>69</v>
      </c>
      <c r="CC30" s="154" t="s">
        <v>69</v>
      </c>
      <c r="CD30" s="154" t="s">
        <v>69</v>
      </c>
      <c r="CE30" s="154" t="s">
        <v>69</v>
      </c>
      <c r="CF30" s="154" t="s">
        <v>69</v>
      </c>
      <c r="CG30" s="154" t="s">
        <v>69</v>
      </c>
      <c r="CH30" s="154" t="s">
        <v>69</v>
      </c>
      <c r="CI30" s="154">
        <v>3</v>
      </c>
      <c r="CJ30" s="154">
        <v>3</v>
      </c>
      <c r="CK30" s="154" t="s">
        <v>69</v>
      </c>
      <c r="CL30" s="154" t="s">
        <v>69</v>
      </c>
      <c r="CM30" s="154" t="s">
        <v>69</v>
      </c>
      <c r="CN30" s="154" t="s">
        <v>69</v>
      </c>
      <c r="CO30" s="154" t="s">
        <v>69</v>
      </c>
      <c r="CP30" s="154" t="s">
        <v>69</v>
      </c>
      <c r="CQ30" s="154" t="s">
        <v>69</v>
      </c>
      <c r="CR30" s="154" t="s">
        <v>69</v>
      </c>
      <c r="CS30" s="154" t="s">
        <v>69</v>
      </c>
      <c r="CT30" s="154" t="s">
        <v>69</v>
      </c>
      <c r="CU30" s="154" t="s">
        <v>69</v>
      </c>
      <c r="CV30" s="154">
        <v>4</v>
      </c>
      <c r="CW30" s="154">
        <v>4</v>
      </c>
      <c r="CX30" s="154" t="s">
        <v>69</v>
      </c>
      <c r="CY30" s="154">
        <v>4</v>
      </c>
      <c r="CZ30" s="154" t="s">
        <v>69</v>
      </c>
      <c r="DA30" s="154" t="s">
        <v>69</v>
      </c>
      <c r="DB30" s="154">
        <v>2</v>
      </c>
      <c r="DC30" s="154" t="s">
        <v>69</v>
      </c>
      <c r="DD30" s="154">
        <v>2</v>
      </c>
      <c r="DE30" s="154" t="s">
        <v>69</v>
      </c>
      <c r="DF30" s="154">
        <v>4</v>
      </c>
      <c r="DG30" s="154" t="s">
        <v>69</v>
      </c>
      <c r="DH30" s="154" t="s">
        <v>69</v>
      </c>
      <c r="DI30" s="154">
        <v>4</v>
      </c>
      <c r="DJ30" s="154" t="s">
        <v>69</v>
      </c>
      <c r="DK30" s="154" t="s">
        <v>69</v>
      </c>
      <c r="DL30" s="154" t="s">
        <v>69</v>
      </c>
      <c r="DM30" s="154" t="s">
        <v>69</v>
      </c>
      <c r="DN30" s="154" t="s">
        <v>69</v>
      </c>
      <c r="DO30" s="154" t="s">
        <v>69</v>
      </c>
      <c r="DP30" s="154" t="s">
        <v>69</v>
      </c>
      <c r="DQ30" s="154" t="s">
        <v>69</v>
      </c>
      <c r="DR30" s="154" t="s">
        <v>69</v>
      </c>
      <c r="DS30" s="154" t="s">
        <v>69</v>
      </c>
      <c r="DT30" s="168">
        <v>4</v>
      </c>
      <c r="DU30" s="110">
        <f t="shared" si="2"/>
        <v>0.24193548387096775</v>
      </c>
      <c r="DV30" s="104">
        <f t="shared" si="3"/>
        <v>0.8</v>
      </c>
    </row>
    <row r="31" spans="1:126" ht="68.25" hidden="1" customHeight="1" thickBot="1">
      <c r="A31" s="218" t="s">
        <v>333</v>
      </c>
      <c r="B31" s="236" t="s">
        <v>173</v>
      </c>
      <c r="C31" s="239" t="s">
        <v>174</v>
      </c>
      <c r="D31" s="219" t="s">
        <v>609</v>
      </c>
      <c r="E31" s="220" t="s">
        <v>434</v>
      </c>
      <c r="F31" s="167">
        <v>4</v>
      </c>
      <c r="G31" s="154" t="s">
        <v>69</v>
      </c>
      <c r="H31" s="154" t="s">
        <v>69</v>
      </c>
      <c r="I31" s="154" t="s">
        <v>69</v>
      </c>
      <c r="J31" s="154" t="s">
        <v>69</v>
      </c>
      <c r="K31" s="154" t="s">
        <v>69</v>
      </c>
      <c r="L31" s="154" t="s">
        <v>69</v>
      </c>
      <c r="M31" s="154" t="s">
        <v>69</v>
      </c>
      <c r="N31" s="154" t="s">
        <v>69</v>
      </c>
      <c r="O31" s="154" t="s">
        <v>69</v>
      </c>
      <c r="P31" s="154" t="s">
        <v>69</v>
      </c>
      <c r="Q31" s="154">
        <v>2</v>
      </c>
      <c r="R31" s="154" t="s">
        <v>69</v>
      </c>
      <c r="S31" s="154" t="s">
        <v>69</v>
      </c>
      <c r="T31" s="165" t="s">
        <v>69</v>
      </c>
      <c r="U31" s="165" t="s">
        <v>69</v>
      </c>
      <c r="V31" s="154" t="s">
        <v>69</v>
      </c>
      <c r="W31" s="154" t="s">
        <v>69</v>
      </c>
      <c r="X31" s="154" t="s">
        <v>69</v>
      </c>
      <c r="Y31" s="154">
        <v>4</v>
      </c>
      <c r="Z31" s="154" t="s">
        <v>69</v>
      </c>
      <c r="AA31" s="154" t="s">
        <v>69</v>
      </c>
      <c r="AB31" s="154" t="s">
        <v>69</v>
      </c>
      <c r="AC31" s="154" t="s">
        <v>69</v>
      </c>
      <c r="AD31" s="154" t="s">
        <v>69</v>
      </c>
      <c r="AE31" s="154" t="s">
        <v>69</v>
      </c>
      <c r="AF31" s="154" t="s">
        <v>69</v>
      </c>
      <c r="AG31" s="154" t="s">
        <v>69</v>
      </c>
      <c r="AH31" s="154" t="s">
        <v>69</v>
      </c>
      <c r="AI31" s="154" t="s">
        <v>69</v>
      </c>
      <c r="AJ31" s="154" t="s">
        <v>69</v>
      </c>
      <c r="AK31" s="154" t="s">
        <v>69</v>
      </c>
      <c r="AL31" s="154" t="s">
        <v>69</v>
      </c>
      <c r="AM31" s="154" t="s">
        <v>69</v>
      </c>
      <c r="AN31" s="154" t="s">
        <v>69</v>
      </c>
      <c r="AO31" s="154" t="s">
        <v>69</v>
      </c>
      <c r="AP31" s="154" t="s">
        <v>69</v>
      </c>
      <c r="AQ31" s="154" t="s">
        <v>69</v>
      </c>
      <c r="AR31" s="154" t="s">
        <v>69</v>
      </c>
      <c r="AS31" s="154" t="s">
        <v>69</v>
      </c>
      <c r="AT31" s="154" t="s">
        <v>69</v>
      </c>
      <c r="AU31" s="154" t="s">
        <v>69</v>
      </c>
      <c r="AV31" s="154" t="s">
        <v>69</v>
      </c>
      <c r="AW31" s="154" t="s">
        <v>69</v>
      </c>
      <c r="AX31" s="154" t="s">
        <v>69</v>
      </c>
      <c r="AY31" s="154" t="s">
        <v>69</v>
      </c>
      <c r="AZ31" s="154" t="s">
        <v>69</v>
      </c>
      <c r="BA31" s="154" t="s">
        <v>69</v>
      </c>
      <c r="BB31" s="154" t="s">
        <v>69</v>
      </c>
      <c r="BC31" s="154" t="s">
        <v>69</v>
      </c>
      <c r="BD31" s="154" t="s">
        <v>69</v>
      </c>
      <c r="BE31" s="154" t="s">
        <v>69</v>
      </c>
      <c r="BF31" s="154" t="s">
        <v>69</v>
      </c>
      <c r="BG31" s="154" t="s">
        <v>69</v>
      </c>
      <c r="BH31" s="154" t="s">
        <v>69</v>
      </c>
      <c r="BI31" s="154" t="s">
        <v>69</v>
      </c>
      <c r="BJ31" s="154" t="s">
        <v>69</v>
      </c>
      <c r="BK31" s="154" t="s">
        <v>69</v>
      </c>
      <c r="BL31" s="154">
        <v>4</v>
      </c>
      <c r="BM31" s="154" t="s">
        <v>69</v>
      </c>
      <c r="BN31" s="154">
        <v>2</v>
      </c>
      <c r="BO31" s="154" t="s">
        <v>69</v>
      </c>
      <c r="BP31" s="154">
        <v>4</v>
      </c>
      <c r="BQ31" s="154">
        <v>4</v>
      </c>
      <c r="BR31" s="154">
        <v>4</v>
      </c>
      <c r="BS31" s="154" t="s">
        <v>69</v>
      </c>
      <c r="BT31" s="154" t="s">
        <v>69</v>
      </c>
      <c r="BU31" s="154" t="s">
        <v>69</v>
      </c>
      <c r="BV31" s="154" t="s">
        <v>69</v>
      </c>
      <c r="BW31" s="154" t="s">
        <v>69</v>
      </c>
      <c r="BX31" s="154" t="s">
        <v>69</v>
      </c>
      <c r="BY31" s="154">
        <v>4</v>
      </c>
      <c r="BZ31" s="154" t="s">
        <v>69</v>
      </c>
      <c r="CA31" s="154" t="s">
        <v>69</v>
      </c>
      <c r="CB31" s="154" t="s">
        <v>69</v>
      </c>
      <c r="CC31" s="154" t="s">
        <v>69</v>
      </c>
      <c r="CD31" s="154" t="s">
        <v>69</v>
      </c>
      <c r="CE31" s="154" t="s">
        <v>69</v>
      </c>
      <c r="CF31" s="154" t="s">
        <v>69</v>
      </c>
      <c r="CG31" s="154">
        <v>4</v>
      </c>
      <c r="CH31" s="154">
        <v>4</v>
      </c>
      <c r="CI31" s="154">
        <v>4</v>
      </c>
      <c r="CJ31" s="154">
        <v>4</v>
      </c>
      <c r="CK31" s="154" t="s">
        <v>69</v>
      </c>
      <c r="CL31" s="154" t="s">
        <v>69</v>
      </c>
      <c r="CM31" s="154" t="s">
        <v>69</v>
      </c>
      <c r="CN31" s="154" t="s">
        <v>69</v>
      </c>
      <c r="CO31" s="154" t="s">
        <v>69</v>
      </c>
      <c r="CP31" s="154" t="s">
        <v>69</v>
      </c>
      <c r="CQ31" s="154">
        <v>3</v>
      </c>
      <c r="CR31" s="154" t="s">
        <v>69</v>
      </c>
      <c r="CS31" s="154" t="s">
        <v>69</v>
      </c>
      <c r="CT31" s="154">
        <v>3</v>
      </c>
      <c r="CU31" s="154" t="s">
        <v>69</v>
      </c>
      <c r="CV31" s="154" t="s">
        <v>69</v>
      </c>
      <c r="CW31" s="154" t="s">
        <v>69</v>
      </c>
      <c r="CX31" s="154" t="s">
        <v>69</v>
      </c>
      <c r="CY31" s="154" t="s">
        <v>69</v>
      </c>
      <c r="CZ31" s="154" t="s">
        <v>69</v>
      </c>
      <c r="DA31" s="154" t="s">
        <v>69</v>
      </c>
      <c r="DB31" s="154" t="s">
        <v>69</v>
      </c>
      <c r="DC31" s="154" t="s">
        <v>69</v>
      </c>
      <c r="DD31" s="154" t="s">
        <v>69</v>
      </c>
      <c r="DE31" s="154" t="s">
        <v>69</v>
      </c>
      <c r="DF31" s="154" t="s">
        <v>69</v>
      </c>
      <c r="DG31" s="154" t="s">
        <v>69</v>
      </c>
      <c r="DH31" s="154">
        <v>2</v>
      </c>
      <c r="DI31" s="154" t="s">
        <v>69</v>
      </c>
      <c r="DJ31" s="154" t="s">
        <v>69</v>
      </c>
      <c r="DK31" s="154">
        <v>2</v>
      </c>
      <c r="DL31" s="154">
        <v>4</v>
      </c>
      <c r="DM31" s="154">
        <v>3</v>
      </c>
      <c r="DN31" s="154" t="s">
        <v>69</v>
      </c>
      <c r="DO31" s="154" t="s">
        <v>69</v>
      </c>
      <c r="DP31" s="154" t="s">
        <v>69</v>
      </c>
      <c r="DQ31" s="154" t="s">
        <v>69</v>
      </c>
      <c r="DR31" s="154" t="s">
        <v>69</v>
      </c>
      <c r="DS31" s="154" t="s">
        <v>69</v>
      </c>
      <c r="DT31" s="168">
        <v>4</v>
      </c>
      <c r="DU31" s="110">
        <f t="shared" si="2"/>
        <v>0.32258064516129031</v>
      </c>
      <c r="DV31" s="104">
        <f t="shared" si="3"/>
        <v>0.8</v>
      </c>
    </row>
    <row r="32" spans="1:126" ht="68.25" hidden="1" customHeight="1" thickBot="1">
      <c r="A32" s="218" t="s">
        <v>335</v>
      </c>
      <c r="B32" s="236" t="s">
        <v>337</v>
      </c>
      <c r="C32" s="239" t="s">
        <v>338</v>
      </c>
      <c r="D32" s="219">
        <v>43016</v>
      </c>
      <c r="E32" s="220" t="s">
        <v>434</v>
      </c>
      <c r="F32" s="167">
        <v>4</v>
      </c>
      <c r="G32" s="154" t="s">
        <v>69</v>
      </c>
      <c r="H32" s="154" t="s">
        <v>69</v>
      </c>
      <c r="I32" s="154" t="s">
        <v>69</v>
      </c>
      <c r="J32" s="154" t="s">
        <v>69</v>
      </c>
      <c r="K32" s="154">
        <v>2</v>
      </c>
      <c r="L32" s="154" t="s">
        <v>69</v>
      </c>
      <c r="M32" s="154" t="s">
        <v>69</v>
      </c>
      <c r="N32" s="154" t="s">
        <v>69</v>
      </c>
      <c r="O32" s="154">
        <v>4</v>
      </c>
      <c r="P32" s="154" t="s">
        <v>69</v>
      </c>
      <c r="Q32" s="154">
        <v>4</v>
      </c>
      <c r="R32" s="154" t="s">
        <v>69</v>
      </c>
      <c r="S32" s="154">
        <v>3</v>
      </c>
      <c r="T32" s="165">
        <v>3</v>
      </c>
      <c r="U32" s="165">
        <v>3</v>
      </c>
      <c r="V32" s="154" t="s">
        <v>69</v>
      </c>
      <c r="W32" s="154" t="s">
        <v>69</v>
      </c>
      <c r="X32" s="154" t="s">
        <v>69</v>
      </c>
      <c r="Y32" s="154" t="s">
        <v>69</v>
      </c>
      <c r="Z32" s="154" t="s">
        <v>69</v>
      </c>
      <c r="AA32" s="154" t="s">
        <v>69</v>
      </c>
      <c r="AB32" s="154" t="s">
        <v>69</v>
      </c>
      <c r="AC32" s="154" t="s">
        <v>69</v>
      </c>
      <c r="AD32" s="154">
        <v>3</v>
      </c>
      <c r="AE32" s="154" t="s">
        <v>69</v>
      </c>
      <c r="AF32" s="154" t="s">
        <v>69</v>
      </c>
      <c r="AG32" s="154" t="s">
        <v>69</v>
      </c>
      <c r="AH32" s="154" t="s">
        <v>69</v>
      </c>
      <c r="AI32" s="154" t="s">
        <v>69</v>
      </c>
      <c r="AJ32" s="154">
        <v>3</v>
      </c>
      <c r="AK32" s="154">
        <v>2</v>
      </c>
      <c r="AL32" s="154">
        <v>4</v>
      </c>
      <c r="AM32" s="154">
        <v>4</v>
      </c>
      <c r="AN32" s="154">
        <v>4</v>
      </c>
      <c r="AO32" s="154">
        <v>4</v>
      </c>
      <c r="AP32" s="154">
        <v>4</v>
      </c>
      <c r="AQ32" s="154">
        <v>4</v>
      </c>
      <c r="AR32" s="154" t="s">
        <v>69</v>
      </c>
      <c r="AS32" s="154">
        <v>3</v>
      </c>
      <c r="AT32" s="154" t="s">
        <v>69</v>
      </c>
      <c r="AU32" s="154" t="s">
        <v>69</v>
      </c>
      <c r="AV32" s="154">
        <v>4</v>
      </c>
      <c r="AW32" s="154" t="s">
        <v>69</v>
      </c>
      <c r="AX32" s="154" t="s">
        <v>69</v>
      </c>
      <c r="AY32" s="154">
        <v>4</v>
      </c>
      <c r="AZ32" s="154" t="s">
        <v>69</v>
      </c>
      <c r="BA32" s="154" t="s">
        <v>69</v>
      </c>
      <c r="BB32" s="154" t="s">
        <v>69</v>
      </c>
      <c r="BC32" s="154">
        <v>4</v>
      </c>
      <c r="BD32" s="154" t="s">
        <v>69</v>
      </c>
      <c r="BE32" s="154">
        <v>4</v>
      </c>
      <c r="BF32" s="154" t="s">
        <v>69</v>
      </c>
      <c r="BG32" s="154" t="s">
        <v>69</v>
      </c>
      <c r="BH32" s="154" t="s">
        <v>69</v>
      </c>
      <c r="BI32" s="154" t="s">
        <v>69</v>
      </c>
      <c r="BJ32" s="154" t="s">
        <v>69</v>
      </c>
      <c r="BK32" s="154" t="s">
        <v>69</v>
      </c>
      <c r="BL32" s="154" t="s">
        <v>69</v>
      </c>
      <c r="BM32" s="154" t="s">
        <v>69</v>
      </c>
      <c r="BN32" s="154" t="s">
        <v>69</v>
      </c>
      <c r="BO32" s="154" t="s">
        <v>69</v>
      </c>
      <c r="BP32" s="154" t="s">
        <v>69</v>
      </c>
      <c r="BQ32" s="154" t="s">
        <v>69</v>
      </c>
      <c r="BR32" s="154">
        <v>4</v>
      </c>
      <c r="BS32" s="154" t="s">
        <v>69</v>
      </c>
      <c r="BT32" s="154" t="s">
        <v>69</v>
      </c>
      <c r="BU32" s="154" t="s">
        <v>69</v>
      </c>
      <c r="BV32" s="154" t="s">
        <v>69</v>
      </c>
      <c r="BW32" s="154" t="s">
        <v>69</v>
      </c>
      <c r="BX32" s="154" t="s">
        <v>69</v>
      </c>
      <c r="BY32" s="154">
        <v>3</v>
      </c>
      <c r="BZ32" s="154" t="s">
        <v>69</v>
      </c>
      <c r="CA32" s="154">
        <v>4</v>
      </c>
      <c r="CB32" s="154" t="s">
        <v>69</v>
      </c>
      <c r="CC32" s="154" t="s">
        <v>69</v>
      </c>
      <c r="CD32" s="154" t="s">
        <v>69</v>
      </c>
      <c r="CE32" s="154" t="s">
        <v>69</v>
      </c>
      <c r="CF32" s="154" t="s">
        <v>69</v>
      </c>
      <c r="CG32" s="154">
        <v>4</v>
      </c>
      <c r="CH32" s="154" t="s">
        <v>69</v>
      </c>
      <c r="CI32" s="154" t="s">
        <v>69</v>
      </c>
      <c r="CJ32" s="154" t="s">
        <v>69</v>
      </c>
      <c r="CK32" s="154" t="s">
        <v>69</v>
      </c>
      <c r="CL32" s="154" t="s">
        <v>69</v>
      </c>
      <c r="CM32" s="154">
        <v>3</v>
      </c>
      <c r="CN32" s="154">
        <v>3</v>
      </c>
      <c r="CO32" s="154">
        <v>3</v>
      </c>
      <c r="CP32" s="154">
        <v>3</v>
      </c>
      <c r="CQ32" s="154" t="s">
        <v>69</v>
      </c>
      <c r="CR32" s="154">
        <v>3</v>
      </c>
      <c r="CS32" s="154" t="s">
        <v>69</v>
      </c>
      <c r="CT32" s="154" t="s">
        <v>69</v>
      </c>
      <c r="CU32" s="154" t="s">
        <v>69</v>
      </c>
      <c r="CV32" s="154">
        <v>4</v>
      </c>
      <c r="CW32" s="154">
        <v>4</v>
      </c>
      <c r="CX32" s="154" t="s">
        <v>69</v>
      </c>
      <c r="CY32" s="154" t="s">
        <v>69</v>
      </c>
      <c r="CZ32" s="154" t="s">
        <v>69</v>
      </c>
      <c r="DA32" s="154">
        <v>2</v>
      </c>
      <c r="DB32" s="154" t="s">
        <v>69</v>
      </c>
      <c r="DC32" s="154" t="s">
        <v>69</v>
      </c>
      <c r="DD32" s="154" t="s">
        <v>69</v>
      </c>
      <c r="DE32" s="154" t="s">
        <v>69</v>
      </c>
      <c r="DF32" s="154" t="s">
        <v>69</v>
      </c>
      <c r="DG32" s="154" t="s">
        <v>69</v>
      </c>
      <c r="DH32" s="154" t="s">
        <v>69</v>
      </c>
      <c r="DI32" s="154" t="s">
        <v>69</v>
      </c>
      <c r="DJ32" s="154" t="s">
        <v>69</v>
      </c>
      <c r="DK32" s="154" t="s">
        <v>69</v>
      </c>
      <c r="DL32" s="154" t="s">
        <v>69</v>
      </c>
      <c r="DM32" s="154" t="s">
        <v>69</v>
      </c>
      <c r="DN32" s="154" t="s">
        <v>69</v>
      </c>
      <c r="DO32" s="154" t="s">
        <v>69</v>
      </c>
      <c r="DP32" s="154" t="s">
        <v>69</v>
      </c>
      <c r="DQ32" s="154" t="s">
        <v>69</v>
      </c>
      <c r="DR32" s="154" t="s">
        <v>69</v>
      </c>
      <c r="DS32" s="154" t="s">
        <v>69</v>
      </c>
      <c r="DT32" s="168">
        <v>4</v>
      </c>
      <c r="DU32" s="110">
        <f t="shared" si="2"/>
        <v>0.54838709677419351</v>
      </c>
      <c r="DV32" s="104">
        <f t="shared" si="3"/>
        <v>0.91176470588235292</v>
      </c>
    </row>
    <row r="33" spans="1:126" ht="68.25" hidden="1" customHeight="1" thickBot="1">
      <c r="A33" s="218" t="s">
        <v>173</v>
      </c>
      <c r="B33" s="236" t="s">
        <v>339</v>
      </c>
      <c r="C33" s="239" t="s">
        <v>340</v>
      </c>
      <c r="D33" s="219">
        <v>43529</v>
      </c>
      <c r="E33" s="220" t="s">
        <v>434</v>
      </c>
      <c r="F33" s="167" t="s">
        <v>69</v>
      </c>
      <c r="G33" s="154" t="s">
        <v>69</v>
      </c>
      <c r="H33" s="154" t="s">
        <v>69</v>
      </c>
      <c r="I33" s="154" t="s">
        <v>69</v>
      </c>
      <c r="J33" s="154" t="s">
        <v>69</v>
      </c>
      <c r="K33" s="154" t="s">
        <v>69</v>
      </c>
      <c r="L33" s="154" t="s">
        <v>69</v>
      </c>
      <c r="M33" s="154" t="s">
        <v>69</v>
      </c>
      <c r="N33" s="154" t="s">
        <v>69</v>
      </c>
      <c r="O33" s="154">
        <v>4</v>
      </c>
      <c r="P33" s="154" t="s">
        <v>69</v>
      </c>
      <c r="Q33" s="154" t="s">
        <v>69</v>
      </c>
      <c r="R33" s="154" t="s">
        <v>69</v>
      </c>
      <c r="S33" s="154" t="s">
        <v>69</v>
      </c>
      <c r="T33" s="165" t="s">
        <v>69</v>
      </c>
      <c r="U33" s="165" t="s">
        <v>69</v>
      </c>
      <c r="V33" s="154" t="s">
        <v>69</v>
      </c>
      <c r="W33" s="154" t="s">
        <v>69</v>
      </c>
      <c r="X33" s="154" t="s">
        <v>69</v>
      </c>
      <c r="Y33" s="154" t="s">
        <v>69</v>
      </c>
      <c r="Z33" s="154" t="s">
        <v>69</v>
      </c>
      <c r="AA33" s="154" t="s">
        <v>69</v>
      </c>
      <c r="AB33" s="154" t="s">
        <v>69</v>
      </c>
      <c r="AC33" s="154" t="s">
        <v>69</v>
      </c>
      <c r="AD33" s="154" t="s">
        <v>69</v>
      </c>
      <c r="AE33" s="154" t="s">
        <v>69</v>
      </c>
      <c r="AF33" s="154" t="s">
        <v>69</v>
      </c>
      <c r="AG33" s="154" t="s">
        <v>69</v>
      </c>
      <c r="AH33" s="154" t="s">
        <v>69</v>
      </c>
      <c r="AI33" s="154" t="s">
        <v>69</v>
      </c>
      <c r="AJ33" s="154" t="s">
        <v>69</v>
      </c>
      <c r="AK33" s="154" t="s">
        <v>69</v>
      </c>
      <c r="AL33" s="154" t="s">
        <v>69</v>
      </c>
      <c r="AM33" s="154" t="s">
        <v>69</v>
      </c>
      <c r="AN33" s="154" t="s">
        <v>69</v>
      </c>
      <c r="AO33" s="154" t="s">
        <v>69</v>
      </c>
      <c r="AP33" s="154" t="s">
        <v>69</v>
      </c>
      <c r="AQ33" s="154" t="s">
        <v>69</v>
      </c>
      <c r="AR33" s="154" t="s">
        <v>69</v>
      </c>
      <c r="AS33" s="154">
        <v>4</v>
      </c>
      <c r="AT33" s="154" t="s">
        <v>69</v>
      </c>
      <c r="AU33" s="154">
        <v>3</v>
      </c>
      <c r="AV33" s="154">
        <v>4</v>
      </c>
      <c r="AW33" s="154" t="s">
        <v>69</v>
      </c>
      <c r="AX33" s="154" t="s">
        <v>69</v>
      </c>
      <c r="AY33" s="154">
        <v>4</v>
      </c>
      <c r="AZ33" s="154" t="s">
        <v>69</v>
      </c>
      <c r="BA33" s="154" t="s">
        <v>69</v>
      </c>
      <c r="BB33" s="154">
        <v>4</v>
      </c>
      <c r="BC33" s="154" t="s">
        <v>69</v>
      </c>
      <c r="BD33" s="154" t="s">
        <v>69</v>
      </c>
      <c r="BE33" s="154">
        <v>4</v>
      </c>
      <c r="BF33" s="154">
        <v>4</v>
      </c>
      <c r="BG33" s="154">
        <v>4</v>
      </c>
      <c r="BH33" s="154">
        <v>4</v>
      </c>
      <c r="BI33" s="154" t="s">
        <v>69</v>
      </c>
      <c r="BJ33" s="154" t="s">
        <v>69</v>
      </c>
      <c r="BK33" s="154" t="s">
        <v>69</v>
      </c>
      <c r="BL33" s="154" t="s">
        <v>69</v>
      </c>
      <c r="BM33" s="154" t="s">
        <v>69</v>
      </c>
      <c r="BN33" s="154" t="s">
        <v>69</v>
      </c>
      <c r="BO33" s="154" t="s">
        <v>69</v>
      </c>
      <c r="BP33" s="154" t="s">
        <v>69</v>
      </c>
      <c r="BQ33" s="154" t="s">
        <v>69</v>
      </c>
      <c r="BR33" s="154">
        <v>4</v>
      </c>
      <c r="BS33" s="154" t="s">
        <v>69</v>
      </c>
      <c r="BT33" s="154" t="s">
        <v>69</v>
      </c>
      <c r="BU33" s="154" t="s">
        <v>69</v>
      </c>
      <c r="BV33" s="154" t="s">
        <v>69</v>
      </c>
      <c r="BW33" s="154" t="s">
        <v>69</v>
      </c>
      <c r="BX33" s="154" t="s">
        <v>69</v>
      </c>
      <c r="BY33" s="154" t="s">
        <v>69</v>
      </c>
      <c r="BZ33" s="154" t="s">
        <v>69</v>
      </c>
      <c r="CA33" s="154" t="s">
        <v>69</v>
      </c>
      <c r="CB33" s="154" t="s">
        <v>69</v>
      </c>
      <c r="CC33" s="154" t="s">
        <v>69</v>
      </c>
      <c r="CD33" s="154" t="s">
        <v>69</v>
      </c>
      <c r="CE33" s="154" t="s">
        <v>69</v>
      </c>
      <c r="CF33" s="154" t="s">
        <v>69</v>
      </c>
      <c r="CG33" s="154" t="s">
        <v>69</v>
      </c>
      <c r="CH33" s="154" t="s">
        <v>69</v>
      </c>
      <c r="CI33" s="154" t="s">
        <v>69</v>
      </c>
      <c r="CJ33" s="154" t="s">
        <v>69</v>
      </c>
      <c r="CK33" s="154" t="s">
        <v>69</v>
      </c>
      <c r="CL33" s="154" t="s">
        <v>69</v>
      </c>
      <c r="CM33" s="154">
        <v>4</v>
      </c>
      <c r="CN33" s="154">
        <v>4</v>
      </c>
      <c r="CO33" s="154">
        <v>4</v>
      </c>
      <c r="CP33" s="154">
        <v>4</v>
      </c>
      <c r="CQ33" s="154">
        <v>3</v>
      </c>
      <c r="CR33" s="154">
        <v>4</v>
      </c>
      <c r="CS33" s="154">
        <v>3</v>
      </c>
      <c r="CT33" s="154" t="s">
        <v>69</v>
      </c>
      <c r="CU33" s="154" t="s">
        <v>69</v>
      </c>
      <c r="CV33" s="154" t="s">
        <v>69</v>
      </c>
      <c r="CW33" s="154" t="s">
        <v>69</v>
      </c>
      <c r="CX33" s="154">
        <v>4</v>
      </c>
      <c r="CY33" s="154">
        <v>2</v>
      </c>
      <c r="CZ33" s="154" t="s">
        <v>69</v>
      </c>
      <c r="DA33" s="154">
        <v>4</v>
      </c>
      <c r="DB33" s="154">
        <v>4</v>
      </c>
      <c r="DC33" s="154">
        <v>3</v>
      </c>
      <c r="DD33" s="154">
        <v>3</v>
      </c>
      <c r="DE33" s="154" t="s">
        <v>69</v>
      </c>
      <c r="DF33" s="154" t="s">
        <v>69</v>
      </c>
      <c r="DG33" s="154" t="s">
        <v>69</v>
      </c>
      <c r="DH33" s="154" t="s">
        <v>69</v>
      </c>
      <c r="DI33" s="154" t="s">
        <v>69</v>
      </c>
      <c r="DJ33" s="154" t="s">
        <v>69</v>
      </c>
      <c r="DK33" s="154">
        <v>2</v>
      </c>
      <c r="DL33" s="154">
        <v>4</v>
      </c>
      <c r="DM33" s="154" t="s">
        <v>69</v>
      </c>
      <c r="DN33" s="154" t="s">
        <v>69</v>
      </c>
      <c r="DO33" s="154" t="s">
        <v>69</v>
      </c>
      <c r="DP33" s="154" t="s">
        <v>69</v>
      </c>
      <c r="DQ33" s="154" t="s">
        <v>69</v>
      </c>
      <c r="DR33" s="154" t="s">
        <v>69</v>
      </c>
      <c r="DS33" s="154" t="s">
        <v>69</v>
      </c>
      <c r="DT33" s="168">
        <v>4</v>
      </c>
      <c r="DU33" s="110">
        <f t="shared" si="2"/>
        <v>0.43548387096774194</v>
      </c>
      <c r="DV33" s="104">
        <f t="shared" si="3"/>
        <v>0.92592592592592593</v>
      </c>
    </row>
    <row r="34" spans="1:126" ht="68.25" hidden="1" customHeight="1" thickBot="1">
      <c r="A34" s="218" t="s">
        <v>337</v>
      </c>
      <c r="B34" s="236" t="s">
        <v>343</v>
      </c>
      <c r="C34" s="239" t="s">
        <v>344</v>
      </c>
      <c r="D34" s="219" t="s">
        <v>622</v>
      </c>
      <c r="E34" s="220" t="s">
        <v>434</v>
      </c>
      <c r="F34" s="167">
        <v>2</v>
      </c>
      <c r="G34" s="154" t="s">
        <v>69</v>
      </c>
      <c r="H34" s="154" t="s">
        <v>69</v>
      </c>
      <c r="I34" s="154" t="s">
        <v>69</v>
      </c>
      <c r="J34" s="154" t="s">
        <v>69</v>
      </c>
      <c r="K34" s="154" t="s">
        <v>69</v>
      </c>
      <c r="L34" s="154" t="s">
        <v>69</v>
      </c>
      <c r="M34" s="154" t="s">
        <v>69</v>
      </c>
      <c r="N34" s="154" t="s">
        <v>69</v>
      </c>
      <c r="O34" s="154" t="s">
        <v>69</v>
      </c>
      <c r="P34" s="154" t="s">
        <v>69</v>
      </c>
      <c r="Q34" s="154" t="s">
        <v>69</v>
      </c>
      <c r="R34" s="154" t="s">
        <v>69</v>
      </c>
      <c r="S34" s="154" t="s">
        <v>69</v>
      </c>
      <c r="T34" s="165" t="s">
        <v>69</v>
      </c>
      <c r="U34" s="165" t="s">
        <v>69</v>
      </c>
      <c r="V34" s="154" t="s">
        <v>69</v>
      </c>
      <c r="W34" s="154" t="s">
        <v>69</v>
      </c>
      <c r="X34" s="154" t="s">
        <v>69</v>
      </c>
      <c r="Y34" s="154" t="s">
        <v>69</v>
      </c>
      <c r="Z34" s="154" t="s">
        <v>69</v>
      </c>
      <c r="AA34" s="154" t="s">
        <v>69</v>
      </c>
      <c r="AB34" s="154" t="s">
        <v>69</v>
      </c>
      <c r="AC34" s="154" t="s">
        <v>69</v>
      </c>
      <c r="AD34" s="154" t="s">
        <v>69</v>
      </c>
      <c r="AE34" s="154" t="s">
        <v>69</v>
      </c>
      <c r="AF34" s="154" t="s">
        <v>69</v>
      </c>
      <c r="AG34" s="154" t="s">
        <v>69</v>
      </c>
      <c r="AH34" s="154" t="s">
        <v>69</v>
      </c>
      <c r="AI34" s="154" t="s">
        <v>69</v>
      </c>
      <c r="AJ34" s="154" t="s">
        <v>69</v>
      </c>
      <c r="AK34" s="154" t="s">
        <v>69</v>
      </c>
      <c r="AL34" s="154" t="s">
        <v>69</v>
      </c>
      <c r="AM34" s="154" t="s">
        <v>69</v>
      </c>
      <c r="AN34" s="154" t="s">
        <v>69</v>
      </c>
      <c r="AO34" s="154" t="s">
        <v>69</v>
      </c>
      <c r="AP34" s="154" t="s">
        <v>69</v>
      </c>
      <c r="AQ34" s="154" t="s">
        <v>69</v>
      </c>
      <c r="AR34" s="154" t="s">
        <v>69</v>
      </c>
      <c r="AS34" s="154" t="s">
        <v>69</v>
      </c>
      <c r="AT34" s="154" t="s">
        <v>69</v>
      </c>
      <c r="AU34" s="154" t="s">
        <v>69</v>
      </c>
      <c r="AV34" s="154" t="s">
        <v>69</v>
      </c>
      <c r="AW34" s="154" t="s">
        <v>69</v>
      </c>
      <c r="AX34" s="154" t="s">
        <v>69</v>
      </c>
      <c r="AY34" s="154" t="s">
        <v>69</v>
      </c>
      <c r="AZ34" s="154" t="s">
        <v>69</v>
      </c>
      <c r="BA34" s="154" t="s">
        <v>69</v>
      </c>
      <c r="BB34" s="154" t="s">
        <v>69</v>
      </c>
      <c r="BC34" s="154" t="s">
        <v>69</v>
      </c>
      <c r="BD34" s="154" t="s">
        <v>69</v>
      </c>
      <c r="BE34" s="154">
        <v>2</v>
      </c>
      <c r="BF34" s="154" t="s">
        <v>69</v>
      </c>
      <c r="BG34" s="154" t="s">
        <v>69</v>
      </c>
      <c r="BH34" s="154" t="s">
        <v>69</v>
      </c>
      <c r="BI34" s="154" t="s">
        <v>69</v>
      </c>
      <c r="BJ34" s="154" t="s">
        <v>69</v>
      </c>
      <c r="BK34" s="154" t="s">
        <v>69</v>
      </c>
      <c r="BL34" s="154">
        <v>2</v>
      </c>
      <c r="BM34" s="154" t="s">
        <v>69</v>
      </c>
      <c r="BN34" s="154" t="s">
        <v>69</v>
      </c>
      <c r="BO34" s="154" t="s">
        <v>69</v>
      </c>
      <c r="BP34" s="154" t="s">
        <v>69</v>
      </c>
      <c r="BQ34" s="154" t="s">
        <v>69</v>
      </c>
      <c r="BR34" s="154">
        <v>4</v>
      </c>
      <c r="BS34" s="154" t="s">
        <v>69</v>
      </c>
      <c r="BT34" s="154" t="s">
        <v>69</v>
      </c>
      <c r="BU34" s="154" t="s">
        <v>69</v>
      </c>
      <c r="BV34" s="154" t="s">
        <v>69</v>
      </c>
      <c r="BW34" s="154" t="s">
        <v>69</v>
      </c>
      <c r="BX34" s="154" t="s">
        <v>69</v>
      </c>
      <c r="BY34" s="154" t="s">
        <v>69</v>
      </c>
      <c r="BZ34" s="154" t="s">
        <v>69</v>
      </c>
      <c r="CA34" s="154" t="s">
        <v>69</v>
      </c>
      <c r="CB34" s="154" t="s">
        <v>69</v>
      </c>
      <c r="CC34" s="154" t="s">
        <v>69</v>
      </c>
      <c r="CD34" s="154" t="s">
        <v>69</v>
      </c>
      <c r="CE34" s="154" t="s">
        <v>69</v>
      </c>
      <c r="CF34" s="154" t="s">
        <v>69</v>
      </c>
      <c r="CG34" s="154">
        <v>3</v>
      </c>
      <c r="CH34" s="154" t="s">
        <v>69</v>
      </c>
      <c r="CI34" s="154">
        <v>4</v>
      </c>
      <c r="CJ34" s="154">
        <v>3</v>
      </c>
      <c r="CK34" s="154">
        <v>3</v>
      </c>
      <c r="CL34" s="154">
        <v>3</v>
      </c>
      <c r="CM34" s="154" t="s">
        <v>69</v>
      </c>
      <c r="CN34" s="154" t="s">
        <v>69</v>
      </c>
      <c r="CO34" s="154" t="s">
        <v>69</v>
      </c>
      <c r="CP34" s="154" t="s">
        <v>69</v>
      </c>
      <c r="CQ34" s="154" t="s">
        <v>69</v>
      </c>
      <c r="CR34" s="154" t="s">
        <v>69</v>
      </c>
      <c r="CS34" s="154" t="s">
        <v>69</v>
      </c>
      <c r="CT34" s="154">
        <v>3</v>
      </c>
      <c r="CU34" s="154" t="s">
        <v>69</v>
      </c>
      <c r="CV34" s="154" t="s">
        <v>69</v>
      </c>
      <c r="CW34" s="154" t="s">
        <v>69</v>
      </c>
      <c r="CX34" s="154" t="s">
        <v>69</v>
      </c>
      <c r="CY34" s="154" t="s">
        <v>69</v>
      </c>
      <c r="CZ34" s="154" t="s">
        <v>69</v>
      </c>
      <c r="DA34" s="154" t="s">
        <v>69</v>
      </c>
      <c r="DB34" s="154" t="s">
        <v>69</v>
      </c>
      <c r="DC34" s="154" t="s">
        <v>69</v>
      </c>
      <c r="DD34" s="154" t="s">
        <v>69</v>
      </c>
      <c r="DE34" s="154" t="s">
        <v>69</v>
      </c>
      <c r="DF34" s="154" t="s">
        <v>69</v>
      </c>
      <c r="DG34" s="154" t="s">
        <v>69</v>
      </c>
      <c r="DH34" s="154" t="s">
        <v>69</v>
      </c>
      <c r="DI34" s="154" t="s">
        <v>69</v>
      </c>
      <c r="DJ34" s="154" t="s">
        <v>69</v>
      </c>
      <c r="DK34" s="154" t="s">
        <v>69</v>
      </c>
      <c r="DL34" s="154" t="s">
        <v>69</v>
      </c>
      <c r="DM34" s="154" t="s">
        <v>69</v>
      </c>
      <c r="DN34" s="154" t="s">
        <v>69</v>
      </c>
      <c r="DO34" s="154" t="s">
        <v>69</v>
      </c>
      <c r="DP34" s="154" t="s">
        <v>69</v>
      </c>
      <c r="DQ34" s="154" t="s">
        <v>69</v>
      </c>
      <c r="DR34" s="154" t="s">
        <v>69</v>
      </c>
      <c r="DS34" s="154" t="s">
        <v>69</v>
      </c>
      <c r="DT34" s="168">
        <v>3</v>
      </c>
      <c r="DU34" s="110">
        <f t="shared" si="2"/>
        <v>0.17741935483870969</v>
      </c>
      <c r="DV34" s="104">
        <f t="shared" si="3"/>
        <v>0.72727272727272729</v>
      </c>
    </row>
    <row r="35" spans="1:126" ht="68.25" hidden="1" customHeight="1" thickBot="1">
      <c r="A35" s="221" t="s">
        <v>339</v>
      </c>
      <c r="B35" s="236" t="s">
        <v>345</v>
      </c>
      <c r="C35" s="239" t="s">
        <v>346</v>
      </c>
      <c r="D35" s="219">
        <v>44851</v>
      </c>
      <c r="E35" s="220" t="s">
        <v>434</v>
      </c>
      <c r="F35" s="167">
        <v>4</v>
      </c>
      <c r="G35" s="154">
        <v>3</v>
      </c>
      <c r="H35" s="154" t="s">
        <v>69</v>
      </c>
      <c r="I35" s="154" t="s">
        <v>69</v>
      </c>
      <c r="J35" s="154" t="s">
        <v>69</v>
      </c>
      <c r="K35" s="154">
        <v>3</v>
      </c>
      <c r="L35" s="154">
        <v>2</v>
      </c>
      <c r="M35" s="154" t="s">
        <v>69</v>
      </c>
      <c r="N35" s="154" t="s">
        <v>69</v>
      </c>
      <c r="O35" s="154" t="s">
        <v>69</v>
      </c>
      <c r="P35" s="154" t="s">
        <v>69</v>
      </c>
      <c r="Q35" s="154" t="s">
        <v>69</v>
      </c>
      <c r="R35" s="154" t="s">
        <v>69</v>
      </c>
      <c r="S35" s="154" t="s">
        <v>69</v>
      </c>
      <c r="T35" s="165" t="s">
        <v>69</v>
      </c>
      <c r="U35" s="165" t="s">
        <v>69</v>
      </c>
      <c r="V35" s="154" t="s">
        <v>69</v>
      </c>
      <c r="W35" s="154" t="s">
        <v>69</v>
      </c>
      <c r="X35" s="154" t="s">
        <v>69</v>
      </c>
      <c r="Y35" s="154">
        <v>4</v>
      </c>
      <c r="Z35" s="154">
        <v>4</v>
      </c>
      <c r="AA35" s="154" t="s">
        <v>69</v>
      </c>
      <c r="AB35" s="154" t="s">
        <v>69</v>
      </c>
      <c r="AC35" s="154" t="s">
        <v>69</v>
      </c>
      <c r="AD35" s="154" t="s">
        <v>69</v>
      </c>
      <c r="AE35" s="154" t="s">
        <v>69</v>
      </c>
      <c r="AF35" s="154" t="s">
        <v>69</v>
      </c>
      <c r="AG35" s="154" t="s">
        <v>69</v>
      </c>
      <c r="AH35" s="154" t="s">
        <v>69</v>
      </c>
      <c r="AI35" s="154" t="s">
        <v>69</v>
      </c>
      <c r="AJ35" s="154" t="s">
        <v>69</v>
      </c>
      <c r="AK35" s="154" t="s">
        <v>69</v>
      </c>
      <c r="AL35" s="154" t="s">
        <v>69</v>
      </c>
      <c r="AM35" s="154" t="s">
        <v>69</v>
      </c>
      <c r="AN35" s="154" t="s">
        <v>69</v>
      </c>
      <c r="AO35" s="154" t="s">
        <v>69</v>
      </c>
      <c r="AP35" s="154" t="s">
        <v>69</v>
      </c>
      <c r="AQ35" s="154">
        <v>2</v>
      </c>
      <c r="AR35" s="154" t="s">
        <v>69</v>
      </c>
      <c r="AS35" s="154" t="s">
        <v>69</v>
      </c>
      <c r="AT35" s="154" t="s">
        <v>69</v>
      </c>
      <c r="AU35" s="154" t="s">
        <v>69</v>
      </c>
      <c r="AV35" s="154" t="s">
        <v>69</v>
      </c>
      <c r="AW35" s="154" t="s">
        <v>69</v>
      </c>
      <c r="AX35" s="154" t="s">
        <v>69</v>
      </c>
      <c r="AY35" s="154" t="s">
        <v>69</v>
      </c>
      <c r="AZ35" s="154" t="s">
        <v>69</v>
      </c>
      <c r="BA35" s="154" t="s">
        <v>69</v>
      </c>
      <c r="BB35" s="154" t="s">
        <v>69</v>
      </c>
      <c r="BC35" s="154" t="s">
        <v>69</v>
      </c>
      <c r="BD35" s="154">
        <v>3</v>
      </c>
      <c r="BE35" s="154">
        <v>3</v>
      </c>
      <c r="BF35" s="154">
        <v>3</v>
      </c>
      <c r="BG35" s="154" t="s">
        <v>69</v>
      </c>
      <c r="BH35" s="154">
        <v>2</v>
      </c>
      <c r="BI35" s="154">
        <v>4</v>
      </c>
      <c r="BJ35" s="154" t="s">
        <v>69</v>
      </c>
      <c r="BK35" s="154" t="s">
        <v>69</v>
      </c>
      <c r="BL35" s="154" t="s">
        <v>69</v>
      </c>
      <c r="BM35" s="154" t="s">
        <v>69</v>
      </c>
      <c r="BN35" s="154" t="s">
        <v>69</v>
      </c>
      <c r="BO35" s="154" t="s">
        <v>69</v>
      </c>
      <c r="BP35" s="154" t="s">
        <v>69</v>
      </c>
      <c r="BQ35" s="154" t="s">
        <v>69</v>
      </c>
      <c r="BR35" s="154">
        <v>4</v>
      </c>
      <c r="BS35" s="154" t="s">
        <v>69</v>
      </c>
      <c r="BT35" s="154"/>
      <c r="BU35" s="154">
        <v>4</v>
      </c>
      <c r="BV35" s="154">
        <v>4</v>
      </c>
      <c r="BW35" s="154" t="s">
        <v>69</v>
      </c>
      <c r="BX35" s="154" t="s">
        <v>69</v>
      </c>
      <c r="BY35" s="154" t="s">
        <v>69</v>
      </c>
      <c r="BZ35" s="154" t="s">
        <v>69</v>
      </c>
      <c r="CA35" s="154" t="s">
        <v>69</v>
      </c>
      <c r="CB35" s="154" t="s">
        <v>69</v>
      </c>
      <c r="CC35" s="154" t="s">
        <v>69</v>
      </c>
      <c r="CD35" s="154" t="s">
        <v>69</v>
      </c>
      <c r="CE35" s="154" t="s">
        <v>69</v>
      </c>
      <c r="CF35" s="154" t="s">
        <v>69</v>
      </c>
      <c r="CG35" s="154" t="s">
        <v>69</v>
      </c>
      <c r="CH35" s="154" t="s">
        <v>69</v>
      </c>
      <c r="CI35" s="154" t="s">
        <v>69</v>
      </c>
      <c r="CJ35" s="154" t="s">
        <v>69</v>
      </c>
      <c r="CK35" s="154" t="s">
        <v>69</v>
      </c>
      <c r="CL35" s="154" t="s">
        <v>69</v>
      </c>
      <c r="CM35" s="154">
        <v>4</v>
      </c>
      <c r="CN35" s="154">
        <v>4</v>
      </c>
      <c r="CO35" s="154">
        <v>4</v>
      </c>
      <c r="CP35" s="154">
        <v>4</v>
      </c>
      <c r="CQ35" s="154">
        <v>4</v>
      </c>
      <c r="CR35" s="154" t="s">
        <v>69</v>
      </c>
      <c r="CS35" s="154" t="s">
        <v>69</v>
      </c>
      <c r="CT35" s="154">
        <v>4</v>
      </c>
      <c r="CU35" s="154">
        <v>4</v>
      </c>
      <c r="CV35" s="154" t="s">
        <v>69</v>
      </c>
      <c r="CW35" s="154" t="s">
        <v>69</v>
      </c>
      <c r="CX35" s="154" t="s">
        <v>69</v>
      </c>
      <c r="CY35" s="154" t="s">
        <v>69</v>
      </c>
      <c r="CZ35" s="154" t="s">
        <v>69</v>
      </c>
      <c r="DA35" s="154" t="s">
        <v>69</v>
      </c>
      <c r="DB35" s="154" t="s">
        <v>69</v>
      </c>
      <c r="DC35" s="154" t="s">
        <v>69</v>
      </c>
      <c r="DD35" s="154" t="s">
        <v>69</v>
      </c>
      <c r="DE35" s="154" t="s">
        <v>69</v>
      </c>
      <c r="DF35" s="154" t="s">
        <v>69</v>
      </c>
      <c r="DG35" s="154" t="s">
        <v>69</v>
      </c>
      <c r="DH35" s="154" t="s">
        <v>69</v>
      </c>
      <c r="DI35" s="154" t="s">
        <v>69</v>
      </c>
      <c r="DJ35" s="154" t="s">
        <v>69</v>
      </c>
      <c r="DK35" s="154" t="s">
        <v>69</v>
      </c>
      <c r="DL35" s="154" t="s">
        <v>69</v>
      </c>
      <c r="DM35" s="154">
        <v>3</v>
      </c>
      <c r="DN35" s="154" t="s">
        <v>69</v>
      </c>
      <c r="DO35" s="154" t="s">
        <v>69</v>
      </c>
      <c r="DP35" s="154" t="s">
        <v>69</v>
      </c>
      <c r="DQ35" s="154" t="s">
        <v>69</v>
      </c>
      <c r="DR35" s="154" t="s">
        <v>69</v>
      </c>
      <c r="DS35" s="154" t="s">
        <v>69</v>
      </c>
      <c r="DT35" s="168">
        <v>3</v>
      </c>
      <c r="DU35" s="110">
        <f t="shared" si="2"/>
        <v>0.38709677419354838</v>
      </c>
      <c r="DV35" s="104">
        <f t="shared" si="3"/>
        <v>0.875</v>
      </c>
    </row>
    <row r="36" spans="1:126" ht="68.25" hidden="1" customHeight="1" thickBot="1">
      <c r="A36" s="218" t="s">
        <v>341</v>
      </c>
      <c r="B36" s="236" t="s">
        <v>349</v>
      </c>
      <c r="C36" s="239" t="s">
        <v>350</v>
      </c>
      <c r="D36" s="219" t="s">
        <v>623</v>
      </c>
      <c r="E36" s="220" t="s">
        <v>434</v>
      </c>
      <c r="F36" s="167">
        <v>4</v>
      </c>
      <c r="G36" s="154" t="s">
        <v>69</v>
      </c>
      <c r="H36" s="154" t="s">
        <v>69</v>
      </c>
      <c r="I36" s="154" t="s">
        <v>69</v>
      </c>
      <c r="J36" s="154" t="s">
        <v>69</v>
      </c>
      <c r="K36" s="154">
        <v>2</v>
      </c>
      <c r="L36" s="154" t="s">
        <v>69</v>
      </c>
      <c r="M36" s="154" t="s">
        <v>69</v>
      </c>
      <c r="N36" s="154" t="s">
        <v>69</v>
      </c>
      <c r="O36" s="154">
        <v>4</v>
      </c>
      <c r="P36" s="154" t="s">
        <v>69</v>
      </c>
      <c r="Q36" s="154">
        <v>3</v>
      </c>
      <c r="R36" s="154" t="s">
        <v>69</v>
      </c>
      <c r="S36" s="154" t="s">
        <v>69</v>
      </c>
      <c r="T36" s="165" t="s">
        <v>69</v>
      </c>
      <c r="U36" s="165" t="s">
        <v>69</v>
      </c>
      <c r="V36" s="154" t="s">
        <v>69</v>
      </c>
      <c r="W36" s="154" t="s">
        <v>69</v>
      </c>
      <c r="X36" s="154" t="s">
        <v>69</v>
      </c>
      <c r="Y36" s="154" t="s">
        <v>69</v>
      </c>
      <c r="Z36" s="154" t="s">
        <v>69</v>
      </c>
      <c r="AA36" s="154" t="s">
        <v>69</v>
      </c>
      <c r="AB36" s="154" t="s">
        <v>69</v>
      </c>
      <c r="AC36" s="154" t="s">
        <v>69</v>
      </c>
      <c r="AD36" s="154" t="s">
        <v>69</v>
      </c>
      <c r="AE36" s="154" t="s">
        <v>69</v>
      </c>
      <c r="AF36" s="154" t="s">
        <v>69</v>
      </c>
      <c r="AG36" s="154" t="s">
        <v>69</v>
      </c>
      <c r="AH36" s="154" t="s">
        <v>69</v>
      </c>
      <c r="AI36" s="154" t="s">
        <v>69</v>
      </c>
      <c r="AJ36" s="154" t="s">
        <v>69</v>
      </c>
      <c r="AK36" s="154" t="s">
        <v>69</v>
      </c>
      <c r="AL36" s="154" t="s">
        <v>69</v>
      </c>
      <c r="AM36" s="154" t="s">
        <v>69</v>
      </c>
      <c r="AN36" s="154" t="s">
        <v>69</v>
      </c>
      <c r="AO36" s="154" t="s">
        <v>69</v>
      </c>
      <c r="AP36" s="154" t="s">
        <v>69</v>
      </c>
      <c r="AQ36" s="154" t="s">
        <v>69</v>
      </c>
      <c r="AR36" s="154">
        <v>4</v>
      </c>
      <c r="AS36" s="154">
        <v>4</v>
      </c>
      <c r="AT36" s="154" t="s">
        <v>69</v>
      </c>
      <c r="AU36" s="154">
        <v>3</v>
      </c>
      <c r="AV36" s="154">
        <v>3</v>
      </c>
      <c r="AW36" s="154" t="s">
        <v>69</v>
      </c>
      <c r="AX36" s="154">
        <v>4</v>
      </c>
      <c r="AY36" s="154">
        <v>4</v>
      </c>
      <c r="AZ36" s="154" t="s">
        <v>69</v>
      </c>
      <c r="BA36" s="154" t="s">
        <v>69</v>
      </c>
      <c r="BB36" s="154">
        <v>4</v>
      </c>
      <c r="BC36" s="154" t="s">
        <v>69</v>
      </c>
      <c r="BD36" s="154">
        <v>3</v>
      </c>
      <c r="BE36" s="154">
        <v>4</v>
      </c>
      <c r="BF36" s="154" t="s">
        <v>69</v>
      </c>
      <c r="BG36" s="154" t="s">
        <v>69</v>
      </c>
      <c r="BH36" s="154" t="s">
        <v>69</v>
      </c>
      <c r="BI36" s="154" t="s">
        <v>69</v>
      </c>
      <c r="BJ36" s="154" t="s">
        <v>69</v>
      </c>
      <c r="BK36" s="154" t="s">
        <v>69</v>
      </c>
      <c r="BL36" s="154" t="s">
        <v>69</v>
      </c>
      <c r="BM36" s="154" t="s">
        <v>69</v>
      </c>
      <c r="BN36" s="154" t="s">
        <v>69</v>
      </c>
      <c r="BO36" s="154" t="s">
        <v>69</v>
      </c>
      <c r="BP36" s="154" t="s">
        <v>69</v>
      </c>
      <c r="BQ36" s="154" t="s">
        <v>69</v>
      </c>
      <c r="BR36" s="154">
        <v>4</v>
      </c>
      <c r="BS36" s="154" t="s">
        <v>69</v>
      </c>
      <c r="BT36" s="154" t="s">
        <v>69</v>
      </c>
      <c r="BU36" s="154" t="s">
        <v>69</v>
      </c>
      <c r="BV36" s="154" t="s">
        <v>69</v>
      </c>
      <c r="BW36" s="154" t="s">
        <v>69</v>
      </c>
      <c r="BX36" s="154" t="s">
        <v>69</v>
      </c>
      <c r="BY36" s="154" t="s">
        <v>69</v>
      </c>
      <c r="BZ36" s="154" t="s">
        <v>69</v>
      </c>
      <c r="CA36" s="154" t="s">
        <v>69</v>
      </c>
      <c r="CB36" s="154" t="s">
        <v>69</v>
      </c>
      <c r="CC36" s="154" t="s">
        <v>69</v>
      </c>
      <c r="CD36" s="154" t="s">
        <v>69</v>
      </c>
      <c r="CE36" s="154" t="s">
        <v>69</v>
      </c>
      <c r="CF36" s="154" t="s">
        <v>69</v>
      </c>
      <c r="CG36" s="154" t="s">
        <v>69</v>
      </c>
      <c r="CH36" s="154" t="s">
        <v>69</v>
      </c>
      <c r="CI36" s="154" t="s">
        <v>69</v>
      </c>
      <c r="CJ36" s="154" t="s">
        <v>69</v>
      </c>
      <c r="CK36" s="154" t="s">
        <v>69</v>
      </c>
      <c r="CL36" s="154" t="s">
        <v>69</v>
      </c>
      <c r="CM36" s="154">
        <v>4</v>
      </c>
      <c r="CN36" s="154">
        <v>4</v>
      </c>
      <c r="CO36" s="154">
        <v>4</v>
      </c>
      <c r="CP36" s="154">
        <v>4</v>
      </c>
      <c r="CQ36" s="154">
        <v>4</v>
      </c>
      <c r="CR36" s="154">
        <v>4</v>
      </c>
      <c r="CS36" s="154">
        <v>3</v>
      </c>
      <c r="CT36" s="154" t="s">
        <v>69</v>
      </c>
      <c r="CU36" s="154" t="s">
        <v>69</v>
      </c>
      <c r="CV36" s="154" t="s">
        <v>69</v>
      </c>
      <c r="CW36" s="154" t="s">
        <v>69</v>
      </c>
      <c r="CX36" s="154" t="s">
        <v>69</v>
      </c>
      <c r="CY36" s="154" t="s">
        <v>69</v>
      </c>
      <c r="CZ36" s="154" t="s">
        <v>69</v>
      </c>
      <c r="DA36" s="154" t="s">
        <v>69</v>
      </c>
      <c r="DB36" s="154" t="s">
        <v>69</v>
      </c>
      <c r="DC36" s="154">
        <v>2</v>
      </c>
      <c r="DD36" s="154" t="s">
        <v>69</v>
      </c>
      <c r="DE36" s="154" t="s">
        <v>69</v>
      </c>
      <c r="DF36" s="154">
        <v>2</v>
      </c>
      <c r="DG36" s="154" t="s">
        <v>69</v>
      </c>
      <c r="DH36" s="154" t="s">
        <v>69</v>
      </c>
      <c r="DI36" s="154" t="s">
        <v>69</v>
      </c>
      <c r="DJ36" s="154" t="s">
        <v>69</v>
      </c>
      <c r="DK36" s="154">
        <v>3</v>
      </c>
      <c r="DL36" s="154">
        <v>3</v>
      </c>
      <c r="DM36" s="154" t="s">
        <v>69</v>
      </c>
      <c r="DN36" s="154" t="s">
        <v>69</v>
      </c>
      <c r="DO36" s="154" t="s">
        <v>69</v>
      </c>
      <c r="DP36" s="154" t="s">
        <v>69</v>
      </c>
      <c r="DQ36" s="154" t="s">
        <v>69</v>
      </c>
      <c r="DR36" s="154" t="s">
        <v>69</v>
      </c>
      <c r="DS36" s="154" t="s">
        <v>69</v>
      </c>
      <c r="DT36" s="168">
        <v>3</v>
      </c>
      <c r="DU36" s="110">
        <f t="shared" si="2"/>
        <v>0.41935483870967744</v>
      </c>
      <c r="DV36" s="104">
        <f t="shared" si="3"/>
        <v>0.88461538461538458</v>
      </c>
    </row>
    <row r="37" spans="1:126" ht="68.25" hidden="1" customHeight="1" thickBot="1">
      <c r="A37" s="218" t="s">
        <v>343</v>
      </c>
      <c r="B37" s="236" t="s">
        <v>353</v>
      </c>
      <c r="C37" s="239" t="s">
        <v>354</v>
      </c>
      <c r="D37" s="219">
        <v>42771</v>
      </c>
      <c r="E37" s="220" t="s">
        <v>434</v>
      </c>
      <c r="F37" s="167">
        <v>4</v>
      </c>
      <c r="G37" s="154" t="s">
        <v>69</v>
      </c>
      <c r="H37" s="154" t="s">
        <v>69</v>
      </c>
      <c r="I37" s="154" t="s">
        <v>69</v>
      </c>
      <c r="J37" s="154" t="s">
        <v>69</v>
      </c>
      <c r="K37" s="154" t="s">
        <v>69</v>
      </c>
      <c r="L37" s="154" t="s">
        <v>69</v>
      </c>
      <c r="M37" s="154" t="s">
        <v>69</v>
      </c>
      <c r="N37" s="154" t="s">
        <v>69</v>
      </c>
      <c r="O37" s="154" t="s">
        <v>69</v>
      </c>
      <c r="P37" s="154" t="s">
        <v>69</v>
      </c>
      <c r="Q37" s="154" t="s">
        <v>69</v>
      </c>
      <c r="R37" s="154" t="s">
        <v>69</v>
      </c>
      <c r="S37" s="154" t="s">
        <v>69</v>
      </c>
      <c r="T37" s="165" t="s">
        <v>69</v>
      </c>
      <c r="U37" s="165" t="s">
        <v>69</v>
      </c>
      <c r="V37" s="154" t="s">
        <v>69</v>
      </c>
      <c r="W37" s="154" t="s">
        <v>69</v>
      </c>
      <c r="X37" s="154" t="s">
        <v>69</v>
      </c>
      <c r="Y37" s="154" t="s">
        <v>69</v>
      </c>
      <c r="Z37" s="154" t="s">
        <v>69</v>
      </c>
      <c r="AA37" s="154">
        <v>4</v>
      </c>
      <c r="AB37" s="154">
        <v>4</v>
      </c>
      <c r="AC37" s="154" t="s">
        <v>69</v>
      </c>
      <c r="AD37" s="154" t="s">
        <v>69</v>
      </c>
      <c r="AE37" s="154" t="s">
        <v>69</v>
      </c>
      <c r="AF37" s="154">
        <v>3</v>
      </c>
      <c r="AG37" s="154" t="s">
        <v>69</v>
      </c>
      <c r="AH37" s="154" t="s">
        <v>69</v>
      </c>
      <c r="AI37" s="154" t="s">
        <v>69</v>
      </c>
      <c r="AJ37" s="154" t="s">
        <v>69</v>
      </c>
      <c r="AK37" s="154" t="s">
        <v>69</v>
      </c>
      <c r="AL37" s="154" t="s">
        <v>69</v>
      </c>
      <c r="AM37" s="154" t="s">
        <v>69</v>
      </c>
      <c r="AN37" s="154">
        <v>3</v>
      </c>
      <c r="AO37" s="154" t="s">
        <v>69</v>
      </c>
      <c r="AP37" s="154" t="s">
        <v>69</v>
      </c>
      <c r="AQ37" s="154" t="s">
        <v>69</v>
      </c>
      <c r="AR37" s="154" t="s">
        <v>69</v>
      </c>
      <c r="AS37" s="154" t="s">
        <v>69</v>
      </c>
      <c r="AT37" s="154" t="s">
        <v>69</v>
      </c>
      <c r="AU37" s="154" t="s">
        <v>69</v>
      </c>
      <c r="AV37" s="154" t="s">
        <v>69</v>
      </c>
      <c r="AW37" s="154" t="s">
        <v>69</v>
      </c>
      <c r="AX37" s="154" t="s">
        <v>69</v>
      </c>
      <c r="AY37" s="154" t="s">
        <v>69</v>
      </c>
      <c r="AZ37" s="154" t="s">
        <v>69</v>
      </c>
      <c r="BA37" s="154" t="s">
        <v>69</v>
      </c>
      <c r="BB37" s="154" t="s">
        <v>69</v>
      </c>
      <c r="BC37" s="154" t="s">
        <v>69</v>
      </c>
      <c r="BD37" s="154">
        <v>2</v>
      </c>
      <c r="BE37" s="154">
        <v>4</v>
      </c>
      <c r="BF37" s="154"/>
      <c r="BG37" s="154">
        <v>4</v>
      </c>
      <c r="BH37" s="154">
        <v>4</v>
      </c>
      <c r="BI37" s="154" t="s">
        <v>69</v>
      </c>
      <c r="BJ37" s="154" t="s">
        <v>69</v>
      </c>
      <c r="BK37" s="154" t="s">
        <v>69</v>
      </c>
      <c r="BL37" s="154" t="s">
        <v>69</v>
      </c>
      <c r="BM37" s="154" t="s">
        <v>69</v>
      </c>
      <c r="BN37" s="154" t="s">
        <v>69</v>
      </c>
      <c r="BO37" s="154" t="s">
        <v>69</v>
      </c>
      <c r="BP37" s="154" t="s">
        <v>69</v>
      </c>
      <c r="BQ37" s="154" t="s">
        <v>69</v>
      </c>
      <c r="BR37" s="154">
        <v>4</v>
      </c>
      <c r="BS37" s="154" t="s">
        <v>69</v>
      </c>
      <c r="BT37" s="154" t="s">
        <v>69</v>
      </c>
      <c r="BU37" s="154" t="s">
        <v>69</v>
      </c>
      <c r="BV37" s="154" t="s">
        <v>69</v>
      </c>
      <c r="BW37" s="154" t="s">
        <v>69</v>
      </c>
      <c r="BX37" s="154" t="s">
        <v>69</v>
      </c>
      <c r="BY37" s="154" t="s">
        <v>69</v>
      </c>
      <c r="BZ37" s="154" t="s">
        <v>69</v>
      </c>
      <c r="CA37" s="154" t="s">
        <v>69</v>
      </c>
      <c r="CB37" s="154" t="s">
        <v>69</v>
      </c>
      <c r="CC37" s="154" t="s">
        <v>69</v>
      </c>
      <c r="CD37" s="154" t="s">
        <v>69</v>
      </c>
      <c r="CE37" s="154" t="s">
        <v>69</v>
      </c>
      <c r="CF37" s="154" t="s">
        <v>69</v>
      </c>
      <c r="CG37" s="154">
        <v>4</v>
      </c>
      <c r="CH37" s="154" t="s">
        <v>69</v>
      </c>
      <c r="CI37" s="154" t="s">
        <v>69</v>
      </c>
      <c r="CJ37" s="154" t="s">
        <v>69</v>
      </c>
      <c r="CK37" s="154" t="s">
        <v>69</v>
      </c>
      <c r="CL37" s="154" t="s">
        <v>69</v>
      </c>
      <c r="CM37" s="154">
        <v>4</v>
      </c>
      <c r="CN37" s="154">
        <v>4</v>
      </c>
      <c r="CO37" s="154">
        <v>4</v>
      </c>
      <c r="CP37" s="154">
        <v>4</v>
      </c>
      <c r="CQ37" s="154">
        <v>4</v>
      </c>
      <c r="CR37" s="154">
        <v>4</v>
      </c>
      <c r="CS37" s="154">
        <v>3</v>
      </c>
      <c r="CT37" s="154" t="s">
        <v>69</v>
      </c>
      <c r="CU37" s="154">
        <v>4</v>
      </c>
      <c r="CV37" s="154" t="s">
        <v>69</v>
      </c>
      <c r="CW37" s="154" t="s">
        <v>69</v>
      </c>
      <c r="CX37" s="154">
        <v>3</v>
      </c>
      <c r="CY37" s="154" t="s">
        <v>69</v>
      </c>
      <c r="CZ37" s="154">
        <v>2</v>
      </c>
      <c r="DA37" s="154">
        <v>3</v>
      </c>
      <c r="DB37" s="154" t="s">
        <v>69</v>
      </c>
      <c r="DC37" s="154">
        <v>3</v>
      </c>
      <c r="DD37" s="154" t="s">
        <v>69</v>
      </c>
      <c r="DE37" s="154" t="s">
        <v>69</v>
      </c>
      <c r="DF37" s="154" t="s">
        <v>69</v>
      </c>
      <c r="DG37" s="154" t="s">
        <v>69</v>
      </c>
      <c r="DH37" s="154" t="s">
        <v>69</v>
      </c>
      <c r="DI37" s="154" t="s">
        <v>69</v>
      </c>
      <c r="DJ37" s="154" t="s">
        <v>69</v>
      </c>
      <c r="DK37" s="154">
        <v>3</v>
      </c>
      <c r="DL37" s="154" t="s">
        <v>69</v>
      </c>
      <c r="DM37" s="154" t="s">
        <v>69</v>
      </c>
      <c r="DN37" s="154" t="s">
        <v>69</v>
      </c>
      <c r="DO37" s="154" t="s">
        <v>69</v>
      </c>
      <c r="DP37" s="154" t="s">
        <v>69</v>
      </c>
      <c r="DQ37" s="154" t="s">
        <v>69</v>
      </c>
      <c r="DR37" s="154" t="s">
        <v>69</v>
      </c>
      <c r="DS37" s="154" t="s">
        <v>69</v>
      </c>
      <c r="DT37" s="168">
        <v>3</v>
      </c>
      <c r="DU37" s="110">
        <f t="shared" si="2"/>
        <v>0.40322580645161288</v>
      </c>
      <c r="DV37" s="104">
        <f t="shared" si="3"/>
        <v>0.92</v>
      </c>
    </row>
    <row r="38" spans="1:126" ht="68.25" hidden="1" customHeight="1" thickBot="1">
      <c r="A38" s="218" t="s">
        <v>345</v>
      </c>
      <c r="B38" s="236" t="s">
        <v>355</v>
      </c>
      <c r="C38" s="239" t="s">
        <v>356</v>
      </c>
      <c r="D38" s="219">
        <v>44846</v>
      </c>
      <c r="E38" s="220" t="s">
        <v>434</v>
      </c>
      <c r="F38" s="154" t="s">
        <v>69</v>
      </c>
      <c r="G38" s="154" t="s">
        <v>69</v>
      </c>
      <c r="H38" s="154" t="s">
        <v>69</v>
      </c>
      <c r="I38" s="154" t="s">
        <v>69</v>
      </c>
      <c r="J38" s="154" t="s">
        <v>69</v>
      </c>
      <c r="K38" s="154" t="s">
        <v>69</v>
      </c>
      <c r="L38" s="154" t="s">
        <v>69</v>
      </c>
      <c r="M38" s="154" t="s">
        <v>69</v>
      </c>
      <c r="N38" s="154" t="s">
        <v>69</v>
      </c>
      <c r="O38" s="154" t="s">
        <v>69</v>
      </c>
      <c r="P38" s="154" t="s">
        <v>69</v>
      </c>
      <c r="Q38" s="154" t="s">
        <v>69</v>
      </c>
      <c r="R38" s="154" t="s">
        <v>69</v>
      </c>
      <c r="S38" s="154" t="s">
        <v>69</v>
      </c>
      <c r="T38" s="165" t="s">
        <v>69</v>
      </c>
      <c r="U38" s="165" t="s">
        <v>69</v>
      </c>
      <c r="V38" s="154" t="s">
        <v>69</v>
      </c>
      <c r="W38" s="154" t="s">
        <v>69</v>
      </c>
      <c r="X38" s="154" t="s">
        <v>69</v>
      </c>
      <c r="Y38" s="154" t="s">
        <v>69</v>
      </c>
      <c r="Z38" s="154" t="s">
        <v>69</v>
      </c>
      <c r="AA38" s="154" t="s">
        <v>69</v>
      </c>
      <c r="AB38" s="154" t="s">
        <v>69</v>
      </c>
      <c r="AC38" s="154" t="s">
        <v>69</v>
      </c>
      <c r="AD38" s="154" t="s">
        <v>69</v>
      </c>
      <c r="AE38" s="154" t="s">
        <v>69</v>
      </c>
      <c r="AF38" s="154" t="s">
        <v>69</v>
      </c>
      <c r="AG38" s="154" t="s">
        <v>69</v>
      </c>
      <c r="AH38" s="154" t="s">
        <v>69</v>
      </c>
      <c r="AI38" s="154" t="s">
        <v>69</v>
      </c>
      <c r="AJ38" s="154" t="s">
        <v>69</v>
      </c>
      <c r="AK38" s="154" t="s">
        <v>69</v>
      </c>
      <c r="AL38" s="154" t="s">
        <v>69</v>
      </c>
      <c r="AM38" s="154" t="s">
        <v>69</v>
      </c>
      <c r="AN38" s="154" t="s">
        <v>69</v>
      </c>
      <c r="AO38" s="154" t="s">
        <v>69</v>
      </c>
      <c r="AP38" s="154" t="s">
        <v>69</v>
      </c>
      <c r="AQ38" s="154" t="s">
        <v>69</v>
      </c>
      <c r="AR38" s="154" t="s">
        <v>69</v>
      </c>
      <c r="AS38" s="154" t="s">
        <v>69</v>
      </c>
      <c r="AT38" s="154" t="s">
        <v>69</v>
      </c>
      <c r="AU38" s="154" t="s">
        <v>69</v>
      </c>
      <c r="AV38" s="154" t="s">
        <v>69</v>
      </c>
      <c r="AW38" s="154" t="s">
        <v>69</v>
      </c>
      <c r="AX38" s="154" t="s">
        <v>69</v>
      </c>
      <c r="AY38" s="154" t="s">
        <v>69</v>
      </c>
      <c r="AZ38" s="154" t="s">
        <v>69</v>
      </c>
      <c r="BA38" s="154" t="s">
        <v>69</v>
      </c>
      <c r="BB38" s="154" t="s">
        <v>69</v>
      </c>
      <c r="BC38" s="154" t="s">
        <v>69</v>
      </c>
      <c r="BD38" s="154" t="s">
        <v>69</v>
      </c>
      <c r="BE38" s="154" t="s">
        <v>69</v>
      </c>
      <c r="BF38" s="154">
        <v>4</v>
      </c>
      <c r="BG38" s="154" t="s">
        <v>69</v>
      </c>
      <c r="BH38" s="154" t="s">
        <v>69</v>
      </c>
      <c r="BI38" s="154" t="s">
        <v>69</v>
      </c>
      <c r="BJ38" s="154" t="s">
        <v>69</v>
      </c>
      <c r="BK38" s="154" t="s">
        <v>69</v>
      </c>
      <c r="BL38" s="154" t="s">
        <v>69</v>
      </c>
      <c r="BM38" s="154" t="s">
        <v>69</v>
      </c>
      <c r="BN38" s="154" t="s">
        <v>69</v>
      </c>
      <c r="BO38" s="154" t="s">
        <v>69</v>
      </c>
      <c r="BP38" s="154" t="s">
        <v>69</v>
      </c>
      <c r="BQ38" s="154" t="s">
        <v>69</v>
      </c>
      <c r="BR38" s="154" t="s">
        <v>69</v>
      </c>
      <c r="BS38" s="154" t="s">
        <v>69</v>
      </c>
      <c r="BT38" s="154" t="s">
        <v>69</v>
      </c>
      <c r="BU38" s="154" t="s">
        <v>69</v>
      </c>
      <c r="BV38" s="154" t="s">
        <v>69</v>
      </c>
      <c r="BW38" s="154" t="s">
        <v>69</v>
      </c>
      <c r="BX38" s="154" t="s">
        <v>69</v>
      </c>
      <c r="BY38" s="154" t="s">
        <v>69</v>
      </c>
      <c r="BZ38" s="154" t="s">
        <v>69</v>
      </c>
      <c r="CA38" s="154" t="s">
        <v>69</v>
      </c>
      <c r="CB38" s="154" t="s">
        <v>69</v>
      </c>
      <c r="CC38" s="154" t="s">
        <v>69</v>
      </c>
      <c r="CD38" s="154" t="s">
        <v>69</v>
      </c>
      <c r="CE38" s="154" t="s">
        <v>69</v>
      </c>
      <c r="CF38" s="154" t="s">
        <v>69</v>
      </c>
      <c r="CG38" s="154" t="s">
        <v>69</v>
      </c>
      <c r="CH38" s="154" t="s">
        <v>69</v>
      </c>
      <c r="CI38" s="154" t="s">
        <v>69</v>
      </c>
      <c r="CJ38" s="154" t="s">
        <v>69</v>
      </c>
      <c r="CK38" s="154" t="s">
        <v>69</v>
      </c>
      <c r="CL38" s="154" t="s">
        <v>69</v>
      </c>
      <c r="CM38" s="154">
        <v>4</v>
      </c>
      <c r="CN38" s="154">
        <v>4</v>
      </c>
      <c r="CO38" s="154">
        <v>4</v>
      </c>
      <c r="CP38" s="154">
        <v>4</v>
      </c>
      <c r="CQ38" s="154">
        <v>4</v>
      </c>
      <c r="CR38" s="154" t="s">
        <v>69</v>
      </c>
      <c r="CS38" s="154">
        <v>4</v>
      </c>
      <c r="CT38" s="154" t="s">
        <v>69</v>
      </c>
      <c r="CU38" s="154">
        <v>4</v>
      </c>
      <c r="CV38" s="154" t="s">
        <v>69</v>
      </c>
      <c r="CW38" s="154" t="s">
        <v>69</v>
      </c>
      <c r="CX38" s="154">
        <v>3</v>
      </c>
      <c r="CY38" s="154" t="s">
        <v>69</v>
      </c>
      <c r="CZ38" s="154" t="s">
        <v>69</v>
      </c>
      <c r="DA38" s="154" t="s">
        <v>69</v>
      </c>
      <c r="DB38" s="154">
        <v>3</v>
      </c>
      <c r="DC38" s="154" t="s">
        <v>69</v>
      </c>
      <c r="DD38" s="154" t="s">
        <v>69</v>
      </c>
      <c r="DE38" s="154" t="s">
        <v>69</v>
      </c>
      <c r="DF38" s="154" t="s">
        <v>69</v>
      </c>
      <c r="DG38" s="154" t="s">
        <v>69</v>
      </c>
      <c r="DH38" s="154" t="s">
        <v>69</v>
      </c>
      <c r="DI38" s="154" t="s">
        <v>69</v>
      </c>
      <c r="DJ38" s="154" t="s">
        <v>69</v>
      </c>
      <c r="DK38" s="154" t="s">
        <v>69</v>
      </c>
      <c r="DL38" s="154" t="s">
        <v>69</v>
      </c>
      <c r="DM38" s="154" t="s">
        <v>69</v>
      </c>
      <c r="DN38" s="154" t="s">
        <v>69</v>
      </c>
      <c r="DO38" s="154" t="s">
        <v>69</v>
      </c>
      <c r="DP38" s="154" t="s">
        <v>69</v>
      </c>
      <c r="DQ38" s="154" t="s">
        <v>69</v>
      </c>
      <c r="DR38" s="154" t="s">
        <v>69</v>
      </c>
      <c r="DS38" s="154" t="s">
        <v>69</v>
      </c>
      <c r="DT38" s="168">
        <v>3</v>
      </c>
      <c r="DU38" s="110">
        <f t="shared" si="2"/>
        <v>0.17741935483870969</v>
      </c>
      <c r="DV38" s="104">
        <f t="shared" si="3"/>
        <v>1</v>
      </c>
    </row>
    <row r="39" spans="1:126" ht="68.25" hidden="1" customHeight="1" thickBot="1">
      <c r="A39" s="218" t="s">
        <v>105</v>
      </c>
      <c r="B39" s="236" t="s">
        <v>375</v>
      </c>
      <c r="C39" s="239" t="s">
        <v>376</v>
      </c>
      <c r="D39" s="219">
        <v>45265</v>
      </c>
      <c r="E39" s="220" t="s">
        <v>434</v>
      </c>
      <c r="F39" s="167">
        <v>4</v>
      </c>
      <c r="G39" s="154" t="s">
        <v>69</v>
      </c>
      <c r="H39" s="154">
        <v>4</v>
      </c>
      <c r="I39" s="154" t="s">
        <v>69</v>
      </c>
      <c r="J39" s="154" t="s">
        <v>69</v>
      </c>
      <c r="K39" s="154">
        <v>2</v>
      </c>
      <c r="L39" s="154" t="s">
        <v>69</v>
      </c>
      <c r="M39" s="154" t="s">
        <v>69</v>
      </c>
      <c r="N39" s="154" t="s">
        <v>69</v>
      </c>
      <c r="O39" s="154">
        <v>4</v>
      </c>
      <c r="P39" s="154" t="s">
        <v>69</v>
      </c>
      <c r="Q39" s="154" t="s">
        <v>69</v>
      </c>
      <c r="R39" s="154" t="s">
        <v>69</v>
      </c>
      <c r="S39" s="154" t="s">
        <v>69</v>
      </c>
      <c r="T39" s="165" t="s">
        <v>69</v>
      </c>
      <c r="U39" s="165" t="s">
        <v>69</v>
      </c>
      <c r="V39" s="154" t="s">
        <v>69</v>
      </c>
      <c r="W39" s="154" t="s">
        <v>69</v>
      </c>
      <c r="X39" s="154" t="s">
        <v>69</v>
      </c>
      <c r="Y39" s="154" t="s">
        <v>69</v>
      </c>
      <c r="Z39" s="154" t="s">
        <v>69</v>
      </c>
      <c r="AA39" s="154" t="s">
        <v>69</v>
      </c>
      <c r="AB39" s="154" t="s">
        <v>69</v>
      </c>
      <c r="AC39" s="154" t="s">
        <v>69</v>
      </c>
      <c r="AD39" s="154" t="s">
        <v>69</v>
      </c>
      <c r="AE39" s="154" t="s">
        <v>69</v>
      </c>
      <c r="AF39" s="154" t="s">
        <v>69</v>
      </c>
      <c r="AG39" s="154" t="s">
        <v>69</v>
      </c>
      <c r="AH39" s="154" t="s">
        <v>69</v>
      </c>
      <c r="AI39" s="154" t="s">
        <v>69</v>
      </c>
      <c r="AJ39" s="154" t="s">
        <v>69</v>
      </c>
      <c r="AK39" s="154" t="s">
        <v>69</v>
      </c>
      <c r="AL39" s="154" t="s">
        <v>69</v>
      </c>
      <c r="AM39" s="154" t="s">
        <v>69</v>
      </c>
      <c r="AN39" s="154" t="s">
        <v>69</v>
      </c>
      <c r="AO39" s="154" t="s">
        <v>69</v>
      </c>
      <c r="AP39" s="154" t="s">
        <v>69</v>
      </c>
      <c r="AQ39" s="154" t="s">
        <v>69</v>
      </c>
      <c r="AR39" s="154">
        <v>4</v>
      </c>
      <c r="AS39" s="154" t="s">
        <v>69</v>
      </c>
      <c r="AT39" s="154" t="s">
        <v>69</v>
      </c>
      <c r="AU39" s="154">
        <v>3</v>
      </c>
      <c r="AV39" s="154" t="s">
        <v>69</v>
      </c>
      <c r="AW39" s="154" t="s">
        <v>69</v>
      </c>
      <c r="AX39" s="154">
        <v>4</v>
      </c>
      <c r="AY39" s="154" t="s">
        <v>69</v>
      </c>
      <c r="AZ39" s="154" t="s">
        <v>69</v>
      </c>
      <c r="BA39" s="154" t="s">
        <v>69</v>
      </c>
      <c r="BB39" s="154" t="s">
        <v>69</v>
      </c>
      <c r="BC39" s="154" t="s">
        <v>69</v>
      </c>
      <c r="BD39" s="154">
        <v>3</v>
      </c>
      <c r="BE39" s="154">
        <v>3</v>
      </c>
      <c r="BF39" s="154" t="s">
        <v>69</v>
      </c>
      <c r="BG39" s="154" t="s">
        <v>69</v>
      </c>
      <c r="BH39" s="154" t="s">
        <v>69</v>
      </c>
      <c r="BI39" s="154" t="s">
        <v>69</v>
      </c>
      <c r="BJ39" s="154" t="s">
        <v>69</v>
      </c>
      <c r="BK39" s="154" t="s">
        <v>69</v>
      </c>
      <c r="BL39" s="154" t="s">
        <v>69</v>
      </c>
      <c r="BM39" s="154" t="s">
        <v>69</v>
      </c>
      <c r="BN39" s="154" t="s">
        <v>69</v>
      </c>
      <c r="BO39" s="154" t="s">
        <v>69</v>
      </c>
      <c r="BP39" s="154" t="s">
        <v>69</v>
      </c>
      <c r="BQ39" s="154" t="s">
        <v>69</v>
      </c>
      <c r="BR39" s="154">
        <v>4</v>
      </c>
      <c r="BS39" s="154" t="s">
        <v>69</v>
      </c>
      <c r="BT39" s="154" t="s">
        <v>69</v>
      </c>
      <c r="BU39" s="154" t="s">
        <v>69</v>
      </c>
      <c r="BV39" s="154" t="s">
        <v>69</v>
      </c>
      <c r="BW39" s="154" t="s">
        <v>69</v>
      </c>
      <c r="BX39" s="154" t="s">
        <v>69</v>
      </c>
      <c r="BY39" s="154">
        <v>3</v>
      </c>
      <c r="BZ39" s="154" t="s">
        <v>69</v>
      </c>
      <c r="CA39" s="154" t="s">
        <v>69</v>
      </c>
      <c r="CB39" s="154" t="s">
        <v>69</v>
      </c>
      <c r="CC39" s="154" t="s">
        <v>69</v>
      </c>
      <c r="CD39" s="154" t="s">
        <v>69</v>
      </c>
      <c r="CE39" s="154" t="s">
        <v>69</v>
      </c>
      <c r="CF39" s="154" t="s">
        <v>69</v>
      </c>
      <c r="CG39" s="154">
        <v>3</v>
      </c>
      <c r="CH39" s="154" t="s">
        <v>69</v>
      </c>
      <c r="CI39" s="154" t="s">
        <v>69</v>
      </c>
      <c r="CJ39" s="154" t="s">
        <v>69</v>
      </c>
      <c r="CK39" s="154" t="s">
        <v>69</v>
      </c>
      <c r="CL39" s="154" t="s">
        <v>69</v>
      </c>
      <c r="CM39" s="154" t="s">
        <v>69</v>
      </c>
      <c r="CN39" s="154" t="s">
        <v>69</v>
      </c>
      <c r="CO39" s="154" t="s">
        <v>69</v>
      </c>
      <c r="CP39" s="154">
        <v>4</v>
      </c>
      <c r="CQ39" s="154" t="s">
        <v>69</v>
      </c>
      <c r="CR39" s="154" t="s">
        <v>69</v>
      </c>
      <c r="CS39" s="154" t="s">
        <v>69</v>
      </c>
      <c r="CT39" s="154">
        <v>3</v>
      </c>
      <c r="CU39" s="154" t="s">
        <v>69</v>
      </c>
      <c r="CV39" s="154" t="s">
        <v>69</v>
      </c>
      <c r="CW39" s="154" t="s">
        <v>69</v>
      </c>
      <c r="CX39" s="154">
        <v>3</v>
      </c>
      <c r="CY39" s="154" t="s">
        <v>69</v>
      </c>
      <c r="CZ39" s="154" t="s">
        <v>69</v>
      </c>
      <c r="DA39" s="154" t="s">
        <v>69</v>
      </c>
      <c r="DB39" s="154" t="s">
        <v>69</v>
      </c>
      <c r="DC39" s="154" t="s">
        <v>69</v>
      </c>
      <c r="DD39" s="154" t="s">
        <v>69</v>
      </c>
      <c r="DE39" s="154" t="s">
        <v>69</v>
      </c>
      <c r="DF39" s="154" t="s">
        <v>69</v>
      </c>
      <c r="DG39" s="154" t="s">
        <v>69</v>
      </c>
      <c r="DH39" s="154" t="s">
        <v>69</v>
      </c>
      <c r="DI39" s="154" t="s">
        <v>69</v>
      </c>
      <c r="DJ39" s="154">
        <v>3</v>
      </c>
      <c r="DK39" s="154">
        <v>4</v>
      </c>
      <c r="DL39" s="154" t="s">
        <v>69</v>
      </c>
      <c r="DM39" s="154" t="s">
        <v>69</v>
      </c>
      <c r="DN39" s="154" t="s">
        <v>69</v>
      </c>
      <c r="DO39" s="154" t="s">
        <v>69</v>
      </c>
      <c r="DP39" s="154" t="s">
        <v>69</v>
      </c>
      <c r="DQ39" s="154" t="s">
        <v>69</v>
      </c>
      <c r="DR39" s="154" t="s">
        <v>69</v>
      </c>
      <c r="DS39" s="154" t="s">
        <v>69</v>
      </c>
      <c r="DT39" s="168">
        <v>3</v>
      </c>
      <c r="DU39" s="110">
        <f t="shared" si="2"/>
        <v>0.29032258064516131</v>
      </c>
      <c r="DV39" s="104">
        <f t="shared" si="3"/>
        <v>0.94444444444444442</v>
      </c>
    </row>
    <row r="40" spans="1:126" ht="68.25" hidden="1" customHeight="1" thickBot="1">
      <c r="A40" s="218" t="s">
        <v>377</v>
      </c>
      <c r="B40" s="236" t="s">
        <v>393</v>
      </c>
      <c r="C40" s="239" t="s">
        <v>394</v>
      </c>
      <c r="D40" s="219">
        <v>45177</v>
      </c>
      <c r="E40" s="220" t="s">
        <v>434</v>
      </c>
      <c r="F40" s="167" t="s">
        <v>69</v>
      </c>
      <c r="G40" s="154" t="s">
        <v>69</v>
      </c>
      <c r="H40" s="154" t="s">
        <v>69</v>
      </c>
      <c r="I40" s="154" t="s">
        <v>69</v>
      </c>
      <c r="J40" s="154" t="s">
        <v>69</v>
      </c>
      <c r="K40" s="154" t="s">
        <v>69</v>
      </c>
      <c r="L40" s="154" t="s">
        <v>69</v>
      </c>
      <c r="M40" s="154" t="s">
        <v>69</v>
      </c>
      <c r="N40" s="154" t="s">
        <v>69</v>
      </c>
      <c r="O40" s="154">
        <v>2</v>
      </c>
      <c r="P40" s="154" t="s">
        <v>69</v>
      </c>
      <c r="Q40" s="154" t="s">
        <v>69</v>
      </c>
      <c r="R40" s="154" t="s">
        <v>69</v>
      </c>
      <c r="S40" s="154" t="s">
        <v>69</v>
      </c>
      <c r="T40" s="165" t="s">
        <v>69</v>
      </c>
      <c r="U40" s="165" t="s">
        <v>69</v>
      </c>
      <c r="V40" s="154" t="s">
        <v>69</v>
      </c>
      <c r="W40" s="154" t="s">
        <v>69</v>
      </c>
      <c r="X40" s="154" t="s">
        <v>69</v>
      </c>
      <c r="Y40" s="154" t="s">
        <v>69</v>
      </c>
      <c r="Z40" s="154" t="s">
        <v>69</v>
      </c>
      <c r="AA40" s="154" t="s">
        <v>69</v>
      </c>
      <c r="AB40" s="154" t="s">
        <v>69</v>
      </c>
      <c r="AC40" s="154" t="s">
        <v>69</v>
      </c>
      <c r="AD40" s="154">
        <v>2</v>
      </c>
      <c r="AE40" s="154" t="s">
        <v>69</v>
      </c>
      <c r="AF40" s="154" t="s">
        <v>69</v>
      </c>
      <c r="AG40" s="154" t="s">
        <v>69</v>
      </c>
      <c r="AH40" s="154" t="s">
        <v>69</v>
      </c>
      <c r="AI40" s="154" t="s">
        <v>69</v>
      </c>
      <c r="AJ40" s="154" t="s">
        <v>69</v>
      </c>
      <c r="AK40" s="154" t="s">
        <v>69</v>
      </c>
      <c r="AL40" s="154" t="s">
        <v>69</v>
      </c>
      <c r="AM40" s="154" t="s">
        <v>69</v>
      </c>
      <c r="AN40" s="154" t="s">
        <v>69</v>
      </c>
      <c r="AO40" s="154" t="s">
        <v>69</v>
      </c>
      <c r="AP40" s="154">
        <v>2</v>
      </c>
      <c r="AQ40" s="154" t="s">
        <v>69</v>
      </c>
      <c r="AR40" s="154" t="s">
        <v>69</v>
      </c>
      <c r="AS40" s="154">
        <v>4</v>
      </c>
      <c r="AT40" s="154" t="s">
        <v>69</v>
      </c>
      <c r="AU40" s="154" t="s">
        <v>69</v>
      </c>
      <c r="AV40" s="154" t="s">
        <v>69</v>
      </c>
      <c r="AW40" s="154" t="s">
        <v>69</v>
      </c>
      <c r="AX40" s="154" t="s">
        <v>69</v>
      </c>
      <c r="AY40" s="154" t="s">
        <v>69</v>
      </c>
      <c r="AZ40" s="154" t="s">
        <v>69</v>
      </c>
      <c r="BA40" s="154" t="s">
        <v>69</v>
      </c>
      <c r="BB40" s="154" t="s">
        <v>69</v>
      </c>
      <c r="BC40" s="154" t="s">
        <v>69</v>
      </c>
      <c r="BD40" s="154" t="s">
        <v>69</v>
      </c>
      <c r="BE40" s="154" t="s">
        <v>69</v>
      </c>
      <c r="BF40" s="154" t="s">
        <v>69</v>
      </c>
      <c r="BG40" s="154" t="s">
        <v>69</v>
      </c>
      <c r="BH40" s="154" t="s">
        <v>69</v>
      </c>
      <c r="BI40" s="154" t="s">
        <v>69</v>
      </c>
      <c r="BJ40" s="154" t="s">
        <v>69</v>
      </c>
      <c r="BK40" s="154" t="s">
        <v>69</v>
      </c>
      <c r="BL40" s="154" t="s">
        <v>69</v>
      </c>
      <c r="BM40" s="154" t="s">
        <v>69</v>
      </c>
      <c r="BN40" s="154" t="s">
        <v>69</v>
      </c>
      <c r="BO40" s="154" t="s">
        <v>69</v>
      </c>
      <c r="BP40" s="154" t="s">
        <v>69</v>
      </c>
      <c r="BQ40" s="154" t="s">
        <v>69</v>
      </c>
      <c r="BR40" s="154">
        <v>4</v>
      </c>
      <c r="BS40" s="154" t="s">
        <v>69</v>
      </c>
      <c r="BT40" s="154" t="s">
        <v>69</v>
      </c>
      <c r="BU40" s="154" t="s">
        <v>69</v>
      </c>
      <c r="BV40" s="154" t="s">
        <v>69</v>
      </c>
      <c r="BW40" s="154" t="s">
        <v>69</v>
      </c>
      <c r="BX40" s="154" t="s">
        <v>69</v>
      </c>
      <c r="BY40" s="154" t="s">
        <v>69</v>
      </c>
      <c r="BZ40" s="154">
        <v>3</v>
      </c>
      <c r="CA40" s="154">
        <v>3</v>
      </c>
      <c r="CB40" s="154" t="s">
        <v>69</v>
      </c>
      <c r="CC40" s="154" t="s">
        <v>69</v>
      </c>
      <c r="CD40" s="154" t="s">
        <v>69</v>
      </c>
      <c r="CE40" s="154" t="s">
        <v>69</v>
      </c>
      <c r="CF40" s="154" t="s">
        <v>69</v>
      </c>
      <c r="CG40" s="154" t="s">
        <v>69</v>
      </c>
      <c r="CH40" s="154" t="s">
        <v>69</v>
      </c>
      <c r="CI40" s="154" t="s">
        <v>69</v>
      </c>
      <c r="CJ40" s="154" t="s">
        <v>69</v>
      </c>
      <c r="CK40" s="154" t="s">
        <v>69</v>
      </c>
      <c r="CL40" s="154" t="s">
        <v>69</v>
      </c>
      <c r="CM40" s="154">
        <v>4</v>
      </c>
      <c r="CN40" s="154" t="s">
        <v>69</v>
      </c>
      <c r="CO40" s="154">
        <v>3</v>
      </c>
      <c r="CP40" s="154" t="s">
        <v>69</v>
      </c>
      <c r="CQ40" s="154" t="s">
        <v>69</v>
      </c>
      <c r="CR40" s="154" t="s">
        <v>69</v>
      </c>
      <c r="CS40" s="154" t="s">
        <v>69</v>
      </c>
      <c r="CT40" s="154" t="s">
        <v>69</v>
      </c>
      <c r="CU40" s="154" t="s">
        <v>69</v>
      </c>
      <c r="CV40" s="154" t="s">
        <v>69</v>
      </c>
      <c r="CW40" s="154" t="s">
        <v>69</v>
      </c>
      <c r="CX40" s="154"/>
      <c r="CY40" s="154" t="s">
        <v>69</v>
      </c>
      <c r="CZ40" s="154" t="s">
        <v>69</v>
      </c>
      <c r="DA40" s="154" t="s">
        <v>69</v>
      </c>
      <c r="DB40" s="154" t="s">
        <v>69</v>
      </c>
      <c r="DC40" s="154" t="s">
        <v>69</v>
      </c>
      <c r="DD40" s="154" t="s">
        <v>69</v>
      </c>
      <c r="DE40" s="154" t="s">
        <v>69</v>
      </c>
      <c r="DF40" s="154" t="s">
        <v>69</v>
      </c>
      <c r="DG40" s="154">
        <v>3</v>
      </c>
      <c r="DH40" s="154" t="s">
        <v>69</v>
      </c>
      <c r="DI40" s="154" t="s">
        <v>69</v>
      </c>
      <c r="DJ40" s="154" t="s">
        <v>69</v>
      </c>
      <c r="DK40" s="154" t="s">
        <v>69</v>
      </c>
      <c r="DL40" s="154" t="s">
        <v>69</v>
      </c>
      <c r="DM40" s="154" t="s">
        <v>69</v>
      </c>
      <c r="DN40" s="154" t="s">
        <v>69</v>
      </c>
      <c r="DO40" s="154" t="s">
        <v>69</v>
      </c>
      <c r="DP40" s="154">
        <v>2</v>
      </c>
      <c r="DQ40" s="154" t="s">
        <v>69</v>
      </c>
      <c r="DR40" s="154" t="s">
        <v>69</v>
      </c>
      <c r="DS40" s="154">
        <v>2</v>
      </c>
      <c r="DT40" s="168">
        <v>3</v>
      </c>
      <c r="DU40" s="110">
        <f t="shared" si="2"/>
        <v>0.20967741935483872</v>
      </c>
      <c r="DV40" s="104">
        <f t="shared" si="3"/>
        <v>0.61538461538461542</v>
      </c>
    </row>
    <row r="41" spans="1:126" ht="68.25" hidden="1" customHeight="1" thickBot="1">
      <c r="A41" s="222" t="s">
        <v>119</v>
      </c>
      <c r="B41" s="236" t="s">
        <v>33</v>
      </c>
      <c r="C41" s="239" t="s">
        <v>235</v>
      </c>
      <c r="D41" s="219" t="s">
        <v>625</v>
      </c>
      <c r="E41" s="220" t="s">
        <v>434</v>
      </c>
      <c r="F41" s="167">
        <v>4</v>
      </c>
      <c r="G41" s="154" t="s">
        <v>69</v>
      </c>
      <c r="H41" s="154" t="s">
        <v>69</v>
      </c>
      <c r="I41" s="154" t="s">
        <v>69</v>
      </c>
      <c r="J41" s="154" t="s">
        <v>69</v>
      </c>
      <c r="K41" s="154" t="s">
        <v>69</v>
      </c>
      <c r="L41" s="154" t="s">
        <v>69</v>
      </c>
      <c r="M41" s="154">
        <v>4</v>
      </c>
      <c r="N41" s="154" t="s">
        <v>69</v>
      </c>
      <c r="O41" s="154" t="s">
        <v>69</v>
      </c>
      <c r="P41" s="154" t="s">
        <v>69</v>
      </c>
      <c r="Q41" s="154">
        <v>3</v>
      </c>
      <c r="R41" s="154" t="s">
        <v>69</v>
      </c>
      <c r="S41" s="154" t="s">
        <v>69</v>
      </c>
      <c r="T41" s="165" t="s">
        <v>69</v>
      </c>
      <c r="U41" s="165" t="s">
        <v>69</v>
      </c>
      <c r="V41" s="154">
        <v>3</v>
      </c>
      <c r="W41" s="154" t="s">
        <v>69</v>
      </c>
      <c r="X41" s="154">
        <v>3</v>
      </c>
      <c r="Y41" s="154" t="s">
        <v>69</v>
      </c>
      <c r="Z41" s="154" t="s">
        <v>69</v>
      </c>
      <c r="AA41" s="154">
        <v>4</v>
      </c>
      <c r="AB41" s="154">
        <v>4</v>
      </c>
      <c r="AC41" s="169" t="s">
        <v>69</v>
      </c>
      <c r="AD41" s="154">
        <v>3</v>
      </c>
      <c r="AE41" s="169" t="s">
        <v>69</v>
      </c>
      <c r="AF41" s="154" t="s">
        <v>69</v>
      </c>
      <c r="AG41" s="154" t="s">
        <v>69</v>
      </c>
      <c r="AH41" s="154" t="s">
        <v>69</v>
      </c>
      <c r="AI41" s="154" t="s">
        <v>69</v>
      </c>
      <c r="AJ41" s="154">
        <v>3</v>
      </c>
      <c r="AK41" s="154" t="s">
        <v>69</v>
      </c>
      <c r="AL41" s="154" t="s">
        <v>69</v>
      </c>
      <c r="AM41" s="154" t="s">
        <v>69</v>
      </c>
      <c r="AN41" s="154" t="s">
        <v>69</v>
      </c>
      <c r="AO41" s="154" t="s">
        <v>69</v>
      </c>
      <c r="AP41" s="169">
        <v>3</v>
      </c>
      <c r="AQ41" s="169" t="s">
        <v>69</v>
      </c>
      <c r="AR41" s="154" t="s">
        <v>69</v>
      </c>
      <c r="AS41" s="154" t="s">
        <v>69</v>
      </c>
      <c r="AT41" s="154" t="s">
        <v>69</v>
      </c>
      <c r="AU41" s="154" t="s">
        <v>69</v>
      </c>
      <c r="AV41" s="154" t="s">
        <v>69</v>
      </c>
      <c r="AW41" s="154" t="s">
        <v>69</v>
      </c>
      <c r="AX41" s="154" t="s">
        <v>69</v>
      </c>
      <c r="AY41" s="154" t="s">
        <v>69</v>
      </c>
      <c r="AZ41" s="154" t="s">
        <v>69</v>
      </c>
      <c r="BA41" s="154">
        <v>4</v>
      </c>
      <c r="BB41" s="154" t="s">
        <v>69</v>
      </c>
      <c r="BC41" s="154" t="s">
        <v>69</v>
      </c>
      <c r="BD41" s="169" t="s">
        <v>69</v>
      </c>
      <c r="BE41" s="169" t="s">
        <v>69</v>
      </c>
      <c r="BF41" s="169" t="s">
        <v>69</v>
      </c>
      <c r="BG41" s="154" t="s">
        <v>69</v>
      </c>
      <c r="BH41" s="154" t="s">
        <v>69</v>
      </c>
      <c r="BI41" s="169" t="s">
        <v>69</v>
      </c>
      <c r="BJ41" s="169" t="s">
        <v>69</v>
      </c>
      <c r="BK41" s="169" t="s">
        <v>69</v>
      </c>
      <c r="BL41" s="169" t="s">
        <v>69</v>
      </c>
      <c r="BM41" s="154" t="s">
        <v>69</v>
      </c>
      <c r="BN41" s="154" t="s">
        <v>69</v>
      </c>
      <c r="BO41" s="154" t="s">
        <v>69</v>
      </c>
      <c r="BP41" s="154" t="s">
        <v>69</v>
      </c>
      <c r="BQ41" s="154">
        <v>4</v>
      </c>
      <c r="BR41" s="169">
        <v>4</v>
      </c>
      <c r="BS41" s="169" t="s">
        <v>69</v>
      </c>
      <c r="BT41" s="169" t="s">
        <v>69</v>
      </c>
      <c r="BU41" s="154" t="s">
        <v>69</v>
      </c>
      <c r="BV41" s="154" t="s">
        <v>69</v>
      </c>
      <c r="BW41" s="154" t="s">
        <v>69</v>
      </c>
      <c r="BX41" s="154" t="s">
        <v>69</v>
      </c>
      <c r="BY41" s="154" t="s">
        <v>69</v>
      </c>
      <c r="BZ41" s="154">
        <v>4</v>
      </c>
      <c r="CA41" s="154">
        <v>4</v>
      </c>
      <c r="CB41" s="154" t="s">
        <v>69</v>
      </c>
      <c r="CC41" s="154" t="s">
        <v>69</v>
      </c>
      <c r="CD41" s="154" t="s">
        <v>69</v>
      </c>
      <c r="CE41" s="154" t="s">
        <v>69</v>
      </c>
      <c r="CF41" s="154" t="s">
        <v>69</v>
      </c>
      <c r="CG41" s="154">
        <v>4</v>
      </c>
      <c r="CH41" s="154" t="s">
        <v>69</v>
      </c>
      <c r="CI41" s="154" t="s">
        <v>69</v>
      </c>
      <c r="CJ41" s="154" t="s">
        <v>69</v>
      </c>
      <c r="CK41" s="154" t="s">
        <v>69</v>
      </c>
      <c r="CL41" s="154" t="s">
        <v>69</v>
      </c>
      <c r="CM41" s="154">
        <v>4</v>
      </c>
      <c r="CN41" s="154">
        <v>4</v>
      </c>
      <c r="CO41" s="154">
        <v>4</v>
      </c>
      <c r="CP41" s="154">
        <v>3</v>
      </c>
      <c r="CQ41" s="154" t="s">
        <v>69</v>
      </c>
      <c r="CR41" s="154" t="s">
        <v>69</v>
      </c>
      <c r="CS41" s="154">
        <v>3</v>
      </c>
      <c r="CT41" s="154" t="s">
        <v>69</v>
      </c>
      <c r="CU41" s="154" t="s">
        <v>69</v>
      </c>
      <c r="CV41" s="154" t="s">
        <v>69</v>
      </c>
      <c r="CW41" s="154" t="s">
        <v>69</v>
      </c>
      <c r="CX41" s="154" t="s">
        <v>69</v>
      </c>
      <c r="CY41" s="154" t="s">
        <v>69</v>
      </c>
      <c r="CZ41" s="154">
        <v>2</v>
      </c>
      <c r="DA41" s="154" t="s">
        <v>69</v>
      </c>
      <c r="DB41" s="154" t="s">
        <v>69</v>
      </c>
      <c r="DC41" s="154" t="s">
        <v>69</v>
      </c>
      <c r="DD41" s="154" t="s">
        <v>69</v>
      </c>
      <c r="DE41" s="154" t="s">
        <v>69</v>
      </c>
      <c r="DF41" s="154">
        <v>2</v>
      </c>
      <c r="DG41" s="154" t="s">
        <v>69</v>
      </c>
      <c r="DH41" s="154" t="s">
        <v>69</v>
      </c>
      <c r="DI41" s="154" t="s">
        <v>69</v>
      </c>
      <c r="DJ41" s="154" t="s">
        <v>69</v>
      </c>
      <c r="DK41" s="154">
        <v>3</v>
      </c>
      <c r="DL41" s="154" t="s">
        <v>69</v>
      </c>
      <c r="DM41" s="154" t="s">
        <v>69</v>
      </c>
      <c r="DN41" s="154" t="s">
        <v>69</v>
      </c>
      <c r="DO41" s="154" t="s">
        <v>69</v>
      </c>
      <c r="DP41" s="154" t="s">
        <v>69</v>
      </c>
      <c r="DQ41" s="154" t="s">
        <v>69</v>
      </c>
      <c r="DR41" s="154" t="s">
        <v>69</v>
      </c>
      <c r="DS41" s="154">
        <v>3</v>
      </c>
      <c r="DT41" s="168">
        <v>4</v>
      </c>
      <c r="DU41" s="110">
        <f t="shared" si="2"/>
        <v>0.41935483870967744</v>
      </c>
      <c r="DV41" s="104">
        <f t="shared" si="3"/>
        <v>0.92307692307692313</v>
      </c>
    </row>
    <row r="42" spans="1:126" ht="68.25" hidden="1" customHeight="1" thickBot="1">
      <c r="A42" s="218" t="s">
        <v>387</v>
      </c>
      <c r="B42" s="236" t="s">
        <v>415</v>
      </c>
      <c r="C42" s="239" t="s">
        <v>416</v>
      </c>
      <c r="D42" s="219">
        <v>45024</v>
      </c>
      <c r="E42" s="220" t="s">
        <v>434</v>
      </c>
      <c r="F42" s="167">
        <v>4</v>
      </c>
      <c r="G42" s="154">
        <v>4</v>
      </c>
      <c r="H42" s="154" t="s">
        <v>69</v>
      </c>
      <c r="I42" s="154" t="s">
        <v>69</v>
      </c>
      <c r="J42" s="154" t="s">
        <v>69</v>
      </c>
      <c r="K42" s="154" t="s">
        <v>69</v>
      </c>
      <c r="L42" s="154">
        <v>3</v>
      </c>
      <c r="M42" s="154">
        <v>3</v>
      </c>
      <c r="N42" s="154">
        <v>3</v>
      </c>
      <c r="O42" s="154">
        <v>3</v>
      </c>
      <c r="P42" s="154" t="s">
        <v>69</v>
      </c>
      <c r="Q42" s="154" t="s">
        <v>69</v>
      </c>
      <c r="R42" s="154" t="s">
        <v>69</v>
      </c>
      <c r="S42" s="154">
        <v>3</v>
      </c>
      <c r="T42" s="154">
        <v>3</v>
      </c>
      <c r="U42" s="154">
        <v>3</v>
      </c>
      <c r="V42" s="154" t="s">
        <v>69</v>
      </c>
      <c r="W42" s="154" t="s">
        <v>69</v>
      </c>
      <c r="X42" s="154" t="s">
        <v>69</v>
      </c>
      <c r="Y42" s="154" t="s">
        <v>69</v>
      </c>
      <c r="Z42" s="154" t="s">
        <v>69</v>
      </c>
      <c r="AA42" s="154" t="s">
        <v>69</v>
      </c>
      <c r="AB42" s="154" t="s">
        <v>69</v>
      </c>
      <c r="AC42" s="154">
        <v>2</v>
      </c>
      <c r="AD42" s="154" t="s">
        <v>69</v>
      </c>
      <c r="AE42" s="154" t="s">
        <v>69</v>
      </c>
      <c r="AF42" s="154" t="s">
        <v>69</v>
      </c>
      <c r="AG42" s="154" t="s">
        <v>69</v>
      </c>
      <c r="AH42" s="154" t="s">
        <v>69</v>
      </c>
      <c r="AI42" s="154" t="s">
        <v>69</v>
      </c>
      <c r="AJ42" s="154" t="s">
        <v>69</v>
      </c>
      <c r="AK42" s="154" t="s">
        <v>69</v>
      </c>
      <c r="AL42" s="154" t="s">
        <v>69</v>
      </c>
      <c r="AM42" s="154" t="s">
        <v>69</v>
      </c>
      <c r="AN42" s="154" t="s">
        <v>69</v>
      </c>
      <c r="AO42" s="154" t="s">
        <v>69</v>
      </c>
      <c r="AP42" s="154">
        <v>2</v>
      </c>
      <c r="AQ42" s="154" t="s">
        <v>69</v>
      </c>
      <c r="AR42" s="154" t="s">
        <v>69</v>
      </c>
      <c r="AS42" s="154" t="s">
        <v>69</v>
      </c>
      <c r="AT42" s="154" t="s">
        <v>69</v>
      </c>
      <c r="AU42" s="154" t="s">
        <v>69</v>
      </c>
      <c r="AV42" s="154" t="s">
        <v>69</v>
      </c>
      <c r="AW42" s="154" t="s">
        <v>69</v>
      </c>
      <c r="AX42" s="154" t="s">
        <v>69</v>
      </c>
      <c r="AY42" s="154" t="s">
        <v>69</v>
      </c>
      <c r="AZ42" s="154" t="s">
        <v>69</v>
      </c>
      <c r="BA42" s="154" t="s">
        <v>69</v>
      </c>
      <c r="BB42" s="154" t="s">
        <v>69</v>
      </c>
      <c r="BC42" s="154">
        <v>3</v>
      </c>
      <c r="BD42" s="154" t="s">
        <v>69</v>
      </c>
      <c r="BE42" s="154" t="s">
        <v>69</v>
      </c>
      <c r="BF42" s="154">
        <v>4</v>
      </c>
      <c r="BG42" s="154" t="s">
        <v>69</v>
      </c>
      <c r="BH42" s="154" t="s">
        <v>69</v>
      </c>
      <c r="BI42" s="154" t="s">
        <v>69</v>
      </c>
      <c r="BJ42" s="154" t="s">
        <v>69</v>
      </c>
      <c r="BK42" s="154" t="s">
        <v>69</v>
      </c>
      <c r="BL42" s="154" t="s">
        <v>69</v>
      </c>
      <c r="BM42" s="154" t="s">
        <v>69</v>
      </c>
      <c r="BN42" s="154">
        <v>4</v>
      </c>
      <c r="BO42" s="154" t="s">
        <v>69</v>
      </c>
      <c r="BP42" s="154">
        <v>3</v>
      </c>
      <c r="BQ42" s="154">
        <v>4</v>
      </c>
      <c r="BR42" s="154">
        <v>4</v>
      </c>
      <c r="BS42" s="154" t="s">
        <v>69</v>
      </c>
      <c r="BT42" s="154" t="s">
        <v>69</v>
      </c>
      <c r="BU42" s="154" t="s">
        <v>69</v>
      </c>
      <c r="BV42" s="154" t="s">
        <v>69</v>
      </c>
      <c r="BW42" s="154" t="s">
        <v>69</v>
      </c>
      <c r="BX42" s="154" t="s">
        <v>69</v>
      </c>
      <c r="BY42" s="154" t="s">
        <v>69</v>
      </c>
      <c r="BZ42" s="154" t="s">
        <v>69</v>
      </c>
      <c r="CA42" s="154" t="s">
        <v>69</v>
      </c>
      <c r="CB42" s="154" t="s">
        <v>69</v>
      </c>
      <c r="CC42" s="154" t="s">
        <v>69</v>
      </c>
      <c r="CD42" s="154" t="s">
        <v>69</v>
      </c>
      <c r="CE42" s="154" t="s">
        <v>69</v>
      </c>
      <c r="CF42" s="154" t="s">
        <v>69</v>
      </c>
      <c r="CG42" s="154" t="s">
        <v>69</v>
      </c>
      <c r="CH42" s="154" t="s">
        <v>69</v>
      </c>
      <c r="CI42" s="154" t="s">
        <v>69</v>
      </c>
      <c r="CJ42" s="154" t="s">
        <v>69</v>
      </c>
      <c r="CK42" s="154" t="s">
        <v>69</v>
      </c>
      <c r="CL42" s="154" t="s">
        <v>69</v>
      </c>
      <c r="CM42" s="154" t="s">
        <v>69</v>
      </c>
      <c r="CN42" s="154" t="s">
        <v>69</v>
      </c>
      <c r="CO42" s="154" t="s">
        <v>69</v>
      </c>
      <c r="CP42" s="154">
        <v>3</v>
      </c>
      <c r="CQ42" s="154">
        <v>3</v>
      </c>
      <c r="CR42" s="154" t="s">
        <v>69</v>
      </c>
      <c r="CS42" s="154" t="s">
        <v>69</v>
      </c>
      <c r="CT42" s="154">
        <v>3</v>
      </c>
      <c r="CU42" s="154" t="s">
        <v>69</v>
      </c>
      <c r="CV42" s="154" t="s">
        <v>69</v>
      </c>
      <c r="CW42" s="154" t="s">
        <v>69</v>
      </c>
      <c r="CX42" s="154" t="s">
        <v>69</v>
      </c>
      <c r="CY42" s="154" t="s">
        <v>69</v>
      </c>
      <c r="CZ42" s="154" t="s">
        <v>69</v>
      </c>
      <c r="DA42" s="154" t="s">
        <v>69</v>
      </c>
      <c r="DB42" s="154" t="s">
        <v>69</v>
      </c>
      <c r="DC42" s="154" t="s">
        <v>69</v>
      </c>
      <c r="DD42" s="154" t="s">
        <v>69</v>
      </c>
      <c r="DE42" s="154">
        <v>3</v>
      </c>
      <c r="DF42" s="154" t="s">
        <v>69</v>
      </c>
      <c r="DG42" s="154" t="s">
        <v>69</v>
      </c>
      <c r="DH42" s="154" t="s">
        <v>69</v>
      </c>
      <c r="DI42" s="154" t="s">
        <v>69</v>
      </c>
      <c r="DJ42" s="154" t="s">
        <v>69</v>
      </c>
      <c r="DK42" s="154">
        <v>2</v>
      </c>
      <c r="DL42" s="154">
        <v>4</v>
      </c>
      <c r="DM42" s="154" t="s">
        <v>69</v>
      </c>
      <c r="DN42" s="154" t="s">
        <v>69</v>
      </c>
      <c r="DO42" s="154" t="s">
        <v>69</v>
      </c>
      <c r="DP42" s="154" t="s">
        <v>69</v>
      </c>
      <c r="DQ42" s="154" t="s">
        <v>69</v>
      </c>
      <c r="DR42" s="154" t="s">
        <v>69</v>
      </c>
      <c r="DS42" s="154" t="s">
        <v>69</v>
      </c>
      <c r="DT42" s="168">
        <v>3</v>
      </c>
      <c r="DU42" s="110">
        <f t="shared" si="2"/>
        <v>0.38709677419354838</v>
      </c>
      <c r="DV42" s="104">
        <f t="shared" si="3"/>
        <v>0.875</v>
      </c>
    </row>
    <row r="43" spans="1:126" ht="68.25" hidden="1" customHeight="1" thickBot="1">
      <c r="A43" s="218" t="s">
        <v>391</v>
      </c>
      <c r="B43" s="236" t="s">
        <v>417</v>
      </c>
      <c r="C43" s="239" t="s">
        <v>418</v>
      </c>
      <c r="D43" s="219">
        <v>44938</v>
      </c>
      <c r="E43" s="220" t="s">
        <v>434</v>
      </c>
      <c r="F43" s="167" t="s">
        <v>69</v>
      </c>
      <c r="G43" s="154" t="s">
        <v>69</v>
      </c>
      <c r="H43" s="154" t="s">
        <v>69</v>
      </c>
      <c r="I43" s="154" t="s">
        <v>69</v>
      </c>
      <c r="J43" s="154" t="s">
        <v>69</v>
      </c>
      <c r="K43" s="154" t="s">
        <v>69</v>
      </c>
      <c r="L43" s="154" t="s">
        <v>69</v>
      </c>
      <c r="M43" s="154" t="s">
        <v>69</v>
      </c>
      <c r="N43" s="154" t="s">
        <v>69</v>
      </c>
      <c r="O43" s="154">
        <v>3</v>
      </c>
      <c r="P43" s="154" t="s">
        <v>69</v>
      </c>
      <c r="Q43" s="154" t="s">
        <v>69</v>
      </c>
      <c r="R43" s="154" t="s">
        <v>69</v>
      </c>
      <c r="S43" s="154" t="s">
        <v>69</v>
      </c>
      <c r="T43" s="165" t="s">
        <v>69</v>
      </c>
      <c r="U43" s="165" t="s">
        <v>69</v>
      </c>
      <c r="V43" s="154" t="s">
        <v>69</v>
      </c>
      <c r="W43" s="154" t="s">
        <v>69</v>
      </c>
      <c r="X43" s="154" t="s">
        <v>69</v>
      </c>
      <c r="Y43" s="154" t="s">
        <v>69</v>
      </c>
      <c r="Z43" s="154" t="s">
        <v>69</v>
      </c>
      <c r="AA43" s="154" t="s">
        <v>69</v>
      </c>
      <c r="AB43" s="154" t="s">
        <v>69</v>
      </c>
      <c r="AC43" s="154" t="s">
        <v>69</v>
      </c>
      <c r="AD43" s="154" t="s">
        <v>69</v>
      </c>
      <c r="AE43" s="154" t="s">
        <v>69</v>
      </c>
      <c r="AF43" s="154">
        <v>4</v>
      </c>
      <c r="AG43" s="154">
        <v>4</v>
      </c>
      <c r="AH43" s="154" t="s">
        <v>69</v>
      </c>
      <c r="AI43" s="154" t="s">
        <v>69</v>
      </c>
      <c r="AJ43" s="154" t="s">
        <v>69</v>
      </c>
      <c r="AK43" s="154" t="s">
        <v>69</v>
      </c>
      <c r="AL43" s="154">
        <v>3</v>
      </c>
      <c r="AM43" s="154">
        <v>4</v>
      </c>
      <c r="AN43" s="154">
        <v>4</v>
      </c>
      <c r="AO43" s="154">
        <v>4</v>
      </c>
      <c r="AP43" s="154">
        <v>4</v>
      </c>
      <c r="AQ43" s="154">
        <v>4</v>
      </c>
      <c r="AR43" s="154" t="s">
        <v>69</v>
      </c>
      <c r="AS43" s="154" t="s">
        <v>69</v>
      </c>
      <c r="AT43" s="154" t="s">
        <v>69</v>
      </c>
      <c r="AU43" s="154" t="s">
        <v>69</v>
      </c>
      <c r="AV43" s="154" t="s">
        <v>69</v>
      </c>
      <c r="AW43" s="154" t="s">
        <v>69</v>
      </c>
      <c r="AX43" s="154" t="s">
        <v>69</v>
      </c>
      <c r="AY43" s="154" t="s">
        <v>69</v>
      </c>
      <c r="AZ43" s="154" t="s">
        <v>69</v>
      </c>
      <c r="BA43" s="154" t="s">
        <v>69</v>
      </c>
      <c r="BB43" s="154" t="s">
        <v>69</v>
      </c>
      <c r="BC43" s="154" t="s">
        <v>69</v>
      </c>
      <c r="BD43" s="154" t="s">
        <v>69</v>
      </c>
      <c r="BE43" s="154" t="s">
        <v>69</v>
      </c>
      <c r="BF43" s="154" t="s">
        <v>69</v>
      </c>
      <c r="BG43" s="154" t="s">
        <v>69</v>
      </c>
      <c r="BH43" s="154" t="s">
        <v>69</v>
      </c>
      <c r="BI43" s="154" t="s">
        <v>69</v>
      </c>
      <c r="BJ43" s="154" t="s">
        <v>69</v>
      </c>
      <c r="BK43" s="154">
        <v>2</v>
      </c>
      <c r="BL43" s="154" t="s">
        <v>69</v>
      </c>
      <c r="BM43" s="154" t="s">
        <v>69</v>
      </c>
      <c r="BN43" s="154" t="s">
        <v>69</v>
      </c>
      <c r="BO43" s="154" t="s">
        <v>69</v>
      </c>
      <c r="BP43" s="154" t="s">
        <v>69</v>
      </c>
      <c r="BQ43" s="154" t="s">
        <v>69</v>
      </c>
      <c r="BR43" s="154">
        <v>4</v>
      </c>
      <c r="BS43" s="154" t="s">
        <v>69</v>
      </c>
      <c r="BT43" s="154" t="s">
        <v>69</v>
      </c>
      <c r="BU43" s="154" t="s">
        <v>69</v>
      </c>
      <c r="BV43" s="154" t="s">
        <v>69</v>
      </c>
      <c r="BW43" s="154" t="s">
        <v>69</v>
      </c>
      <c r="BX43" s="154" t="s">
        <v>69</v>
      </c>
      <c r="BY43" s="154" t="s">
        <v>69</v>
      </c>
      <c r="BZ43" s="154" t="s">
        <v>69</v>
      </c>
      <c r="CA43" s="154" t="s">
        <v>69</v>
      </c>
      <c r="CB43" s="154" t="s">
        <v>69</v>
      </c>
      <c r="CC43" s="154" t="s">
        <v>69</v>
      </c>
      <c r="CD43" s="154" t="s">
        <v>69</v>
      </c>
      <c r="CE43" s="154" t="s">
        <v>69</v>
      </c>
      <c r="CF43" s="154" t="s">
        <v>69</v>
      </c>
      <c r="CG43" s="154" t="s">
        <v>69</v>
      </c>
      <c r="CH43" s="154" t="s">
        <v>69</v>
      </c>
      <c r="CI43" s="154" t="s">
        <v>69</v>
      </c>
      <c r="CJ43" s="154" t="s">
        <v>69</v>
      </c>
      <c r="CK43" s="154" t="s">
        <v>69</v>
      </c>
      <c r="CL43" s="154" t="s">
        <v>69</v>
      </c>
      <c r="CM43" s="154" t="s">
        <v>69</v>
      </c>
      <c r="CN43" s="154" t="s">
        <v>69</v>
      </c>
      <c r="CO43" s="154" t="s">
        <v>69</v>
      </c>
      <c r="CP43" s="154" t="s">
        <v>69</v>
      </c>
      <c r="CQ43" s="154" t="s">
        <v>69</v>
      </c>
      <c r="CR43" s="154" t="s">
        <v>69</v>
      </c>
      <c r="CS43" s="154" t="s">
        <v>69</v>
      </c>
      <c r="CT43" s="154" t="s">
        <v>69</v>
      </c>
      <c r="CU43" s="154" t="s">
        <v>69</v>
      </c>
      <c r="CV43" s="154">
        <v>2</v>
      </c>
      <c r="CW43" s="154">
        <v>2</v>
      </c>
      <c r="CX43" s="154" t="s">
        <v>69</v>
      </c>
      <c r="CY43" s="154">
        <v>3</v>
      </c>
      <c r="CZ43" s="154">
        <v>3</v>
      </c>
      <c r="DA43" s="154">
        <v>4</v>
      </c>
      <c r="DB43" s="154">
        <v>4</v>
      </c>
      <c r="DC43" s="154">
        <v>3</v>
      </c>
      <c r="DD43" s="154">
        <v>3</v>
      </c>
      <c r="DE43" s="154" t="s">
        <v>69</v>
      </c>
      <c r="DF43" s="154">
        <v>4</v>
      </c>
      <c r="DG43" s="154" t="s">
        <v>69</v>
      </c>
      <c r="DH43" s="154">
        <v>3</v>
      </c>
      <c r="DI43" s="154" t="s">
        <v>69</v>
      </c>
      <c r="DJ43" s="154" t="s">
        <v>69</v>
      </c>
      <c r="DK43" s="154" t="s">
        <v>69</v>
      </c>
      <c r="DL43" s="154" t="s">
        <v>69</v>
      </c>
      <c r="DM43" s="154" t="s">
        <v>69</v>
      </c>
      <c r="DN43" s="154" t="s">
        <v>69</v>
      </c>
      <c r="DO43" s="154" t="s">
        <v>69</v>
      </c>
      <c r="DP43" s="154" t="s">
        <v>69</v>
      </c>
      <c r="DQ43" s="154" t="s">
        <v>69</v>
      </c>
      <c r="DR43" s="154" t="s">
        <v>69</v>
      </c>
      <c r="DS43" s="154" t="s">
        <v>69</v>
      </c>
      <c r="DT43" s="168">
        <v>3</v>
      </c>
      <c r="DU43" s="110">
        <f t="shared" si="2"/>
        <v>0.35483870967741937</v>
      </c>
      <c r="DV43" s="104">
        <f t="shared" si="3"/>
        <v>0.86363636363636365</v>
      </c>
    </row>
    <row r="44" spans="1:126" ht="68.25" hidden="1" customHeight="1" thickBot="1">
      <c r="A44" s="218" t="s">
        <v>393</v>
      </c>
      <c r="B44" s="236" t="s">
        <v>419</v>
      </c>
      <c r="C44" s="239" t="s">
        <v>420</v>
      </c>
      <c r="D44" s="219">
        <v>44938</v>
      </c>
      <c r="E44" s="220" t="s">
        <v>434</v>
      </c>
      <c r="F44" s="167" t="s">
        <v>69</v>
      </c>
      <c r="G44" s="154" t="s">
        <v>69</v>
      </c>
      <c r="H44" s="154" t="s">
        <v>69</v>
      </c>
      <c r="I44" s="154" t="s">
        <v>69</v>
      </c>
      <c r="J44" s="154" t="s">
        <v>69</v>
      </c>
      <c r="K44" s="154" t="s">
        <v>69</v>
      </c>
      <c r="L44" s="154" t="s">
        <v>69</v>
      </c>
      <c r="M44" s="154" t="s">
        <v>69</v>
      </c>
      <c r="N44" s="154" t="s">
        <v>69</v>
      </c>
      <c r="O44" s="154" t="s">
        <v>69</v>
      </c>
      <c r="P44" s="154" t="s">
        <v>69</v>
      </c>
      <c r="Q44" s="154" t="s">
        <v>69</v>
      </c>
      <c r="R44" s="154" t="s">
        <v>69</v>
      </c>
      <c r="S44" s="154" t="s">
        <v>69</v>
      </c>
      <c r="T44" s="165" t="s">
        <v>69</v>
      </c>
      <c r="U44" s="165" t="s">
        <v>69</v>
      </c>
      <c r="V44" s="154" t="s">
        <v>69</v>
      </c>
      <c r="W44" s="154" t="s">
        <v>69</v>
      </c>
      <c r="X44" s="154" t="s">
        <v>69</v>
      </c>
      <c r="Y44" s="154" t="s">
        <v>69</v>
      </c>
      <c r="Z44" s="154" t="s">
        <v>69</v>
      </c>
      <c r="AA44" s="154" t="s">
        <v>69</v>
      </c>
      <c r="AB44" s="154" t="s">
        <v>69</v>
      </c>
      <c r="AC44" s="154" t="s">
        <v>69</v>
      </c>
      <c r="AD44" s="154">
        <v>4</v>
      </c>
      <c r="AE44" s="154" t="s">
        <v>69</v>
      </c>
      <c r="AF44" s="154" t="s">
        <v>69</v>
      </c>
      <c r="AG44" s="154" t="s">
        <v>69</v>
      </c>
      <c r="AH44" s="154" t="s">
        <v>69</v>
      </c>
      <c r="AI44" s="154">
        <v>3</v>
      </c>
      <c r="AJ44" s="154" t="s">
        <v>69</v>
      </c>
      <c r="AK44" s="154" t="s">
        <v>69</v>
      </c>
      <c r="AL44" s="154">
        <v>4</v>
      </c>
      <c r="AM44" s="154">
        <v>4</v>
      </c>
      <c r="AN44" s="154">
        <v>4</v>
      </c>
      <c r="AO44" s="154">
        <v>4</v>
      </c>
      <c r="AP44" s="154" t="s">
        <v>69</v>
      </c>
      <c r="AQ44" s="154" t="s">
        <v>69</v>
      </c>
      <c r="AR44" s="154" t="s">
        <v>69</v>
      </c>
      <c r="AS44" s="154" t="s">
        <v>69</v>
      </c>
      <c r="AT44" s="154" t="s">
        <v>69</v>
      </c>
      <c r="AU44" s="154" t="s">
        <v>69</v>
      </c>
      <c r="AV44" s="154" t="s">
        <v>69</v>
      </c>
      <c r="AW44" s="154" t="s">
        <v>69</v>
      </c>
      <c r="AX44" s="154" t="s">
        <v>69</v>
      </c>
      <c r="AY44" s="154" t="s">
        <v>69</v>
      </c>
      <c r="AZ44" s="154" t="s">
        <v>69</v>
      </c>
      <c r="BA44" s="154" t="s">
        <v>69</v>
      </c>
      <c r="BB44" s="154" t="s">
        <v>69</v>
      </c>
      <c r="BC44" s="154" t="s">
        <v>69</v>
      </c>
      <c r="BD44" s="154" t="s">
        <v>69</v>
      </c>
      <c r="BE44" s="154" t="s">
        <v>69</v>
      </c>
      <c r="BF44" s="154" t="s">
        <v>69</v>
      </c>
      <c r="BG44" s="154" t="s">
        <v>69</v>
      </c>
      <c r="BH44" s="154" t="s">
        <v>69</v>
      </c>
      <c r="BI44" s="154" t="s">
        <v>69</v>
      </c>
      <c r="BJ44" s="154" t="s">
        <v>69</v>
      </c>
      <c r="BK44" s="154" t="s">
        <v>69</v>
      </c>
      <c r="BL44" s="154" t="s">
        <v>69</v>
      </c>
      <c r="BM44" s="154" t="s">
        <v>69</v>
      </c>
      <c r="BN44" s="154" t="s">
        <v>69</v>
      </c>
      <c r="BO44" s="154" t="s">
        <v>69</v>
      </c>
      <c r="BP44" s="154" t="s">
        <v>69</v>
      </c>
      <c r="BQ44" s="154" t="s">
        <v>69</v>
      </c>
      <c r="BR44" s="154"/>
      <c r="BS44" s="154" t="s">
        <v>69</v>
      </c>
      <c r="BT44" s="154" t="s">
        <v>69</v>
      </c>
      <c r="BU44" s="154" t="s">
        <v>69</v>
      </c>
      <c r="BV44" s="154" t="s">
        <v>69</v>
      </c>
      <c r="BW44" s="154" t="s">
        <v>69</v>
      </c>
      <c r="BX44" s="154" t="s">
        <v>69</v>
      </c>
      <c r="BY44" s="154" t="s">
        <v>69</v>
      </c>
      <c r="BZ44" s="154" t="s">
        <v>69</v>
      </c>
      <c r="CA44" s="154" t="s">
        <v>69</v>
      </c>
      <c r="CB44" s="154" t="s">
        <v>69</v>
      </c>
      <c r="CC44" s="154" t="s">
        <v>69</v>
      </c>
      <c r="CD44" s="154" t="s">
        <v>69</v>
      </c>
      <c r="CE44" s="154" t="s">
        <v>69</v>
      </c>
      <c r="CF44" s="154" t="s">
        <v>69</v>
      </c>
      <c r="CG44" s="154">
        <v>4</v>
      </c>
      <c r="CH44" s="154" t="s">
        <v>69</v>
      </c>
      <c r="CI44" s="154" t="s">
        <v>69</v>
      </c>
      <c r="CJ44" s="154" t="s">
        <v>69</v>
      </c>
      <c r="CK44" s="154" t="s">
        <v>69</v>
      </c>
      <c r="CL44" s="154" t="s">
        <v>69</v>
      </c>
      <c r="CM44" s="154" t="s">
        <v>69</v>
      </c>
      <c r="CN44" s="154" t="s">
        <v>69</v>
      </c>
      <c r="CO44" s="154">
        <v>3</v>
      </c>
      <c r="CP44" s="154" t="s">
        <v>69</v>
      </c>
      <c r="CQ44" s="154">
        <v>3</v>
      </c>
      <c r="CR44" s="154" t="s">
        <v>69</v>
      </c>
      <c r="CS44" s="154" t="s">
        <v>69</v>
      </c>
      <c r="CT44" s="154" t="s">
        <v>69</v>
      </c>
      <c r="CU44" s="154" t="s">
        <v>69</v>
      </c>
      <c r="CV44" s="154" t="s">
        <v>69</v>
      </c>
      <c r="CW44" s="154" t="s">
        <v>69</v>
      </c>
      <c r="CX44" s="154" t="s">
        <v>69</v>
      </c>
      <c r="CY44" s="154" t="s">
        <v>69</v>
      </c>
      <c r="CZ44" s="154" t="s">
        <v>69</v>
      </c>
      <c r="DA44" s="154">
        <v>4</v>
      </c>
      <c r="DB44" s="154">
        <v>4</v>
      </c>
      <c r="DC44" s="154">
        <v>4</v>
      </c>
      <c r="DD44" s="154">
        <v>4</v>
      </c>
      <c r="DE44" s="154">
        <v>4</v>
      </c>
      <c r="DF44" s="154" t="s">
        <v>69</v>
      </c>
      <c r="DG44" s="154" t="s">
        <v>69</v>
      </c>
      <c r="DH44" s="154" t="s">
        <v>69</v>
      </c>
      <c r="DI44" s="154" t="s">
        <v>69</v>
      </c>
      <c r="DJ44" s="154" t="s">
        <v>69</v>
      </c>
      <c r="DK44" s="154" t="s">
        <v>69</v>
      </c>
      <c r="DL44" s="154" t="s">
        <v>69</v>
      </c>
      <c r="DM44" s="154" t="s">
        <v>69</v>
      </c>
      <c r="DN44" s="154" t="s">
        <v>69</v>
      </c>
      <c r="DO44" s="154" t="s">
        <v>69</v>
      </c>
      <c r="DP44" s="154" t="s">
        <v>69</v>
      </c>
      <c r="DQ44" s="154" t="s">
        <v>69</v>
      </c>
      <c r="DR44" s="154" t="s">
        <v>69</v>
      </c>
      <c r="DS44" s="154" t="s">
        <v>69</v>
      </c>
      <c r="DT44" s="168">
        <v>4</v>
      </c>
      <c r="DU44" s="110">
        <f t="shared" si="2"/>
        <v>0.24193548387096775</v>
      </c>
      <c r="DV44" s="104">
        <f t="shared" si="3"/>
        <v>1</v>
      </c>
    </row>
    <row r="45" spans="1:126" ht="68.25" hidden="1" customHeight="1" thickBot="1">
      <c r="A45" s="218" t="s">
        <v>407</v>
      </c>
      <c r="B45" s="236" t="s">
        <v>421</v>
      </c>
      <c r="C45" s="239" t="s">
        <v>422</v>
      </c>
      <c r="D45" s="219">
        <v>45240</v>
      </c>
      <c r="E45" s="220" t="s">
        <v>434</v>
      </c>
      <c r="F45" s="167">
        <v>4</v>
      </c>
      <c r="G45" s="154" t="s">
        <v>69</v>
      </c>
      <c r="H45" s="154" t="s">
        <v>69</v>
      </c>
      <c r="I45" s="154" t="s">
        <v>69</v>
      </c>
      <c r="J45" s="154" t="s">
        <v>69</v>
      </c>
      <c r="K45" s="154" t="s">
        <v>69</v>
      </c>
      <c r="L45" s="154" t="s">
        <v>69</v>
      </c>
      <c r="M45" s="154" t="s">
        <v>69</v>
      </c>
      <c r="N45" s="154" t="s">
        <v>69</v>
      </c>
      <c r="O45" s="154">
        <v>3</v>
      </c>
      <c r="P45" s="154" t="s">
        <v>69</v>
      </c>
      <c r="Q45" s="154">
        <v>2</v>
      </c>
      <c r="R45" s="154" t="s">
        <v>69</v>
      </c>
      <c r="S45" s="154">
        <v>3</v>
      </c>
      <c r="T45" s="165" t="s">
        <v>69</v>
      </c>
      <c r="U45" s="165" t="s">
        <v>69</v>
      </c>
      <c r="V45" s="154" t="s">
        <v>69</v>
      </c>
      <c r="W45" s="154" t="s">
        <v>69</v>
      </c>
      <c r="X45" s="154" t="s">
        <v>69</v>
      </c>
      <c r="Y45" s="154" t="s">
        <v>69</v>
      </c>
      <c r="Z45" s="154" t="s">
        <v>69</v>
      </c>
      <c r="AA45" s="154" t="s">
        <v>69</v>
      </c>
      <c r="AB45" s="154" t="s">
        <v>69</v>
      </c>
      <c r="AC45" s="154" t="s">
        <v>69</v>
      </c>
      <c r="AD45" s="154" t="s">
        <v>69</v>
      </c>
      <c r="AE45" s="154" t="s">
        <v>69</v>
      </c>
      <c r="AF45" s="154" t="s">
        <v>69</v>
      </c>
      <c r="AG45" s="154" t="s">
        <v>69</v>
      </c>
      <c r="AH45" s="154" t="s">
        <v>69</v>
      </c>
      <c r="AI45" s="154" t="s">
        <v>69</v>
      </c>
      <c r="AJ45" s="154" t="s">
        <v>69</v>
      </c>
      <c r="AK45" s="154" t="s">
        <v>69</v>
      </c>
      <c r="AL45" s="154" t="s">
        <v>69</v>
      </c>
      <c r="AM45" s="154" t="s">
        <v>69</v>
      </c>
      <c r="AN45" s="154" t="s">
        <v>69</v>
      </c>
      <c r="AO45" s="154" t="s">
        <v>69</v>
      </c>
      <c r="AP45" s="154" t="s">
        <v>69</v>
      </c>
      <c r="AQ45" s="154" t="s">
        <v>69</v>
      </c>
      <c r="AR45" s="154">
        <v>3</v>
      </c>
      <c r="AS45" s="154">
        <v>4</v>
      </c>
      <c r="AT45" s="154" t="s">
        <v>69</v>
      </c>
      <c r="AU45" s="154">
        <v>3</v>
      </c>
      <c r="AV45" s="154">
        <v>4</v>
      </c>
      <c r="AW45" s="154" t="s">
        <v>69</v>
      </c>
      <c r="AX45" s="154">
        <v>4</v>
      </c>
      <c r="AY45" s="154" t="s">
        <v>69</v>
      </c>
      <c r="AZ45" s="154" t="s">
        <v>69</v>
      </c>
      <c r="BA45" s="154" t="s">
        <v>69</v>
      </c>
      <c r="BB45" s="154" t="s">
        <v>69</v>
      </c>
      <c r="BC45" s="154" t="s">
        <v>69</v>
      </c>
      <c r="BD45" s="154">
        <v>4</v>
      </c>
      <c r="BE45" s="154">
        <v>4</v>
      </c>
      <c r="BF45" s="154" t="s">
        <v>69</v>
      </c>
      <c r="BG45" s="154" t="s">
        <v>69</v>
      </c>
      <c r="BH45" s="154" t="s">
        <v>69</v>
      </c>
      <c r="BI45" s="154" t="s">
        <v>69</v>
      </c>
      <c r="BJ45" s="154" t="s">
        <v>69</v>
      </c>
      <c r="BK45" s="154" t="s">
        <v>69</v>
      </c>
      <c r="BL45" s="154" t="s">
        <v>69</v>
      </c>
      <c r="BM45" s="154" t="s">
        <v>69</v>
      </c>
      <c r="BN45" s="154" t="s">
        <v>69</v>
      </c>
      <c r="BO45" s="154" t="s">
        <v>69</v>
      </c>
      <c r="BP45" s="154" t="s">
        <v>69</v>
      </c>
      <c r="BQ45" s="154" t="s">
        <v>69</v>
      </c>
      <c r="BR45" s="154">
        <v>4</v>
      </c>
      <c r="BS45" s="154" t="s">
        <v>69</v>
      </c>
      <c r="BT45" s="154" t="s">
        <v>69</v>
      </c>
      <c r="BU45" s="154" t="s">
        <v>69</v>
      </c>
      <c r="BV45" s="154" t="s">
        <v>69</v>
      </c>
      <c r="BW45" s="154" t="s">
        <v>69</v>
      </c>
      <c r="BX45" s="154" t="s">
        <v>69</v>
      </c>
      <c r="BY45" s="154">
        <v>3</v>
      </c>
      <c r="BZ45" s="154">
        <v>3</v>
      </c>
      <c r="CA45" s="154" t="s">
        <v>69</v>
      </c>
      <c r="CB45" s="154" t="s">
        <v>69</v>
      </c>
      <c r="CC45" s="154" t="s">
        <v>69</v>
      </c>
      <c r="CD45" s="154" t="s">
        <v>69</v>
      </c>
      <c r="CE45" s="154" t="s">
        <v>69</v>
      </c>
      <c r="CF45" s="154" t="s">
        <v>69</v>
      </c>
      <c r="CG45" s="154">
        <v>4</v>
      </c>
      <c r="CH45" s="154" t="s">
        <v>69</v>
      </c>
      <c r="CI45" s="154" t="s">
        <v>69</v>
      </c>
      <c r="CJ45" s="154" t="s">
        <v>69</v>
      </c>
      <c r="CK45" s="154" t="s">
        <v>69</v>
      </c>
      <c r="CL45" s="154" t="s">
        <v>69</v>
      </c>
      <c r="CM45" s="154" t="s">
        <v>69</v>
      </c>
      <c r="CN45" s="154">
        <v>4</v>
      </c>
      <c r="CO45" s="154">
        <v>4</v>
      </c>
      <c r="CP45" s="154">
        <v>4</v>
      </c>
      <c r="CQ45" s="154">
        <v>4</v>
      </c>
      <c r="CR45" s="154" t="s">
        <v>69</v>
      </c>
      <c r="CS45" s="154" t="s">
        <v>69</v>
      </c>
      <c r="CT45" s="154" t="s">
        <v>69</v>
      </c>
      <c r="CU45" s="154">
        <v>3</v>
      </c>
      <c r="CV45" s="154" t="s">
        <v>69</v>
      </c>
      <c r="CW45" s="154" t="s">
        <v>69</v>
      </c>
      <c r="CX45" s="154" t="s">
        <v>69</v>
      </c>
      <c r="CY45" s="154" t="s">
        <v>69</v>
      </c>
      <c r="CZ45" s="154" t="s">
        <v>69</v>
      </c>
      <c r="DA45" s="154" t="s">
        <v>69</v>
      </c>
      <c r="DB45" s="154" t="s">
        <v>69</v>
      </c>
      <c r="DC45" s="154" t="s">
        <v>69</v>
      </c>
      <c r="DD45" s="154" t="s">
        <v>69</v>
      </c>
      <c r="DE45" s="154" t="s">
        <v>69</v>
      </c>
      <c r="DF45" s="154" t="s">
        <v>69</v>
      </c>
      <c r="DG45" s="154" t="s">
        <v>69</v>
      </c>
      <c r="DH45" s="154" t="s">
        <v>69</v>
      </c>
      <c r="DI45" s="154" t="s">
        <v>69</v>
      </c>
      <c r="DJ45" s="154" t="s">
        <v>69</v>
      </c>
      <c r="DK45" s="154" t="s">
        <v>69</v>
      </c>
      <c r="DL45" s="154" t="s">
        <v>69</v>
      </c>
      <c r="DM45" s="154" t="s">
        <v>69</v>
      </c>
      <c r="DN45" s="154" t="s">
        <v>69</v>
      </c>
      <c r="DO45" s="154" t="s">
        <v>69</v>
      </c>
      <c r="DP45" s="154" t="s">
        <v>69</v>
      </c>
      <c r="DQ45" s="154" t="s">
        <v>69</v>
      </c>
      <c r="DR45" s="154" t="s">
        <v>69</v>
      </c>
      <c r="DS45" s="154">
        <v>2</v>
      </c>
      <c r="DT45" s="168">
        <v>3</v>
      </c>
      <c r="DU45" s="110">
        <f t="shared" si="2"/>
        <v>0.35483870967741937</v>
      </c>
      <c r="DV45" s="104">
        <f t="shared" si="3"/>
        <v>0.90909090909090906</v>
      </c>
    </row>
    <row r="46" spans="1:126" ht="68.25" hidden="1" customHeight="1" thickBot="1">
      <c r="A46" s="218" t="s">
        <v>409</v>
      </c>
      <c r="B46" s="236" t="s">
        <v>427</v>
      </c>
      <c r="C46" s="239" t="s">
        <v>428</v>
      </c>
      <c r="D46" s="219" t="s">
        <v>607</v>
      </c>
      <c r="E46" s="220" t="s">
        <v>434</v>
      </c>
      <c r="F46" s="154" t="s">
        <v>69</v>
      </c>
      <c r="G46" s="154" t="s">
        <v>69</v>
      </c>
      <c r="H46" s="154" t="s">
        <v>69</v>
      </c>
      <c r="I46" s="154" t="s">
        <v>69</v>
      </c>
      <c r="J46" s="154" t="s">
        <v>69</v>
      </c>
      <c r="K46" s="154" t="s">
        <v>69</v>
      </c>
      <c r="L46" s="154" t="s">
        <v>69</v>
      </c>
      <c r="M46" s="154" t="s">
        <v>69</v>
      </c>
      <c r="N46" s="154" t="s">
        <v>69</v>
      </c>
      <c r="O46" s="154">
        <v>3</v>
      </c>
      <c r="P46" s="154" t="s">
        <v>69</v>
      </c>
      <c r="Q46" s="154" t="s">
        <v>69</v>
      </c>
      <c r="R46" s="154">
        <v>3</v>
      </c>
      <c r="S46" s="154" t="s">
        <v>69</v>
      </c>
      <c r="T46" s="165" t="s">
        <v>69</v>
      </c>
      <c r="U46" s="165" t="s">
        <v>69</v>
      </c>
      <c r="V46" s="154" t="s">
        <v>69</v>
      </c>
      <c r="W46" s="154" t="s">
        <v>69</v>
      </c>
      <c r="X46" s="154" t="s">
        <v>69</v>
      </c>
      <c r="Y46" s="154" t="s">
        <v>69</v>
      </c>
      <c r="Z46" s="154">
        <v>4</v>
      </c>
      <c r="AA46" s="154" t="s">
        <v>69</v>
      </c>
      <c r="AB46" s="154" t="s">
        <v>69</v>
      </c>
      <c r="AC46" s="154" t="s">
        <v>69</v>
      </c>
      <c r="AD46" s="154" t="s">
        <v>69</v>
      </c>
      <c r="AE46" s="154" t="s">
        <v>69</v>
      </c>
      <c r="AF46" s="154" t="s">
        <v>69</v>
      </c>
      <c r="AG46" s="154" t="s">
        <v>69</v>
      </c>
      <c r="AH46" s="154" t="s">
        <v>69</v>
      </c>
      <c r="AI46" s="154" t="s">
        <v>69</v>
      </c>
      <c r="AJ46" s="154" t="s">
        <v>69</v>
      </c>
      <c r="AK46" s="154" t="s">
        <v>69</v>
      </c>
      <c r="AL46" s="154">
        <v>3</v>
      </c>
      <c r="AM46" s="154">
        <v>4</v>
      </c>
      <c r="AN46" s="154">
        <v>4</v>
      </c>
      <c r="AO46" s="154">
        <v>4</v>
      </c>
      <c r="AP46" s="154">
        <v>4</v>
      </c>
      <c r="AQ46" s="154"/>
      <c r="AR46" s="154" t="s">
        <v>69</v>
      </c>
      <c r="AS46" s="154" t="s">
        <v>69</v>
      </c>
      <c r="AT46" s="154" t="s">
        <v>69</v>
      </c>
      <c r="AU46" s="154" t="s">
        <v>69</v>
      </c>
      <c r="AV46" s="154" t="s">
        <v>69</v>
      </c>
      <c r="AW46" s="154" t="s">
        <v>69</v>
      </c>
      <c r="AX46" s="154" t="s">
        <v>69</v>
      </c>
      <c r="AY46" s="154" t="s">
        <v>69</v>
      </c>
      <c r="AZ46" s="154" t="s">
        <v>69</v>
      </c>
      <c r="BA46" s="154" t="s">
        <v>69</v>
      </c>
      <c r="BB46" s="154" t="s">
        <v>69</v>
      </c>
      <c r="BC46" s="154" t="s">
        <v>69</v>
      </c>
      <c r="BD46" s="154"/>
      <c r="BE46" s="154" t="s">
        <v>69</v>
      </c>
      <c r="BF46" s="154"/>
      <c r="BG46" s="154" t="s">
        <v>69</v>
      </c>
      <c r="BH46" s="154" t="s">
        <v>69</v>
      </c>
      <c r="BI46" s="154" t="s">
        <v>69</v>
      </c>
      <c r="BJ46" s="154" t="s">
        <v>69</v>
      </c>
      <c r="BK46" s="154" t="s">
        <v>69</v>
      </c>
      <c r="BL46" s="154" t="s">
        <v>69</v>
      </c>
      <c r="BM46" s="154" t="s">
        <v>69</v>
      </c>
      <c r="BN46" s="154">
        <v>2</v>
      </c>
      <c r="BO46" s="154" t="s">
        <v>69</v>
      </c>
      <c r="BP46" s="154">
        <v>2</v>
      </c>
      <c r="BQ46" s="154" t="s">
        <v>69</v>
      </c>
      <c r="BR46" s="154"/>
      <c r="BS46" s="154" t="s">
        <v>69</v>
      </c>
      <c r="BT46" s="154" t="s">
        <v>69</v>
      </c>
      <c r="BU46" s="154" t="s">
        <v>69</v>
      </c>
      <c r="BV46" s="154" t="s">
        <v>69</v>
      </c>
      <c r="BW46" s="154" t="s">
        <v>69</v>
      </c>
      <c r="BX46" s="154" t="s">
        <v>69</v>
      </c>
      <c r="BY46" s="154" t="s">
        <v>69</v>
      </c>
      <c r="BZ46" s="154" t="s">
        <v>69</v>
      </c>
      <c r="CA46" s="154" t="s">
        <v>69</v>
      </c>
      <c r="CB46" s="154" t="s">
        <v>69</v>
      </c>
      <c r="CC46" s="154" t="s">
        <v>69</v>
      </c>
      <c r="CD46" s="154" t="s">
        <v>69</v>
      </c>
      <c r="CE46" s="154" t="s">
        <v>69</v>
      </c>
      <c r="CF46" s="154" t="s">
        <v>69</v>
      </c>
      <c r="CG46" s="154">
        <v>3</v>
      </c>
      <c r="CH46" s="154" t="s">
        <v>69</v>
      </c>
      <c r="CI46" s="154" t="s">
        <v>69</v>
      </c>
      <c r="CJ46" s="154" t="s">
        <v>69</v>
      </c>
      <c r="CK46" s="154" t="s">
        <v>69</v>
      </c>
      <c r="CL46" s="154" t="s">
        <v>69</v>
      </c>
      <c r="CM46" s="154" t="s">
        <v>69</v>
      </c>
      <c r="CN46" s="154">
        <v>3</v>
      </c>
      <c r="CO46" s="154" t="s">
        <v>69</v>
      </c>
      <c r="CP46" s="154">
        <v>4</v>
      </c>
      <c r="CQ46" s="154" t="s">
        <v>69</v>
      </c>
      <c r="CR46" s="154" t="s">
        <v>69</v>
      </c>
      <c r="CS46" s="154" t="s">
        <v>69</v>
      </c>
      <c r="CT46" s="154">
        <v>3</v>
      </c>
      <c r="CU46" s="154" t="s">
        <v>69</v>
      </c>
      <c r="CV46" s="154" t="s">
        <v>69</v>
      </c>
      <c r="CW46" s="154" t="s">
        <v>69</v>
      </c>
      <c r="CX46" s="154" t="s">
        <v>69</v>
      </c>
      <c r="CY46" s="154" t="s">
        <v>69</v>
      </c>
      <c r="CZ46" s="154" t="s">
        <v>69</v>
      </c>
      <c r="DA46" s="154">
        <v>3</v>
      </c>
      <c r="DB46" s="154"/>
      <c r="DC46" s="154">
        <v>3</v>
      </c>
      <c r="DD46" s="154">
        <v>3</v>
      </c>
      <c r="DE46" s="154" t="s">
        <v>69</v>
      </c>
      <c r="DF46" s="154">
        <v>4</v>
      </c>
      <c r="DG46" s="154" t="s">
        <v>69</v>
      </c>
      <c r="DH46" s="154" t="s">
        <v>69</v>
      </c>
      <c r="DI46" s="154" t="s">
        <v>69</v>
      </c>
      <c r="DJ46" s="154" t="s">
        <v>69</v>
      </c>
      <c r="DK46" s="154" t="s">
        <v>69</v>
      </c>
      <c r="DL46" s="154" t="s">
        <v>69</v>
      </c>
      <c r="DM46" s="154">
        <v>2</v>
      </c>
      <c r="DN46" s="154" t="s">
        <v>69</v>
      </c>
      <c r="DO46" s="154" t="s">
        <v>69</v>
      </c>
      <c r="DP46" s="154" t="s">
        <v>69</v>
      </c>
      <c r="DQ46" s="154" t="s">
        <v>69</v>
      </c>
      <c r="DR46" s="154" t="s">
        <v>69</v>
      </c>
      <c r="DS46" s="154" t="s">
        <v>69</v>
      </c>
      <c r="DT46" s="168">
        <v>3</v>
      </c>
      <c r="DU46" s="110">
        <f t="shared" si="2"/>
        <v>0.32258064516129031</v>
      </c>
      <c r="DV46" s="104">
        <f t="shared" si="3"/>
        <v>0.85</v>
      </c>
    </row>
    <row r="47" spans="1:126" ht="68.25" hidden="1" customHeight="1" thickBot="1">
      <c r="A47" s="218" t="s">
        <v>411</v>
      </c>
      <c r="B47" s="236" t="s">
        <v>287</v>
      </c>
      <c r="C47" s="239" t="s">
        <v>288</v>
      </c>
      <c r="D47" s="219" t="s">
        <v>607</v>
      </c>
      <c r="E47" s="220" t="s">
        <v>434</v>
      </c>
      <c r="F47" s="167">
        <v>3</v>
      </c>
      <c r="G47" s="154" t="s">
        <v>69</v>
      </c>
      <c r="H47" s="154" t="s">
        <v>69</v>
      </c>
      <c r="I47" s="154" t="s">
        <v>69</v>
      </c>
      <c r="J47" s="154" t="s">
        <v>69</v>
      </c>
      <c r="K47" s="154">
        <v>2</v>
      </c>
      <c r="L47" s="154" t="s">
        <v>69</v>
      </c>
      <c r="M47" s="154" t="s">
        <v>69</v>
      </c>
      <c r="N47" s="154" t="s">
        <v>69</v>
      </c>
      <c r="O47" s="154">
        <v>3</v>
      </c>
      <c r="P47" s="154" t="s">
        <v>69</v>
      </c>
      <c r="Q47" s="154">
        <v>3</v>
      </c>
      <c r="R47" s="154" t="s">
        <v>69</v>
      </c>
      <c r="S47" s="154" t="s">
        <v>69</v>
      </c>
      <c r="T47" s="165" t="s">
        <v>69</v>
      </c>
      <c r="U47" s="165" t="s">
        <v>69</v>
      </c>
      <c r="V47" s="154" t="s">
        <v>69</v>
      </c>
      <c r="W47" s="154" t="s">
        <v>69</v>
      </c>
      <c r="X47" s="154" t="s">
        <v>69</v>
      </c>
      <c r="Y47" s="154" t="s">
        <v>69</v>
      </c>
      <c r="Z47" s="154" t="s">
        <v>69</v>
      </c>
      <c r="AA47" s="154">
        <v>4</v>
      </c>
      <c r="AB47" s="154" t="s">
        <v>69</v>
      </c>
      <c r="AC47" s="154" t="s">
        <v>69</v>
      </c>
      <c r="AD47" s="154" t="s">
        <v>69</v>
      </c>
      <c r="AE47" s="154" t="s">
        <v>69</v>
      </c>
      <c r="AF47" s="154">
        <v>4</v>
      </c>
      <c r="AG47" s="154" t="s">
        <v>69</v>
      </c>
      <c r="AH47" s="154" t="s">
        <v>69</v>
      </c>
      <c r="AI47" s="154" t="s">
        <v>69</v>
      </c>
      <c r="AJ47" s="154" t="s">
        <v>69</v>
      </c>
      <c r="AK47" s="154" t="s">
        <v>69</v>
      </c>
      <c r="AL47" s="154">
        <v>3</v>
      </c>
      <c r="AM47" s="154" t="s">
        <v>69</v>
      </c>
      <c r="AN47" s="154">
        <v>4</v>
      </c>
      <c r="AO47" s="154" t="s">
        <v>69</v>
      </c>
      <c r="AP47" s="154">
        <v>3</v>
      </c>
      <c r="AQ47" s="154" t="s">
        <v>69</v>
      </c>
      <c r="AR47" s="154">
        <v>4</v>
      </c>
      <c r="AS47" s="154">
        <v>4</v>
      </c>
      <c r="AT47" s="154" t="s">
        <v>69</v>
      </c>
      <c r="AU47" s="154">
        <v>4</v>
      </c>
      <c r="AV47" s="154">
        <v>4</v>
      </c>
      <c r="AW47" s="154" t="s">
        <v>69</v>
      </c>
      <c r="AX47" s="154">
        <v>4</v>
      </c>
      <c r="AY47" s="154">
        <v>4</v>
      </c>
      <c r="AZ47" s="154" t="s">
        <v>69</v>
      </c>
      <c r="BA47" s="154">
        <v>3</v>
      </c>
      <c r="BB47" s="154">
        <v>3</v>
      </c>
      <c r="BC47" s="154" t="s">
        <v>69</v>
      </c>
      <c r="BD47" s="154" t="s">
        <v>69</v>
      </c>
      <c r="BE47" s="154">
        <v>4</v>
      </c>
      <c r="BF47" s="154" t="s">
        <v>69</v>
      </c>
      <c r="BG47" s="154" t="s">
        <v>69</v>
      </c>
      <c r="BH47" s="154" t="s">
        <v>69</v>
      </c>
      <c r="BI47" s="154" t="s">
        <v>69</v>
      </c>
      <c r="BJ47" s="154">
        <v>4</v>
      </c>
      <c r="BK47" s="154" t="s">
        <v>69</v>
      </c>
      <c r="BL47" s="154" t="s">
        <v>69</v>
      </c>
      <c r="BM47" s="154" t="s">
        <v>69</v>
      </c>
      <c r="BN47" s="154" t="s">
        <v>69</v>
      </c>
      <c r="BO47" s="154" t="s">
        <v>69</v>
      </c>
      <c r="BP47" s="154" t="s">
        <v>69</v>
      </c>
      <c r="BQ47" s="154" t="s">
        <v>69</v>
      </c>
      <c r="BR47" s="154">
        <v>4</v>
      </c>
      <c r="BS47" s="154" t="s">
        <v>69</v>
      </c>
      <c r="BT47" s="154" t="s">
        <v>69</v>
      </c>
      <c r="BU47" s="154" t="s">
        <v>69</v>
      </c>
      <c r="BV47" s="154" t="s">
        <v>69</v>
      </c>
      <c r="BW47" s="154" t="s">
        <v>69</v>
      </c>
      <c r="BX47" s="154" t="s">
        <v>69</v>
      </c>
      <c r="BY47" s="154">
        <v>4</v>
      </c>
      <c r="BZ47" s="154">
        <v>4</v>
      </c>
      <c r="CA47" s="154" t="s">
        <v>69</v>
      </c>
      <c r="CB47" s="154" t="s">
        <v>69</v>
      </c>
      <c r="CC47" s="154" t="s">
        <v>69</v>
      </c>
      <c r="CD47" s="154" t="s">
        <v>69</v>
      </c>
      <c r="CE47" s="154" t="s">
        <v>69</v>
      </c>
      <c r="CF47" s="154" t="s">
        <v>69</v>
      </c>
      <c r="CG47" s="154">
        <v>4</v>
      </c>
      <c r="CH47" s="154" t="s">
        <v>69</v>
      </c>
      <c r="CI47" s="154">
        <v>2</v>
      </c>
      <c r="CJ47" s="154">
        <v>2</v>
      </c>
      <c r="CK47" s="154">
        <v>3</v>
      </c>
      <c r="CL47" s="154" t="s">
        <v>69</v>
      </c>
      <c r="CM47" s="154" t="s">
        <v>69</v>
      </c>
      <c r="CN47" s="154">
        <v>3</v>
      </c>
      <c r="CO47" s="154" t="s">
        <v>69</v>
      </c>
      <c r="CP47" s="154">
        <v>3</v>
      </c>
      <c r="CQ47" s="154" t="s">
        <v>69</v>
      </c>
      <c r="CR47" s="154" t="s">
        <v>69</v>
      </c>
      <c r="CS47" s="154" t="s">
        <v>69</v>
      </c>
      <c r="CT47" s="154" t="s">
        <v>69</v>
      </c>
      <c r="CU47" s="154" t="s">
        <v>69</v>
      </c>
      <c r="CV47" s="154" t="s">
        <v>69</v>
      </c>
      <c r="CW47" s="154" t="s">
        <v>69</v>
      </c>
      <c r="CX47" s="154">
        <v>3</v>
      </c>
      <c r="CY47" s="154" t="s">
        <v>69</v>
      </c>
      <c r="CZ47" s="154" t="s">
        <v>69</v>
      </c>
      <c r="DA47" s="154" t="s">
        <v>69</v>
      </c>
      <c r="DB47" s="154" t="s">
        <v>69</v>
      </c>
      <c r="DC47" s="154" t="s">
        <v>69</v>
      </c>
      <c r="DD47" s="154" t="s">
        <v>69</v>
      </c>
      <c r="DE47" s="154" t="s">
        <v>69</v>
      </c>
      <c r="DF47" s="154" t="s">
        <v>69</v>
      </c>
      <c r="DG47" s="154" t="s">
        <v>69</v>
      </c>
      <c r="DH47" s="154" t="s">
        <v>69</v>
      </c>
      <c r="DI47" s="154" t="s">
        <v>69</v>
      </c>
      <c r="DJ47" s="154" t="s">
        <v>69</v>
      </c>
      <c r="DK47" s="154">
        <v>3</v>
      </c>
      <c r="DL47" s="154" t="s">
        <v>69</v>
      </c>
      <c r="DM47" s="154" t="s">
        <v>69</v>
      </c>
      <c r="DN47" s="154" t="s">
        <v>69</v>
      </c>
      <c r="DO47" s="154" t="s">
        <v>69</v>
      </c>
      <c r="DP47" s="154" t="s">
        <v>69</v>
      </c>
      <c r="DQ47" s="154" t="s">
        <v>69</v>
      </c>
      <c r="DR47" s="154" t="s">
        <v>69</v>
      </c>
      <c r="DS47" s="154">
        <v>2</v>
      </c>
      <c r="DT47" s="168">
        <v>4</v>
      </c>
      <c r="DU47" s="110">
        <f t="shared" si="2"/>
        <v>0.5161290322580645</v>
      </c>
      <c r="DV47" s="104">
        <f t="shared" si="3"/>
        <v>0.875</v>
      </c>
    </row>
    <row r="48" spans="1:126" ht="68.25" hidden="1" customHeight="1" thickBot="1">
      <c r="A48" s="218" t="s">
        <v>415</v>
      </c>
      <c r="B48" s="236" t="s">
        <v>302</v>
      </c>
      <c r="C48" s="239" t="s">
        <v>303</v>
      </c>
      <c r="D48" s="219">
        <v>44953</v>
      </c>
      <c r="E48" s="220" t="s">
        <v>434</v>
      </c>
      <c r="F48" s="167">
        <v>4</v>
      </c>
      <c r="G48" s="154">
        <v>4</v>
      </c>
      <c r="H48" s="154" t="s">
        <v>69</v>
      </c>
      <c r="I48" s="154" t="s">
        <v>69</v>
      </c>
      <c r="J48" s="154" t="s">
        <v>69</v>
      </c>
      <c r="K48" s="154" t="s">
        <v>69</v>
      </c>
      <c r="L48" s="154" t="s">
        <v>69</v>
      </c>
      <c r="M48" s="154" t="s">
        <v>69</v>
      </c>
      <c r="N48" s="154" t="s">
        <v>69</v>
      </c>
      <c r="O48" s="154" t="s">
        <v>69</v>
      </c>
      <c r="P48" s="154" t="s">
        <v>69</v>
      </c>
      <c r="Q48" s="154" t="s">
        <v>69</v>
      </c>
      <c r="R48" s="154" t="s">
        <v>69</v>
      </c>
      <c r="S48" s="154" t="s">
        <v>69</v>
      </c>
      <c r="T48" s="165" t="s">
        <v>69</v>
      </c>
      <c r="U48" s="165" t="s">
        <v>69</v>
      </c>
      <c r="V48" s="154" t="s">
        <v>69</v>
      </c>
      <c r="W48" s="154" t="s">
        <v>69</v>
      </c>
      <c r="X48" s="154">
        <v>4</v>
      </c>
      <c r="Y48" s="154">
        <v>4</v>
      </c>
      <c r="Z48" s="154" t="s">
        <v>69</v>
      </c>
      <c r="AA48" s="154" t="s">
        <v>69</v>
      </c>
      <c r="AB48" s="154" t="s">
        <v>69</v>
      </c>
      <c r="AC48" s="154">
        <v>4</v>
      </c>
      <c r="AD48" s="154" t="s">
        <v>69</v>
      </c>
      <c r="AE48" s="154" t="s">
        <v>69</v>
      </c>
      <c r="AF48" s="154" t="s">
        <v>69</v>
      </c>
      <c r="AG48" s="154" t="s">
        <v>69</v>
      </c>
      <c r="AH48" s="154" t="s">
        <v>69</v>
      </c>
      <c r="AI48" s="154" t="s">
        <v>69</v>
      </c>
      <c r="AJ48" s="154" t="s">
        <v>69</v>
      </c>
      <c r="AK48" s="154" t="s">
        <v>69</v>
      </c>
      <c r="AL48" s="154" t="s">
        <v>69</v>
      </c>
      <c r="AM48" s="154" t="s">
        <v>69</v>
      </c>
      <c r="AN48" s="154" t="s">
        <v>69</v>
      </c>
      <c r="AO48" s="154" t="s">
        <v>69</v>
      </c>
      <c r="AP48" s="154">
        <v>4</v>
      </c>
      <c r="AQ48" s="154">
        <v>4</v>
      </c>
      <c r="AR48" s="154">
        <v>3</v>
      </c>
      <c r="AS48" s="154">
        <v>3</v>
      </c>
      <c r="AT48" s="154" t="s">
        <v>69</v>
      </c>
      <c r="AU48" s="154">
        <v>4</v>
      </c>
      <c r="AV48" s="154">
        <v>4</v>
      </c>
      <c r="AW48" s="154">
        <v>4</v>
      </c>
      <c r="AX48" s="154">
        <v>4</v>
      </c>
      <c r="AY48" s="154">
        <v>4</v>
      </c>
      <c r="AZ48" s="154">
        <v>4</v>
      </c>
      <c r="BA48" s="154">
        <v>4</v>
      </c>
      <c r="BB48" s="154">
        <v>4</v>
      </c>
      <c r="BC48" s="154">
        <v>4</v>
      </c>
      <c r="BD48" s="154">
        <v>4</v>
      </c>
      <c r="BE48" s="154">
        <v>4</v>
      </c>
      <c r="BF48" s="154">
        <v>4</v>
      </c>
      <c r="BG48" s="154" t="s">
        <v>69</v>
      </c>
      <c r="BH48" s="154" t="s">
        <v>69</v>
      </c>
      <c r="BI48" s="154" t="s">
        <v>69</v>
      </c>
      <c r="BJ48" s="154" t="s">
        <v>69</v>
      </c>
      <c r="BK48" s="154">
        <v>4</v>
      </c>
      <c r="BL48" s="154" t="s">
        <v>69</v>
      </c>
      <c r="BM48" s="154" t="s">
        <v>69</v>
      </c>
      <c r="BN48" s="154" t="s">
        <v>69</v>
      </c>
      <c r="BO48" s="154" t="s">
        <v>69</v>
      </c>
      <c r="BP48" s="154" t="s">
        <v>69</v>
      </c>
      <c r="BQ48" s="154">
        <v>4</v>
      </c>
      <c r="BR48" s="154">
        <v>4</v>
      </c>
      <c r="BS48" s="154" t="s">
        <v>69</v>
      </c>
      <c r="BT48" s="154" t="s">
        <v>69</v>
      </c>
      <c r="BU48" s="154">
        <v>4</v>
      </c>
      <c r="BV48" s="154">
        <v>4</v>
      </c>
      <c r="BW48" s="154" t="s">
        <v>69</v>
      </c>
      <c r="BX48" s="154" t="s">
        <v>69</v>
      </c>
      <c r="BY48" s="154" t="s">
        <v>69</v>
      </c>
      <c r="BZ48" s="154">
        <v>4</v>
      </c>
      <c r="CA48" s="154" t="s">
        <v>69</v>
      </c>
      <c r="CB48" s="154" t="s">
        <v>69</v>
      </c>
      <c r="CC48" s="154" t="s">
        <v>69</v>
      </c>
      <c r="CD48" s="154" t="s">
        <v>69</v>
      </c>
      <c r="CE48" s="154" t="s">
        <v>69</v>
      </c>
      <c r="CF48" s="154" t="s">
        <v>69</v>
      </c>
      <c r="CG48" s="154">
        <v>4</v>
      </c>
      <c r="CH48" s="154" t="s">
        <v>69</v>
      </c>
      <c r="CI48" s="154" t="s">
        <v>69</v>
      </c>
      <c r="CJ48" s="154" t="s">
        <v>69</v>
      </c>
      <c r="CK48" s="154" t="s">
        <v>69</v>
      </c>
      <c r="CL48" s="154" t="s">
        <v>69</v>
      </c>
      <c r="CM48" s="154">
        <v>4</v>
      </c>
      <c r="CN48" s="154" t="s">
        <v>69</v>
      </c>
      <c r="CO48" s="154" t="s">
        <v>69</v>
      </c>
      <c r="CP48" s="154" t="s">
        <v>69</v>
      </c>
      <c r="CQ48" s="154" t="s">
        <v>69</v>
      </c>
      <c r="CR48" s="154">
        <v>4</v>
      </c>
      <c r="CS48" s="154" t="s">
        <v>69</v>
      </c>
      <c r="CT48" s="154" t="s">
        <v>69</v>
      </c>
      <c r="CU48" s="154" t="s">
        <v>69</v>
      </c>
      <c r="CV48" s="154" t="s">
        <v>69</v>
      </c>
      <c r="CW48" s="154" t="s">
        <v>69</v>
      </c>
      <c r="CX48" s="154" t="s">
        <v>69</v>
      </c>
      <c r="CY48" s="154" t="s">
        <v>69</v>
      </c>
      <c r="CZ48" s="154">
        <v>4</v>
      </c>
      <c r="DA48" s="154">
        <v>4</v>
      </c>
      <c r="DB48" s="154" t="s">
        <v>69</v>
      </c>
      <c r="DC48" s="154">
        <v>4</v>
      </c>
      <c r="DD48" s="154" t="s">
        <v>69</v>
      </c>
      <c r="DE48" s="154" t="s">
        <v>69</v>
      </c>
      <c r="DF48" s="154">
        <v>4</v>
      </c>
      <c r="DG48" s="154" t="s">
        <v>69</v>
      </c>
      <c r="DH48" s="154" t="s">
        <v>69</v>
      </c>
      <c r="DI48" s="154" t="s">
        <v>69</v>
      </c>
      <c r="DJ48" s="154" t="s">
        <v>69</v>
      </c>
      <c r="DK48" s="154" t="s">
        <v>69</v>
      </c>
      <c r="DL48" s="154" t="s">
        <v>69</v>
      </c>
      <c r="DM48" s="154" t="s">
        <v>69</v>
      </c>
      <c r="DN48" s="154" t="s">
        <v>69</v>
      </c>
      <c r="DO48" s="154" t="s">
        <v>69</v>
      </c>
      <c r="DP48" s="154" t="s">
        <v>69</v>
      </c>
      <c r="DQ48" s="154" t="s">
        <v>69</v>
      </c>
      <c r="DR48" s="154" t="s">
        <v>69</v>
      </c>
      <c r="DS48" s="154">
        <v>3</v>
      </c>
      <c r="DT48" s="168">
        <v>4</v>
      </c>
      <c r="DU48" s="110">
        <f t="shared" si="2"/>
        <v>0.58064516129032262</v>
      </c>
      <c r="DV48" s="104">
        <f t="shared" si="3"/>
        <v>1</v>
      </c>
    </row>
    <row r="49" spans="1:126" ht="68.25" hidden="1" customHeight="1" thickBot="1">
      <c r="A49" s="218" t="s">
        <v>287</v>
      </c>
      <c r="B49" s="236" t="s">
        <v>119</v>
      </c>
      <c r="C49" s="239" t="s">
        <v>386</v>
      </c>
      <c r="D49" s="219">
        <v>43476</v>
      </c>
      <c r="E49" s="220" t="s">
        <v>434</v>
      </c>
      <c r="F49" s="167">
        <v>4</v>
      </c>
      <c r="G49" s="154" t="s">
        <v>69</v>
      </c>
      <c r="H49" s="154" t="s">
        <v>69</v>
      </c>
      <c r="I49" s="154" t="s">
        <v>69</v>
      </c>
      <c r="J49" s="154" t="s">
        <v>69</v>
      </c>
      <c r="K49" s="154">
        <v>3</v>
      </c>
      <c r="L49" s="154" t="s">
        <v>69</v>
      </c>
      <c r="M49" s="154">
        <v>4</v>
      </c>
      <c r="N49" s="154" t="s">
        <v>69</v>
      </c>
      <c r="O49" s="154">
        <v>3</v>
      </c>
      <c r="P49" s="154" t="s">
        <v>69</v>
      </c>
      <c r="Q49" s="154">
        <v>3</v>
      </c>
      <c r="R49" s="154" t="s">
        <v>69</v>
      </c>
      <c r="S49" s="154" t="s">
        <v>69</v>
      </c>
      <c r="T49" s="165" t="s">
        <v>69</v>
      </c>
      <c r="U49" s="165" t="s">
        <v>69</v>
      </c>
      <c r="V49" s="154" t="s">
        <v>69</v>
      </c>
      <c r="W49" s="154" t="s">
        <v>69</v>
      </c>
      <c r="X49" s="154" t="s">
        <v>69</v>
      </c>
      <c r="Y49" s="154" t="s">
        <v>69</v>
      </c>
      <c r="Z49" s="154" t="s">
        <v>69</v>
      </c>
      <c r="AA49" s="154" t="s">
        <v>69</v>
      </c>
      <c r="AB49" s="154" t="s">
        <v>69</v>
      </c>
      <c r="AC49" s="154" t="s">
        <v>69</v>
      </c>
      <c r="AD49" s="154" t="s">
        <v>69</v>
      </c>
      <c r="AE49" s="154" t="s">
        <v>69</v>
      </c>
      <c r="AF49" s="154">
        <v>3</v>
      </c>
      <c r="AG49" s="154" t="s">
        <v>69</v>
      </c>
      <c r="AH49" s="154" t="s">
        <v>69</v>
      </c>
      <c r="AI49" s="154" t="s">
        <v>69</v>
      </c>
      <c r="AJ49" s="154" t="s">
        <v>69</v>
      </c>
      <c r="AK49" s="154" t="s">
        <v>69</v>
      </c>
      <c r="AL49" s="154">
        <v>3</v>
      </c>
      <c r="AM49" s="154"/>
      <c r="AN49" s="154">
        <v>3</v>
      </c>
      <c r="AO49" s="154" t="s">
        <v>69</v>
      </c>
      <c r="AP49" s="154">
        <v>3</v>
      </c>
      <c r="AQ49" s="154" t="s">
        <v>69</v>
      </c>
      <c r="AR49" s="154" t="s">
        <v>69</v>
      </c>
      <c r="AS49" s="154">
        <v>3</v>
      </c>
      <c r="AT49" s="154" t="s">
        <v>69</v>
      </c>
      <c r="AU49" s="154">
        <v>3</v>
      </c>
      <c r="AV49" s="154">
        <v>3</v>
      </c>
      <c r="AW49" s="154" t="s">
        <v>69</v>
      </c>
      <c r="AX49" s="154">
        <v>3</v>
      </c>
      <c r="AY49" s="154">
        <v>3</v>
      </c>
      <c r="AZ49" s="154" t="s">
        <v>69</v>
      </c>
      <c r="BA49" s="154">
        <v>3</v>
      </c>
      <c r="BB49" s="154">
        <v>3</v>
      </c>
      <c r="BC49" s="154" t="s">
        <v>69</v>
      </c>
      <c r="BD49" s="154">
        <v>4</v>
      </c>
      <c r="BE49" s="154">
        <v>4</v>
      </c>
      <c r="BF49" s="154" t="s">
        <v>69</v>
      </c>
      <c r="BG49" s="154" t="s">
        <v>69</v>
      </c>
      <c r="BH49" s="154" t="s">
        <v>69</v>
      </c>
      <c r="BI49" s="154" t="s">
        <v>69</v>
      </c>
      <c r="BJ49" s="154">
        <v>4</v>
      </c>
      <c r="BK49" s="154">
        <v>2</v>
      </c>
      <c r="BL49" s="154" t="s">
        <v>69</v>
      </c>
      <c r="BM49" s="154" t="s">
        <v>69</v>
      </c>
      <c r="BN49" s="154" t="s">
        <v>69</v>
      </c>
      <c r="BO49" s="154" t="s">
        <v>69</v>
      </c>
      <c r="BP49" s="154" t="s">
        <v>69</v>
      </c>
      <c r="BQ49" s="154" t="s">
        <v>69</v>
      </c>
      <c r="BR49" s="154">
        <v>4</v>
      </c>
      <c r="BS49" s="154" t="s">
        <v>69</v>
      </c>
      <c r="BT49" s="154" t="s">
        <v>69</v>
      </c>
      <c r="BU49" s="154" t="s">
        <v>69</v>
      </c>
      <c r="BV49" s="154" t="s">
        <v>69</v>
      </c>
      <c r="BW49" s="154" t="s">
        <v>69</v>
      </c>
      <c r="BX49" s="154" t="s">
        <v>69</v>
      </c>
      <c r="BY49" s="154" t="s">
        <v>69</v>
      </c>
      <c r="BZ49" s="154" t="s">
        <v>69</v>
      </c>
      <c r="CA49" s="154" t="s">
        <v>69</v>
      </c>
      <c r="CB49" s="154" t="s">
        <v>69</v>
      </c>
      <c r="CC49" s="154" t="s">
        <v>69</v>
      </c>
      <c r="CD49" s="154" t="s">
        <v>69</v>
      </c>
      <c r="CE49" s="154" t="s">
        <v>69</v>
      </c>
      <c r="CF49" s="154" t="s">
        <v>69</v>
      </c>
      <c r="CG49" s="154">
        <v>4</v>
      </c>
      <c r="CH49" s="154" t="s">
        <v>69</v>
      </c>
      <c r="CI49" s="154" t="s">
        <v>69</v>
      </c>
      <c r="CJ49" s="154" t="s">
        <v>69</v>
      </c>
      <c r="CK49" s="154" t="s">
        <v>69</v>
      </c>
      <c r="CL49" s="154" t="s">
        <v>69</v>
      </c>
      <c r="CM49" s="154">
        <v>4</v>
      </c>
      <c r="CN49" s="154">
        <v>4</v>
      </c>
      <c r="CO49" s="154">
        <v>4</v>
      </c>
      <c r="CP49" s="154">
        <v>3</v>
      </c>
      <c r="CQ49" s="154" t="s">
        <v>69</v>
      </c>
      <c r="CR49" s="154" t="s">
        <v>69</v>
      </c>
      <c r="CS49" s="154">
        <v>3</v>
      </c>
      <c r="CT49" s="154" t="s">
        <v>69</v>
      </c>
      <c r="CU49" s="154" t="s">
        <v>69</v>
      </c>
      <c r="CV49" s="154" t="s">
        <v>69</v>
      </c>
      <c r="CW49" s="154" t="s">
        <v>69</v>
      </c>
      <c r="CX49" s="154">
        <v>4</v>
      </c>
      <c r="CY49" s="154" t="s">
        <v>69</v>
      </c>
      <c r="CZ49" s="154" t="s">
        <v>69</v>
      </c>
      <c r="DA49" s="154">
        <v>4</v>
      </c>
      <c r="DB49" s="154" t="s">
        <v>69</v>
      </c>
      <c r="DC49" s="154">
        <v>4</v>
      </c>
      <c r="DD49" s="154" t="s">
        <v>69</v>
      </c>
      <c r="DE49" s="154" t="s">
        <v>69</v>
      </c>
      <c r="DF49" s="154" t="s">
        <v>69</v>
      </c>
      <c r="DG49" s="154" t="s">
        <v>69</v>
      </c>
      <c r="DH49" s="154" t="s">
        <v>69</v>
      </c>
      <c r="DI49" s="154" t="s">
        <v>69</v>
      </c>
      <c r="DJ49" s="154" t="s">
        <v>69</v>
      </c>
      <c r="DK49" s="154">
        <v>2</v>
      </c>
      <c r="DL49" s="154" t="s">
        <v>69</v>
      </c>
      <c r="DM49" s="154" t="s">
        <v>69</v>
      </c>
      <c r="DN49" s="154" t="s">
        <v>69</v>
      </c>
      <c r="DO49" s="154" t="s">
        <v>69</v>
      </c>
      <c r="DP49" s="154" t="s">
        <v>69</v>
      </c>
      <c r="DQ49" s="154" t="s">
        <v>69</v>
      </c>
      <c r="DR49" s="154" t="s">
        <v>69</v>
      </c>
      <c r="DS49" s="154" t="s">
        <v>69</v>
      </c>
      <c r="DT49" s="168">
        <v>3</v>
      </c>
      <c r="DU49" s="110">
        <f t="shared" si="2"/>
        <v>0.5161290322580645</v>
      </c>
      <c r="DV49" s="104">
        <f t="shared" si="3"/>
        <v>0.9375</v>
      </c>
    </row>
    <row r="50" spans="1:126" ht="68.25" hidden="1" customHeight="1" thickBot="1">
      <c r="A50" s="218" t="s">
        <v>99</v>
      </c>
      <c r="B50" s="236" t="s">
        <v>537</v>
      </c>
      <c r="C50" s="239" t="s">
        <v>538</v>
      </c>
      <c r="D50" s="219">
        <v>45020</v>
      </c>
      <c r="E50" s="220" t="s">
        <v>434</v>
      </c>
      <c r="F50" s="167">
        <v>4</v>
      </c>
      <c r="G50" s="154">
        <v>4</v>
      </c>
      <c r="H50" s="154">
        <v>4</v>
      </c>
      <c r="I50" s="154" t="s">
        <v>69</v>
      </c>
      <c r="J50" s="154">
        <v>4</v>
      </c>
      <c r="K50" s="154" t="s">
        <v>69</v>
      </c>
      <c r="L50" s="154" t="s">
        <v>69</v>
      </c>
      <c r="M50" s="154" t="s">
        <v>69</v>
      </c>
      <c r="N50" s="154" t="s">
        <v>69</v>
      </c>
      <c r="O50" s="154" t="s">
        <v>69</v>
      </c>
      <c r="P50" s="154" t="s">
        <v>69</v>
      </c>
      <c r="Q50" s="154" t="s">
        <v>69</v>
      </c>
      <c r="R50" s="154" t="s">
        <v>69</v>
      </c>
      <c r="S50" s="154" t="s">
        <v>69</v>
      </c>
      <c r="T50" s="165" t="s">
        <v>69</v>
      </c>
      <c r="U50" s="165" t="s">
        <v>69</v>
      </c>
      <c r="V50" s="154" t="s">
        <v>69</v>
      </c>
      <c r="W50" s="154" t="s">
        <v>69</v>
      </c>
      <c r="X50" s="154" t="s">
        <v>69</v>
      </c>
      <c r="Y50" s="154" t="s">
        <v>69</v>
      </c>
      <c r="Z50" s="154" t="s">
        <v>69</v>
      </c>
      <c r="AA50" s="154" t="s">
        <v>69</v>
      </c>
      <c r="AB50" s="154" t="s">
        <v>69</v>
      </c>
      <c r="AC50" s="154" t="s">
        <v>69</v>
      </c>
      <c r="AD50" s="154" t="s">
        <v>69</v>
      </c>
      <c r="AE50" s="154" t="s">
        <v>69</v>
      </c>
      <c r="AF50" s="154" t="s">
        <v>69</v>
      </c>
      <c r="AG50" s="154" t="s">
        <v>69</v>
      </c>
      <c r="AH50" s="154" t="s">
        <v>69</v>
      </c>
      <c r="AI50" s="154" t="s">
        <v>69</v>
      </c>
      <c r="AJ50" s="154" t="s">
        <v>69</v>
      </c>
      <c r="AK50" s="154" t="s">
        <v>69</v>
      </c>
      <c r="AL50" s="154" t="s">
        <v>69</v>
      </c>
      <c r="AM50" s="154" t="s">
        <v>69</v>
      </c>
      <c r="AN50" s="154" t="s">
        <v>69</v>
      </c>
      <c r="AO50" s="154" t="s">
        <v>69</v>
      </c>
      <c r="AP50" s="154" t="s">
        <v>69</v>
      </c>
      <c r="AQ50" s="154" t="s">
        <v>69</v>
      </c>
      <c r="AR50" s="154" t="s">
        <v>69</v>
      </c>
      <c r="AS50" s="154" t="s">
        <v>69</v>
      </c>
      <c r="AT50" s="154" t="s">
        <v>69</v>
      </c>
      <c r="AU50" s="154" t="s">
        <v>69</v>
      </c>
      <c r="AV50" s="154" t="s">
        <v>69</v>
      </c>
      <c r="AW50" s="154" t="s">
        <v>69</v>
      </c>
      <c r="AX50" s="154" t="s">
        <v>69</v>
      </c>
      <c r="AY50" s="154" t="s">
        <v>69</v>
      </c>
      <c r="AZ50" s="154" t="s">
        <v>69</v>
      </c>
      <c r="BA50" s="154" t="s">
        <v>69</v>
      </c>
      <c r="BB50" s="154" t="s">
        <v>69</v>
      </c>
      <c r="BC50" s="154" t="s">
        <v>69</v>
      </c>
      <c r="BD50" s="154" t="s">
        <v>69</v>
      </c>
      <c r="BE50" s="154" t="s">
        <v>69</v>
      </c>
      <c r="BF50" s="154" t="s">
        <v>69</v>
      </c>
      <c r="BG50" s="154" t="s">
        <v>69</v>
      </c>
      <c r="BH50" s="154" t="s">
        <v>69</v>
      </c>
      <c r="BI50" s="154" t="s">
        <v>69</v>
      </c>
      <c r="BJ50" s="154" t="s">
        <v>69</v>
      </c>
      <c r="BK50" s="154" t="s">
        <v>69</v>
      </c>
      <c r="BL50" s="154" t="s">
        <v>69</v>
      </c>
      <c r="BM50" s="154">
        <v>2</v>
      </c>
      <c r="BN50" s="154" t="s">
        <v>69</v>
      </c>
      <c r="BO50" s="154" t="s">
        <v>69</v>
      </c>
      <c r="BP50" s="154" t="s">
        <v>69</v>
      </c>
      <c r="BQ50" s="154" t="s">
        <v>69</v>
      </c>
      <c r="BR50" s="154" t="s">
        <v>69</v>
      </c>
      <c r="BS50" s="154">
        <v>4</v>
      </c>
      <c r="BT50" s="154" t="s">
        <v>69</v>
      </c>
      <c r="BU50" s="154" t="s">
        <v>69</v>
      </c>
      <c r="BV50" s="154" t="s">
        <v>69</v>
      </c>
      <c r="BW50" s="154" t="s">
        <v>69</v>
      </c>
      <c r="BX50" s="154" t="s">
        <v>69</v>
      </c>
      <c r="BY50" s="154" t="s">
        <v>69</v>
      </c>
      <c r="BZ50" s="154" t="s">
        <v>69</v>
      </c>
      <c r="CA50" s="154" t="s">
        <v>69</v>
      </c>
      <c r="CB50" s="154" t="s">
        <v>69</v>
      </c>
      <c r="CC50" s="154" t="s">
        <v>69</v>
      </c>
      <c r="CD50" s="154" t="s">
        <v>69</v>
      </c>
      <c r="CE50" s="154" t="s">
        <v>69</v>
      </c>
      <c r="CF50" s="154" t="s">
        <v>69</v>
      </c>
      <c r="CG50" s="154" t="s">
        <v>69</v>
      </c>
      <c r="CH50" s="154" t="s">
        <v>69</v>
      </c>
      <c r="CI50" s="154" t="s">
        <v>69</v>
      </c>
      <c r="CJ50" s="154" t="s">
        <v>69</v>
      </c>
      <c r="CK50" s="154" t="s">
        <v>69</v>
      </c>
      <c r="CL50" s="154" t="s">
        <v>69</v>
      </c>
      <c r="CM50" s="154" t="s">
        <v>69</v>
      </c>
      <c r="CN50" s="154" t="s">
        <v>69</v>
      </c>
      <c r="CO50" s="154" t="s">
        <v>69</v>
      </c>
      <c r="CP50" s="154">
        <v>3</v>
      </c>
      <c r="CQ50" s="154" t="s">
        <v>69</v>
      </c>
      <c r="CR50" s="154" t="s">
        <v>69</v>
      </c>
      <c r="CS50" s="154" t="s">
        <v>69</v>
      </c>
      <c r="CT50" s="154" t="s">
        <v>69</v>
      </c>
      <c r="CU50" s="154" t="s">
        <v>69</v>
      </c>
      <c r="CV50" s="154" t="s">
        <v>69</v>
      </c>
      <c r="CW50" s="154" t="s">
        <v>69</v>
      </c>
      <c r="CX50" s="154" t="s">
        <v>69</v>
      </c>
      <c r="CY50" s="154" t="s">
        <v>69</v>
      </c>
      <c r="CZ50" s="154" t="s">
        <v>69</v>
      </c>
      <c r="DA50" s="154" t="s">
        <v>69</v>
      </c>
      <c r="DB50" s="154" t="s">
        <v>69</v>
      </c>
      <c r="DC50" s="154" t="s">
        <v>69</v>
      </c>
      <c r="DD50" s="154" t="s">
        <v>69</v>
      </c>
      <c r="DE50" s="154" t="s">
        <v>69</v>
      </c>
      <c r="DF50" s="154" t="s">
        <v>69</v>
      </c>
      <c r="DG50" s="154" t="s">
        <v>69</v>
      </c>
      <c r="DH50" s="154" t="s">
        <v>69</v>
      </c>
      <c r="DI50" s="154" t="s">
        <v>69</v>
      </c>
      <c r="DJ50" s="154">
        <v>2</v>
      </c>
      <c r="DK50" s="154">
        <v>2</v>
      </c>
      <c r="DL50" s="154">
        <v>3</v>
      </c>
      <c r="DM50" s="154" t="s">
        <v>69</v>
      </c>
      <c r="DN50" s="154" t="s">
        <v>69</v>
      </c>
      <c r="DO50" s="154" t="s">
        <v>69</v>
      </c>
      <c r="DP50" s="154" t="s">
        <v>69</v>
      </c>
      <c r="DQ50" s="154" t="s">
        <v>69</v>
      </c>
      <c r="DR50" s="154" t="s">
        <v>69</v>
      </c>
      <c r="DS50" s="154" t="s">
        <v>69</v>
      </c>
      <c r="DT50" s="168">
        <v>2</v>
      </c>
      <c r="DU50" s="110">
        <f t="shared" si="2"/>
        <v>0.17741935483870969</v>
      </c>
      <c r="DV50" s="104">
        <f t="shared" si="3"/>
        <v>0.63636363636363635</v>
      </c>
    </row>
    <row r="51" spans="1:126" ht="68.25" hidden="1" customHeight="1" thickBot="1">
      <c r="A51" s="218" t="s">
        <v>33</v>
      </c>
      <c r="B51" s="236" t="s">
        <v>542</v>
      </c>
      <c r="C51" s="239" t="s">
        <v>543</v>
      </c>
      <c r="D51" s="219">
        <v>44167</v>
      </c>
      <c r="E51" s="220" t="s">
        <v>434</v>
      </c>
      <c r="F51" s="167" t="s">
        <v>69</v>
      </c>
      <c r="G51" s="154" t="s">
        <v>69</v>
      </c>
      <c r="H51" s="154" t="s">
        <v>69</v>
      </c>
      <c r="I51" s="154" t="s">
        <v>69</v>
      </c>
      <c r="J51" s="154" t="s">
        <v>69</v>
      </c>
      <c r="K51" s="154" t="s">
        <v>69</v>
      </c>
      <c r="L51" s="154" t="s">
        <v>69</v>
      </c>
      <c r="M51" s="154" t="s">
        <v>69</v>
      </c>
      <c r="N51" s="154" t="s">
        <v>69</v>
      </c>
      <c r="O51" s="154" t="s">
        <v>69</v>
      </c>
      <c r="P51" s="154" t="s">
        <v>69</v>
      </c>
      <c r="Q51" s="154" t="s">
        <v>69</v>
      </c>
      <c r="R51" s="154" t="s">
        <v>69</v>
      </c>
      <c r="S51" s="154" t="s">
        <v>69</v>
      </c>
      <c r="T51" s="165" t="s">
        <v>69</v>
      </c>
      <c r="U51" s="165" t="s">
        <v>69</v>
      </c>
      <c r="V51" s="154" t="s">
        <v>69</v>
      </c>
      <c r="W51" s="154" t="s">
        <v>69</v>
      </c>
      <c r="X51" s="154" t="s">
        <v>69</v>
      </c>
      <c r="Y51" s="154" t="s">
        <v>69</v>
      </c>
      <c r="Z51" s="154" t="s">
        <v>69</v>
      </c>
      <c r="AA51" s="154" t="s">
        <v>69</v>
      </c>
      <c r="AB51" s="154" t="s">
        <v>69</v>
      </c>
      <c r="AC51" s="154" t="s">
        <v>69</v>
      </c>
      <c r="AD51" s="154" t="s">
        <v>69</v>
      </c>
      <c r="AE51" s="154" t="s">
        <v>69</v>
      </c>
      <c r="AF51" s="154" t="s">
        <v>69</v>
      </c>
      <c r="AG51" s="154" t="s">
        <v>69</v>
      </c>
      <c r="AH51" s="154" t="s">
        <v>69</v>
      </c>
      <c r="AI51" s="154" t="s">
        <v>69</v>
      </c>
      <c r="AJ51" s="154" t="s">
        <v>69</v>
      </c>
      <c r="AK51" s="154" t="s">
        <v>69</v>
      </c>
      <c r="AL51" s="154" t="s">
        <v>69</v>
      </c>
      <c r="AM51" s="154" t="s">
        <v>69</v>
      </c>
      <c r="AN51" s="154" t="s">
        <v>69</v>
      </c>
      <c r="AO51" s="154" t="s">
        <v>69</v>
      </c>
      <c r="AP51" s="154" t="s">
        <v>69</v>
      </c>
      <c r="AQ51" s="154" t="s">
        <v>69</v>
      </c>
      <c r="AR51" s="154" t="s">
        <v>69</v>
      </c>
      <c r="AS51" s="154" t="s">
        <v>69</v>
      </c>
      <c r="AT51" s="154" t="s">
        <v>69</v>
      </c>
      <c r="AU51" s="154" t="s">
        <v>69</v>
      </c>
      <c r="AV51" s="154" t="s">
        <v>69</v>
      </c>
      <c r="AW51" s="154" t="s">
        <v>69</v>
      </c>
      <c r="AX51" s="154" t="s">
        <v>69</v>
      </c>
      <c r="AY51" s="154" t="s">
        <v>69</v>
      </c>
      <c r="AZ51" s="154" t="s">
        <v>69</v>
      </c>
      <c r="BA51" s="154" t="s">
        <v>69</v>
      </c>
      <c r="BB51" s="154" t="s">
        <v>69</v>
      </c>
      <c r="BC51" s="154" t="s">
        <v>69</v>
      </c>
      <c r="BD51" s="154" t="s">
        <v>69</v>
      </c>
      <c r="BE51" s="154" t="s">
        <v>69</v>
      </c>
      <c r="BF51" s="154" t="s">
        <v>69</v>
      </c>
      <c r="BG51" s="154" t="s">
        <v>69</v>
      </c>
      <c r="BH51" s="154" t="s">
        <v>69</v>
      </c>
      <c r="BI51" s="154" t="s">
        <v>69</v>
      </c>
      <c r="BJ51" s="154" t="s">
        <v>69</v>
      </c>
      <c r="BK51" s="154" t="s">
        <v>69</v>
      </c>
      <c r="BL51" s="154" t="s">
        <v>69</v>
      </c>
      <c r="BM51" s="154" t="s">
        <v>69</v>
      </c>
      <c r="BN51" s="154" t="s">
        <v>69</v>
      </c>
      <c r="BO51" s="154" t="s">
        <v>69</v>
      </c>
      <c r="BP51" s="154" t="s">
        <v>69</v>
      </c>
      <c r="BQ51" s="154" t="s">
        <v>69</v>
      </c>
      <c r="BR51" s="154">
        <v>3</v>
      </c>
      <c r="BS51" s="154" t="s">
        <v>69</v>
      </c>
      <c r="BT51" s="154" t="s">
        <v>69</v>
      </c>
      <c r="BU51" s="154" t="s">
        <v>69</v>
      </c>
      <c r="BV51" s="154" t="s">
        <v>69</v>
      </c>
      <c r="BW51" s="154" t="s">
        <v>69</v>
      </c>
      <c r="BX51" s="154" t="s">
        <v>69</v>
      </c>
      <c r="BY51" s="154" t="s">
        <v>69</v>
      </c>
      <c r="BZ51" s="154">
        <v>3</v>
      </c>
      <c r="CA51" s="154" t="s">
        <v>69</v>
      </c>
      <c r="CB51" s="154" t="s">
        <v>69</v>
      </c>
      <c r="CC51" s="154" t="s">
        <v>69</v>
      </c>
      <c r="CD51" s="154" t="s">
        <v>69</v>
      </c>
      <c r="CE51" s="154" t="s">
        <v>69</v>
      </c>
      <c r="CF51" s="154" t="s">
        <v>69</v>
      </c>
      <c r="CG51" s="154">
        <v>3</v>
      </c>
      <c r="CH51" s="154" t="s">
        <v>69</v>
      </c>
      <c r="CI51" s="154" t="s">
        <v>69</v>
      </c>
      <c r="CJ51" s="154" t="s">
        <v>69</v>
      </c>
      <c r="CK51" s="154">
        <v>2</v>
      </c>
      <c r="CL51" s="154" t="s">
        <v>69</v>
      </c>
      <c r="CM51" s="154">
        <v>3</v>
      </c>
      <c r="CN51" s="154">
        <v>4</v>
      </c>
      <c r="CO51" s="154">
        <v>4</v>
      </c>
      <c r="CP51" s="154">
        <v>4</v>
      </c>
      <c r="CQ51" s="154">
        <v>4</v>
      </c>
      <c r="CR51" s="154" t="s">
        <v>69</v>
      </c>
      <c r="CS51" s="154" t="s">
        <v>69</v>
      </c>
      <c r="CT51" s="154" t="s">
        <v>69</v>
      </c>
      <c r="CU51" s="154" t="s">
        <v>69</v>
      </c>
      <c r="CV51" s="154" t="s">
        <v>69</v>
      </c>
      <c r="CW51" s="154" t="s">
        <v>69</v>
      </c>
      <c r="CX51" s="154" t="s">
        <v>69</v>
      </c>
      <c r="CY51" s="154" t="s">
        <v>69</v>
      </c>
      <c r="CZ51" s="154" t="s">
        <v>69</v>
      </c>
      <c r="DA51" s="154" t="s">
        <v>69</v>
      </c>
      <c r="DB51" s="154" t="s">
        <v>69</v>
      </c>
      <c r="DC51" s="154" t="s">
        <v>69</v>
      </c>
      <c r="DD51" s="154" t="s">
        <v>69</v>
      </c>
      <c r="DE51" s="154" t="s">
        <v>69</v>
      </c>
      <c r="DF51" s="154" t="s">
        <v>69</v>
      </c>
      <c r="DG51" s="154" t="s">
        <v>69</v>
      </c>
      <c r="DH51" s="154" t="s">
        <v>69</v>
      </c>
      <c r="DI51" s="154" t="s">
        <v>69</v>
      </c>
      <c r="DJ51" s="154" t="s">
        <v>69</v>
      </c>
      <c r="DK51" s="154" t="s">
        <v>69</v>
      </c>
      <c r="DL51" s="154" t="s">
        <v>69</v>
      </c>
      <c r="DM51" s="154" t="s">
        <v>69</v>
      </c>
      <c r="DN51" s="154" t="s">
        <v>69</v>
      </c>
      <c r="DO51" s="154" t="s">
        <v>69</v>
      </c>
      <c r="DP51" s="154" t="s">
        <v>69</v>
      </c>
      <c r="DQ51" s="154" t="s">
        <v>69</v>
      </c>
      <c r="DR51" s="154" t="s">
        <v>69</v>
      </c>
      <c r="DS51" s="154" t="s">
        <v>69</v>
      </c>
      <c r="DT51" s="168" t="s">
        <v>69</v>
      </c>
      <c r="DU51" s="110">
        <f t="shared" si="2"/>
        <v>0.14516129032258066</v>
      </c>
      <c r="DV51" s="104">
        <f t="shared" si="3"/>
        <v>0.88888888888888884</v>
      </c>
    </row>
    <row r="52" spans="1:126" ht="68.25" hidden="1" customHeight="1" thickBot="1">
      <c r="A52" s="218" t="s">
        <v>96</v>
      </c>
      <c r="B52" s="236" t="s">
        <v>628</v>
      </c>
      <c r="C52" s="239" t="s">
        <v>545</v>
      </c>
      <c r="D52" s="219">
        <v>45449</v>
      </c>
      <c r="E52" s="220" t="s">
        <v>434</v>
      </c>
      <c r="F52" s="167" t="s">
        <v>69</v>
      </c>
      <c r="G52" s="154" t="s">
        <v>69</v>
      </c>
      <c r="H52" s="154" t="s">
        <v>69</v>
      </c>
      <c r="I52" s="154" t="s">
        <v>69</v>
      </c>
      <c r="J52" s="154" t="s">
        <v>69</v>
      </c>
      <c r="K52" s="154" t="s">
        <v>69</v>
      </c>
      <c r="L52" s="154" t="s">
        <v>69</v>
      </c>
      <c r="M52" s="154" t="s">
        <v>69</v>
      </c>
      <c r="N52" s="154" t="s">
        <v>69</v>
      </c>
      <c r="O52" s="154" t="s">
        <v>69</v>
      </c>
      <c r="P52" s="154" t="s">
        <v>69</v>
      </c>
      <c r="Q52" s="154" t="s">
        <v>69</v>
      </c>
      <c r="R52" s="154" t="s">
        <v>69</v>
      </c>
      <c r="S52" s="154" t="s">
        <v>69</v>
      </c>
      <c r="T52" s="165" t="s">
        <v>69</v>
      </c>
      <c r="U52" s="165" t="s">
        <v>69</v>
      </c>
      <c r="V52" s="154" t="s">
        <v>69</v>
      </c>
      <c r="W52" s="154" t="s">
        <v>69</v>
      </c>
      <c r="X52" s="154" t="s">
        <v>69</v>
      </c>
      <c r="Y52" s="154" t="s">
        <v>69</v>
      </c>
      <c r="Z52" s="154" t="s">
        <v>69</v>
      </c>
      <c r="AA52" s="154" t="s">
        <v>69</v>
      </c>
      <c r="AB52" s="154" t="s">
        <v>69</v>
      </c>
      <c r="AC52" s="154" t="s">
        <v>69</v>
      </c>
      <c r="AD52" s="154" t="s">
        <v>69</v>
      </c>
      <c r="AE52" s="154" t="s">
        <v>69</v>
      </c>
      <c r="AF52" s="154" t="s">
        <v>69</v>
      </c>
      <c r="AG52" s="154" t="s">
        <v>69</v>
      </c>
      <c r="AH52" s="154" t="s">
        <v>69</v>
      </c>
      <c r="AI52" s="154" t="s">
        <v>69</v>
      </c>
      <c r="AJ52" s="154" t="s">
        <v>69</v>
      </c>
      <c r="AK52" s="154" t="s">
        <v>69</v>
      </c>
      <c r="AL52" s="154">
        <v>4</v>
      </c>
      <c r="AM52" s="154">
        <v>3</v>
      </c>
      <c r="AN52" s="154">
        <v>3</v>
      </c>
      <c r="AO52" s="154">
        <v>3</v>
      </c>
      <c r="AP52" s="154">
        <v>3</v>
      </c>
      <c r="AQ52" s="154" t="s">
        <v>69</v>
      </c>
      <c r="AR52" s="154" t="s">
        <v>69</v>
      </c>
      <c r="AS52" s="154" t="s">
        <v>69</v>
      </c>
      <c r="AT52" s="154" t="s">
        <v>69</v>
      </c>
      <c r="AU52" s="154" t="s">
        <v>69</v>
      </c>
      <c r="AV52" s="154" t="s">
        <v>69</v>
      </c>
      <c r="AW52" s="154" t="s">
        <v>69</v>
      </c>
      <c r="AX52" s="154" t="s">
        <v>69</v>
      </c>
      <c r="AY52" s="154" t="s">
        <v>69</v>
      </c>
      <c r="AZ52" s="154" t="s">
        <v>69</v>
      </c>
      <c r="BA52" s="154" t="s">
        <v>69</v>
      </c>
      <c r="BB52" s="154" t="s">
        <v>69</v>
      </c>
      <c r="BC52" s="154" t="s">
        <v>69</v>
      </c>
      <c r="BD52" s="154" t="s">
        <v>69</v>
      </c>
      <c r="BE52" s="154" t="s">
        <v>69</v>
      </c>
      <c r="BF52" s="154" t="s">
        <v>69</v>
      </c>
      <c r="BG52" s="154" t="s">
        <v>69</v>
      </c>
      <c r="BH52" s="154" t="s">
        <v>69</v>
      </c>
      <c r="BI52" s="154" t="s">
        <v>69</v>
      </c>
      <c r="BJ52" s="154" t="s">
        <v>69</v>
      </c>
      <c r="BK52" s="154" t="s">
        <v>69</v>
      </c>
      <c r="BL52" s="154" t="s">
        <v>69</v>
      </c>
      <c r="BM52" s="154" t="s">
        <v>69</v>
      </c>
      <c r="BN52" s="154" t="s">
        <v>69</v>
      </c>
      <c r="BO52" s="154" t="s">
        <v>69</v>
      </c>
      <c r="BP52" s="154" t="s">
        <v>69</v>
      </c>
      <c r="BQ52" s="154" t="s">
        <v>69</v>
      </c>
      <c r="BR52" s="154" t="s">
        <v>69</v>
      </c>
      <c r="BS52" s="154" t="s">
        <v>69</v>
      </c>
      <c r="BT52" s="154" t="s">
        <v>69</v>
      </c>
      <c r="BU52" s="154" t="s">
        <v>69</v>
      </c>
      <c r="BV52" s="154" t="s">
        <v>69</v>
      </c>
      <c r="BW52" s="154" t="s">
        <v>69</v>
      </c>
      <c r="BX52" s="154" t="s">
        <v>69</v>
      </c>
      <c r="BY52" s="154" t="s">
        <v>69</v>
      </c>
      <c r="BZ52" s="154" t="s">
        <v>69</v>
      </c>
      <c r="CA52" s="154">
        <v>2</v>
      </c>
      <c r="CB52" s="154" t="s">
        <v>69</v>
      </c>
      <c r="CC52" s="154" t="s">
        <v>69</v>
      </c>
      <c r="CD52" s="154" t="s">
        <v>69</v>
      </c>
      <c r="CE52" s="154" t="s">
        <v>69</v>
      </c>
      <c r="CF52" s="154" t="s">
        <v>69</v>
      </c>
      <c r="CG52" s="154" t="s">
        <v>69</v>
      </c>
      <c r="CH52" s="154" t="s">
        <v>69</v>
      </c>
      <c r="CI52" s="154" t="s">
        <v>69</v>
      </c>
      <c r="CJ52" s="154" t="s">
        <v>69</v>
      </c>
      <c r="CK52" s="154" t="s">
        <v>69</v>
      </c>
      <c r="CL52" s="154" t="s">
        <v>69</v>
      </c>
      <c r="CM52" s="154">
        <v>4</v>
      </c>
      <c r="CN52" s="154">
        <v>2</v>
      </c>
      <c r="CO52" s="154">
        <v>4</v>
      </c>
      <c r="CP52" s="154">
        <v>4</v>
      </c>
      <c r="CQ52" s="154">
        <v>4</v>
      </c>
      <c r="CR52" s="154" t="s">
        <v>69</v>
      </c>
      <c r="CS52" s="154" t="s">
        <v>69</v>
      </c>
      <c r="CT52" s="154" t="s">
        <v>69</v>
      </c>
      <c r="CU52" s="154" t="s">
        <v>69</v>
      </c>
      <c r="CV52" s="154" t="s">
        <v>69</v>
      </c>
      <c r="CW52" s="154" t="s">
        <v>69</v>
      </c>
      <c r="CX52" s="154" t="s">
        <v>69</v>
      </c>
      <c r="CY52" s="154" t="s">
        <v>69</v>
      </c>
      <c r="CZ52" s="154" t="s">
        <v>69</v>
      </c>
      <c r="DA52" s="154" t="s">
        <v>69</v>
      </c>
      <c r="DB52" s="154" t="s">
        <v>69</v>
      </c>
      <c r="DC52" s="154" t="s">
        <v>69</v>
      </c>
      <c r="DD52" s="154" t="s">
        <v>69</v>
      </c>
      <c r="DE52" s="154" t="s">
        <v>69</v>
      </c>
      <c r="DF52" s="154">
        <v>3</v>
      </c>
      <c r="DG52" s="154">
        <v>3</v>
      </c>
      <c r="DH52" s="154" t="s">
        <v>69</v>
      </c>
      <c r="DI52" s="154" t="s">
        <v>69</v>
      </c>
      <c r="DJ52" s="154" t="s">
        <v>69</v>
      </c>
      <c r="DK52" s="154" t="s">
        <v>69</v>
      </c>
      <c r="DL52" s="154" t="s">
        <v>69</v>
      </c>
      <c r="DM52" s="154" t="s">
        <v>69</v>
      </c>
      <c r="DN52" s="154" t="s">
        <v>69</v>
      </c>
      <c r="DO52" s="154" t="s">
        <v>69</v>
      </c>
      <c r="DP52" s="154" t="s">
        <v>69</v>
      </c>
      <c r="DQ52" s="154" t="s">
        <v>69</v>
      </c>
      <c r="DR52" s="154" t="s">
        <v>69</v>
      </c>
      <c r="DS52" s="154" t="s">
        <v>69</v>
      </c>
      <c r="DT52" s="168" t="s">
        <v>69</v>
      </c>
      <c r="DU52" s="110">
        <f t="shared" si="2"/>
        <v>0.20967741935483872</v>
      </c>
      <c r="DV52" s="104">
        <f t="shared" si="3"/>
        <v>0.84615384615384615</v>
      </c>
    </row>
    <row r="53" spans="1:126" ht="68.25" hidden="1" customHeight="1" thickBot="1">
      <c r="A53" s="218" t="s">
        <v>536</v>
      </c>
      <c r="B53" s="236" t="s">
        <v>548</v>
      </c>
      <c r="C53" s="239" t="s">
        <v>549</v>
      </c>
      <c r="D53" s="219">
        <v>45327</v>
      </c>
      <c r="E53" s="220" t="s">
        <v>434</v>
      </c>
      <c r="F53" s="167" t="s">
        <v>69</v>
      </c>
      <c r="G53" s="154" t="s">
        <v>69</v>
      </c>
      <c r="H53" s="154" t="s">
        <v>69</v>
      </c>
      <c r="I53" s="154" t="s">
        <v>69</v>
      </c>
      <c r="J53" s="154" t="s">
        <v>69</v>
      </c>
      <c r="K53" s="154" t="s">
        <v>69</v>
      </c>
      <c r="L53" s="154" t="s">
        <v>69</v>
      </c>
      <c r="M53" s="154" t="s">
        <v>69</v>
      </c>
      <c r="N53" s="154" t="s">
        <v>69</v>
      </c>
      <c r="O53" s="154" t="s">
        <v>69</v>
      </c>
      <c r="P53" s="154" t="s">
        <v>69</v>
      </c>
      <c r="Q53" s="154" t="s">
        <v>69</v>
      </c>
      <c r="R53" s="154" t="s">
        <v>69</v>
      </c>
      <c r="S53" s="154" t="s">
        <v>69</v>
      </c>
      <c r="T53" s="165" t="s">
        <v>69</v>
      </c>
      <c r="U53" s="165" t="s">
        <v>69</v>
      </c>
      <c r="V53" s="154" t="s">
        <v>69</v>
      </c>
      <c r="W53" s="154" t="s">
        <v>69</v>
      </c>
      <c r="X53" s="154" t="s">
        <v>69</v>
      </c>
      <c r="Y53" s="154" t="s">
        <v>69</v>
      </c>
      <c r="Z53" s="154" t="s">
        <v>69</v>
      </c>
      <c r="AA53" s="154" t="s">
        <v>69</v>
      </c>
      <c r="AB53" s="154" t="s">
        <v>69</v>
      </c>
      <c r="AC53" s="154" t="s">
        <v>69</v>
      </c>
      <c r="AD53" s="154" t="s">
        <v>69</v>
      </c>
      <c r="AE53" s="154" t="s">
        <v>69</v>
      </c>
      <c r="AF53" s="154" t="s">
        <v>69</v>
      </c>
      <c r="AG53" s="154" t="s">
        <v>69</v>
      </c>
      <c r="AH53" s="154">
        <v>2</v>
      </c>
      <c r="AI53" s="154" t="s">
        <v>69</v>
      </c>
      <c r="AJ53" s="154" t="s">
        <v>69</v>
      </c>
      <c r="AK53" s="154" t="s">
        <v>69</v>
      </c>
      <c r="AL53" s="154" t="s">
        <v>69</v>
      </c>
      <c r="AM53" s="154" t="s">
        <v>69</v>
      </c>
      <c r="AN53" s="154" t="s">
        <v>69</v>
      </c>
      <c r="AO53" s="154" t="s">
        <v>69</v>
      </c>
      <c r="AP53" s="154" t="s">
        <v>69</v>
      </c>
      <c r="AQ53" s="154" t="s">
        <v>69</v>
      </c>
      <c r="AR53" s="154" t="s">
        <v>69</v>
      </c>
      <c r="AS53" s="154" t="s">
        <v>69</v>
      </c>
      <c r="AT53" s="154" t="s">
        <v>69</v>
      </c>
      <c r="AU53" s="154" t="s">
        <v>69</v>
      </c>
      <c r="AV53" s="154" t="s">
        <v>69</v>
      </c>
      <c r="AW53" s="154" t="s">
        <v>69</v>
      </c>
      <c r="AX53" s="154" t="s">
        <v>69</v>
      </c>
      <c r="AY53" s="154" t="s">
        <v>69</v>
      </c>
      <c r="AZ53" s="154" t="s">
        <v>69</v>
      </c>
      <c r="BA53" s="154" t="s">
        <v>69</v>
      </c>
      <c r="BB53" s="154" t="s">
        <v>69</v>
      </c>
      <c r="BC53" s="154" t="s">
        <v>69</v>
      </c>
      <c r="BD53" s="154" t="s">
        <v>69</v>
      </c>
      <c r="BE53" s="154" t="s">
        <v>69</v>
      </c>
      <c r="BF53" s="154" t="s">
        <v>69</v>
      </c>
      <c r="BG53" s="154" t="s">
        <v>69</v>
      </c>
      <c r="BH53" s="154" t="s">
        <v>69</v>
      </c>
      <c r="BI53" s="154" t="s">
        <v>69</v>
      </c>
      <c r="BJ53" s="154" t="s">
        <v>69</v>
      </c>
      <c r="BK53" s="154" t="s">
        <v>69</v>
      </c>
      <c r="BL53" s="154" t="s">
        <v>69</v>
      </c>
      <c r="BM53" s="154" t="s">
        <v>69</v>
      </c>
      <c r="BN53" s="154" t="s">
        <v>69</v>
      </c>
      <c r="BO53" s="154" t="s">
        <v>69</v>
      </c>
      <c r="BP53" s="154" t="s">
        <v>69</v>
      </c>
      <c r="BQ53" s="154" t="s">
        <v>69</v>
      </c>
      <c r="BR53" s="154" t="s">
        <v>69</v>
      </c>
      <c r="BS53" s="154" t="s">
        <v>69</v>
      </c>
      <c r="BT53" s="154" t="s">
        <v>69</v>
      </c>
      <c r="BU53" s="154" t="s">
        <v>69</v>
      </c>
      <c r="BV53" s="154" t="s">
        <v>69</v>
      </c>
      <c r="BW53" s="154" t="s">
        <v>69</v>
      </c>
      <c r="BX53" s="154" t="s">
        <v>69</v>
      </c>
      <c r="BY53" s="154" t="s">
        <v>69</v>
      </c>
      <c r="BZ53" s="154" t="s">
        <v>69</v>
      </c>
      <c r="CA53" s="154" t="s">
        <v>69</v>
      </c>
      <c r="CB53" s="154" t="s">
        <v>69</v>
      </c>
      <c r="CC53" s="154" t="s">
        <v>69</v>
      </c>
      <c r="CD53" s="154" t="s">
        <v>69</v>
      </c>
      <c r="CE53" s="154" t="s">
        <v>69</v>
      </c>
      <c r="CF53" s="154" t="s">
        <v>69</v>
      </c>
      <c r="CG53" s="154" t="s">
        <v>69</v>
      </c>
      <c r="CH53" s="154">
        <v>2</v>
      </c>
      <c r="CI53" s="154">
        <v>2</v>
      </c>
      <c r="CJ53" s="154">
        <v>2</v>
      </c>
      <c r="CK53" s="154" t="s">
        <v>69</v>
      </c>
      <c r="CL53" s="154" t="s">
        <v>69</v>
      </c>
      <c r="CM53" s="154" t="s">
        <v>69</v>
      </c>
      <c r="CN53" s="154">
        <v>2</v>
      </c>
      <c r="CO53" s="154" t="s">
        <v>69</v>
      </c>
      <c r="CP53" s="154">
        <v>3</v>
      </c>
      <c r="CQ53" s="154">
        <v>3</v>
      </c>
      <c r="CR53" s="154" t="s">
        <v>69</v>
      </c>
      <c r="CS53" s="154" t="s">
        <v>69</v>
      </c>
      <c r="CT53" s="154" t="s">
        <v>69</v>
      </c>
      <c r="CU53" s="154" t="s">
        <v>69</v>
      </c>
      <c r="CV53" s="154" t="s">
        <v>69</v>
      </c>
      <c r="CW53" s="154" t="s">
        <v>69</v>
      </c>
      <c r="CX53" s="154" t="s">
        <v>69</v>
      </c>
      <c r="CY53" s="154" t="s">
        <v>69</v>
      </c>
      <c r="CZ53" s="154" t="s">
        <v>69</v>
      </c>
      <c r="DA53" s="154" t="s">
        <v>69</v>
      </c>
      <c r="DB53" s="154" t="s">
        <v>69</v>
      </c>
      <c r="DC53" s="154">
        <v>2</v>
      </c>
      <c r="DD53" s="154" t="s">
        <v>69</v>
      </c>
      <c r="DE53" s="154" t="s">
        <v>69</v>
      </c>
      <c r="DF53" s="154" t="s">
        <v>69</v>
      </c>
      <c r="DG53" s="154" t="s">
        <v>69</v>
      </c>
      <c r="DH53" s="154" t="s">
        <v>69</v>
      </c>
      <c r="DI53" s="154" t="s">
        <v>69</v>
      </c>
      <c r="DJ53" s="154" t="s">
        <v>69</v>
      </c>
      <c r="DK53" s="154">
        <v>2</v>
      </c>
      <c r="DL53" s="154" t="s">
        <v>69</v>
      </c>
      <c r="DM53" s="154" t="s">
        <v>69</v>
      </c>
      <c r="DN53" s="154" t="s">
        <v>69</v>
      </c>
      <c r="DO53" s="154" t="s">
        <v>69</v>
      </c>
      <c r="DP53" s="154" t="s">
        <v>69</v>
      </c>
      <c r="DQ53" s="154" t="s">
        <v>69</v>
      </c>
      <c r="DR53" s="154" t="s">
        <v>69</v>
      </c>
      <c r="DS53" s="154" t="s">
        <v>69</v>
      </c>
      <c r="DT53" s="168" t="s">
        <v>69</v>
      </c>
      <c r="DU53" s="110">
        <f t="shared" si="2"/>
        <v>0.14516129032258066</v>
      </c>
      <c r="DV53" s="104">
        <f t="shared" si="3"/>
        <v>0.22222222222222221</v>
      </c>
    </row>
    <row r="54" spans="1:126" ht="68.25" hidden="1" customHeight="1" thickBot="1">
      <c r="A54" s="218" t="s">
        <v>537</v>
      </c>
      <c r="B54" s="236" t="s">
        <v>550</v>
      </c>
      <c r="C54" s="239" t="s">
        <v>551</v>
      </c>
      <c r="D54" s="219" t="s">
        <v>626</v>
      </c>
      <c r="E54" s="220" t="s">
        <v>434</v>
      </c>
      <c r="F54" s="167" t="s">
        <v>69</v>
      </c>
      <c r="G54" s="154" t="s">
        <v>69</v>
      </c>
      <c r="H54" s="154" t="s">
        <v>69</v>
      </c>
      <c r="I54" s="154" t="s">
        <v>69</v>
      </c>
      <c r="J54" s="154" t="s">
        <v>69</v>
      </c>
      <c r="K54" s="154" t="s">
        <v>69</v>
      </c>
      <c r="L54" s="154" t="s">
        <v>69</v>
      </c>
      <c r="M54" s="154" t="s">
        <v>69</v>
      </c>
      <c r="N54" s="154">
        <v>2</v>
      </c>
      <c r="O54" s="154" t="s">
        <v>69</v>
      </c>
      <c r="P54" s="154" t="s">
        <v>69</v>
      </c>
      <c r="Q54" s="154" t="s">
        <v>69</v>
      </c>
      <c r="R54" s="154" t="s">
        <v>69</v>
      </c>
      <c r="S54" s="154" t="s">
        <v>69</v>
      </c>
      <c r="T54" s="165" t="s">
        <v>69</v>
      </c>
      <c r="U54" s="165" t="s">
        <v>69</v>
      </c>
      <c r="V54" s="154" t="s">
        <v>69</v>
      </c>
      <c r="W54" s="154" t="s">
        <v>69</v>
      </c>
      <c r="X54" s="154" t="s">
        <v>69</v>
      </c>
      <c r="Y54" s="154" t="s">
        <v>69</v>
      </c>
      <c r="Z54" s="154" t="s">
        <v>69</v>
      </c>
      <c r="AA54" s="154" t="s">
        <v>69</v>
      </c>
      <c r="AB54" s="154" t="s">
        <v>69</v>
      </c>
      <c r="AC54" s="154" t="s">
        <v>69</v>
      </c>
      <c r="AD54" s="154" t="s">
        <v>69</v>
      </c>
      <c r="AE54" s="154" t="s">
        <v>69</v>
      </c>
      <c r="AF54" s="154">
        <v>4</v>
      </c>
      <c r="AG54" s="154">
        <v>3</v>
      </c>
      <c r="AH54" s="154" t="s">
        <v>69</v>
      </c>
      <c r="AI54" s="154" t="s">
        <v>69</v>
      </c>
      <c r="AJ54" s="154" t="s">
        <v>69</v>
      </c>
      <c r="AK54" s="154" t="s">
        <v>69</v>
      </c>
      <c r="AL54" s="154" t="s">
        <v>69</v>
      </c>
      <c r="AM54" s="154" t="s">
        <v>69</v>
      </c>
      <c r="AN54" s="154">
        <v>3</v>
      </c>
      <c r="AO54" s="154" t="s">
        <v>69</v>
      </c>
      <c r="AP54" s="154" t="s">
        <v>69</v>
      </c>
      <c r="AQ54" s="154" t="s">
        <v>69</v>
      </c>
      <c r="AR54" s="154" t="s">
        <v>69</v>
      </c>
      <c r="AS54" s="154" t="s">
        <v>69</v>
      </c>
      <c r="AT54" s="154" t="s">
        <v>69</v>
      </c>
      <c r="AU54" s="154" t="s">
        <v>69</v>
      </c>
      <c r="AV54" s="154" t="s">
        <v>69</v>
      </c>
      <c r="AW54" s="154" t="s">
        <v>69</v>
      </c>
      <c r="AX54" s="154" t="s">
        <v>69</v>
      </c>
      <c r="AY54" s="154" t="s">
        <v>69</v>
      </c>
      <c r="AZ54" s="154" t="s">
        <v>69</v>
      </c>
      <c r="BA54" s="154">
        <v>3</v>
      </c>
      <c r="BB54" s="154" t="s">
        <v>69</v>
      </c>
      <c r="BC54" s="154" t="s">
        <v>69</v>
      </c>
      <c r="BD54" s="154" t="s">
        <v>69</v>
      </c>
      <c r="BE54" s="154" t="s">
        <v>69</v>
      </c>
      <c r="BF54" s="154" t="s">
        <v>69</v>
      </c>
      <c r="BG54" s="154">
        <v>2</v>
      </c>
      <c r="BH54" s="154" t="s">
        <v>69</v>
      </c>
      <c r="BI54" s="154" t="s">
        <v>69</v>
      </c>
      <c r="BJ54" s="154" t="s">
        <v>69</v>
      </c>
      <c r="BK54" s="154">
        <v>2</v>
      </c>
      <c r="BL54" s="154" t="s">
        <v>69</v>
      </c>
      <c r="BM54" s="154" t="s">
        <v>69</v>
      </c>
      <c r="BN54" s="154" t="s">
        <v>69</v>
      </c>
      <c r="BO54" s="154" t="s">
        <v>69</v>
      </c>
      <c r="BP54" s="154" t="s">
        <v>69</v>
      </c>
      <c r="BQ54" s="154" t="s">
        <v>69</v>
      </c>
      <c r="BR54" s="154" t="s">
        <v>69</v>
      </c>
      <c r="BS54" s="154" t="s">
        <v>69</v>
      </c>
      <c r="BT54" s="154" t="s">
        <v>69</v>
      </c>
      <c r="BU54" s="154" t="s">
        <v>69</v>
      </c>
      <c r="BV54" s="154" t="s">
        <v>69</v>
      </c>
      <c r="BW54" s="154" t="s">
        <v>69</v>
      </c>
      <c r="BX54" s="154" t="s">
        <v>69</v>
      </c>
      <c r="BY54" s="154" t="s">
        <v>69</v>
      </c>
      <c r="BZ54" s="154" t="s">
        <v>69</v>
      </c>
      <c r="CA54" s="154" t="s">
        <v>69</v>
      </c>
      <c r="CB54" s="154" t="s">
        <v>69</v>
      </c>
      <c r="CC54" s="154" t="s">
        <v>69</v>
      </c>
      <c r="CD54" s="154" t="s">
        <v>69</v>
      </c>
      <c r="CE54" s="154" t="s">
        <v>69</v>
      </c>
      <c r="CF54" s="154" t="s">
        <v>69</v>
      </c>
      <c r="CG54" s="154" t="s">
        <v>69</v>
      </c>
      <c r="CH54" s="154" t="s">
        <v>69</v>
      </c>
      <c r="CI54" s="154" t="s">
        <v>69</v>
      </c>
      <c r="CJ54" s="154" t="s">
        <v>69</v>
      </c>
      <c r="CK54" s="154" t="s">
        <v>69</v>
      </c>
      <c r="CL54" s="154" t="s">
        <v>69</v>
      </c>
      <c r="CM54" s="154" t="s">
        <v>69</v>
      </c>
      <c r="CN54" s="154" t="s">
        <v>69</v>
      </c>
      <c r="CO54" s="154" t="s">
        <v>69</v>
      </c>
      <c r="CP54" s="154" t="s">
        <v>69</v>
      </c>
      <c r="CQ54" s="154" t="s">
        <v>69</v>
      </c>
      <c r="CR54" s="154" t="s">
        <v>69</v>
      </c>
      <c r="CS54" s="154" t="s">
        <v>69</v>
      </c>
      <c r="CT54" s="154" t="s">
        <v>69</v>
      </c>
      <c r="CU54" s="154" t="s">
        <v>69</v>
      </c>
      <c r="CV54" s="154" t="s">
        <v>69</v>
      </c>
      <c r="CW54" s="154" t="s">
        <v>69</v>
      </c>
      <c r="CX54" s="154" t="s">
        <v>69</v>
      </c>
      <c r="CY54" s="154" t="s">
        <v>69</v>
      </c>
      <c r="CZ54" s="154">
        <v>3</v>
      </c>
      <c r="DA54" s="154" t="s">
        <v>69</v>
      </c>
      <c r="DB54" s="154" t="s">
        <v>69</v>
      </c>
      <c r="DC54" s="154" t="s">
        <v>69</v>
      </c>
      <c r="DD54" s="154" t="s">
        <v>69</v>
      </c>
      <c r="DE54" s="154" t="s">
        <v>69</v>
      </c>
      <c r="DF54" s="154" t="s">
        <v>69</v>
      </c>
      <c r="DG54" s="154" t="s">
        <v>69</v>
      </c>
      <c r="DH54" s="154" t="s">
        <v>69</v>
      </c>
      <c r="DI54" s="154" t="s">
        <v>69</v>
      </c>
      <c r="DJ54" s="154" t="s">
        <v>69</v>
      </c>
      <c r="DK54" s="154" t="s">
        <v>69</v>
      </c>
      <c r="DL54" s="154" t="s">
        <v>69</v>
      </c>
      <c r="DM54" s="154" t="s">
        <v>69</v>
      </c>
      <c r="DN54" s="154" t="s">
        <v>69</v>
      </c>
      <c r="DO54" s="154" t="s">
        <v>69</v>
      </c>
      <c r="DP54" s="154" t="s">
        <v>69</v>
      </c>
      <c r="DQ54" s="154" t="s">
        <v>69</v>
      </c>
      <c r="DR54" s="154" t="s">
        <v>69</v>
      </c>
      <c r="DS54" s="154" t="s">
        <v>69</v>
      </c>
      <c r="DT54" s="168" t="s">
        <v>69</v>
      </c>
      <c r="DU54" s="110">
        <f t="shared" si="2"/>
        <v>0.12903225806451613</v>
      </c>
      <c r="DV54" s="104">
        <f t="shared" si="3"/>
        <v>0.625</v>
      </c>
    </row>
    <row r="55" spans="1:126" ht="68.25" hidden="1" customHeight="1" thickBot="1">
      <c r="A55" s="218" t="s">
        <v>539</v>
      </c>
      <c r="B55" s="236" t="s">
        <v>552</v>
      </c>
      <c r="C55" s="239" t="s">
        <v>553</v>
      </c>
      <c r="D55" s="219" t="s">
        <v>626</v>
      </c>
      <c r="E55" s="220" t="s">
        <v>434</v>
      </c>
      <c r="F55" s="167">
        <v>3</v>
      </c>
      <c r="G55" s="154" t="s">
        <v>69</v>
      </c>
      <c r="H55" s="154">
        <v>3</v>
      </c>
      <c r="I55" s="154" t="s">
        <v>69</v>
      </c>
      <c r="J55" s="154" t="s">
        <v>69</v>
      </c>
      <c r="K55" s="154" t="s">
        <v>69</v>
      </c>
      <c r="L55" s="154" t="s">
        <v>69</v>
      </c>
      <c r="M55" s="154">
        <v>3</v>
      </c>
      <c r="N55" s="154">
        <v>3</v>
      </c>
      <c r="O55" s="154" t="s">
        <v>69</v>
      </c>
      <c r="P55" s="154" t="s">
        <v>69</v>
      </c>
      <c r="Q55" s="154" t="s">
        <v>69</v>
      </c>
      <c r="R55" s="154" t="s">
        <v>69</v>
      </c>
      <c r="S55" s="154" t="s">
        <v>69</v>
      </c>
      <c r="T55" s="165" t="s">
        <v>69</v>
      </c>
      <c r="U55" s="165" t="s">
        <v>69</v>
      </c>
      <c r="V55" s="154" t="s">
        <v>69</v>
      </c>
      <c r="W55" s="154" t="s">
        <v>69</v>
      </c>
      <c r="X55" s="154" t="s">
        <v>69</v>
      </c>
      <c r="Y55" s="154" t="s">
        <v>69</v>
      </c>
      <c r="Z55" s="154" t="s">
        <v>69</v>
      </c>
      <c r="AA55" s="154" t="s">
        <v>69</v>
      </c>
      <c r="AB55" s="154" t="s">
        <v>69</v>
      </c>
      <c r="AC55" s="154" t="s">
        <v>69</v>
      </c>
      <c r="AD55" s="154" t="s">
        <v>69</v>
      </c>
      <c r="AE55" s="154" t="s">
        <v>69</v>
      </c>
      <c r="AF55" s="154" t="s">
        <v>69</v>
      </c>
      <c r="AG55" s="154" t="s">
        <v>69</v>
      </c>
      <c r="AH55" s="154" t="s">
        <v>69</v>
      </c>
      <c r="AI55" s="154" t="s">
        <v>69</v>
      </c>
      <c r="AJ55" s="154" t="s">
        <v>69</v>
      </c>
      <c r="AK55" s="154" t="s">
        <v>69</v>
      </c>
      <c r="AL55" s="154" t="s">
        <v>69</v>
      </c>
      <c r="AM55" s="154" t="s">
        <v>69</v>
      </c>
      <c r="AN55" s="154" t="s">
        <v>69</v>
      </c>
      <c r="AO55" s="154" t="s">
        <v>69</v>
      </c>
      <c r="AP55" s="154" t="s">
        <v>69</v>
      </c>
      <c r="AQ55" s="154" t="s">
        <v>69</v>
      </c>
      <c r="AR55" s="154">
        <v>3</v>
      </c>
      <c r="AS55" s="154" t="s">
        <v>69</v>
      </c>
      <c r="AT55" s="154" t="s">
        <v>69</v>
      </c>
      <c r="AU55" s="154" t="s">
        <v>69</v>
      </c>
      <c r="AV55" s="154" t="s">
        <v>69</v>
      </c>
      <c r="AW55" s="154">
        <v>3</v>
      </c>
      <c r="AX55" s="154">
        <v>3</v>
      </c>
      <c r="AY55" s="154" t="s">
        <v>69</v>
      </c>
      <c r="AZ55" s="154" t="s">
        <v>69</v>
      </c>
      <c r="BA55" s="154" t="s">
        <v>69</v>
      </c>
      <c r="BB55" s="154" t="s">
        <v>69</v>
      </c>
      <c r="BC55" s="154" t="s">
        <v>69</v>
      </c>
      <c r="BD55" s="154" t="s">
        <v>69</v>
      </c>
      <c r="BE55" s="154" t="s">
        <v>69</v>
      </c>
      <c r="BF55" s="154" t="s">
        <v>69</v>
      </c>
      <c r="BG55" s="154" t="s">
        <v>69</v>
      </c>
      <c r="BH55" s="154" t="s">
        <v>69</v>
      </c>
      <c r="BI55" s="154" t="s">
        <v>69</v>
      </c>
      <c r="BJ55" s="154" t="s">
        <v>69</v>
      </c>
      <c r="BK55" s="154" t="s">
        <v>69</v>
      </c>
      <c r="BL55" s="154" t="s">
        <v>69</v>
      </c>
      <c r="BM55" s="154" t="s">
        <v>69</v>
      </c>
      <c r="BN55" s="154" t="s">
        <v>69</v>
      </c>
      <c r="BO55" s="154" t="s">
        <v>69</v>
      </c>
      <c r="BP55" s="154" t="s">
        <v>69</v>
      </c>
      <c r="BQ55" s="154" t="s">
        <v>69</v>
      </c>
      <c r="BR55" s="154">
        <v>3</v>
      </c>
      <c r="BS55" s="154" t="s">
        <v>69</v>
      </c>
      <c r="BT55" s="154" t="s">
        <v>69</v>
      </c>
      <c r="BU55" s="154" t="s">
        <v>69</v>
      </c>
      <c r="BV55" s="154" t="s">
        <v>69</v>
      </c>
      <c r="BW55" s="154" t="s">
        <v>69</v>
      </c>
      <c r="BX55" s="154" t="s">
        <v>69</v>
      </c>
      <c r="BY55" s="154" t="s">
        <v>69</v>
      </c>
      <c r="BZ55" s="154" t="s">
        <v>69</v>
      </c>
      <c r="CA55" s="154" t="s">
        <v>69</v>
      </c>
      <c r="CB55" s="154" t="s">
        <v>69</v>
      </c>
      <c r="CC55" s="154" t="s">
        <v>69</v>
      </c>
      <c r="CD55" s="154" t="s">
        <v>69</v>
      </c>
      <c r="CE55" s="154" t="s">
        <v>69</v>
      </c>
      <c r="CF55" s="154" t="s">
        <v>69</v>
      </c>
      <c r="CG55" s="154">
        <v>3</v>
      </c>
      <c r="CH55" s="154" t="s">
        <v>69</v>
      </c>
      <c r="CI55" s="154" t="s">
        <v>69</v>
      </c>
      <c r="CJ55" s="154" t="s">
        <v>69</v>
      </c>
      <c r="CK55" s="154" t="s">
        <v>69</v>
      </c>
      <c r="CL55" s="154" t="s">
        <v>69</v>
      </c>
      <c r="CM55" s="154" t="s">
        <v>69</v>
      </c>
      <c r="CN55" s="154">
        <v>2</v>
      </c>
      <c r="CO55" s="154">
        <v>4</v>
      </c>
      <c r="CP55" s="154">
        <v>4</v>
      </c>
      <c r="CQ55" s="154" t="s">
        <v>69</v>
      </c>
      <c r="CR55" s="154" t="s">
        <v>69</v>
      </c>
      <c r="CS55" s="154" t="s">
        <v>69</v>
      </c>
      <c r="CT55" s="154" t="s">
        <v>69</v>
      </c>
      <c r="CU55" s="154" t="s">
        <v>69</v>
      </c>
      <c r="CV55" s="154" t="s">
        <v>69</v>
      </c>
      <c r="CW55" s="154" t="s">
        <v>69</v>
      </c>
      <c r="CX55" s="154" t="s">
        <v>69</v>
      </c>
      <c r="CY55" s="154" t="s">
        <v>69</v>
      </c>
      <c r="CZ55" s="154" t="s">
        <v>69</v>
      </c>
      <c r="DA55" s="154" t="s">
        <v>69</v>
      </c>
      <c r="DB55" s="154" t="s">
        <v>69</v>
      </c>
      <c r="DC55" s="154" t="s">
        <v>69</v>
      </c>
      <c r="DD55" s="154" t="s">
        <v>69</v>
      </c>
      <c r="DE55" s="154" t="s">
        <v>69</v>
      </c>
      <c r="DF55" s="154" t="s">
        <v>69</v>
      </c>
      <c r="DG55" s="154" t="s">
        <v>69</v>
      </c>
      <c r="DH55" s="154" t="s">
        <v>69</v>
      </c>
      <c r="DI55" s="154" t="s">
        <v>69</v>
      </c>
      <c r="DJ55" s="154" t="s">
        <v>69</v>
      </c>
      <c r="DK55" s="154" t="s">
        <v>69</v>
      </c>
      <c r="DL55" s="154" t="s">
        <v>69</v>
      </c>
      <c r="DM55" s="154" t="s">
        <v>69</v>
      </c>
      <c r="DN55" s="154" t="s">
        <v>69</v>
      </c>
      <c r="DO55" s="154" t="s">
        <v>69</v>
      </c>
      <c r="DP55" s="154" t="s">
        <v>69</v>
      </c>
      <c r="DQ55" s="154" t="s">
        <v>69</v>
      </c>
      <c r="DR55" s="154" t="s">
        <v>69</v>
      </c>
      <c r="DS55" s="154" t="s">
        <v>69</v>
      </c>
      <c r="DT55" s="168" t="s">
        <v>69</v>
      </c>
      <c r="DU55" s="110">
        <f t="shared" si="2"/>
        <v>0.19354838709677419</v>
      </c>
      <c r="DV55" s="104">
        <f t="shared" si="3"/>
        <v>0.91666666666666663</v>
      </c>
    </row>
    <row r="56" spans="1:126" ht="68.25" hidden="1" customHeight="1" thickBot="1">
      <c r="A56" s="218" t="s">
        <v>540</v>
      </c>
      <c r="B56" s="236" t="s">
        <v>554</v>
      </c>
      <c r="C56" s="239" t="s">
        <v>555</v>
      </c>
      <c r="D56" s="219">
        <v>45331</v>
      </c>
      <c r="E56" s="220" t="s">
        <v>434</v>
      </c>
      <c r="F56" s="167">
        <v>3</v>
      </c>
      <c r="G56" s="154" t="s">
        <v>69</v>
      </c>
      <c r="H56" s="154">
        <v>3</v>
      </c>
      <c r="I56" s="154" t="s">
        <v>69</v>
      </c>
      <c r="J56" s="154" t="s">
        <v>69</v>
      </c>
      <c r="K56" s="154" t="s">
        <v>69</v>
      </c>
      <c r="L56" s="154" t="s">
        <v>69</v>
      </c>
      <c r="M56" s="154" t="s">
        <v>69</v>
      </c>
      <c r="N56" s="154" t="s">
        <v>69</v>
      </c>
      <c r="O56" s="154" t="s">
        <v>69</v>
      </c>
      <c r="P56" s="154" t="s">
        <v>69</v>
      </c>
      <c r="Q56" s="154" t="s">
        <v>69</v>
      </c>
      <c r="R56" s="154" t="s">
        <v>69</v>
      </c>
      <c r="S56" s="154" t="s">
        <v>69</v>
      </c>
      <c r="T56" s="165" t="s">
        <v>69</v>
      </c>
      <c r="U56" s="165" t="s">
        <v>69</v>
      </c>
      <c r="V56" s="154" t="s">
        <v>69</v>
      </c>
      <c r="W56" s="154" t="s">
        <v>69</v>
      </c>
      <c r="X56" s="154" t="s">
        <v>69</v>
      </c>
      <c r="Y56" s="154" t="s">
        <v>69</v>
      </c>
      <c r="Z56" s="154" t="s">
        <v>69</v>
      </c>
      <c r="AA56" s="154" t="s">
        <v>69</v>
      </c>
      <c r="AB56" s="154" t="s">
        <v>69</v>
      </c>
      <c r="AC56" s="154" t="s">
        <v>69</v>
      </c>
      <c r="AD56" s="154" t="s">
        <v>69</v>
      </c>
      <c r="AE56" s="154" t="s">
        <v>69</v>
      </c>
      <c r="AF56" s="154" t="s">
        <v>69</v>
      </c>
      <c r="AG56" s="154" t="s">
        <v>69</v>
      </c>
      <c r="AH56" s="154" t="s">
        <v>69</v>
      </c>
      <c r="AI56" s="154" t="s">
        <v>69</v>
      </c>
      <c r="AJ56" s="154" t="s">
        <v>69</v>
      </c>
      <c r="AK56" s="154" t="s">
        <v>69</v>
      </c>
      <c r="AL56" s="154" t="s">
        <v>69</v>
      </c>
      <c r="AM56" s="154" t="s">
        <v>69</v>
      </c>
      <c r="AN56" s="154">
        <v>2</v>
      </c>
      <c r="AO56" s="154" t="s">
        <v>69</v>
      </c>
      <c r="AP56" s="154" t="s">
        <v>69</v>
      </c>
      <c r="AQ56" s="154" t="s">
        <v>69</v>
      </c>
      <c r="AR56" s="154">
        <v>3</v>
      </c>
      <c r="AS56" s="154" t="s">
        <v>69</v>
      </c>
      <c r="AT56" s="154" t="s">
        <v>69</v>
      </c>
      <c r="AU56" s="154" t="s">
        <v>69</v>
      </c>
      <c r="AV56" s="154" t="s">
        <v>69</v>
      </c>
      <c r="AW56" s="154" t="s">
        <v>69</v>
      </c>
      <c r="AX56" s="154">
        <v>3</v>
      </c>
      <c r="AY56" s="154" t="s">
        <v>69</v>
      </c>
      <c r="AZ56" s="154" t="s">
        <v>69</v>
      </c>
      <c r="BA56" s="154" t="s">
        <v>69</v>
      </c>
      <c r="BB56" s="154" t="s">
        <v>69</v>
      </c>
      <c r="BC56" s="154" t="s">
        <v>69</v>
      </c>
      <c r="BD56" s="154" t="s">
        <v>69</v>
      </c>
      <c r="BE56" s="154" t="s">
        <v>69</v>
      </c>
      <c r="BF56" s="154" t="s">
        <v>69</v>
      </c>
      <c r="BG56" s="154" t="s">
        <v>69</v>
      </c>
      <c r="BH56" s="154" t="s">
        <v>69</v>
      </c>
      <c r="BI56" s="154" t="s">
        <v>69</v>
      </c>
      <c r="BJ56" s="154">
        <v>2</v>
      </c>
      <c r="BK56" s="154" t="s">
        <v>69</v>
      </c>
      <c r="BL56" s="154" t="s">
        <v>69</v>
      </c>
      <c r="BM56" s="154" t="s">
        <v>69</v>
      </c>
      <c r="BN56" s="154" t="s">
        <v>69</v>
      </c>
      <c r="BO56" s="154" t="s">
        <v>69</v>
      </c>
      <c r="BP56" s="154" t="s">
        <v>69</v>
      </c>
      <c r="BQ56" s="154" t="s">
        <v>69</v>
      </c>
      <c r="BR56" s="154">
        <v>3</v>
      </c>
      <c r="BS56" s="154" t="s">
        <v>69</v>
      </c>
      <c r="BT56" s="154" t="s">
        <v>69</v>
      </c>
      <c r="BU56" s="154" t="s">
        <v>69</v>
      </c>
      <c r="BV56" s="154" t="s">
        <v>69</v>
      </c>
      <c r="BW56" s="154" t="s">
        <v>69</v>
      </c>
      <c r="BX56" s="154" t="s">
        <v>69</v>
      </c>
      <c r="BY56" s="154" t="s">
        <v>69</v>
      </c>
      <c r="BZ56" s="154">
        <v>4</v>
      </c>
      <c r="CA56" s="154" t="s">
        <v>69</v>
      </c>
      <c r="CB56" s="154" t="s">
        <v>69</v>
      </c>
      <c r="CC56" s="154" t="s">
        <v>69</v>
      </c>
      <c r="CD56" s="154" t="s">
        <v>69</v>
      </c>
      <c r="CE56" s="154" t="s">
        <v>69</v>
      </c>
      <c r="CF56" s="154" t="s">
        <v>69</v>
      </c>
      <c r="CG56" s="154">
        <v>3</v>
      </c>
      <c r="CH56" s="154" t="s">
        <v>69</v>
      </c>
      <c r="CI56" s="154" t="s">
        <v>69</v>
      </c>
      <c r="CJ56" s="154" t="s">
        <v>69</v>
      </c>
      <c r="CK56" s="154" t="s">
        <v>69</v>
      </c>
      <c r="CL56" s="154" t="s">
        <v>69</v>
      </c>
      <c r="CM56" s="154" t="s">
        <v>69</v>
      </c>
      <c r="CN56" s="154" t="s">
        <v>69</v>
      </c>
      <c r="CO56" s="154" t="s">
        <v>69</v>
      </c>
      <c r="CP56" s="154" t="s">
        <v>69</v>
      </c>
      <c r="CQ56" s="154" t="s">
        <v>69</v>
      </c>
      <c r="CR56" s="154" t="s">
        <v>69</v>
      </c>
      <c r="CS56" s="154" t="s">
        <v>69</v>
      </c>
      <c r="CT56" s="154" t="s">
        <v>69</v>
      </c>
      <c r="CU56" s="154" t="s">
        <v>69</v>
      </c>
      <c r="CV56" s="154" t="s">
        <v>69</v>
      </c>
      <c r="CW56" s="154" t="s">
        <v>69</v>
      </c>
      <c r="CX56" s="154" t="s">
        <v>69</v>
      </c>
      <c r="CY56" s="154" t="s">
        <v>69</v>
      </c>
      <c r="CZ56" s="154" t="s">
        <v>69</v>
      </c>
      <c r="DA56" s="154" t="s">
        <v>69</v>
      </c>
      <c r="DB56" s="154" t="s">
        <v>69</v>
      </c>
      <c r="DC56" s="154" t="s">
        <v>69</v>
      </c>
      <c r="DD56" s="154" t="s">
        <v>69</v>
      </c>
      <c r="DE56" s="154" t="s">
        <v>69</v>
      </c>
      <c r="DF56" s="154" t="s">
        <v>69</v>
      </c>
      <c r="DG56" s="154" t="s">
        <v>69</v>
      </c>
      <c r="DH56" s="154" t="s">
        <v>69</v>
      </c>
      <c r="DI56" s="154" t="s">
        <v>69</v>
      </c>
      <c r="DJ56" s="154" t="s">
        <v>69</v>
      </c>
      <c r="DK56" s="154" t="s">
        <v>69</v>
      </c>
      <c r="DL56" s="154" t="s">
        <v>69</v>
      </c>
      <c r="DM56" s="154" t="s">
        <v>69</v>
      </c>
      <c r="DN56" s="154" t="s">
        <v>69</v>
      </c>
      <c r="DO56" s="154" t="s">
        <v>69</v>
      </c>
      <c r="DP56" s="154" t="s">
        <v>69</v>
      </c>
      <c r="DQ56" s="154" t="s">
        <v>69</v>
      </c>
      <c r="DR56" s="154" t="s">
        <v>69</v>
      </c>
      <c r="DS56" s="154" t="s">
        <v>69</v>
      </c>
      <c r="DT56" s="168" t="s">
        <v>69</v>
      </c>
      <c r="DU56" s="110">
        <f t="shared" si="2"/>
        <v>0.14516129032258066</v>
      </c>
      <c r="DV56" s="104">
        <f t="shared" si="3"/>
        <v>0.77777777777777779</v>
      </c>
    </row>
    <row r="57" spans="1:126" ht="68.25" hidden="1" customHeight="1" thickBot="1">
      <c r="A57" s="218" t="s">
        <v>541</v>
      </c>
      <c r="B57" s="236" t="s">
        <v>556</v>
      </c>
      <c r="C57" s="239" t="s">
        <v>557</v>
      </c>
      <c r="D57" s="219">
        <v>45331</v>
      </c>
      <c r="E57" s="220" t="s">
        <v>434</v>
      </c>
      <c r="F57" s="167">
        <v>4</v>
      </c>
      <c r="G57" s="154">
        <v>3</v>
      </c>
      <c r="H57" s="154">
        <v>4</v>
      </c>
      <c r="I57" s="154">
        <v>4</v>
      </c>
      <c r="J57" s="154">
        <v>4</v>
      </c>
      <c r="K57" s="154" t="s">
        <v>69</v>
      </c>
      <c r="L57" s="154" t="s">
        <v>69</v>
      </c>
      <c r="M57" s="154" t="s">
        <v>69</v>
      </c>
      <c r="N57" s="154" t="s">
        <v>69</v>
      </c>
      <c r="O57" s="154" t="s">
        <v>69</v>
      </c>
      <c r="P57" s="154" t="s">
        <v>69</v>
      </c>
      <c r="Q57" s="154" t="s">
        <v>69</v>
      </c>
      <c r="R57" s="154" t="s">
        <v>69</v>
      </c>
      <c r="S57" s="154" t="s">
        <v>69</v>
      </c>
      <c r="T57" s="165" t="s">
        <v>69</v>
      </c>
      <c r="U57" s="165" t="s">
        <v>69</v>
      </c>
      <c r="V57" s="154" t="s">
        <v>69</v>
      </c>
      <c r="W57" s="154" t="s">
        <v>69</v>
      </c>
      <c r="X57" s="154" t="s">
        <v>69</v>
      </c>
      <c r="Y57" s="154" t="s">
        <v>69</v>
      </c>
      <c r="Z57" s="154" t="s">
        <v>69</v>
      </c>
      <c r="AA57" s="154" t="s">
        <v>69</v>
      </c>
      <c r="AB57" s="154" t="s">
        <v>69</v>
      </c>
      <c r="AC57" s="154" t="s">
        <v>69</v>
      </c>
      <c r="AD57" s="154" t="s">
        <v>69</v>
      </c>
      <c r="AE57" s="154" t="s">
        <v>69</v>
      </c>
      <c r="AF57" s="154" t="s">
        <v>69</v>
      </c>
      <c r="AG57" s="154" t="s">
        <v>69</v>
      </c>
      <c r="AH57" s="154" t="s">
        <v>69</v>
      </c>
      <c r="AI57" s="154" t="s">
        <v>69</v>
      </c>
      <c r="AJ57" s="154" t="s">
        <v>69</v>
      </c>
      <c r="AK57" s="154" t="s">
        <v>69</v>
      </c>
      <c r="AL57" s="154" t="s">
        <v>69</v>
      </c>
      <c r="AM57" s="154" t="s">
        <v>69</v>
      </c>
      <c r="AN57" s="154" t="s">
        <v>69</v>
      </c>
      <c r="AO57" s="154" t="s">
        <v>69</v>
      </c>
      <c r="AP57" s="154" t="s">
        <v>69</v>
      </c>
      <c r="AQ57" s="154" t="s">
        <v>69</v>
      </c>
      <c r="AR57" s="154" t="s">
        <v>69</v>
      </c>
      <c r="AS57" s="154" t="s">
        <v>69</v>
      </c>
      <c r="AT57" s="154" t="s">
        <v>69</v>
      </c>
      <c r="AU57" s="154" t="s">
        <v>69</v>
      </c>
      <c r="AV57" s="154" t="s">
        <v>69</v>
      </c>
      <c r="AW57" s="154" t="s">
        <v>69</v>
      </c>
      <c r="AX57" s="154" t="s">
        <v>69</v>
      </c>
      <c r="AY57" s="154">
        <v>3</v>
      </c>
      <c r="AZ57" s="154" t="s">
        <v>69</v>
      </c>
      <c r="BA57" s="154" t="s">
        <v>69</v>
      </c>
      <c r="BB57" s="154" t="s">
        <v>69</v>
      </c>
      <c r="BC57" s="154" t="s">
        <v>69</v>
      </c>
      <c r="BD57" s="154" t="s">
        <v>69</v>
      </c>
      <c r="BE57" s="154" t="s">
        <v>69</v>
      </c>
      <c r="BF57" s="154" t="s">
        <v>69</v>
      </c>
      <c r="BG57" s="154" t="s">
        <v>69</v>
      </c>
      <c r="BH57" s="154" t="s">
        <v>69</v>
      </c>
      <c r="BI57" s="154" t="s">
        <v>69</v>
      </c>
      <c r="BJ57" s="154" t="s">
        <v>69</v>
      </c>
      <c r="BK57" s="154" t="s">
        <v>69</v>
      </c>
      <c r="BL57" s="154" t="s">
        <v>69</v>
      </c>
      <c r="BM57" s="154" t="s">
        <v>69</v>
      </c>
      <c r="BN57" s="154" t="s">
        <v>69</v>
      </c>
      <c r="BO57" s="154" t="s">
        <v>69</v>
      </c>
      <c r="BP57" s="154">
        <v>2</v>
      </c>
      <c r="BQ57" s="154" t="s">
        <v>69</v>
      </c>
      <c r="BR57" s="154">
        <v>3</v>
      </c>
      <c r="BS57" s="154" t="s">
        <v>69</v>
      </c>
      <c r="BT57" s="154" t="s">
        <v>69</v>
      </c>
      <c r="BU57" s="154" t="s">
        <v>69</v>
      </c>
      <c r="BV57" s="154" t="s">
        <v>69</v>
      </c>
      <c r="BW57" s="154" t="s">
        <v>69</v>
      </c>
      <c r="BX57" s="154" t="s">
        <v>69</v>
      </c>
      <c r="BY57" s="154">
        <v>3</v>
      </c>
      <c r="BZ57" s="154">
        <v>4</v>
      </c>
      <c r="CA57" s="154" t="s">
        <v>69</v>
      </c>
      <c r="CB57" s="154" t="s">
        <v>69</v>
      </c>
      <c r="CC57" s="154" t="s">
        <v>69</v>
      </c>
      <c r="CD57" s="154" t="s">
        <v>69</v>
      </c>
      <c r="CE57" s="154" t="s">
        <v>69</v>
      </c>
      <c r="CF57" s="154" t="s">
        <v>69</v>
      </c>
      <c r="CG57" s="154" t="s">
        <v>69</v>
      </c>
      <c r="CH57" s="154" t="s">
        <v>69</v>
      </c>
      <c r="CI57" s="154" t="s">
        <v>69</v>
      </c>
      <c r="CJ57" s="154" t="s">
        <v>69</v>
      </c>
      <c r="CK57" s="154" t="s">
        <v>69</v>
      </c>
      <c r="CL57" s="154" t="s">
        <v>69</v>
      </c>
      <c r="CM57" s="154" t="s">
        <v>69</v>
      </c>
      <c r="CN57" s="154" t="s">
        <v>69</v>
      </c>
      <c r="CO57" s="154" t="s">
        <v>69</v>
      </c>
      <c r="CP57" s="154" t="s">
        <v>69</v>
      </c>
      <c r="CQ57" s="154" t="s">
        <v>69</v>
      </c>
      <c r="CR57" s="154" t="s">
        <v>69</v>
      </c>
      <c r="CS57" s="154" t="s">
        <v>69</v>
      </c>
      <c r="CT57" s="154" t="s">
        <v>69</v>
      </c>
      <c r="CU57" s="154" t="s">
        <v>69</v>
      </c>
      <c r="CV57" s="154" t="s">
        <v>69</v>
      </c>
      <c r="CW57" s="154" t="s">
        <v>69</v>
      </c>
      <c r="CX57" s="154" t="s">
        <v>69</v>
      </c>
      <c r="CY57" s="154" t="s">
        <v>69</v>
      </c>
      <c r="CZ57" s="154" t="s">
        <v>69</v>
      </c>
      <c r="DA57" s="154" t="s">
        <v>69</v>
      </c>
      <c r="DB57" s="154" t="s">
        <v>69</v>
      </c>
      <c r="DC57" s="154" t="s">
        <v>69</v>
      </c>
      <c r="DD57" s="154" t="s">
        <v>69</v>
      </c>
      <c r="DE57" s="154" t="s">
        <v>69</v>
      </c>
      <c r="DF57" s="154" t="s">
        <v>69</v>
      </c>
      <c r="DG57" s="154" t="s">
        <v>69</v>
      </c>
      <c r="DH57" s="154" t="s">
        <v>69</v>
      </c>
      <c r="DI57" s="154" t="s">
        <v>69</v>
      </c>
      <c r="DJ57" s="154" t="s">
        <v>69</v>
      </c>
      <c r="DK57" s="154" t="s">
        <v>69</v>
      </c>
      <c r="DL57" s="154" t="s">
        <v>69</v>
      </c>
      <c r="DM57" s="154" t="s">
        <v>69</v>
      </c>
      <c r="DN57" s="154" t="s">
        <v>69</v>
      </c>
      <c r="DO57" s="154" t="s">
        <v>69</v>
      </c>
      <c r="DP57" s="154" t="s">
        <v>69</v>
      </c>
      <c r="DQ57" s="154" t="s">
        <v>69</v>
      </c>
      <c r="DR57" s="154" t="s">
        <v>69</v>
      </c>
      <c r="DS57" s="154" t="s">
        <v>69</v>
      </c>
      <c r="DT57" s="168" t="s">
        <v>69</v>
      </c>
      <c r="DU57" s="110">
        <f t="shared" si="2"/>
        <v>0.16129032258064516</v>
      </c>
      <c r="DV57" s="104">
        <f t="shared" si="3"/>
        <v>0.9</v>
      </c>
    </row>
    <row r="58" spans="1:126" ht="68.25" hidden="1" customHeight="1" thickBot="1">
      <c r="A58" s="223" t="s">
        <v>542</v>
      </c>
      <c r="B58" s="236" t="s">
        <v>558</v>
      </c>
      <c r="C58" s="239" t="s">
        <v>676</v>
      </c>
      <c r="D58" s="219">
        <v>45331</v>
      </c>
      <c r="E58" s="220" t="s">
        <v>434</v>
      </c>
      <c r="F58" s="167">
        <v>4</v>
      </c>
      <c r="G58" s="154" t="s">
        <v>69</v>
      </c>
      <c r="H58" s="154">
        <v>4</v>
      </c>
      <c r="I58" s="154" t="s">
        <v>69</v>
      </c>
      <c r="J58" s="154" t="s">
        <v>69</v>
      </c>
      <c r="K58" s="154" t="s">
        <v>69</v>
      </c>
      <c r="L58" s="154" t="s">
        <v>69</v>
      </c>
      <c r="M58" s="154" t="s">
        <v>69</v>
      </c>
      <c r="N58" s="154" t="s">
        <v>69</v>
      </c>
      <c r="O58" s="154" t="s">
        <v>69</v>
      </c>
      <c r="P58" s="154" t="s">
        <v>69</v>
      </c>
      <c r="Q58" s="154" t="s">
        <v>69</v>
      </c>
      <c r="R58" s="154" t="s">
        <v>69</v>
      </c>
      <c r="S58" s="154" t="s">
        <v>69</v>
      </c>
      <c r="T58" s="165" t="s">
        <v>69</v>
      </c>
      <c r="U58" s="165" t="s">
        <v>69</v>
      </c>
      <c r="V58" s="154" t="s">
        <v>69</v>
      </c>
      <c r="W58" s="154" t="s">
        <v>69</v>
      </c>
      <c r="X58" s="154" t="s">
        <v>69</v>
      </c>
      <c r="Y58" s="154" t="s">
        <v>69</v>
      </c>
      <c r="Z58" s="154" t="s">
        <v>69</v>
      </c>
      <c r="AA58" s="154" t="s">
        <v>69</v>
      </c>
      <c r="AB58" s="154" t="s">
        <v>69</v>
      </c>
      <c r="AC58" s="154" t="s">
        <v>69</v>
      </c>
      <c r="AD58" s="154" t="s">
        <v>69</v>
      </c>
      <c r="AE58" s="154" t="s">
        <v>69</v>
      </c>
      <c r="AF58" s="154" t="s">
        <v>69</v>
      </c>
      <c r="AG58" s="154" t="s">
        <v>69</v>
      </c>
      <c r="AH58" s="154" t="s">
        <v>69</v>
      </c>
      <c r="AI58" s="154" t="s">
        <v>69</v>
      </c>
      <c r="AJ58" s="154" t="s">
        <v>69</v>
      </c>
      <c r="AK58" s="154" t="s">
        <v>69</v>
      </c>
      <c r="AL58" s="154" t="s">
        <v>69</v>
      </c>
      <c r="AM58" s="154" t="s">
        <v>69</v>
      </c>
      <c r="AN58" s="154" t="s">
        <v>69</v>
      </c>
      <c r="AO58" s="154" t="s">
        <v>69</v>
      </c>
      <c r="AP58" s="154" t="s">
        <v>69</v>
      </c>
      <c r="AQ58" s="154" t="s">
        <v>69</v>
      </c>
      <c r="AR58" s="154" t="s">
        <v>69</v>
      </c>
      <c r="AS58" s="154" t="s">
        <v>69</v>
      </c>
      <c r="AT58" s="154" t="s">
        <v>69</v>
      </c>
      <c r="AU58" s="154">
        <v>4</v>
      </c>
      <c r="AV58" s="154" t="s">
        <v>69</v>
      </c>
      <c r="AW58" s="154" t="s">
        <v>69</v>
      </c>
      <c r="AX58" s="154">
        <v>4</v>
      </c>
      <c r="AY58" s="154" t="s">
        <v>69</v>
      </c>
      <c r="AZ58" s="154" t="s">
        <v>69</v>
      </c>
      <c r="BA58" s="154" t="s">
        <v>69</v>
      </c>
      <c r="BB58" s="154" t="s">
        <v>69</v>
      </c>
      <c r="BC58" s="154" t="s">
        <v>69</v>
      </c>
      <c r="BD58" s="154" t="s">
        <v>69</v>
      </c>
      <c r="BE58" s="154" t="s">
        <v>69</v>
      </c>
      <c r="BF58" s="154" t="s">
        <v>69</v>
      </c>
      <c r="BG58" s="154" t="s">
        <v>69</v>
      </c>
      <c r="BH58" s="154" t="s">
        <v>69</v>
      </c>
      <c r="BI58" s="154" t="s">
        <v>69</v>
      </c>
      <c r="BJ58" s="154" t="s">
        <v>69</v>
      </c>
      <c r="BK58" s="154" t="s">
        <v>69</v>
      </c>
      <c r="BL58" s="154" t="s">
        <v>69</v>
      </c>
      <c r="BM58" s="154" t="s">
        <v>69</v>
      </c>
      <c r="BN58" s="154" t="s">
        <v>69</v>
      </c>
      <c r="BO58" s="154" t="s">
        <v>69</v>
      </c>
      <c r="BP58" s="154" t="s">
        <v>69</v>
      </c>
      <c r="BQ58" s="154" t="s">
        <v>69</v>
      </c>
      <c r="BR58" s="154" t="s">
        <v>69</v>
      </c>
      <c r="BS58" s="154" t="s">
        <v>69</v>
      </c>
      <c r="BT58" s="154" t="s">
        <v>69</v>
      </c>
      <c r="BU58" s="154" t="s">
        <v>69</v>
      </c>
      <c r="BV58" s="154" t="s">
        <v>69</v>
      </c>
      <c r="BW58" s="154" t="s">
        <v>69</v>
      </c>
      <c r="BX58" s="154" t="s">
        <v>69</v>
      </c>
      <c r="BY58" s="154" t="s">
        <v>69</v>
      </c>
      <c r="BZ58" s="154" t="s">
        <v>69</v>
      </c>
      <c r="CA58" s="154" t="s">
        <v>69</v>
      </c>
      <c r="CB58" s="154" t="s">
        <v>69</v>
      </c>
      <c r="CC58" s="154" t="s">
        <v>69</v>
      </c>
      <c r="CD58" s="154" t="s">
        <v>69</v>
      </c>
      <c r="CE58" s="154" t="s">
        <v>69</v>
      </c>
      <c r="CF58" s="154" t="s">
        <v>69</v>
      </c>
      <c r="CG58" s="154">
        <v>2</v>
      </c>
      <c r="CH58" s="154" t="s">
        <v>69</v>
      </c>
      <c r="CI58" s="154" t="s">
        <v>69</v>
      </c>
      <c r="CJ58" s="154" t="s">
        <v>69</v>
      </c>
      <c r="CK58" s="154" t="s">
        <v>69</v>
      </c>
      <c r="CL58" s="154" t="s">
        <v>69</v>
      </c>
      <c r="CM58" s="154" t="s">
        <v>69</v>
      </c>
      <c r="CN58" s="154" t="s">
        <v>69</v>
      </c>
      <c r="CO58" s="154" t="s">
        <v>69</v>
      </c>
      <c r="CP58" s="154">
        <v>4</v>
      </c>
      <c r="CQ58" s="154">
        <v>3</v>
      </c>
      <c r="CR58" s="154" t="s">
        <v>69</v>
      </c>
      <c r="CS58" s="154" t="s">
        <v>69</v>
      </c>
      <c r="CT58" s="154" t="s">
        <v>69</v>
      </c>
      <c r="CU58" s="154" t="s">
        <v>69</v>
      </c>
      <c r="CV58" s="154" t="s">
        <v>69</v>
      </c>
      <c r="CW58" s="154" t="s">
        <v>69</v>
      </c>
      <c r="CX58" s="154">
        <v>2</v>
      </c>
      <c r="CY58" s="154" t="s">
        <v>69</v>
      </c>
      <c r="CZ58" s="154" t="s">
        <v>69</v>
      </c>
      <c r="DA58" s="154" t="s">
        <v>69</v>
      </c>
      <c r="DB58" s="154" t="s">
        <v>69</v>
      </c>
      <c r="DC58" s="154" t="s">
        <v>69</v>
      </c>
      <c r="DD58" s="154" t="s">
        <v>69</v>
      </c>
      <c r="DE58" s="154" t="s">
        <v>69</v>
      </c>
      <c r="DF58" s="154" t="s">
        <v>69</v>
      </c>
      <c r="DG58" s="154" t="s">
        <v>69</v>
      </c>
      <c r="DH58" s="154" t="s">
        <v>69</v>
      </c>
      <c r="DI58" s="154" t="s">
        <v>69</v>
      </c>
      <c r="DJ58" s="154" t="s">
        <v>69</v>
      </c>
      <c r="DK58" s="154" t="s">
        <v>69</v>
      </c>
      <c r="DL58" s="154" t="s">
        <v>69</v>
      </c>
      <c r="DM58" s="154" t="s">
        <v>69</v>
      </c>
      <c r="DN58" s="154" t="s">
        <v>69</v>
      </c>
      <c r="DO58" s="154" t="s">
        <v>69</v>
      </c>
      <c r="DP58" s="154" t="s">
        <v>69</v>
      </c>
      <c r="DQ58" s="154" t="s">
        <v>69</v>
      </c>
      <c r="DR58" s="154" t="s">
        <v>69</v>
      </c>
      <c r="DS58" s="154" t="s">
        <v>69</v>
      </c>
      <c r="DT58" s="168" t="s">
        <v>69</v>
      </c>
      <c r="DU58" s="110">
        <f t="shared" si="2"/>
        <v>0.12903225806451613</v>
      </c>
      <c r="DV58" s="104">
        <f t="shared" si="3"/>
        <v>0.75</v>
      </c>
    </row>
    <row r="59" spans="1:126" ht="68.25" hidden="1" customHeight="1" thickBot="1">
      <c r="A59" s="223" t="s">
        <v>544</v>
      </c>
      <c r="B59" s="236" t="s">
        <v>560</v>
      </c>
      <c r="C59" s="239" t="s">
        <v>561</v>
      </c>
      <c r="D59" s="219">
        <v>45331</v>
      </c>
      <c r="E59" s="220" t="s">
        <v>434</v>
      </c>
      <c r="F59" s="167" t="s">
        <v>69</v>
      </c>
      <c r="G59" s="154" t="s">
        <v>69</v>
      </c>
      <c r="H59" s="154" t="s">
        <v>69</v>
      </c>
      <c r="I59" s="154" t="s">
        <v>69</v>
      </c>
      <c r="J59" s="154" t="s">
        <v>69</v>
      </c>
      <c r="K59" s="154" t="s">
        <v>69</v>
      </c>
      <c r="L59" s="154" t="s">
        <v>69</v>
      </c>
      <c r="M59" s="154">
        <v>3</v>
      </c>
      <c r="N59" s="154" t="s">
        <v>69</v>
      </c>
      <c r="O59" s="154" t="s">
        <v>69</v>
      </c>
      <c r="P59" s="154" t="s">
        <v>69</v>
      </c>
      <c r="Q59" s="154" t="s">
        <v>69</v>
      </c>
      <c r="R59" s="154" t="s">
        <v>69</v>
      </c>
      <c r="S59" s="154" t="s">
        <v>69</v>
      </c>
      <c r="T59" s="165" t="s">
        <v>69</v>
      </c>
      <c r="U59" s="165" t="s">
        <v>69</v>
      </c>
      <c r="V59" s="154" t="s">
        <v>69</v>
      </c>
      <c r="W59" s="154" t="s">
        <v>69</v>
      </c>
      <c r="X59" s="154" t="s">
        <v>69</v>
      </c>
      <c r="Y59" s="154" t="s">
        <v>69</v>
      </c>
      <c r="Z59" s="154" t="s">
        <v>69</v>
      </c>
      <c r="AA59" s="154">
        <v>3</v>
      </c>
      <c r="AB59" s="154" t="s">
        <v>69</v>
      </c>
      <c r="AC59" s="154" t="s">
        <v>69</v>
      </c>
      <c r="AD59" s="154" t="s">
        <v>69</v>
      </c>
      <c r="AE59" s="154" t="s">
        <v>69</v>
      </c>
      <c r="AF59" s="154">
        <v>4</v>
      </c>
      <c r="AG59" s="154">
        <v>3</v>
      </c>
      <c r="AH59" s="154" t="s">
        <v>69</v>
      </c>
      <c r="AI59" s="154" t="s">
        <v>69</v>
      </c>
      <c r="AJ59" s="154" t="s">
        <v>69</v>
      </c>
      <c r="AK59" s="154" t="s">
        <v>69</v>
      </c>
      <c r="AL59" s="154" t="s">
        <v>69</v>
      </c>
      <c r="AM59" s="154" t="s">
        <v>69</v>
      </c>
      <c r="AN59" s="154">
        <v>4</v>
      </c>
      <c r="AO59" s="154">
        <v>3</v>
      </c>
      <c r="AP59" s="154" t="s">
        <v>69</v>
      </c>
      <c r="AQ59" s="154" t="s">
        <v>69</v>
      </c>
      <c r="AR59" s="154" t="s">
        <v>69</v>
      </c>
      <c r="AS59" s="154" t="s">
        <v>69</v>
      </c>
      <c r="AT59" s="154" t="s">
        <v>69</v>
      </c>
      <c r="AU59" s="154" t="s">
        <v>69</v>
      </c>
      <c r="AV59" s="154" t="s">
        <v>69</v>
      </c>
      <c r="AW59" s="154" t="s">
        <v>69</v>
      </c>
      <c r="AX59" s="154" t="s">
        <v>69</v>
      </c>
      <c r="AY59" s="154" t="s">
        <v>69</v>
      </c>
      <c r="AZ59" s="154" t="s">
        <v>69</v>
      </c>
      <c r="BA59" s="154" t="s">
        <v>69</v>
      </c>
      <c r="BB59" s="154" t="s">
        <v>69</v>
      </c>
      <c r="BC59" s="154" t="s">
        <v>69</v>
      </c>
      <c r="BD59" s="154" t="s">
        <v>69</v>
      </c>
      <c r="BE59" s="154" t="s">
        <v>69</v>
      </c>
      <c r="BF59" s="154" t="s">
        <v>69</v>
      </c>
      <c r="BG59" s="154" t="s">
        <v>69</v>
      </c>
      <c r="BH59" s="154" t="s">
        <v>69</v>
      </c>
      <c r="BI59" s="154" t="s">
        <v>69</v>
      </c>
      <c r="BJ59" s="154" t="s">
        <v>69</v>
      </c>
      <c r="BK59" s="154" t="s">
        <v>69</v>
      </c>
      <c r="BL59" s="154" t="s">
        <v>69</v>
      </c>
      <c r="BM59" s="154" t="s">
        <v>69</v>
      </c>
      <c r="BN59" s="154" t="s">
        <v>69</v>
      </c>
      <c r="BO59" s="154" t="s">
        <v>69</v>
      </c>
      <c r="BP59" s="154" t="s">
        <v>69</v>
      </c>
      <c r="BQ59" s="154" t="s">
        <v>69</v>
      </c>
      <c r="BR59" s="154" t="s">
        <v>69</v>
      </c>
      <c r="BS59" s="154" t="s">
        <v>69</v>
      </c>
      <c r="BT59" s="154" t="s">
        <v>69</v>
      </c>
      <c r="BU59" s="154" t="s">
        <v>69</v>
      </c>
      <c r="BV59" s="154" t="s">
        <v>69</v>
      </c>
      <c r="BW59" s="154" t="s">
        <v>69</v>
      </c>
      <c r="BX59" s="154" t="s">
        <v>69</v>
      </c>
      <c r="BY59" s="154" t="s">
        <v>69</v>
      </c>
      <c r="BZ59" s="154" t="s">
        <v>69</v>
      </c>
      <c r="CA59" s="154" t="s">
        <v>69</v>
      </c>
      <c r="CB59" s="154" t="s">
        <v>69</v>
      </c>
      <c r="CC59" s="154" t="s">
        <v>69</v>
      </c>
      <c r="CD59" s="154" t="s">
        <v>69</v>
      </c>
      <c r="CE59" s="154" t="s">
        <v>69</v>
      </c>
      <c r="CF59" s="154" t="s">
        <v>69</v>
      </c>
      <c r="CG59" s="154">
        <v>3</v>
      </c>
      <c r="CH59" s="154" t="s">
        <v>69</v>
      </c>
      <c r="CI59" s="154" t="s">
        <v>69</v>
      </c>
      <c r="CJ59" s="154" t="s">
        <v>69</v>
      </c>
      <c r="CK59" s="154" t="s">
        <v>69</v>
      </c>
      <c r="CL59" s="154" t="s">
        <v>69</v>
      </c>
      <c r="CM59" s="154" t="s">
        <v>69</v>
      </c>
      <c r="CN59" s="154" t="s">
        <v>69</v>
      </c>
      <c r="CO59" s="169">
        <v>4</v>
      </c>
      <c r="CP59" s="169">
        <v>3</v>
      </c>
      <c r="CQ59" s="154" t="s">
        <v>69</v>
      </c>
      <c r="CR59" s="154" t="s">
        <v>69</v>
      </c>
      <c r="CS59" s="154" t="s">
        <v>69</v>
      </c>
      <c r="CT59" s="154" t="s">
        <v>69</v>
      </c>
      <c r="CU59" s="154" t="s">
        <v>69</v>
      </c>
      <c r="CV59" s="154">
        <v>3</v>
      </c>
      <c r="CW59" s="154" t="s">
        <v>69</v>
      </c>
      <c r="CX59" s="154" t="s">
        <v>69</v>
      </c>
      <c r="CY59" s="154" t="s">
        <v>69</v>
      </c>
      <c r="CZ59" s="154" t="s">
        <v>69</v>
      </c>
      <c r="DA59" s="154" t="s">
        <v>69</v>
      </c>
      <c r="DB59" s="154">
        <v>3</v>
      </c>
      <c r="DC59" s="154">
        <v>3</v>
      </c>
      <c r="DD59" s="154">
        <v>3</v>
      </c>
      <c r="DE59" s="154" t="s">
        <v>69</v>
      </c>
      <c r="DF59" s="154">
        <v>3</v>
      </c>
      <c r="DG59" s="154" t="s">
        <v>69</v>
      </c>
      <c r="DH59" s="154" t="s">
        <v>69</v>
      </c>
      <c r="DI59" s="154" t="s">
        <v>69</v>
      </c>
      <c r="DJ59" s="154" t="s">
        <v>69</v>
      </c>
      <c r="DK59" s="154" t="s">
        <v>69</v>
      </c>
      <c r="DL59" s="154" t="s">
        <v>69</v>
      </c>
      <c r="DM59" s="154" t="s">
        <v>69</v>
      </c>
      <c r="DN59" s="154" t="s">
        <v>69</v>
      </c>
      <c r="DO59" s="154" t="s">
        <v>69</v>
      </c>
      <c r="DP59" s="154" t="s">
        <v>69</v>
      </c>
      <c r="DQ59" s="154" t="s">
        <v>69</v>
      </c>
      <c r="DR59" s="154" t="s">
        <v>69</v>
      </c>
      <c r="DS59" s="154" t="s">
        <v>69</v>
      </c>
      <c r="DT59" s="168" t="s">
        <v>69</v>
      </c>
      <c r="DU59" s="110">
        <f t="shared" si="2"/>
        <v>0.22580645161290322</v>
      </c>
      <c r="DV59" s="104">
        <f t="shared" si="3"/>
        <v>1</v>
      </c>
    </row>
    <row r="60" spans="1:126" ht="68.25" hidden="1" customHeight="1" thickBot="1">
      <c r="A60" s="223" t="s">
        <v>546</v>
      </c>
      <c r="B60" s="236" t="s">
        <v>562</v>
      </c>
      <c r="C60" s="239" t="s">
        <v>563</v>
      </c>
      <c r="D60" s="219">
        <v>45331</v>
      </c>
      <c r="E60" s="220" t="s">
        <v>434</v>
      </c>
      <c r="F60" s="167" t="s">
        <v>69</v>
      </c>
      <c r="G60" s="154" t="s">
        <v>69</v>
      </c>
      <c r="H60" s="154" t="s">
        <v>69</v>
      </c>
      <c r="I60" s="154">
        <v>3</v>
      </c>
      <c r="J60" s="154" t="s">
        <v>69</v>
      </c>
      <c r="K60" s="154" t="s">
        <v>69</v>
      </c>
      <c r="L60" s="154" t="s">
        <v>69</v>
      </c>
      <c r="M60" s="154" t="s">
        <v>69</v>
      </c>
      <c r="N60" s="154" t="s">
        <v>69</v>
      </c>
      <c r="O60" s="154" t="s">
        <v>69</v>
      </c>
      <c r="P60" s="154" t="s">
        <v>69</v>
      </c>
      <c r="Q60" s="154">
        <v>3</v>
      </c>
      <c r="R60" s="154" t="s">
        <v>69</v>
      </c>
      <c r="S60" s="154" t="s">
        <v>69</v>
      </c>
      <c r="T60" s="165" t="s">
        <v>69</v>
      </c>
      <c r="U60" s="165" t="s">
        <v>69</v>
      </c>
      <c r="V60" s="154" t="s">
        <v>69</v>
      </c>
      <c r="W60" s="154" t="s">
        <v>69</v>
      </c>
      <c r="X60" s="154" t="s">
        <v>69</v>
      </c>
      <c r="Y60" s="154" t="s">
        <v>69</v>
      </c>
      <c r="Z60" s="154" t="s">
        <v>69</v>
      </c>
      <c r="AA60" s="154" t="s">
        <v>69</v>
      </c>
      <c r="AB60" s="154" t="s">
        <v>69</v>
      </c>
      <c r="AC60" s="154" t="s">
        <v>69</v>
      </c>
      <c r="AD60" s="154" t="s">
        <v>69</v>
      </c>
      <c r="AE60" s="154" t="s">
        <v>69</v>
      </c>
      <c r="AF60" s="154" t="s">
        <v>69</v>
      </c>
      <c r="AG60" s="154" t="s">
        <v>69</v>
      </c>
      <c r="AH60" s="154" t="s">
        <v>69</v>
      </c>
      <c r="AI60" s="154" t="s">
        <v>69</v>
      </c>
      <c r="AJ60" s="154" t="s">
        <v>69</v>
      </c>
      <c r="AK60" s="154" t="s">
        <v>69</v>
      </c>
      <c r="AL60" s="154">
        <v>3</v>
      </c>
      <c r="AM60" s="154" t="s">
        <v>69</v>
      </c>
      <c r="AN60" s="154" t="s">
        <v>69</v>
      </c>
      <c r="AO60" s="154" t="s">
        <v>69</v>
      </c>
      <c r="AP60" s="154">
        <v>3</v>
      </c>
      <c r="AQ60" s="154" t="s">
        <v>69</v>
      </c>
      <c r="AR60" s="154" t="s">
        <v>69</v>
      </c>
      <c r="AS60" s="154" t="s">
        <v>69</v>
      </c>
      <c r="AT60" s="154">
        <v>3</v>
      </c>
      <c r="AU60" s="154" t="s">
        <v>69</v>
      </c>
      <c r="AV60" s="154" t="s">
        <v>69</v>
      </c>
      <c r="AW60" s="154" t="s">
        <v>69</v>
      </c>
      <c r="AX60" s="154" t="s">
        <v>69</v>
      </c>
      <c r="AY60" s="154">
        <v>3</v>
      </c>
      <c r="AZ60" s="154">
        <v>3</v>
      </c>
      <c r="BA60" s="154" t="s">
        <v>69</v>
      </c>
      <c r="BB60" s="154" t="s">
        <v>69</v>
      </c>
      <c r="BC60" s="154" t="s">
        <v>69</v>
      </c>
      <c r="BD60" s="154" t="s">
        <v>69</v>
      </c>
      <c r="BE60" s="154" t="s">
        <v>69</v>
      </c>
      <c r="BF60" s="154">
        <v>4</v>
      </c>
      <c r="BG60" s="154" t="s">
        <v>69</v>
      </c>
      <c r="BH60" s="154" t="s">
        <v>69</v>
      </c>
      <c r="BI60" s="154">
        <v>3</v>
      </c>
      <c r="BJ60" s="154" t="s">
        <v>69</v>
      </c>
      <c r="BK60" s="154" t="s">
        <v>69</v>
      </c>
      <c r="BL60" s="154" t="s">
        <v>69</v>
      </c>
      <c r="BM60" s="154" t="s">
        <v>69</v>
      </c>
      <c r="BN60" s="154" t="s">
        <v>69</v>
      </c>
      <c r="BO60" s="154" t="s">
        <v>69</v>
      </c>
      <c r="BP60" s="154" t="s">
        <v>69</v>
      </c>
      <c r="BQ60" s="154" t="s">
        <v>69</v>
      </c>
      <c r="BR60" s="154" t="s">
        <v>69</v>
      </c>
      <c r="BS60" s="154" t="s">
        <v>69</v>
      </c>
      <c r="BT60" s="154" t="s">
        <v>69</v>
      </c>
      <c r="BU60" s="154" t="s">
        <v>69</v>
      </c>
      <c r="BV60" s="154" t="s">
        <v>69</v>
      </c>
      <c r="BW60" s="154" t="s">
        <v>69</v>
      </c>
      <c r="BX60" s="154" t="s">
        <v>69</v>
      </c>
      <c r="BY60" s="154">
        <v>2</v>
      </c>
      <c r="BZ60" s="154" t="s">
        <v>69</v>
      </c>
      <c r="CA60" s="154" t="s">
        <v>69</v>
      </c>
      <c r="CB60" s="154" t="s">
        <v>69</v>
      </c>
      <c r="CC60" s="154" t="s">
        <v>69</v>
      </c>
      <c r="CD60" s="154" t="s">
        <v>69</v>
      </c>
      <c r="CE60" s="154" t="s">
        <v>69</v>
      </c>
      <c r="CF60" s="154" t="s">
        <v>69</v>
      </c>
      <c r="CG60" s="154">
        <v>3</v>
      </c>
      <c r="CH60" s="154" t="s">
        <v>69</v>
      </c>
      <c r="CI60" s="154" t="s">
        <v>69</v>
      </c>
      <c r="CJ60" s="154" t="s">
        <v>69</v>
      </c>
      <c r="CK60" s="154" t="s">
        <v>69</v>
      </c>
      <c r="CL60" s="154" t="s">
        <v>69</v>
      </c>
      <c r="CM60" s="154" t="s">
        <v>69</v>
      </c>
      <c r="CN60" s="154" t="s">
        <v>69</v>
      </c>
      <c r="CO60" s="154">
        <v>3</v>
      </c>
      <c r="CP60" s="154">
        <v>3</v>
      </c>
      <c r="CQ60" s="154">
        <v>2</v>
      </c>
      <c r="CR60" s="154" t="s">
        <v>69</v>
      </c>
      <c r="CS60" s="154">
        <v>2</v>
      </c>
      <c r="CT60" s="154" t="s">
        <v>69</v>
      </c>
      <c r="CU60" s="154" t="s">
        <v>69</v>
      </c>
      <c r="CV60" s="154">
        <v>3</v>
      </c>
      <c r="CW60" s="154" t="s">
        <v>69</v>
      </c>
      <c r="CX60" s="154" t="s">
        <v>69</v>
      </c>
      <c r="CY60" s="154" t="s">
        <v>69</v>
      </c>
      <c r="CZ60" s="154" t="s">
        <v>69</v>
      </c>
      <c r="DA60" s="154" t="s">
        <v>69</v>
      </c>
      <c r="DB60" s="154" t="s">
        <v>69</v>
      </c>
      <c r="DC60" s="154">
        <v>3</v>
      </c>
      <c r="DD60" s="154" t="s">
        <v>69</v>
      </c>
      <c r="DE60" s="154" t="s">
        <v>69</v>
      </c>
      <c r="DF60" s="154">
        <v>2</v>
      </c>
      <c r="DG60" s="154">
        <v>3</v>
      </c>
      <c r="DH60" s="154" t="s">
        <v>69</v>
      </c>
      <c r="DI60" s="154" t="s">
        <v>69</v>
      </c>
      <c r="DJ60" s="154" t="s">
        <v>69</v>
      </c>
      <c r="DK60" s="154" t="s">
        <v>69</v>
      </c>
      <c r="DL60" s="154" t="s">
        <v>69</v>
      </c>
      <c r="DM60" s="154" t="s">
        <v>69</v>
      </c>
      <c r="DN60" s="154" t="s">
        <v>69</v>
      </c>
      <c r="DO60" s="154" t="s">
        <v>69</v>
      </c>
      <c r="DP60" s="154" t="s">
        <v>69</v>
      </c>
      <c r="DQ60" s="154" t="s">
        <v>69</v>
      </c>
      <c r="DR60" s="154" t="s">
        <v>69</v>
      </c>
      <c r="DS60" s="154" t="s">
        <v>69</v>
      </c>
      <c r="DT60" s="168" t="s">
        <v>69</v>
      </c>
      <c r="DU60" s="110">
        <f t="shared" si="2"/>
        <v>0.30645161290322581</v>
      </c>
      <c r="DV60" s="104">
        <f t="shared" si="3"/>
        <v>0.78947368421052633</v>
      </c>
    </row>
    <row r="61" spans="1:126" ht="68.25" hidden="1" customHeight="1" thickBot="1">
      <c r="A61" s="223" t="s">
        <v>550</v>
      </c>
      <c r="B61" s="236" t="s">
        <v>565</v>
      </c>
      <c r="C61" s="239" t="s">
        <v>566</v>
      </c>
      <c r="D61" s="219" t="s">
        <v>627</v>
      </c>
      <c r="E61" s="220" t="s">
        <v>434</v>
      </c>
      <c r="F61" s="167" t="s">
        <v>69</v>
      </c>
      <c r="G61" s="154" t="s">
        <v>69</v>
      </c>
      <c r="H61" s="154" t="s">
        <v>69</v>
      </c>
      <c r="I61" s="154" t="s">
        <v>69</v>
      </c>
      <c r="J61" s="154" t="s">
        <v>69</v>
      </c>
      <c r="K61" s="154" t="s">
        <v>69</v>
      </c>
      <c r="L61" s="154" t="s">
        <v>69</v>
      </c>
      <c r="M61" s="154" t="s">
        <v>69</v>
      </c>
      <c r="N61" s="154" t="s">
        <v>69</v>
      </c>
      <c r="O61" s="154" t="s">
        <v>69</v>
      </c>
      <c r="P61" s="154" t="s">
        <v>69</v>
      </c>
      <c r="Q61" s="154" t="s">
        <v>69</v>
      </c>
      <c r="R61" s="154" t="s">
        <v>69</v>
      </c>
      <c r="S61" s="154" t="s">
        <v>69</v>
      </c>
      <c r="T61" s="165" t="s">
        <v>69</v>
      </c>
      <c r="U61" s="165" t="s">
        <v>69</v>
      </c>
      <c r="V61" s="154">
        <v>2</v>
      </c>
      <c r="W61" s="154" t="s">
        <v>69</v>
      </c>
      <c r="X61" s="154" t="s">
        <v>69</v>
      </c>
      <c r="Y61" s="154" t="s">
        <v>69</v>
      </c>
      <c r="Z61" s="154" t="s">
        <v>69</v>
      </c>
      <c r="AA61" s="154" t="s">
        <v>69</v>
      </c>
      <c r="AB61" s="154" t="s">
        <v>69</v>
      </c>
      <c r="AC61" s="154" t="s">
        <v>69</v>
      </c>
      <c r="AD61" s="154" t="s">
        <v>69</v>
      </c>
      <c r="AE61" s="154" t="s">
        <v>69</v>
      </c>
      <c r="AF61" s="154">
        <v>3</v>
      </c>
      <c r="AG61" s="154" t="s">
        <v>69</v>
      </c>
      <c r="AH61" s="154">
        <v>4</v>
      </c>
      <c r="AI61" s="154" t="s">
        <v>69</v>
      </c>
      <c r="AJ61" s="154" t="s">
        <v>69</v>
      </c>
      <c r="AK61" s="154" t="s">
        <v>69</v>
      </c>
      <c r="AL61" s="154" t="s">
        <v>69</v>
      </c>
      <c r="AM61" s="154" t="s">
        <v>69</v>
      </c>
      <c r="AN61" s="154" t="s">
        <v>69</v>
      </c>
      <c r="AO61" s="154" t="s">
        <v>69</v>
      </c>
      <c r="AP61" s="154">
        <v>2</v>
      </c>
      <c r="AQ61" s="154" t="s">
        <v>69</v>
      </c>
      <c r="AR61" s="154" t="s">
        <v>69</v>
      </c>
      <c r="AS61" s="154" t="s">
        <v>69</v>
      </c>
      <c r="AT61" s="154" t="s">
        <v>69</v>
      </c>
      <c r="AU61" s="154">
        <v>4</v>
      </c>
      <c r="AV61" s="154" t="s">
        <v>69</v>
      </c>
      <c r="AW61" s="154" t="s">
        <v>69</v>
      </c>
      <c r="AX61" s="154" t="s">
        <v>69</v>
      </c>
      <c r="AY61" s="154" t="s">
        <v>69</v>
      </c>
      <c r="AZ61" s="154" t="s">
        <v>69</v>
      </c>
      <c r="BA61" s="154" t="s">
        <v>69</v>
      </c>
      <c r="BB61" s="154" t="s">
        <v>69</v>
      </c>
      <c r="BC61" s="154" t="s">
        <v>69</v>
      </c>
      <c r="BD61" s="154" t="s">
        <v>69</v>
      </c>
      <c r="BE61" s="154" t="s">
        <v>69</v>
      </c>
      <c r="BF61" s="154" t="s">
        <v>69</v>
      </c>
      <c r="BG61" s="154" t="s">
        <v>69</v>
      </c>
      <c r="BH61" s="154" t="s">
        <v>69</v>
      </c>
      <c r="BI61" s="154" t="s">
        <v>69</v>
      </c>
      <c r="BJ61" s="154">
        <v>2</v>
      </c>
      <c r="BK61" s="154" t="s">
        <v>69</v>
      </c>
      <c r="BL61" s="154" t="s">
        <v>69</v>
      </c>
      <c r="BM61" s="154" t="s">
        <v>69</v>
      </c>
      <c r="BN61" s="154" t="s">
        <v>69</v>
      </c>
      <c r="BO61" s="154" t="s">
        <v>69</v>
      </c>
      <c r="BP61" s="154" t="s">
        <v>69</v>
      </c>
      <c r="BQ61" s="154" t="s">
        <v>69</v>
      </c>
      <c r="BR61" s="154" t="s">
        <v>69</v>
      </c>
      <c r="BS61" s="154" t="s">
        <v>69</v>
      </c>
      <c r="BT61" s="154" t="s">
        <v>69</v>
      </c>
      <c r="BU61" s="154" t="s">
        <v>69</v>
      </c>
      <c r="BV61" s="154" t="s">
        <v>69</v>
      </c>
      <c r="BW61" s="154" t="s">
        <v>69</v>
      </c>
      <c r="BX61" s="154" t="s">
        <v>69</v>
      </c>
      <c r="BY61" s="154">
        <v>4</v>
      </c>
      <c r="BZ61" s="154" t="s">
        <v>69</v>
      </c>
      <c r="CA61" s="154" t="s">
        <v>69</v>
      </c>
      <c r="CB61" s="154">
        <v>2</v>
      </c>
      <c r="CC61" s="154" t="s">
        <v>69</v>
      </c>
      <c r="CD61" s="154" t="s">
        <v>69</v>
      </c>
      <c r="CE61" s="154" t="s">
        <v>69</v>
      </c>
      <c r="CF61" s="154" t="s">
        <v>69</v>
      </c>
      <c r="CG61" s="154">
        <v>4</v>
      </c>
      <c r="CH61" s="154" t="s">
        <v>69</v>
      </c>
      <c r="CI61" s="154" t="s">
        <v>69</v>
      </c>
      <c r="CJ61" s="154" t="s">
        <v>69</v>
      </c>
      <c r="CK61" s="154" t="s">
        <v>69</v>
      </c>
      <c r="CL61" s="154" t="s">
        <v>69</v>
      </c>
      <c r="CM61" s="154" t="s">
        <v>69</v>
      </c>
      <c r="CN61" s="154" t="s">
        <v>69</v>
      </c>
      <c r="CO61" s="154">
        <v>2</v>
      </c>
      <c r="CP61" s="154">
        <v>3</v>
      </c>
      <c r="CQ61" s="154" t="s">
        <v>69</v>
      </c>
      <c r="CR61" s="154" t="s">
        <v>69</v>
      </c>
      <c r="CS61" s="154" t="s">
        <v>69</v>
      </c>
      <c r="CT61" s="154" t="s">
        <v>69</v>
      </c>
      <c r="CU61" s="154" t="s">
        <v>69</v>
      </c>
      <c r="CV61" s="154" t="s">
        <v>69</v>
      </c>
      <c r="CW61" s="154" t="s">
        <v>69</v>
      </c>
      <c r="CX61" s="154" t="s">
        <v>69</v>
      </c>
      <c r="CY61" s="154" t="s">
        <v>69</v>
      </c>
      <c r="CZ61" s="154" t="s">
        <v>69</v>
      </c>
      <c r="DA61" s="154">
        <v>2</v>
      </c>
      <c r="DB61" s="154" t="s">
        <v>69</v>
      </c>
      <c r="DC61" s="154" t="s">
        <v>69</v>
      </c>
      <c r="DD61" s="154" t="s">
        <v>69</v>
      </c>
      <c r="DE61" s="154" t="s">
        <v>69</v>
      </c>
      <c r="DF61" s="154">
        <v>2</v>
      </c>
      <c r="DG61" s="154" t="s">
        <v>69</v>
      </c>
      <c r="DH61" s="154" t="s">
        <v>69</v>
      </c>
      <c r="DI61" s="154" t="s">
        <v>69</v>
      </c>
      <c r="DJ61" s="154" t="s">
        <v>69</v>
      </c>
      <c r="DK61" s="154" t="s">
        <v>69</v>
      </c>
      <c r="DL61" s="154" t="s">
        <v>69</v>
      </c>
      <c r="DM61" s="154" t="s">
        <v>69</v>
      </c>
      <c r="DN61" s="154" t="s">
        <v>69</v>
      </c>
      <c r="DO61" s="154" t="s">
        <v>69</v>
      </c>
      <c r="DP61" s="154" t="s">
        <v>69</v>
      </c>
      <c r="DQ61" s="154" t="s">
        <v>69</v>
      </c>
      <c r="DR61" s="154" t="s">
        <v>69</v>
      </c>
      <c r="DS61" s="154" t="s">
        <v>69</v>
      </c>
      <c r="DT61" s="168" t="s">
        <v>69</v>
      </c>
      <c r="DU61" s="110">
        <f t="shared" si="2"/>
        <v>0.20967741935483872</v>
      </c>
      <c r="DV61" s="104">
        <f t="shared" si="3"/>
        <v>0.46153846153846156</v>
      </c>
    </row>
    <row r="62" spans="1:126" ht="68.25" hidden="1" customHeight="1" thickBot="1">
      <c r="A62" s="223" t="s">
        <v>554</v>
      </c>
      <c r="B62" s="236" t="s">
        <v>645</v>
      </c>
      <c r="C62" s="239" t="s">
        <v>648</v>
      </c>
      <c r="D62" s="219" t="s">
        <v>627</v>
      </c>
      <c r="E62" s="220" t="s">
        <v>434</v>
      </c>
      <c r="F62" s="167" t="s">
        <v>69</v>
      </c>
      <c r="G62" s="154" t="s">
        <v>69</v>
      </c>
      <c r="H62" s="154" t="s">
        <v>69</v>
      </c>
      <c r="I62" s="154" t="s">
        <v>69</v>
      </c>
      <c r="J62" s="154" t="s">
        <v>69</v>
      </c>
      <c r="K62" s="154" t="s">
        <v>69</v>
      </c>
      <c r="L62" s="154" t="s">
        <v>69</v>
      </c>
      <c r="M62" s="154">
        <v>3</v>
      </c>
      <c r="N62" s="154" t="s">
        <v>69</v>
      </c>
      <c r="O62" s="154" t="s">
        <v>69</v>
      </c>
      <c r="P62" s="154" t="s">
        <v>69</v>
      </c>
      <c r="Q62" s="154" t="s">
        <v>69</v>
      </c>
      <c r="R62" s="154" t="s">
        <v>69</v>
      </c>
      <c r="S62" s="154">
        <v>2</v>
      </c>
      <c r="T62" s="165">
        <v>1</v>
      </c>
      <c r="U62" s="165" t="s">
        <v>69</v>
      </c>
      <c r="V62" s="154" t="s">
        <v>69</v>
      </c>
      <c r="W62" s="154" t="s">
        <v>69</v>
      </c>
      <c r="X62" s="154" t="s">
        <v>69</v>
      </c>
      <c r="Y62" s="154" t="s">
        <v>69</v>
      </c>
      <c r="Z62" s="154" t="s">
        <v>69</v>
      </c>
      <c r="AA62" s="154" t="s">
        <v>69</v>
      </c>
      <c r="AB62" s="154" t="s">
        <v>69</v>
      </c>
      <c r="AC62" s="154" t="s">
        <v>69</v>
      </c>
      <c r="AD62" s="154" t="s">
        <v>69</v>
      </c>
      <c r="AE62" s="154" t="s">
        <v>69</v>
      </c>
      <c r="AF62" s="154">
        <v>3</v>
      </c>
      <c r="AG62" s="154" t="s">
        <v>69</v>
      </c>
      <c r="AH62" s="154">
        <v>2</v>
      </c>
      <c r="AI62" s="154" t="s">
        <v>69</v>
      </c>
      <c r="AJ62" s="154" t="s">
        <v>69</v>
      </c>
      <c r="AK62" s="154" t="s">
        <v>69</v>
      </c>
      <c r="AL62" s="154" t="s">
        <v>69</v>
      </c>
      <c r="AM62" s="154" t="s">
        <v>69</v>
      </c>
      <c r="AN62" s="154">
        <v>3</v>
      </c>
      <c r="AO62" s="154" t="s">
        <v>69</v>
      </c>
      <c r="AP62" s="154" t="s">
        <v>69</v>
      </c>
      <c r="AQ62" s="154" t="s">
        <v>69</v>
      </c>
      <c r="AR62" s="154" t="s">
        <v>69</v>
      </c>
      <c r="AS62" s="154" t="s">
        <v>69</v>
      </c>
      <c r="AT62" s="154" t="s">
        <v>69</v>
      </c>
      <c r="AU62" s="154" t="s">
        <v>69</v>
      </c>
      <c r="AV62" s="154" t="s">
        <v>69</v>
      </c>
      <c r="AW62" s="154" t="s">
        <v>69</v>
      </c>
      <c r="AX62" s="154" t="s">
        <v>69</v>
      </c>
      <c r="AY62" s="154" t="s">
        <v>69</v>
      </c>
      <c r="AZ62" s="154" t="s">
        <v>69</v>
      </c>
      <c r="BA62" s="154" t="s">
        <v>69</v>
      </c>
      <c r="BB62" s="154" t="s">
        <v>69</v>
      </c>
      <c r="BC62" s="154" t="s">
        <v>69</v>
      </c>
      <c r="BD62" s="154" t="s">
        <v>69</v>
      </c>
      <c r="BE62" s="154" t="s">
        <v>69</v>
      </c>
      <c r="BF62" s="154" t="s">
        <v>69</v>
      </c>
      <c r="BG62" s="154" t="s">
        <v>69</v>
      </c>
      <c r="BH62" s="154" t="s">
        <v>69</v>
      </c>
      <c r="BI62" s="154" t="s">
        <v>69</v>
      </c>
      <c r="BJ62" s="154">
        <v>2</v>
      </c>
      <c r="BK62" s="154" t="s">
        <v>69</v>
      </c>
      <c r="BL62" s="154" t="s">
        <v>69</v>
      </c>
      <c r="BM62" s="154" t="s">
        <v>69</v>
      </c>
      <c r="BN62" s="154" t="s">
        <v>69</v>
      </c>
      <c r="BO62" s="154" t="s">
        <v>69</v>
      </c>
      <c r="BP62" s="154" t="s">
        <v>69</v>
      </c>
      <c r="BQ62" s="154" t="s">
        <v>69</v>
      </c>
      <c r="BR62" s="154" t="s">
        <v>69</v>
      </c>
      <c r="BS62" s="154" t="s">
        <v>69</v>
      </c>
      <c r="BT62" s="154" t="s">
        <v>69</v>
      </c>
      <c r="BU62" s="154" t="s">
        <v>69</v>
      </c>
      <c r="BV62" s="154" t="s">
        <v>69</v>
      </c>
      <c r="BW62" s="154" t="s">
        <v>69</v>
      </c>
      <c r="BX62" s="154" t="s">
        <v>69</v>
      </c>
      <c r="BY62" s="154">
        <v>3</v>
      </c>
      <c r="BZ62" s="154" t="s">
        <v>69</v>
      </c>
      <c r="CA62" s="154">
        <v>2</v>
      </c>
      <c r="CB62" s="154" t="s">
        <v>69</v>
      </c>
      <c r="CC62" s="154" t="s">
        <v>69</v>
      </c>
      <c r="CD62" s="154" t="s">
        <v>69</v>
      </c>
      <c r="CE62" s="154" t="s">
        <v>69</v>
      </c>
      <c r="CF62" s="154" t="s">
        <v>69</v>
      </c>
      <c r="CG62" s="154" t="s">
        <v>69</v>
      </c>
      <c r="CH62" s="154" t="s">
        <v>69</v>
      </c>
      <c r="CI62" s="154" t="s">
        <v>69</v>
      </c>
      <c r="CJ62" s="154" t="s">
        <v>69</v>
      </c>
      <c r="CK62" s="154" t="s">
        <v>69</v>
      </c>
      <c r="CL62" s="154" t="s">
        <v>69</v>
      </c>
      <c r="CM62" s="154" t="s">
        <v>69</v>
      </c>
      <c r="CN62" s="154">
        <v>2</v>
      </c>
      <c r="CO62" s="154">
        <v>2</v>
      </c>
      <c r="CP62" s="154" t="s">
        <v>69</v>
      </c>
      <c r="CQ62" s="154" t="s">
        <v>69</v>
      </c>
      <c r="CR62" s="154" t="s">
        <v>69</v>
      </c>
      <c r="CS62" s="154" t="s">
        <v>69</v>
      </c>
      <c r="CT62" s="154" t="s">
        <v>69</v>
      </c>
      <c r="CU62" s="154" t="s">
        <v>69</v>
      </c>
      <c r="CV62" s="154" t="s">
        <v>69</v>
      </c>
      <c r="CW62" s="154" t="s">
        <v>69</v>
      </c>
      <c r="CX62" s="154" t="s">
        <v>69</v>
      </c>
      <c r="CY62" s="154" t="s">
        <v>69</v>
      </c>
      <c r="CZ62" s="154" t="s">
        <v>69</v>
      </c>
      <c r="DA62" s="154">
        <v>2</v>
      </c>
      <c r="DB62" s="154" t="s">
        <v>69</v>
      </c>
      <c r="DC62" s="154">
        <v>2</v>
      </c>
      <c r="DD62" s="154" t="s">
        <v>69</v>
      </c>
      <c r="DE62" s="154" t="s">
        <v>69</v>
      </c>
      <c r="DF62" s="154" t="s">
        <v>69</v>
      </c>
      <c r="DG62" s="154" t="s">
        <v>69</v>
      </c>
      <c r="DH62" s="154" t="s">
        <v>69</v>
      </c>
      <c r="DI62" s="154" t="s">
        <v>69</v>
      </c>
      <c r="DJ62" s="154" t="s">
        <v>69</v>
      </c>
      <c r="DK62" s="154" t="s">
        <v>69</v>
      </c>
      <c r="DL62" s="154" t="s">
        <v>69</v>
      </c>
      <c r="DM62" s="154" t="s">
        <v>69</v>
      </c>
      <c r="DN62" s="154" t="s">
        <v>69</v>
      </c>
      <c r="DO62" s="154" t="s">
        <v>69</v>
      </c>
      <c r="DP62" s="154" t="s">
        <v>69</v>
      </c>
      <c r="DQ62" s="154" t="s">
        <v>69</v>
      </c>
      <c r="DR62" s="154" t="s">
        <v>69</v>
      </c>
      <c r="DS62" s="154" t="s">
        <v>69</v>
      </c>
      <c r="DT62" s="168" t="s">
        <v>69</v>
      </c>
      <c r="DU62" s="110">
        <f t="shared" si="2"/>
        <v>0.20967741935483872</v>
      </c>
      <c r="DV62" s="104">
        <f t="shared" si="3"/>
        <v>0.33333333333333331</v>
      </c>
    </row>
    <row r="63" spans="1:126" s="102" customFormat="1" ht="68.25" hidden="1" customHeight="1" thickBot="1">
      <c r="A63" s="223" t="s">
        <v>559</v>
      </c>
      <c r="B63" s="236" t="s">
        <v>646</v>
      </c>
      <c r="C63" s="239" t="s">
        <v>649</v>
      </c>
      <c r="D63" s="219">
        <v>45334</v>
      </c>
      <c r="E63" s="220" t="s">
        <v>434</v>
      </c>
      <c r="F63" s="167" t="s">
        <v>69</v>
      </c>
      <c r="G63" s="154" t="s">
        <v>69</v>
      </c>
      <c r="H63" s="154" t="s">
        <v>69</v>
      </c>
      <c r="I63" s="154" t="s">
        <v>69</v>
      </c>
      <c r="J63" s="154" t="s">
        <v>69</v>
      </c>
      <c r="K63" s="154" t="s">
        <v>69</v>
      </c>
      <c r="L63" s="154" t="s">
        <v>69</v>
      </c>
      <c r="M63" s="154" t="s">
        <v>69</v>
      </c>
      <c r="N63" s="154" t="s">
        <v>69</v>
      </c>
      <c r="O63" s="154" t="s">
        <v>69</v>
      </c>
      <c r="P63" s="154" t="s">
        <v>69</v>
      </c>
      <c r="Q63" s="154" t="s">
        <v>69</v>
      </c>
      <c r="R63" s="154" t="s">
        <v>69</v>
      </c>
      <c r="S63" s="154" t="s">
        <v>69</v>
      </c>
      <c r="T63" s="165" t="s">
        <v>69</v>
      </c>
      <c r="U63" s="165" t="s">
        <v>69</v>
      </c>
      <c r="V63" s="154" t="s">
        <v>69</v>
      </c>
      <c r="W63" s="154" t="s">
        <v>69</v>
      </c>
      <c r="X63" s="154" t="s">
        <v>69</v>
      </c>
      <c r="Y63" s="154" t="s">
        <v>69</v>
      </c>
      <c r="Z63" s="154" t="s">
        <v>69</v>
      </c>
      <c r="AA63" s="154" t="s">
        <v>69</v>
      </c>
      <c r="AB63" s="154" t="s">
        <v>69</v>
      </c>
      <c r="AC63" s="154" t="s">
        <v>69</v>
      </c>
      <c r="AD63" s="154" t="s">
        <v>69</v>
      </c>
      <c r="AE63" s="154" t="s">
        <v>69</v>
      </c>
      <c r="AF63" s="154" t="s">
        <v>69</v>
      </c>
      <c r="AG63" s="154" t="s">
        <v>69</v>
      </c>
      <c r="AH63" s="154">
        <v>2</v>
      </c>
      <c r="AI63" s="154" t="s">
        <v>69</v>
      </c>
      <c r="AJ63" s="154" t="s">
        <v>69</v>
      </c>
      <c r="AK63" s="154" t="s">
        <v>69</v>
      </c>
      <c r="AL63" s="154" t="s">
        <v>69</v>
      </c>
      <c r="AM63" s="154" t="s">
        <v>69</v>
      </c>
      <c r="AN63" s="154" t="s">
        <v>69</v>
      </c>
      <c r="AO63" s="154" t="s">
        <v>69</v>
      </c>
      <c r="AP63" s="154" t="s">
        <v>69</v>
      </c>
      <c r="AQ63" s="154" t="s">
        <v>69</v>
      </c>
      <c r="AR63" s="154" t="s">
        <v>69</v>
      </c>
      <c r="AS63" s="154" t="s">
        <v>69</v>
      </c>
      <c r="AT63" s="154" t="s">
        <v>69</v>
      </c>
      <c r="AU63" s="154">
        <v>2</v>
      </c>
      <c r="AV63" s="154" t="s">
        <v>69</v>
      </c>
      <c r="AW63" s="154" t="s">
        <v>69</v>
      </c>
      <c r="AX63" s="154" t="s">
        <v>69</v>
      </c>
      <c r="AY63" s="154" t="s">
        <v>69</v>
      </c>
      <c r="AZ63" s="154" t="s">
        <v>69</v>
      </c>
      <c r="BA63" s="154" t="s">
        <v>69</v>
      </c>
      <c r="BB63" s="154" t="s">
        <v>69</v>
      </c>
      <c r="BC63" s="154" t="s">
        <v>69</v>
      </c>
      <c r="BD63" s="154" t="s">
        <v>69</v>
      </c>
      <c r="BE63" s="154" t="s">
        <v>69</v>
      </c>
      <c r="BF63" s="154" t="s">
        <v>69</v>
      </c>
      <c r="BG63" s="154" t="s">
        <v>69</v>
      </c>
      <c r="BH63" s="154" t="s">
        <v>69</v>
      </c>
      <c r="BI63" s="154" t="s">
        <v>69</v>
      </c>
      <c r="BJ63" s="154" t="s">
        <v>69</v>
      </c>
      <c r="BK63" s="154" t="s">
        <v>69</v>
      </c>
      <c r="BL63" s="154" t="s">
        <v>69</v>
      </c>
      <c r="BM63" s="154" t="s">
        <v>69</v>
      </c>
      <c r="BN63" s="154" t="s">
        <v>69</v>
      </c>
      <c r="BO63" s="154" t="s">
        <v>69</v>
      </c>
      <c r="BP63" s="154" t="s">
        <v>69</v>
      </c>
      <c r="BQ63" s="154" t="s">
        <v>69</v>
      </c>
      <c r="BR63" s="154" t="s">
        <v>69</v>
      </c>
      <c r="BS63" s="154" t="s">
        <v>69</v>
      </c>
      <c r="BT63" s="154" t="s">
        <v>69</v>
      </c>
      <c r="BU63" s="154" t="s">
        <v>69</v>
      </c>
      <c r="BV63" s="154" t="s">
        <v>69</v>
      </c>
      <c r="BW63" s="154" t="s">
        <v>69</v>
      </c>
      <c r="BX63" s="154" t="s">
        <v>69</v>
      </c>
      <c r="BY63" s="154">
        <v>3</v>
      </c>
      <c r="BZ63" s="154" t="s">
        <v>69</v>
      </c>
      <c r="CA63" s="154" t="s">
        <v>69</v>
      </c>
      <c r="CB63" s="154" t="s">
        <v>69</v>
      </c>
      <c r="CC63" s="154" t="s">
        <v>69</v>
      </c>
      <c r="CD63" s="154" t="s">
        <v>69</v>
      </c>
      <c r="CE63" s="154" t="s">
        <v>69</v>
      </c>
      <c r="CF63" s="154" t="s">
        <v>69</v>
      </c>
      <c r="CG63" s="154" t="s">
        <v>69</v>
      </c>
      <c r="CH63" s="154" t="s">
        <v>69</v>
      </c>
      <c r="CI63" s="154" t="s">
        <v>69</v>
      </c>
      <c r="CJ63" s="154" t="s">
        <v>69</v>
      </c>
      <c r="CK63" s="154" t="s">
        <v>69</v>
      </c>
      <c r="CL63" s="154" t="s">
        <v>69</v>
      </c>
      <c r="CM63" s="154" t="s">
        <v>69</v>
      </c>
      <c r="CN63" s="154">
        <v>3</v>
      </c>
      <c r="CO63" s="154">
        <v>4</v>
      </c>
      <c r="CP63" s="154">
        <v>4</v>
      </c>
      <c r="CQ63" s="154" t="s">
        <v>69</v>
      </c>
      <c r="CR63" s="154" t="s">
        <v>69</v>
      </c>
      <c r="CS63" s="154" t="s">
        <v>69</v>
      </c>
      <c r="CT63" s="154" t="s">
        <v>69</v>
      </c>
      <c r="CU63" s="154" t="s">
        <v>69</v>
      </c>
      <c r="CV63" s="154" t="s">
        <v>69</v>
      </c>
      <c r="CW63" s="154" t="s">
        <v>69</v>
      </c>
      <c r="CX63" s="154" t="s">
        <v>69</v>
      </c>
      <c r="CY63" s="154" t="s">
        <v>69</v>
      </c>
      <c r="CZ63" s="154" t="s">
        <v>69</v>
      </c>
      <c r="DA63" s="154" t="s">
        <v>69</v>
      </c>
      <c r="DB63" s="154" t="s">
        <v>69</v>
      </c>
      <c r="DC63" s="154">
        <v>3</v>
      </c>
      <c r="DD63" s="154" t="s">
        <v>69</v>
      </c>
      <c r="DE63" s="154" t="s">
        <v>69</v>
      </c>
      <c r="DF63" s="154" t="s">
        <v>69</v>
      </c>
      <c r="DG63" s="154" t="s">
        <v>69</v>
      </c>
      <c r="DH63" s="154" t="s">
        <v>69</v>
      </c>
      <c r="DI63" s="154" t="s">
        <v>69</v>
      </c>
      <c r="DJ63" s="154" t="s">
        <v>69</v>
      </c>
      <c r="DK63" s="154">
        <v>2</v>
      </c>
      <c r="DL63" s="154" t="s">
        <v>69</v>
      </c>
      <c r="DM63" s="154" t="s">
        <v>69</v>
      </c>
      <c r="DN63" s="154" t="s">
        <v>69</v>
      </c>
      <c r="DO63" s="154" t="s">
        <v>69</v>
      </c>
      <c r="DP63" s="154" t="s">
        <v>69</v>
      </c>
      <c r="DQ63" s="154" t="s">
        <v>69</v>
      </c>
      <c r="DR63" s="154" t="s">
        <v>69</v>
      </c>
      <c r="DS63" s="154" t="s">
        <v>69</v>
      </c>
      <c r="DT63" s="168" t="s">
        <v>69</v>
      </c>
      <c r="DU63" s="110">
        <f t="shared" si="2"/>
        <v>0.12903225806451613</v>
      </c>
      <c r="DV63" s="104">
        <f t="shared" si="3"/>
        <v>0.625</v>
      </c>
    </row>
    <row r="64" spans="1:126" s="102" customFormat="1" ht="68.25" hidden="1" customHeight="1" thickBot="1">
      <c r="A64" s="223" t="s">
        <v>564</v>
      </c>
      <c r="B64" s="236" t="s">
        <v>647</v>
      </c>
      <c r="C64" s="239" t="s">
        <v>650</v>
      </c>
      <c r="D64" s="219" t="s">
        <v>627</v>
      </c>
      <c r="E64" s="220" t="s">
        <v>434</v>
      </c>
      <c r="F64" s="167" t="s">
        <v>69</v>
      </c>
      <c r="G64" s="154" t="s">
        <v>69</v>
      </c>
      <c r="H64" s="154" t="s">
        <v>69</v>
      </c>
      <c r="I64" s="154" t="s">
        <v>69</v>
      </c>
      <c r="J64" s="154" t="s">
        <v>69</v>
      </c>
      <c r="K64" s="154" t="s">
        <v>69</v>
      </c>
      <c r="L64" s="154" t="s">
        <v>69</v>
      </c>
      <c r="M64" s="154">
        <v>3</v>
      </c>
      <c r="N64" s="154">
        <v>3</v>
      </c>
      <c r="O64" s="154" t="s">
        <v>69</v>
      </c>
      <c r="P64" s="154" t="s">
        <v>69</v>
      </c>
      <c r="Q64" s="154" t="s">
        <v>69</v>
      </c>
      <c r="R64" s="154" t="s">
        <v>69</v>
      </c>
      <c r="S64" s="154" t="s">
        <v>69</v>
      </c>
      <c r="T64" s="165" t="s">
        <v>69</v>
      </c>
      <c r="U64" s="165" t="s">
        <v>69</v>
      </c>
      <c r="V64" s="154" t="s">
        <v>69</v>
      </c>
      <c r="W64" s="154" t="s">
        <v>69</v>
      </c>
      <c r="X64" s="154" t="s">
        <v>69</v>
      </c>
      <c r="Y64" s="154" t="s">
        <v>69</v>
      </c>
      <c r="Z64" s="154" t="s">
        <v>69</v>
      </c>
      <c r="AA64" s="154" t="s">
        <v>69</v>
      </c>
      <c r="AB64" s="154" t="s">
        <v>69</v>
      </c>
      <c r="AC64" s="154" t="s">
        <v>69</v>
      </c>
      <c r="AD64" s="154" t="s">
        <v>69</v>
      </c>
      <c r="AE64" s="154" t="s">
        <v>69</v>
      </c>
      <c r="AF64" s="154" t="s">
        <v>69</v>
      </c>
      <c r="AG64" s="154" t="s">
        <v>69</v>
      </c>
      <c r="AH64" s="154" t="s">
        <v>69</v>
      </c>
      <c r="AI64" s="154" t="s">
        <v>69</v>
      </c>
      <c r="AJ64" s="154" t="s">
        <v>69</v>
      </c>
      <c r="AK64" s="154" t="s">
        <v>69</v>
      </c>
      <c r="AL64" s="154" t="s">
        <v>69</v>
      </c>
      <c r="AM64" s="154" t="s">
        <v>69</v>
      </c>
      <c r="AN64" s="154" t="s">
        <v>69</v>
      </c>
      <c r="AO64" s="154" t="s">
        <v>69</v>
      </c>
      <c r="AP64" s="154" t="s">
        <v>69</v>
      </c>
      <c r="AQ64" s="154" t="s">
        <v>69</v>
      </c>
      <c r="AR64" s="154" t="s">
        <v>69</v>
      </c>
      <c r="AS64" s="154" t="s">
        <v>69</v>
      </c>
      <c r="AT64" s="154" t="s">
        <v>69</v>
      </c>
      <c r="AU64" s="154" t="s">
        <v>69</v>
      </c>
      <c r="AV64" s="154" t="s">
        <v>69</v>
      </c>
      <c r="AW64" s="154" t="s">
        <v>69</v>
      </c>
      <c r="AX64" s="154" t="s">
        <v>69</v>
      </c>
      <c r="AY64" s="154" t="s">
        <v>69</v>
      </c>
      <c r="AZ64" s="154" t="s">
        <v>69</v>
      </c>
      <c r="BA64" s="154" t="s">
        <v>69</v>
      </c>
      <c r="BB64" s="154" t="s">
        <v>69</v>
      </c>
      <c r="BC64" s="154" t="s">
        <v>69</v>
      </c>
      <c r="BD64" s="154" t="s">
        <v>69</v>
      </c>
      <c r="BE64" s="154" t="s">
        <v>69</v>
      </c>
      <c r="BF64" s="154">
        <v>3</v>
      </c>
      <c r="BG64" s="154" t="s">
        <v>69</v>
      </c>
      <c r="BH64" s="154" t="s">
        <v>69</v>
      </c>
      <c r="BI64" s="154">
        <v>3</v>
      </c>
      <c r="BJ64" s="154">
        <v>3</v>
      </c>
      <c r="BK64" s="154" t="s">
        <v>69</v>
      </c>
      <c r="BL64" s="154" t="s">
        <v>69</v>
      </c>
      <c r="BM64" s="154" t="s">
        <v>69</v>
      </c>
      <c r="BN64" s="154" t="s">
        <v>69</v>
      </c>
      <c r="BO64" s="154" t="s">
        <v>69</v>
      </c>
      <c r="BP64" s="154" t="s">
        <v>69</v>
      </c>
      <c r="BQ64" s="154" t="s">
        <v>69</v>
      </c>
      <c r="BR64" s="154" t="s">
        <v>69</v>
      </c>
      <c r="BS64" s="154" t="s">
        <v>69</v>
      </c>
      <c r="BT64" s="154" t="s">
        <v>69</v>
      </c>
      <c r="BU64" s="154" t="s">
        <v>69</v>
      </c>
      <c r="BV64" s="154" t="s">
        <v>69</v>
      </c>
      <c r="BW64" s="154" t="s">
        <v>69</v>
      </c>
      <c r="BX64" s="154" t="s">
        <v>69</v>
      </c>
      <c r="BY64" s="154" t="s">
        <v>69</v>
      </c>
      <c r="BZ64" s="154">
        <v>4</v>
      </c>
      <c r="CA64" s="154" t="s">
        <v>69</v>
      </c>
      <c r="CB64" s="154" t="s">
        <v>69</v>
      </c>
      <c r="CC64" s="154" t="s">
        <v>69</v>
      </c>
      <c r="CD64" s="154" t="s">
        <v>69</v>
      </c>
      <c r="CE64" s="154" t="s">
        <v>69</v>
      </c>
      <c r="CF64" s="154" t="s">
        <v>69</v>
      </c>
      <c r="CG64" s="154" t="s">
        <v>69</v>
      </c>
      <c r="CH64" s="154" t="s">
        <v>69</v>
      </c>
      <c r="CI64" s="154" t="s">
        <v>69</v>
      </c>
      <c r="CJ64" s="154" t="s">
        <v>69</v>
      </c>
      <c r="CK64" s="154" t="s">
        <v>69</v>
      </c>
      <c r="CL64" s="154" t="s">
        <v>69</v>
      </c>
      <c r="CM64" s="154">
        <v>4</v>
      </c>
      <c r="CN64" s="154">
        <v>4</v>
      </c>
      <c r="CO64" s="154">
        <v>4</v>
      </c>
      <c r="CP64" s="154">
        <v>4</v>
      </c>
      <c r="CQ64" s="154" t="s">
        <v>69</v>
      </c>
      <c r="CR64" s="154" t="s">
        <v>69</v>
      </c>
      <c r="CS64" s="154" t="s">
        <v>69</v>
      </c>
      <c r="CT64" s="154" t="s">
        <v>69</v>
      </c>
      <c r="CU64" s="154" t="s">
        <v>69</v>
      </c>
      <c r="CV64" s="154" t="s">
        <v>69</v>
      </c>
      <c r="CW64" s="154" t="s">
        <v>69</v>
      </c>
      <c r="CX64" s="154" t="s">
        <v>69</v>
      </c>
      <c r="CY64" s="154" t="s">
        <v>69</v>
      </c>
      <c r="CZ64" s="154" t="s">
        <v>69</v>
      </c>
      <c r="DA64" s="154" t="s">
        <v>69</v>
      </c>
      <c r="DB64" s="154" t="s">
        <v>69</v>
      </c>
      <c r="DC64" s="154" t="s">
        <v>69</v>
      </c>
      <c r="DD64" s="154">
        <v>3</v>
      </c>
      <c r="DE64" s="154" t="s">
        <v>69</v>
      </c>
      <c r="DF64" s="154" t="s">
        <v>69</v>
      </c>
      <c r="DG64" s="154" t="s">
        <v>69</v>
      </c>
      <c r="DH64" s="154" t="s">
        <v>69</v>
      </c>
      <c r="DI64" s="154" t="s">
        <v>69</v>
      </c>
      <c r="DJ64" s="154" t="s">
        <v>69</v>
      </c>
      <c r="DK64" s="154" t="s">
        <v>69</v>
      </c>
      <c r="DL64" s="154" t="s">
        <v>69</v>
      </c>
      <c r="DM64" s="154" t="s">
        <v>69</v>
      </c>
      <c r="DN64" s="154" t="s">
        <v>69</v>
      </c>
      <c r="DO64" s="154" t="s">
        <v>69</v>
      </c>
      <c r="DP64" s="154" t="s">
        <v>69</v>
      </c>
      <c r="DQ64" s="154" t="s">
        <v>69</v>
      </c>
      <c r="DR64" s="154" t="s">
        <v>69</v>
      </c>
      <c r="DS64" s="154" t="s">
        <v>69</v>
      </c>
      <c r="DT64" s="168" t="s">
        <v>69</v>
      </c>
      <c r="DU64" s="110">
        <f t="shared" si="2"/>
        <v>0.17741935483870969</v>
      </c>
      <c r="DV64" s="104">
        <f t="shared" si="3"/>
        <v>1</v>
      </c>
    </row>
    <row r="65" spans="1:126" s="102" customFormat="1" ht="68.25" hidden="1" customHeight="1" thickBot="1">
      <c r="A65" s="223" t="s">
        <v>565</v>
      </c>
      <c r="B65" s="236" t="s">
        <v>654</v>
      </c>
      <c r="C65" s="239" t="s">
        <v>658</v>
      </c>
      <c r="D65" s="219" t="s">
        <v>627</v>
      </c>
      <c r="E65" s="220" t="s">
        <v>434</v>
      </c>
      <c r="F65" s="167" t="s">
        <v>69</v>
      </c>
      <c r="G65" s="154" t="s">
        <v>69</v>
      </c>
      <c r="H65" s="154" t="s">
        <v>69</v>
      </c>
      <c r="I65" s="154" t="s">
        <v>69</v>
      </c>
      <c r="J65" s="154" t="s">
        <v>69</v>
      </c>
      <c r="K65" s="154" t="s">
        <v>69</v>
      </c>
      <c r="L65" s="154" t="s">
        <v>69</v>
      </c>
      <c r="M65" s="154" t="s">
        <v>69</v>
      </c>
      <c r="N65" s="154" t="s">
        <v>69</v>
      </c>
      <c r="O65" s="154" t="s">
        <v>69</v>
      </c>
      <c r="P65" s="154" t="s">
        <v>69</v>
      </c>
      <c r="Q65" s="154" t="s">
        <v>69</v>
      </c>
      <c r="R65" s="154" t="s">
        <v>69</v>
      </c>
      <c r="S65" s="154" t="s">
        <v>69</v>
      </c>
      <c r="T65" s="165" t="s">
        <v>69</v>
      </c>
      <c r="U65" s="165" t="s">
        <v>69</v>
      </c>
      <c r="V65" s="154" t="s">
        <v>69</v>
      </c>
      <c r="W65" s="154" t="s">
        <v>69</v>
      </c>
      <c r="X65" s="154" t="s">
        <v>69</v>
      </c>
      <c r="Y65" s="154" t="s">
        <v>69</v>
      </c>
      <c r="Z65" s="154" t="s">
        <v>69</v>
      </c>
      <c r="AA65" s="154" t="s">
        <v>69</v>
      </c>
      <c r="AB65" s="154" t="s">
        <v>69</v>
      </c>
      <c r="AC65" s="154" t="s">
        <v>69</v>
      </c>
      <c r="AD65" s="154" t="s">
        <v>69</v>
      </c>
      <c r="AE65" s="154" t="s">
        <v>69</v>
      </c>
      <c r="AF65" s="154">
        <v>4</v>
      </c>
      <c r="AG65" s="154" t="s">
        <v>69</v>
      </c>
      <c r="AH65" s="154" t="s">
        <v>69</v>
      </c>
      <c r="AI65" s="154" t="s">
        <v>69</v>
      </c>
      <c r="AJ65" s="154" t="s">
        <v>69</v>
      </c>
      <c r="AK65" s="154" t="s">
        <v>69</v>
      </c>
      <c r="AL65" s="154" t="s">
        <v>69</v>
      </c>
      <c r="AM65" s="154" t="s">
        <v>69</v>
      </c>
      <c r="AN65" s="154" t="s">
        <v>69</v>
      </c>
      <c r="AO65" s="154" t="s">
        <v>69</v>
      </c>
      <c r="AP65" s="154" t="s">
        <v>69</v>
      </c>
      <c r="AQ65" s="154" t="s">
        <v>69</v>
      </c>
      <c r="AR65" s="154" t="s">
        <v>69</v>
      </c>
      <c r="AS65" s="154" t="s">
        <v>69</v>
      </c>
      <c r="AT65" s="154" t="s">
        <v>69</v>
      </c>
      <c r="AU65" s="154" t="s">
        <v>69</v>
      </c>
      <c r="AV65" s="154" t="s">
        <v>69</v>
      </c>
      <c r="AW65" s="154" t="s">
        <v>69</v>
      </c>
      <c r="AX65" s="154" t="s">
        <v>69</v>
      </c>
      <c r="AY65" s="154" t="s">
        <v>69</v>
      </c>
      <c r="AZ65" s="154" t="s">
        <v>69</v>
      </c>
      <c r="BA65" s="154" t="s">
        <v>69</v>
      </c>
      <c r="BB65" s="154" t="s">
        <v>69</v>
      </c>
      <c r="BC65" s="154" t="s">
        <v>69</v>
      </c>
      <c r="BD65" s="154" t="s">
        <v>69</v>
      </c>
      <c r="BE65" s="154" t="s">
        <v>69</v>
      </c>
      <c r="BF65" s="154" t="s">
        <v>69</v>
      </c>
      <c r="BG65" s="154" t="s">
        <v>69</v>
      </c>
      <c r="BH65" s="154" t="s">
        <v>69</v>
      </c>
      <c r="BI65" s="154" t="s">
        <v>69</v>
      </c>
      <c r="BJ65" s="154" t="s">
        <v>69</v>
      </c>
      <c r="BK65" s="154">
        <v>3</v>
      </c>
      <c r="BL65" s="154" t="s">
        <v>69</v>
      </c>
      <c r="BM65" s="154" t="s">
        <v>69</v>
      </c>
      <c r="BN65" s="154">
        <v>3</v>
      </c>
      <c r="BO65" s="154" t="s">
        <v>69</v>
      </c>
      <c r="BP65" s="154" t="s">
        <v>69</v>
      </c>
      <c r="BQ65" s="154" t="s">
        <v>69</v>
      </c>
      <c r="BR65" s="154" t="s">
        <v>69</v>
      </c>
      <c r="BS65" s="154" t="s">
        <v>69</v>
      </c>
      <c r="BT65" s="154" t="s">
        <v>69</v>
      </c>
      <c r="BU65" s="154" t="s">
        <v>69</v>
      </c>
      <c r="BV65" s="154" t="s">
        <v>69</v>
      </c>
      <c r="BW65" s="154" t="s">
        <v>69</v>
      </c>
      <c r="BX65" s="154" t="s">
        <v>69</v>
      </c>
      <c r="BY65" s="154" t="s">
        <v>69</v>
      </c>
      <c r="BZ65" s="154" t="s">
        <v>69</v>
      </c>
      <c r="CA65" s="154" t="s">
        <v>69</v>
      </c>
      <c r="CB65" s="154" t="s">
        <v>69</v>
      </c>
      <c r="CC65" s="154" t="s">
        <v>69</v>
      </c>
      <c r="CD65" s="154" t="s">
        <v>69</v>
      </c>
      <c r="CE65" s="154" t="s">
        <v>69</v>
      </c>
      <c r="CF65" s="154" t="s">
        <v>69</v>
      </c>
      <c r="CG65" s="154" t="s">
        <v>69</v>
      </c>
      <c r="CH65" s="154" t="s">
        <v>69</v>
      </c>
      <c r="CI65" s="154" t="s">
        <v>69</v>
      </c>
      <c r="CJ65" s="154" t="s">
        <v>69</v>
      </c>
      <c r="CK65" s="154" t="s">
        <v>69</v>
      </c>
      <c r="CL65" s="154" t="s">
        <v>69</v>
      </c>
      <c r="CM65" s="154" t="s">
        <v>69</v>
      </c>
      <c r="CN65" s="154" t="s">
        <v>69</v>
      </c>
      <c r="CO65" s="154" t="s">
        <v>69</v>
      </c>
      <c r="CP65" s="154" t="s">
        <v>69</v>
      </c>
      <c r="CQ65" s="154" t="s">
        <v>69</v>
      </c>
      <c r="CR65" s="154" t="s">
        <v>69</v>
      </c>
      <c r="CS65" s="154" t="s">
        <v>69</v>
      </c>
      <c r="CT65" s="154" t="s">
        <v>69</v>
      </c>
      <c r="CU65" s="154" t="s">
        <v>69</v>
      </c>
      <c r="CV65" s="154" t="s">
        <v>69</v>
      </c>
      <c r="CW65" s="154" t="s">
        <v>69</v>
      </c>
      <c r="CX65" s="154" t="s">
        <v>69</v>
      </c>
      <c r="CY65" s="154" t="s">
        <v>69</v>
      </c>
      <c r="CZ65" s="154" t="s">
        <v>69</v>
      </c>
      <c r="DA65" s="154" t="s">
        <v>69</v>
      </c>
      <c r="DB65" s="154" t="s">
        <v>69</v>
      </c>
      <c r="DC65" s="154">
        <v>4</v>
      </c>
      <c r="DD65" s="154" t="s">
        <v>69</v>
      </c>
      <c r="DE65" s="154">
        <v>4</v>
      </c>
      <c r="DF65" s="154" t="s">
        <v>69</v>
      </c>
      <c r="DG65" s="154" t="s">
        <v>69</v>
      </c>
      <c r="DH65" s="154" t="s">
        <v>69</v>
      </c>
      <c r="DI65" s="154" t="s">
        <v>69</v>
      </c>
      <c r="DJ65" s="154" t="s">
        <v>69</v>
      </c>
      <c r="DK65" s="154" t="s">
        <v>69</v>
      </c>
      <c r="DL65" s="154" t="s">
        <v>69</v>
      </c>
      <c r="DM65" s="154" t="s">
        <v>69</v>
      </c>
      <c r="DN65" s="154" t="s">
        <v>69</v>
      </c>
      <c r="DO65" s="154" t="s">
        <v>69</v>
      </c>
      <c r="DP65" s="154" t="s">
        <v>69</v>
      </c>
      <c r="DQ65" s="154" t="s">
        <v>69</v>
      </c>
      <c r="DR65" s="154" t="s">
        <v>69</v>
      </c>
      <c r="DS65" s="154" t="s">
        <v>69</v>
      </c>
      <c r="DT65" s="168" t="s">
        <v>69</v>
      </c>
      <c r="DU65" s="110">
        <f t="shared" si="2"/>
        <v>8.0645161290322578E-2</v>
      </c>
      <c r="DV65" s="104">
        <f t="shared" si="3"/>
        <v>1</v>
      </c>
    </row>
    <row r="66" spans="1:126" ht="68.25" hidden="1" customHeight="1" thickBot="1">
      <c r="A66" s="223" t="s">
        <v>567</v>
      </c>
      <c r="B66" s="236" t="s">
        <v>655</v>
      </c>
      <c r="C66" s="239" t="s">
        <v>659</v>
      </c>
      <c r="D66" s="219">
        <v>45331</v>
      </c>
      <c r="E66" s="220" t="s">
        <v>434</v>
      </c>
      <c r="F66" s="167" t="s">
        <v>69</v>
      </c>
      <c r="G66" s="154" t="s">
        <v>69</v>
      </c>
      <c r="H66" s="154" t="s">
        <v>69</v>
      </c>
      <c r="I66" s="154" t="s">
        <v>69</v>
      </c>
      <c r="J66" s="154" t="s">
        <v>69</v>
      </c>
      <c r="K66" s="154" t="s">
        <v>69</v>
      </c>
      <c r="L66" s="154" t="s">
        <v>69</v>
      </c>
      <c r="M66" s="154" t="s">
        <v>69</v>
      </c>
      <c r="N66" s="154" t="s">
        <v>69</v>
      </c>
      <c r="O66" s="154" t="s">
        <v>69</v>
      </c>
      <c r="P66" s="154" t="s">
        <v>69</v>
      </c>
      <c r="Q66" s="154" t="s">
        <v>69</v>
      </c>
      <c r="R66" s="154" t="s">
        <v>69</v>
      </c>
      <c r="S66" s="154" t="s">
        <v>69</v>
      </c>
      <c r="T66" s="165" t="s">
        <v>69</v>
      </c>
      <c r="U66" s="165" t="s">
        <v>69</v>
      </c>
      <c r="V66" s="154" t="s">
        <v>69</v>
      </c>
      <c r="W66" s="154" t="s">
        <v>69</v>
      </c>
      <c r="X66" s="154" t="s">
        <v>69</v>
      </c>
      <c r="Y66" s="154" t="s">
        <v>69</v>
      </c>
      <c r="Z66" s="154" t="s">
        <v>69</v>
      </c>
      <c r="AA66" s="154" t="s">
        <v>69</v>
      </c>
      <c r="AB66" s="154" t="s">
        <v>69</v>
      </c>
      <c r="AC66" s="154" t="s">
        <v>69</v>
      </c>
      <c r="AD66" s="154" t="s">
        <v>69</v>
      </c>
      <c r="AE66" s="154" t="s">
        <v>69</v>
      </c>
      <c r="AF66" s="154" t="s">
        <v>69</v>
      </c>
      <c r="AG66" s="154" t="s">
        <v>69</v>
      </c>
      <c r="AH66" s="154">
        <v>3</v>
      </c>
      <c r="AI66" s="154" t="s">
        <v>69</v>
      </c>
      <c r="AJ66" s="154" t="s">
        <v>69</v>
      </c>
      <c r="AK66" s="154" t="s">
        <v>69</v>
      </c>
      <c r="AL66" s="154" t="s">
        <v>69</v>
      </c>
      <c r="AM66" s="154" t="s">
        <v>69</v>
      </c>
      <c r="AN66" s="154">
        <v>4</v>
      </c>
      <c r="AO66" s="154" t="s">
        <v>69</v>
      </c>
      <c r="AP66" s="154" t="s">
        <v>69</v>
      </c>
      <c r="AQ66" s="154" t="s">
        <v>69</v>
      </c>
      <c r="AR66" s="154" t="s">
        <v>69</v>
      </c>
      <c r="AS66" s="154" t="s">
        <v>69</v>
      </c>
      <c r="AT66" s="154" t="s">
        <v>69</v>
      </c>
      <c r="AU66" s="154" t="s">
        <v>69</v>
      </c>
      <c r="AV66" s="154" t="s">
        <v>69</v>
      </c>
      <c r="AW66" s="154" t="s">
        <v>69</v>
      </c>
      <c r="AX66" s="154" t="s">
        <v>69</v>
      </c>
      <c r="AY66" s="154" t="s">
        <v>69</v>
      </c>
      <c r="AZ66" s="154" t="s">
        <v>69</v>
      </c>
      <c r="BA66" s="154" t="s">
        <v>69</v>
      </c>
      <c r="BB66" s="154" t="s">
        <v>69</v>
      </c>
      <c r="BC66" s="154" t="s">
        <v>69</v>
      </c>
      <c r="BD66" s="154" t="s">
        <v>69</v>
      </c>
      <c r="BE66" s="154" t="s">
        <v>69</v>
      </c>
      <c r="BF66" s="154" t="s">
        <v>69</v>
      </c>
      <c r="BG66" s="154">
        <v>3</v>
      </c>
      <c r="BH66" s="154" t="s">
        <v>69</v>
      </c>
      <c r="BI66" s="154" t="s">
        <v>69</v>
      </c>
      <c r="BJ66" s="154" t="s">
        <v>69</v>
      </c>
      <c r="BK66" s="154" t="s">
        <v>69</v>
      </c>
      <c r="BL66" s="154" t="s">
        <v>69</v>
      </c>
      <c r="BM66" s="154" t="s">
        <v>69</v>
      </c>
      <c r="BN66" s="154" t="s">
        <v>69</v>
      </c>
      <c r="BO66" s="154" t="s">
        <v>69</v>
      </c>
      <c r="BP66" s="154" t="s">
        <v>69</v>
      </c>
      <c r="BQ66" s="154" t="s">
        <v>69</v>
      </c>
      <c r="BR66" s="154" t="s">
        <v>69</v>
      </c>
      <c r="BS66" s="154" t="s">
        <v>69</v>
      </c>
      <c r="BT66" s="154" t="s">
        <v>69</v>
      </c>
      <c r="BU66" s="154" t="s">
        <v>69</v>
      </c>
      <c r="BV66" s="154" t="s">
        <v>69</v>
      </c>
      <c r="BW66" s="154" t="s">
        <v>69</v>
      </c>
      <c r="BX66" s="154" t="s">
        <v>69</v>
      </c>
      <c r="BY66" s="154" t="s">
        <v>69</v>
      </c>
      <c r="BZ66" s="154" t="s">
        <v>69</v>
      </c>
      <c r="CA66" s="154" t="s">
        <v>69</v>
      </c>
      <c r="CB66" s="154" t="s">
        <v>69</v>
      </c>
      <c r="CC66" s="154" t="s">
        <v>69</v>
      </c>
      <c r="CD66" s="154" t="s">
        <v>69</v>
      </c>
      <c r="CE66" s="154" t="s">
        <v>69</v>
      </c>
      <c r="CF66" s="154" t="s">
        <v>69</v>
      </c>
      <c r="CG66" s="154" t="s">
        <v>69</v>
      </c>
      <c r="CH66" s="154" t="s">
        <v>69</v>
      </c>
      <c r="CI66" s="154" t="s">
        <v>69</v>
      </c>
      <c r="CJ66" s="154" t="s">
        <v>69</v>
      </c>
      <c r="CK66" s="154" t="s">
        <v>69</v>
      </c>
      <c r="CL66" s="154" t="s">
        <v>69</v>
      </c>
      <c r="CM66" s="154" t="s">
        <v>69</v>
      </c>
      <c r="CN66" s="154" t="s">
        <v>69</v>
      </c>
      <c r="CO66" s="154" t="s">
        <v>69</v>
      </c>
      <c r="CP66" s="154" t="s">
        <v>69</v>
      </c>
      <c r="CQ66" s="154" t="s">
        <v>69</v>
      </c>
      <c r="CR66" s="154" t="s">
        <v>69</v>
      </c>
      <c r="CS66" s="154" t="s">
        <v>69</v>
      </c>
      <c r="CT66" s="154" t="s">
        <v>69</v>
      </c>
      <c r="CU66" s="154" t="s">
        <v>69</v>
      </c>
      <c r="CV66" s="154">
        <v>3</v>
      </c>
      <c r="CW66" s="154" t="s">
        <v>69</v>
      </c>
      <c r="CX66" s="154" t="s">
        <v>69</v>
      </c>
      <c r="CY66" s="154" t="s">
        <v>69</v>
      </c>
      <c r="CZ66" s="154">
        <v>3</v>
      </c>
      <c r="DA66" s="154" t="s">
        <v>69</v>
      </c>
      <c r="DB66" s="154">
        <v>3</v>
      </c>
      <c r="DC66" s="154" t="s">
        <v>69</v>
      </c>
      <c r="DD66" s="154" t="s">
        <v>69</v>
      </c>
      <c r="DE66" s="154" t="s">
        <v>69</v>
      </c>
      <c r="DF66" s="154" t="s">
        <v>69</v>
      </c>
      <c r="DG66" s="154" t="s">
        <v>69</v>
      </c>
      <c r="DH66" s="154" t="s">
        <v>69</v>
      </c>
      <c r="DI66" s="154" t="s">
        <v>69</v>
      </c>
      <c r="DJ66" s="154" t="s">
        <v>69</v>
      </c>
      <c r="DK66" s="154" t="s">
        <v>69</v>
      </c>
      <c r="DL66" s="154" t="s">
        <v>69</v>
      </c>
      <c r="DM66" s="154" t="s">
        <v>69</v>
      </c>
      <c r="DN66" s="154" t="s">
        <v>69</v>
      </c>
      <c r="DO66" s="154" t="s">
        <v>69</v>
      </c>
      <c r="DP66" s="154" t="s">
        <v>69</v>
      </c>
      <c r="DQ66" s="154" t="s">
        <v>69</v>
      </c>
      <c r="DR66" s="154" t="s">
        <v>69</v>
      </c>
      <c r="DS66" s="154" t="s">
        <v>69</v>
      </c>
      <c r="DT66" s="168" t="s">
        <v>69</v>
      </c>
      <c r="DU66" s="110">
        <f t="shared" si="2"/>
        <v>9.6774193548387094E-2</v>
      </c>
      <c r="DV66" s="104">
        <f t="shared" si="3"/>
        <v>1</v>
      </c>
    </row>
    <row r="67" spans="1:126" ht="68.25" hidden="1" customHeight="1" thickBot="1">
      <c r="A67" s="224"/>
      <c r="B67" s="236" t="s">
        <v>656</v>
      </c>
      <c r="C67" s="239" t="s">
        <v>660</v>
      </c>
      <c r="D67" s="219">
        <v>45334</v>
      </c>
      <c r="E67" s="225" t="s">
        <v>434</v>
      </c>
      <c r="F67" s="154" t="s">
        <v>69</v>
      </c>
      <c r="G67" s="154" t="s">
        <v>69</v>
      </c>
      <c r="H67" s="154">
        <v>2</v>
      </c>
      <c r="I67" s="154" t="s">
        <v>69</v>
      </c>
      <c r="J67" s="154" t="s">
        <v>69</v>
      </c>
      <c r="K67" s="154" t="s">
        <v>69</v>
      </c>
      <c r="L67" s="154" t="s">
        <v>69</v>
      </c>
      <c r="M67" s="154" t="s">
        <v>69</v>
      </c>
      <c r="N67" s="154" t="s">
        <v>69</v>
      </c>
      <c r="O67" s="154" t="s">
        <v>69</v>
      </c>
      <c r="P67" s="154" t="s">
        <v>69</v>
      </c>
      <c r="Q67" s="154" t="s">
        <v>69</v>
      </c>
      <c r="R67" s="154" t="s">
        <v>69</v>
      </c>
      <c r="S67" s="154" t="s">
        <v>69</v>
      </c>
      <c r="T67" s="165" t="s">
        <v>69</v>
      </c>
      <c r="U67" s="165" t="s">
        <v>69</v>
      </c>
      <c r="V67" s="154" t="s">
        <v>69</v>
      </c>
      <c r="W67" s="154" t="s">
        <v>69</v>
      </c>
      <c r="X67" s="154" t="s">
        <v>69</v>
      </c>
      <c r="Y67" s="154" t="s">
        <v>69</v>
      </c>
      <c r="Z67" s="154" t="s">
        <v>69</v>
      </c>
      <c r="AA67" s="154">
        <v>4</v>
      </c>
      <c r="AB67" s="154">
        <v>3</v>
      </c>
      <c r="AC67" s="154" t="s">
        <v>69</v>
      </c>
      <c r="AD67" s="154" t="s">
        <v>69</v>
      </c>
      <c r="AE67" s="154" t="s">
        <v>69</v>
      </c>
      <c r="AF67" s="154" t="s">
        <v>69</v>
      </c>
      <c r="AG67" s="154" t="s">
        <v>69</v>
      </c>
      <c r="AH67" s="154" t="s">
        <v>69</v>
      </c>
      <c r="AI67" s="154" t="s">
        <v>69</v>
      </c>
      <c r="AJ67" s="154" t="s">
        <v>69</v>
      </c>
      <c r="AK67" s="154" t="s">
        <v>69</v>
      </c>
      <c r="AL67" s="154" t="s">
        <v>69</v>
      </c>
      <c r="AM67" s="154" t="s">
        <v>69</v>
      </c>
      <c r="AN67" s="154" t="s">
        <v>69</v>
      </c>
      <c r="AO67" s="154" t="s">
        <v>69</v>
      </c>
      <c r="AP67" s="154" t="s">
        <v>69</v>
      </c>
      <c r="AQ67" s="154" t="s">
        <v>69</v>
      </c>
      <c r="AR67" s="154" t="s">
        <v>69</v>
      </c>
      <c r="AS67" s="154" t="s">
        <v>69</v>
      </c>
      <c r="AT67" s="154" t="s">
        <v>69</v>
      </c>
      <c r="AU67" s="154" t="s">
        <v>69</v>
      </c>
      <c r="AV67" s="154" t="s">
        <v>69</v>
      </c>
      <c r="AW67" s="154" t="s">
        <v>69</v>
      </c>
      <c r="AX67" s="154">
        <v>3</v>
      </c>
      <c r="AY67" s="154" t="s">
        <v>69</v>
      </c>
      <c r="AZ67" s="154" t="s">
        <v>69</v>
      </c>
      <c r="BA67" s="154" t="s">
        <v>69</v>
      </c>
      <c r="BB67" s="154" t="s">
        <v>69</v>
      </c>
      <c r="BC67" s="154" t="s">
        <v>69</v>
      </c>
      <c r="BD67" s="154" t="s">
        <v>69</v>
      </c>
      <c r="BE67" s="154" t="s">
        <v>69</v>
      </c>
      <c r="BF67" s="154" t="s">
        <v>69</v>
      </c>
      <c r="BG67" s="154" t="s">
        <v>69</v>
      </c>
      <c r="BH67" s="154" t="s">
        <v>69</v>
      </c>
      <c r="BI67" s="154" t="s">
        <v>69</v>
      </c>
      <c r="BJ67" s="154" t="s">
        <v>69</v>
      </c>
      <c r="BK67" s="154" t="s">
        <v>69</v>
      </c>
      <c r="BL67" s="154" t="s">
        <v>69</v>
      </c>
      <c r="BM67" s="154" t="s">
        <v>69</v>
      </c>
      <c r="BN67" s="154" t="s">
        <v>69</v>
      </c>
      <c r="BO67" s="154" t="s">
        <v>69</v>
      </c>
      <c r="BP67" s="154" t="s">
        <v>69</v>
      </c>
      <c r="BQ67" s="154" t="s">
        <v>69</v>
      </c>
      <c r="BR67" s="154">
        <v>4</v>
      </c>
      <c r="BS67" s="154" t="s">
        <v>69</v>
      </c>
      <c r="BT67" s="154" t="s">
        <v>69</v>
      </c>
      <c r="BU67" s="154" t="s">
        <v>69</v>
      </c>
      <c r="BV67" s="154" t="s">
        <v>69</v>
      </c>
      <c r="BW67" s="154" t="s">
        <v>69</v>
      </c>
      <c r="BX67" s="154" t="s">
        <v>69</v>
      </c>
      <c r="BY67" s="154" t="s">
        <v>69</v>
      </c>
      <c r="BZ67" s="154" t="s">
        <v>69</v>
      </c>
      <c r="CA67" s="154" t="s">
        <v>69</v>
      </c>
      <c r="CB67" s="154" t="s">
        <v>69</v>
      </c>
      <c r="CC67" s="154" t="s">
        <v>69</v>
      </c>
      <c r="CD67" s="154" t="s">
        <v>69</v>
      </c>
      <c r="CE67" s="154" t="s">
        <v>69</v>
      </c>
      <c r="CF67" s="154" t="s">
        <v>69</v>
      </c>
      <c r="CG67" s="154">
        <v>4</v>
      </c>
      <c r="CH67" s="154" t="s">
        <v>69</v>
      </c>
      <c r="CI67" s="154" t="s">
        <v>69</v>
      </c>
      <c r="CJ67" s="154" t="s">
        <v>69</v>
      </c>
      <c r="CK67" s="154" t="s">
        <v>69</v>
      </c>
      <c r="CL67" s="154" t="s">
        <v>69</v>
      </c>
      <c r="CM67" s="154" t="s">
        <v>69</v>
      </c>
      <c r="CN67" s="154">
        <v>2</v>
      </c>
      <c r="CO67" s="154">
        <v>3</v>
      </c>
      <c r="CP67" s="154">
        <v>3</v>
      </c>
      <c r="CQ67" s="154" t="s">
        <v>69</v>
      </c>
      <c r="CR67" s="154" t="s">
        <v>69</v>
      </c>
      <c r="CS67" s="154" t="s">
        <v>69</v>
      </c>
      <c r="CT67" s="154" t="s">
        <v>69</v>
      </c>
      <c r="CU67" s="154" t="s">
        <v>69</v>
      </c>
      <c r="CV67" s="154" t="s">
        <v>69</v>
      </c>
      <c r="CW67" s="154" t="s">
        <v>69</v>
      </c>
      <c r="CX67" s="154">
        <v>2</v>
      </c>
      <c r="CY67" s="154" t="s">
        <v>69</v>
      </c>
      <c r="CZ67" s="154" t="s">
        <v>69</v>
      </c>
      <c r="DA67" s="154" t="s">
        <v>69</v>
      </c>
      <c r="DB67" s="154" t="s">
        <v>69</v>
      </c>
      <c r="DC67" s="154" t="s">
        <v>69</v>
      </c>
      <c r="DD67" s="154" t="s">
        <v>69</v>
      </c>
      <c r="DE67" s="154" t="s">
        <v>69</v>
      </c>
      <c r="DF67" s="154">
        <v>2</v>
      </c>
      <c r="DG67" s="154" t="s">
        <v>69</v>
      </c>
      <c r="DH67" s="154" t="s">
        <v>69</v>
      </c>
      <c r="DI67" s="154" t="s">
        <v>69</v>
      </c>
      <c r="DJ67" s="154" t="s">
        <v>69</v>
      </c>
      <c r="DK67" s="154">
        <v>3</v>
      </c>
      <c r="DL67" s="154" t="s">
        <v>69</v>
      </c>
      <c r="DM67" s="154" t="s">
        <v>69</v>
      </c>
      <c r="DN67" s="154" t="s">
        <v>69</v>
      </c>
      <c r="DO67" s="154" t="s">
        <v>69</v>
      </c>
      <c r="DP67" s="154" t="s">
        <v>69</v>
      </c>
      <c r="DQ67" s="154" t="s">
        <v>69</v>
      </c>
      <c r="DR67" s="154" t="s">
        <v>69</v>
      </c>
      <c r="DS67" s="154" t="s">
        <v>69</v>
      </c>
      <c r="DT67" s="168" t="s">
        <v>69</v>
      </c>
      <c r="DU67" s="110">
        <f t="shared" si="2"/>
        <v>0.19354838709677419</v>
      </c>
      <c r="DV67" s="104">
        <f t="shared" si="3"/>
        <v>0.66666666666666663</v>
      </c>
    </row>
    <row r="68" spans="1:126" ht="68.25" customHeight="1" thickBot="1">
      <c r="A68" s="224"/>
      <c r="B68" s="236" t="s">
        <v>657</v>
      </c>
      <c r="C68" s="239" t="s">
        <v>661</v>
      </c>
      <c r="D68" s="219">
        <v>45334</v>
      </c>
      <c r="E68" s="220" t="s">
        <v>434</v>
      </c>
      <c r="F68" s="170">
        <v>4</v>
      </c>
      <c r="G68" s="171">
        <v>3</v>
      </c>
      <c r="H68" s="172">
        <v>4</v>
      </c>
      <c r="I68" s="171" t="s">
        <v>69</v>
      </c>
      <c r="J68" s="171" t="s">
        <v>69</v>
      </c>
      <c r="K68" s="171" t="s">
        <v>69</v>
      </c>
      <c r="L68" s="171" t="s">
        <v>69</v>
      </c>
      <c r="M68" s="171" t="s">
        <v>69</v>
      </c>
      <c r="N68" s="171" t="s">
        <v>69</v>
      </c>
      <c r="O68" s="171">
        <v>2</v>
      </c>
      <c r="P68" s="171">
        <v>2</v>
      </c>
      <c r="Q68" s="171" t="s">
        <v>69</v>
      </c>
      <c r="R68" s="171" t="s">
        <v>69</v>
      </c>
      <c r="S68" s="171" t="s">
        <v>69</v>
      </c>
      <c r="T68" s="165" t="s">
        <v>69</v>
      </c>
      <c r="U68" s="165" t="s">
        <v>69</v>
      </c>
      <c r="V68" s="171" t="s">
        <v>69</v>
      </c>
      <c r="W68" s="171" t="s">
        <v>69</v>
      </c>
      <c r="X68" s="171" t="s">
        <v>69</v>
      </c>
      <c r="Y68" s="171" t="s">
        <v>69</v>
      </c>
      <c r="Z68" s="171" t="s">
        <v>69</v>
      </c>
      <c r="AA68" s="171" t="s">
        <v>69</v>
      </c>
      <c r="AB68" s="171" t="s">
        <v>69</v>
      </c>
      <c r="AC68" s="171" t="s">
        <v>69</v>
      </c>
      <c r="AD68" s="171" t="s">
        <v>69</v>
      </c>
      <c r="AE68" s="171" t="s">
        <v>69</v>
      </c>
      <c r="AF68" s="171" t="s">
        <v>69</v>
      </c>
      <c r="AG68" s="171" t="s">
        <v>69</v>
      </c>
      <c r="AH68" s="171" t="s">
        <v>69</v>
      </c>
      <c r="AI68" s="171" t="s">
        <v>69</v>
      </c>
      <c r="AJ68" s="171" t="s">
        <v>69</v>
      </c>
      <c r="AK68" s="171" t="s">
        <v>69</v>
      </c>
      <c r="AL68" s="171" t="s">
        <v>69</v>
      </c>
      <c r="AM68" s="171" t="s">
        <v>69</v>
      </c>
      <c r="AN68" s="171" t="s">
        <v>69</v>
      </c>
      <c r="AO68" s="171" t="s">
        <v>69</v>
      </c>
      <c r="AP68" s="171" t="s">
        <v>69</v>
      </c>
      <c r="AQ68" s="171" t="s">
        <v>69</v>
      </c>
      <c r="AR68" s="171" t="s">
        <v>69</v>
      </c>
      <c r="AS68" s="171" t="s">
        <v>69</v>
      </c>
      <c r="AT68" s="171" t="s">
        <v>69</v>
      </c>
      <c r="AU68" s="171" t="s">
        <v>69</v>
      </c>
      <c r="AV68" s="171" t="s">
        <v>69</v>
      </c>
      <c r="AW68" s="171" t="s">
        <v>69</v>
      </c>
      <c r="AX68" s="171" t="s">
        <v>69</v>
      </c>
      <c r="AY68" s="171" t="s">
        <v>69</v>
      </c>
      <c r="AZ68" s="171" t="s">
        <v>69</v>
      </c>
      <c r="BA68" s="171" t="s">
        <v>69</v>
      </c>
      <c r="BB68" s="171" t="s">
        <v>69</v>
      </c>
      <c r="BC68" s="171" t="s">
        <v>69</v>
      </c>
      <c r="BD68" s="171" t="s">
        <v>69</v>
      </c>
      <c r="BE68" s="171" t="s">
        <v>69</v>
      </c>
      <c r="BF68" s="171" t="s">
        <v>69</v>
      </c>
      <c r="BG68" s="171" t="s">
        <v>69</v>
      </c>
      <c r="BH68" s="171" t="s">
        <v>69</v>
      </c>
      <c r="BI68" s="171" t="s">
        <v>69</v>
      </c>
      <c r="BJ68" s="171" t="s">
        <v>69</v>
      </c>
      <c r="BK68" s="171" t="s">
        <v>69</v>
      </c>
      <c r="BL68" s="171" t="s">
        <v>69</v>
      </c>
      <c r="BM68" s="171" t="s">
        <v>69</v>
      </c>
      <c r="BN68" s="171" t="s">
        <v>69</v>
      </c>
      <c r="BO68" s="171" t="s">
        <v>69</v>
      </c>
      <c r="BP68" s="171" t="s">
        <v>69</v>
      </c>
      <c r="BQ68" s="171" t="s">
        <v>69</v>
      </c>
      <c r="BR68" s="171" t="s">
        <v>69</v>
      </c>
      <c r="BS68" s="171">
        <v>3</v>
      </c>
      <c r="BT68" s="171" t="s">
        <v>69</v>
      </c>
      <c r="BU68" s="171" t="s">
        <v>69</v>
      </c>
      <c r="BV68" s="171" t="s">
        <v>69</v>
      </c>
      <c r="BW68" s="171" t="s">
        <v>69</v>
      </c>
      <c r="BX68" s="171" t="s">
        <v>69</v>
      </c>
      <c r="BY68" s="171" t="s">
        <v>69</v>
      </c>
      <c r="BZ68" s="171" t="s">
        <v>69</v>
      </c>
      <c r="CA68" s="171" t="s">
        <v>69</v>
      </c>
      <c r="CB68" s="171" t="s">
        <v>69</v>
      </c>
      <c r="CC68" s="171" t="s">
        <v>69</v>
      </c>
      <c r="CD68" s="171" t="s">
        <v>69</v>
      </c>
      <c r="CE68" s="171" t="s">
        <v>69</v>
      </c>
      <c r="CF68" s="171" t="s">
        <v>69</v>
      </c>
      <c r="CG68" s="171" t="s">
        <v>69</v>
      </c>
      <c r="CH68" s="171" t="s">
        <v>69</v>
      </c>
      <c r="CI68" s="171" t="s">
        <v>69</v>
      </c>
      <c r="CJ68" s="171" t="s">
        <v>69</v>
      </c>
      <c r="CK68" s="171" t="s">
        <v>69</v>
      </c>
      <c r="CL68" s="171" t="s">
        <v>69</v>
      </c>
      <c r="CM68" s="154" t="s">
        <v>69</v>
      </c>
      <c r="CN68" s="154" t="s">
        <v>69</v>
      </c>
      <c r="CO68" s="154" t="s">
        <v>69</v>
      </c>
      <c r="CP68" s="154" t="s">
        <v>69</v>
      </c>
      <c r="CQ68" s="154" t="s">
        <v>69</v>
      </c>
      <c r="CR68" s="154" t="s">
        <v>69</v>
      </c>
      <c r="CS68" s="154" t="s">
        <v>69</v>
      </c>
      <c r="CT68" s="154" t="s">
        <v>69</v>
      </c>
      <c r="CU68" s="154" t="s">
        <v>69</v>
      </c>
      <c r="CV68" s="171" t="s">
        <v>69</v>
      </c>
      <c r="CW68" s="171" t="s">
        <v>69</v>
      </c>
      <c r="CX68" s="171" t="s">
        <v>69</v>
      </c>
      <c r="CY68" s="171" t="s">
        <v>69</v>
      </c>
      <c r="CZ68" s="171" t="s">
        <v>69</v>
      </c>
      <c r="DA68" s="171" t="s">
        <v>69</v>
      </c>
      <c r="DB68" s="171" t="s">
        <v>69</v>
      </c>
      <c r="DC68" s="171" t="s">
        <v>69</v>
      </c>
      <c r="DD68" s="171" t="s">
        <v>69</v>
      </c>
      <c r="DE68" s="171" t="s">
        <v>69</v>
      </c>
      <c r="DF68" s="171" t="s">
        <v>69</v>
      </c>
      <c r="DG68" s="171" t="s">
        <v>69</v>
      </c>
      <c r="DH68" s="171" t="s">
        <v>69</v>
      </c>
      <c r="DI68" s="171" t="s">
        <v>69</v>
      </c>
      <c r="DJ68" s="171" t="s">
        <v>69</v>
      </c>
      <c r="DK68" s="171" t="s">
        <v>69</v>
      </c>
      <c r="DL68" s="171" t="s">
        <v>69</v>
      </c>
      <c r="DM68" s="171" t="s">
        <v>69</v>
      </c>
      <c r="DN68" s="171" t="s">
        <v>69</v>
      </c>
      <c r="DO68" s="171" t="s">
        <v>69</v>
      </c>
      <c r="DP68" s="171" t="s">
        <v>69</v>
      </c>
      <c r="DQ68" s="171" t="s">
        <v>69</v>
      </c>
      <c r="DR68" s="171" t="s">
        <v>69</v>
      </c>
      <c r="DS68" s="171" t="s">
        <v>69</v>
      </c>
      <c r="DT68" s="173" t="s">
        <v>69</v>
      </c>
      <c r="DU68" s="110">
        <f t="shared" si="2"/>
        <v>9.6774193548387094E-2</v>
      </c>
      <c r="DV68" s="104">
        <f t="shared" si="3"/>
        <v>0.66666666666666663</v>
      </c>
    </row>
    <row r="69" spans="1:126" ht="68.25" hidden="1" customHeight="1" thickBot="1">
      <c r="A69" s="218" t="s">
        <v>417</v>
      </c>
      <c r="B69" s="236" t="s">
        <v>327</v>
      </c>
      <c r="C69" s="239" t="s">
        <v>328</v>
      </c>
      <c r="D69" s="219">
        <v>45390</v>
      </c>
      <c r="E69" s="220" t="s">
        <v>434</v>
      </c>
      <c r="F69" s="167" t="s">
        <v>69</v>
      </c>
      <c r="G69" s="154" t="s">
        <v>69</v>
      </c>
      <c r="H69" s="154" t="s">
        <v>69</v>
      </c>
      <c r="I69" s="154" t="s">
        <v>69</v>
      </c>
      <c r="J69" s="154" t="s">
        <v>69</v>
      </c>
      <c r="K69" s="154" t="s">
        <v>69</v>
      </c>
      <c r="L69" s="154" t="s">
        <v>69</v>
      </c>
      <c r="M69" s="154" t="s">
        <v>69</v>
      </c>
      <c r="N69" s="154" t="s">
        <v>69</v>
      </c>
      <c r="O69" s="154" t="s">
        <v>69</v>
      </c>
      <c r="P69" s="154" t="s">
        <v>69</v>
      </c>
      <c r="Q69" s="154" t="s">
        <v>69</v>
      </c>
      <c r="R69" s="154" t="s">
        <v>69</v>
      </c>
      <c r="S69" s="154" t="s">
        <v>69</v>
      </c>
      <c r="T69" s="165" t="s">
        <v>69</v>
      </c>
      <c r="U69" s="165" t="s">
        <v>69</v>
      </c>
      <c r="V69" s="154" t="s">
        <v>69</v>
      </c>
      <c r="W69" s="154" t="s">
        <v>69</v>
      </c>
      <c r="X69" s="154" t="s">
        <v>69</v>
      </c>
      <c r="Y69" s="154" t="s">
        <v>69</v>
      </c>
      <c r="Z69" s="154" t="s">
        <v>69</v>
      </c>
      <c r="AA69" s="154" t="s">
        <v>69</v>
      </c>
      <c r="AB69" s="154" t="s">
        <v>69</v>
      </c>
      <c r="AC69" s="154" t="s">
        <v>69</v>
      </c>
      <c r="AD69" s="154" t="s">
        <v>69</v>
      </c>
      <c r="AE69" s="154" t="s">
        <v>69</v>
      </c>
      <c r="AF69" s="154" t="s">
        <v>69</v>
      </c>
      <c r="AG69" s="154" t="s">
        <v>69</v>
      </c>
      <c r="AH69" s="154" t="s">
        <v>69</v>
      </c>
      <c r="AI69" s="154" t="s">
        <v>69</v>
      </c>
      <c r="AJ69" s="154" t="s">
        <v>69</v>
      </c>
      <c r="AK69" s="154" t="s">
        <v>69</v>
      </c>
      <c r="AL69" s="154" t="s">
        <v>69</v>
      </c>
      <c r="AM69" s="154" t="s">
        <v>69</v>
      </c>
      <c r="AN69" s="154" t="s">
        <v>69</v>
      </c>
      <c r="AO69" s="154" t="s">
        <v>69</v>
      </c>
      <c r="AP69" s="154" t="s">
        <v>69</v>
      </c>
      <c r="AQ69" s="154" t="s">
        <v>69</v>
      </c>
      <c r="AR69" s="154" t="s">
        <v>69</v>
      </c>
      <c r="AS69" s="154" t="s">
        <v>69</v>
      </c>
      <c r="AT69" s="154" t="s">
        <v>69</v>
      </c>
      <c r="AU69" s="154" t="s">
        <v>69</v>
      </c>
      <c r="AV69" s="154" t="s">
        <v>69</v>
      </c>
      <c r="AW69" s="154" t="s">
        <v>69</v>
      </c>
      <c r="AX69" s="154" t="s">
        <v>69</v>
      </c>
      <c r="AY69" s="154" t="s">
        <v>69</v>
      </c>
      <c r="AZ69" s="154" t="s">
        <v>69</v>
      </c>
      <c r="BA69" s="154" t="s">
        <v>69</v>
      </c>
      <c r="BB69" s="154" t="s">
        <v>69</v>
      </c>
      <c r="BC69" s="154" t="s">
        <v>69</v>
      </c>
      <c r="BD69" s="154" t="s">
        <v>69</v>
      </c>
      <c r="BE69" s="154">
        <v>4</v>
      </c>
      <c r="BF69" s="154">
        <v>3</v>
      </c>
      <c r="BG69" s="154" t="s">
        <v>69</v>
      </c>
      <c r="BH69" s="154" t="s">
        <v>69</v>
      </c>
      <c r="BI69" s="154">
        <v>4</v>
      </c>
      <c r="BJ69" s="154" t="s">
        <v>69</v>
      </c>
      <c r="BK69" s="154" t="s">
        <v>69</v>
      </c>
      <c r="BL69" s="154"/>
      <c r="BM69" s="154" t="s">
        <v>69</v>
      </c>
      <c r="BN69" s="154" t="s">
        <v>69</v>
      </c>
      <c r="BO69" s="154" t="s">
        <v>69</v>
      </c>
      <c r="BP69" s="154" t="s">
        <v>69</v>
      </c>
      <c r="BQ69" s="154" t="s">
        <v>69</v>
      </c>
      <c r="BR69" s="154" t="s">
        <v>69</v>
      </c>
      <c r="BS69" s="154" t="s">
        <v>69</v>
      </c>
      <c r="BT69" s="154" t="s">
        <v>69</v>
      </c>
      <c r="BU69" s="154" t="s">
        <v>69</v>
      </c>
      <c r="BV69" s="154" t="s">
        <v>69</v>
      </c>
      <c r="BW69" s="154" t="s">
        <v>69</v>
      </c>
      <c r="BX69" s="154" t="s">
        <v>69</v>
      </c>
      <c r="BY69" s="154" t="s">
        <v>69</v>
      </c>
      <c r="BZ69" s="154" t="s">
        <v>69</v>
      </c>
      <c r="CA69" s="154" t="s">
        <v>69</v>
      </c>
      <c r="CB69" s="154" t="s">
        <v>69</v>
      </c>
      <c r="CC69" s="154" t="s">
        <v>69</v>
      </c>
      <c r="CD69" s="154" t="s">
        <v>69</v>
      </c>
      <c r="CE69" s="154" t="s">
        <v>69</v>
      </c>
      <c r="CF69" s="154" t="s">
        <v>69</v>
      </c>
      <c r="CG69" s="154" t="s">
        <v>69</v>
      </c>
      <c r="CH69" s="154" t="s">
        <v>69</v>
      </c>
      <c r="CI69" s="154" t="s">
        <v>69</v>
      </c>
      <c r="CJ69" s="154" t="s">
        <v>69</v>
      </c>
      <c r="CK69" s="154" t="s">
        <v>69</v>
      </c>
      <c r="CL69" s="154" t="s">
        <v>69</v>
      </c>
      <c r="CM69" s="154">
        <v>2</v>
      </c>
      <c r="CN69" s="154" t="s">
        <v>69</v>
      </c>
      <c r="CO69" s="154">
        <v>2</v>
      </c>
      <c r="CP69" s="154" t="s">
        <v>69</v>
      </c>
      <c r="CQ69" s="154" t="s">
        <v>69</v>
      </c>
      <c r="CR69" s="154" t="s">
        <v>69</v>
      </c>
      <c r="CS69" s="154" t="s">
        <v>69</v>
      </c>
      <c r="CT69" s="154" t="s">
        <v>69</v>
      </c>
      <c r="CU69" s="154" t="s">
        <v>69</v>
      </c>
      <c r="CV69" s="154" t="s">
        <v>69</v>
      </c>
      <c r="CW69" s="154" t="s">
        <v>69</v>
      </c>
      <c r="CX69" s="154" t="s">
        <v>69</v>
      </c>
      <c r="CY69" s="154" t="s">
        <v>69</v>
      </c>
      <c r="CZ69" s="154" t="s">
        <v>69</v>
      </c>
      <c r="DA69" s="154" t="s">
        <v>69</v>
      </c>
      <c r="DB69" s="154">
        <v>4</v>
      </c>
      <c r="DC69" s="154" t="s">
        <v>69</v>
      </c>
      <c r="DD69" s="154" t="s">
        <v>69</v>
      </c>
      <c r="DE69" s="154" t="s">
        <v>69</v>
      </c>
      <c r="DF69" s="154" t="s">
        <v>69</v>
      </c>
      <c r="DG69" s="154" t="s">
        <v>69</v>
      </c>
      <c r="DH69" s="154" t="s">
        <v>69</v>
      </c>
      <c r="DI69" s="154" t="s">
        <v>69</v>
      </c>
      <c r="DJ69" s="154" t="s">
        <v>69</v>
      </c>
      <c r="DK69" s="154" t="s">
        <v>69</v>
      </c>
      <c r="DL69" s="154" t="s">
        <v>69</v>
      </c>
      <c r="DM69" s="154" t="s">
        <v>69</v>
      </c>
      <c r="DN69" s="154" t="s">
        <v>69</v>
      </c>
      <c r="DO69" s="154" t="s">
        <v>69</v>
      </c>
      <c r="DP69" s="154" t="s">
        <v>69</v>
      </c>
      <c r="DQ69" s="154" t="s">
        <v>69</v>
      </c>
      <c r="DR69" s="154" t="s">
        <v>69</v>
      </c>
      <c r="DS69" s="154">
        <v>4</v>
      </c>
      <c r="DT69" s="168">
        <v>4</v>
      </c>
      <c r="DU69" s="110">
        <f t="shared" si="2"/>
        <v>0.12903225806451613</v>
      </c>
      <c r="DV69" s="104">
        <f t="shared" si="3"/>
        <v>0.75</v>
      </c>
    </row>
    <row r="70" spans="1:126" ht="68.25" hidden="1" customHeight="1" thickBot="1">
      <c r="A70" s="218" t="s">
        <v>419</v>
      </c>
      <c r="B70" s="236" t="s">
        <v>115</v>
      </c>
      <c r="C70" s="239" t="s">
        <v>116</v>
      </c>
      <c r="D70" s="219">
        <v>45390</v>
      </c>
      <c r="E70" s="220" t="s">
        <v>434</v>
      </c>
      <c r="F70" s="167">
        <v>3</v>
      </c>
      <c r="G70" s="154" t="s">
        <v>69</v>
      </c>
      <c r="H70" s="154" t="s">
        <v>69</v>
      </c>
      <c r="I70" s="154" t="s">
        <v>69</v>
      </c>
      <c r="J70" s="154" t="s">
        <v>69</v>
      </c>
      <c r="K70" s="154" t="s">
        <v>69</v>
      </c>
      <c r="L70" s="154" t="s">
        <v>69</v>
      </c>
      <c r="M70" s="154" t="s">
        <v>69</v>
      </c>
      <c r="N70" s="154" t="s">
        <v>69</v>
      </c>
      <c r="O70" s="154" t="s">
        <v>69</v>
      </c>
      <c r="P70" s="154" t="s">
        <v>69</v>
      </c>
      <c r="Q70" s="154" t="s">
        <v>69</v>
      </c>
      <c r="R70" s="154" t="s">
        <v>69</v>
      </c>
      <c r="S70" s="154" t="s">
        <v>69</v>
      </c>
      <c r="T70" s="165" t="s">
        <v>69</v>
      </c>
      <c r="U70" s="165" t="s">
        <v>69</v>
      </c>
      <c r="V70" s="154" t="s">
        <v>69</v>
      </c>
      <c r="W70" s="154" t="s">
        <v>69</v>
      </c>
      <c r="X70" s="154" t="s">
        <v>69</v>
      </c>
      <c r="Y70" s="154" t="s">
        <v>69</v>
      </c>
      <c r="Z70" s="154" t="s">
        <v>69</v>
      </c>
      <c r="AA70" s="154" t="s">
        <v>69</v>
      </c>
      <c r="AB70" s="154" t="s">
        <v>69</v>
      </c>
      <c r="AC70" s="154" t="s">
        <v>69</v>
      </c>
      <c r="AD70" s="154" t="s">
        <v>69</v>
      </c>
      <c r="AE70" s="154" t="s">
        <v>69</v>
      </c>
      <c r="AF70" s="154" t="s">
        <v>69</v>
      </c>
      <c r="AG70" s="154" t="s">
        <v>69</v>
      </c>
      <c r="AH70" s="154" t="s">
        <v>69</v>
      </c>
      <c r="AI70" s="154" t="s">
        <v>69</v>
      </c>
      <c r="AJ70" s="154" t="s">
        <v>69</v>
      </c>
      <c r="AK70" s="154" t="s">
        <v>69</v>
      </c>
      <c r="AL70" s="154" t="s">
        <v>69</v>
      </c>
      <c r="AM70" s="154" t="s">
        <v>69</v>
      </c>
      <c r="AN70" s="154" t="s">
        <v>69</v>
      </c>
      <c r="AO70" s="154" t="s">
        <v>69</v>
      </c>
      <c r="AP70" s="154">
        <v>4</v>
      </c>
      <c r="AQ70" s="154" t="s">
        <v>69</v>
      </c>
      <c r="AR70" s="154" t="s">
        <v>69</v>
      </c>
      <c r="AS70" s="154" t="s">
        <v>69</v>
      </c>
      <c r="AT70" s="154" t="s">
        <v>69</v>
      </c>
      <c r="AU70" s="154" t="s">
        <v>69</v>
      </c>
      <c r="AV70" s="154" t="s">
        <v>69</v>
      </c>
      <c r="AW70" s="154" t="s">
        <v>69</v>
      </c>
      <c r="AX70" s="154" t="s">
        <v>69</v>
      </c>
      <c r="AY70" s="154" t="s">
        <v>69</v>
      </c>
      <c r="AZ70" s="154" t="s">
        <v>69</v>
      </c>
      <c r="BA70" s="154" t="s">
        <v>69</v>
      </c>
      <c r="BB70" s="154" t="s">
        <v>69</v>
      </c>
      <c r="BC70" s="154" t="s">
        <v>69</v>
      </c>
      <c r="BD70" s="154"/>
      <c r="BE70" s="154" t="s">
        <v>69</v>
      </c>
      <c r="BF70" s="154"/>
      <c r="BG70" s="154" t="s">
        <v>69</v>
      </c>
      <c r="BH70" s="154" t="s">
        <v>69</v>
      </c>
      <c r="BI70" s="154" t="s">
        <v>69</v>
      </c>
      <c r="BJ70" s="154" t="s">
        <v>69</v>
      </c>
      <c r="BK70" s="154" t="s">
        <v>69</v>
      </c>
      <c r="BL70" s="154" t="s">
        <v>69</v>
      </c>
      <c r="BM70" s="154" t="s">
        <v>69</v>
      </c>
      <c r="BN70" s="154" t="s">
        <v>69</v>
      </c>
      <c r="BO70" s="154" t="s">
        <v>69</v>
      </c>
      <c r="BP70" s="154" t="s">
        <v>69</v>
      </c>
      <c r="BQ70" s="154" t="s">
        <v>69</v>
      </c>
      <c r="BR70" s="154">
        <v>4</v>
      </c>
      <c r="BS70" s="154" t="s">
        <v>69</v>
      </c>
      <c r="BT70" s="154" t="s">
        <v>69</v>
      </c>
      <c r="BU70" s="154" t="s">
        <v>69</v>
      </c>
      <c r="BV70" s="154" t="s">
        <v>69</v>
      </c>
      <c r="BW70" s="154" t="s">
        <v>69</v>
      </c>
      <c r="BX70" s="154" t="s">
        <v>69</v>
      </c>
      <c r="BY70" s="154" t="s">
        <v>69</v>
      </c>
      <c r="BZ70" s="154" t="s">
        <v>69</v>
      </c>
      <c r="CA70" s="154" t="s">
        <v>69</v>
      </c>
      <c r="CB70" s="154" t="s">
        <v>69</v>
      </c>
      <c r="CC70" s="154" t="s">
        <v>69</v>
      </c>
      <c r="CD70" s="154" t="s">
        <v>69</v>
      </c>
      <c r="CE70" s="154" t="s">
        <v>69</v>
      </c>
      <c r="CF70" s="154" t="s">
        <v>69</v>
      </c>
      <c r="CG70" s="154" t="s">
        <v>69</v>
      </c>
      <c r="CH70" s="154" t="s">
        <v>69</v>
      </c>
      <c r="CI70" s="154" t="s">
        <v>69</v>
      </c>
      <c r="CJ70" s="154" t="s">
        <v>69</v>
      </c>
      <c r="CK70" s="154" t="s">
        <v>69</v>
      </c>
      <c r="CL70" s="154" t="s">
        <v>69</v>
      </c>
      <c r="CM70" s="154" t="s">
        <v>69</v>
      </c>
      <c r="CN70" s="154" t="s">
        <v>69</v>
      </c>
      <c r="CO70" s="154" t="s">
        <v>69</v>
      </c>
      <c r="CP70" s="154" t="s">
        <v>69</v>
      </c>
      <c r="CQ70" s="154" t="s">
        <v>69</v>
      </c>
      <c r="CR70" s="154" t="s">
        <v>69</v>
      </c>
      <c r="CS70" s="154" t="s">
        <v>69</v>
      </c>
      <c r="CT70" s="154" t="s">
        <v>69</v>
      </c>
      <c r="CU70" s="154" t="s">
        <v>69</v>
      </c>
      <c r="CV70" s="154" t="s">
        <v>69</v>
      </c>
      <c r="CW70" s="154" t="s">
        <v>69</v>
      </c>
      <c r="CX70" s="154" t="s">
        <v>69</v>
      </c>
      <c r="CY70" s="154" t="s">
        <v>69</v>
      </c>
      <c r="CZ70" s="154" t="s">
        <v>69</v>
      </c>
      <c r="DA70" s="154" t="s">
        <v>69</v>
      </c>
      <c r="DB70" s="154">
        <v>4</v>
      </c>
      <c r="DC70" s="154" t="s">
        <v>69</v>
      </c>
      <c r="DD70" s="154" t="s">
        <v>69</v>
      </c>
      <c r="DE70" s="154" t="s">
        <v>69</v>
      </c>
      <c r="DF70" s="154" t="s">
        <v>69</v>
      </c>
      <c r="DG70" s="154" t="s">
        <v>69</v>
      </c>
      <c r="DH70" s="154" t="s">
        <v>69</v>
      </c>
      <c r="DI70" s="154" t="s">
        <v>69</v>
      </c>
      <c r="DJ70" s="154" t="s">
        <v>69</v>
      </c>
      <c r="DK70" s="154" t="s">
        <v>69</v>
      </c>
      <c r="DL70" s="154" t="s">
        <v>69</v>
      </c>
      <c r="DM70" s="154" t="s">
        <v>69</v>
      </c>
      <c r="DN70" s="154" t="s">
        <v>69</v>
      </c>
      <c r="DO70" s="154" t="s">
        <v>69</v>
      </c>
      <c r="DP70" s="154" t="s">
        <v>69</v>
      </c>
      <c r="DQ70" s="154" t="s">
        <v>69</v>
      </c>
      <c r="DR70" s="154" t="s">
        <v>69</v>
      </c>
      <c r="DS70" s="154">
        <v>4</v>
      </c>
      <c r="DT70" s="168">
        <v>4</v>
      </c>
      <c r="DU70" s="110">
        <f t="shared" si="2"/>
        <v>9.6774193548387094E-2</v>
      </c>
      <c r="DV70" s="104">
        <f t="shared" si="3"/>
        <v>1</v>
      </c>
    </row>
    <row r="71" spans="1:126" ht="68.25" hidden="1" customHeight="1" thickBot="1">
      <c r="A71" s="218" t="s">
        <v>427</v>
      </c>
      <c r="B71" s="236" t="s">
        <v>373</v>
      </c>
      <c r="C71" s="239" t="s">
        <v>374</v>
      </c>
      <c r="D71" s="219" t="s">
        <v>607</v>
      </c>
      <c r="E71" s="220" t="s">
        <v>434</v>
      </c>
      <c r="F71" s="154" t="s">
        <v>69</v>
      </c>
      <c r="G71" s="154" t="s">
        <v>69</v>
      </c>
      <c r="H71" s="154" t="s">
        <v>69</v>
      </c>
      <c r="I71" s="154" t="s">
        <v>69</v>
      </c>
      <c r="J71" s="154" t="s">
        <v>69</v>
      </c>
      <c r="K71" s="154" t="s">
        <v>69</v>
      </c>
      <c r="L71" s="154" t="s">
        <v>69</v>
      </c>
      <c r="M71" s="154" t="s">
        <v>69</v>
      </c>
      <c r="N71" s="154" t="s">
        <v>69</v>
      </c>
      <c r="O71" s="154" t="s">
        <v>69</v>
      </c>
      <c r="P71" s="154" t="s">
        <v>69</v>
      </c>
      <c r="Q71" s="154" t="s">
        <v>69</v>
      </c>
      <c r="R71" s="154" t="s">
        <v>69</v>
      </c>
      <c r="S71" s="154" t="s">
        <v>69</v>
      </c>
      <c r="T71" s="165" t="s">
        <v>69</v>
      </c>
      <c r="U71" s="165" t="s">
        <v>69</v>
      </c>
      <c r="V71" s="154" t="s">
        <v>69</v>
      </c>
      <c r="W71" s="154" t="s">
        <v>69</v>
      </c>
      <c r="X71" s="154" t="s">
        <v>69</v>
      </c>
      <c r="Y71" s="154" t="s">
        <v>69</v>
      </c>
      <c r="Z71" s="154" t="s">
        <v>69</v>
      </c>
      <c r="AA71" s="154" t="s">
        <v>69</v>
      </c>
      <c r="AB71" s="154" t="s">
        <v>69</v>
      </c>
      <c r="AC71" s="154" t="s">
        <v>69</v>
      </c>
      <c r="AD71" s="154" t="s">
        <v>69</v>
      </c>
      <c r="AE71" s="154" t="s">
        <v>69</v>
      </c>
      <c r="AF71" s="154" t="s">
        <v>69</v>
      </c>
      <c r="AG71" s="154" t="s">
        <v>69</v>
      </c>
      <c r="AH71" s="154" t="s">
        <v>69</v>
      </c>
      <c r="AI71" s="154" t="s">
        <v>69</v>
      </c>
      <c r="AJ71" s="154" t="s">
        <v>69</v>
      </c>
      <c r="AK71" s="154" t="s">
        <v>69</v>
      </c>
      <c r="AL71" s="154" t="s">
        <v>69</v>
      </c>
      <c r="AM71" s="154" t="s">
        <v>69</v>
      </c>
      <c r="AN71" s="154" t="s">
        <v>69</v>
      </c>
      <c r="AO71" s="154" t="s">
        <v>69</v>
      </c>
      <c r="AP71" s="154" t="s">
        <v>69</v>
      </c>
      <c r="AQ71" s="154" t="s">
        <v>69</v>
      </c>
      <c r="AR71" s="154" t="s">
        <v>69</v>
      </c>
      <c r="AS71" s="154" t="s">
        <v>69</v>
      </c>
      <c r="AT71" s="154" t="s">
        <v>69</v>
      </c>
      <c r="AU71" s="154" t="s">
        <v>69</v>
      </c>
      <c r="AV71" s="154" t="s">
        <v>69</v>
      </c>
      <c r="AW71" s="154" t="s">
        <v>69</v>
      </c>
      <c r="AX71" s="154" t="s">
        <v>69</v>
      </c>
      <c r="AY71" s="154" t="s">
        <v>69</v>
      </c>
      <c r="AZ71" s="154" t="s">
        <v>69</v>
      </c>
      <c r="BA71" s="154" t="s">
        <v>69</v>
      </c>
      <c r="BB71" s="154" t="s">
        <v>69</v>
      </c>
      <c r="BC71" s="154" t="s">
        <v>69</v>
      </c>
      <c r="BD71" s="154">
        <v>2</v>
      </c>
      <c r="BE71" s="154">
        <v>4</v>
      </c>
      <c r="BF71" s="154" t="s">
        <v>69</v>
      </c>
      <c r="BG71" s="154" t="s">
        <v>69</v>
      </c>
      <c r="BH71" s="154" t="s">
        <v>69</v>
      </c>
      <c r="BI71" s="154" t="s">
        <v>69</v>
      </c>
      <c r="BJ71" s="154" t="s">
        <v>69</v>
      </c>
      <c r="BK71" s="154" t="s">
        <v>69</v>
      </c>
      <c r="BL71" s="154" t="s">
        <v>69</v>
      </c>
      <c r="BM71" s="154" t="s">
        <v>69</v>
      </c>
      <c r="BN71" s="154" t="s">
        <v>69</v>
      </c>
      <c r="BO71" s="154" t="s">
        <v>69</v>
      </c>
      <c r="BP71" s="154" t="s">
        <v>69</v>
      </c>
      <c r="BQ71" s="154" t="s">
        <v>69</v>
      </c>
      <c r="BR71" s="154" t="s">
        <v>69</v>
      </c>
      <c r="BS71" s="154" t="s">
        <v>69</v>
      </c>
      <c r="BT71" s="154">
        <v>4</v>
      </c>
      <c r="BU71" s="154" t="s">
        <v>69</v>
      </c>
      <c r="BV71" s="154" t="s">
        <v>69</v>
      </c>
      <c r="BW71" s="154" t="s">
        <v>69</v>
      </c>
      <c r="BX71" s="154" t="s">
        <v>69</v>
      </c>
      <c r="BY71" s="154" t="s">
        <v>69</v>
      </c>
      <c r="BZ71" s="154" t="s">
        <v>69</v>
      </c>
      <c r="CA71" s="154" t="s">
        <v>69</v>
      </c>
      <c r="CB71" s="154" t="s">
        <v>69</v>
      </c>
      <c r="CC71" s="154" t="s">
        <v>69</v>
      </c>
      <c r="CD71" s="154" t="s">
        <v>69</v>
      </c>
      <c r="CE71" s="154" t="s">
        <v>69</v>
      </c>
      <c r="CF71" s="154" t="s">
        <v>69</v>
      </c>
      <c r="CG71" s="154" t="s">
        <v>69</v>
      </c>
      <c r="CH71" s="154" t="s">
        <v>69</v>
      </c>
      <c r="CI71" s="154" t="s">
        <v>69</v>
      </c>
      <c r="CJ71" s="154" t="s">
        <v>69</v>
      </c>
      <c r="CK71" s="154" t="s">
        <v>69</v>
      </c>
      <c r="CL71" s="154" t="s">
        <v>69</v>
      </c>
      <c r="CM71" s="154" t="s">
        <v>69</v>
      </c>
      <c r="CN71" s="154" t="s">
        <v>69</v>
      </c>
      <c r="CO71" s="154" t="s">
        <v>69</v>
      </c>
      <c r="CP71" s="154" t="s">
        <v>69</v>
      </c>
      <c r="CQ71" s="154" t="s">
        <v>69</v>
      </c>
      <c r="CR71" s="154" t="s">
        <v>69</v>
      </c>
      <c r="CS71" s="154" t="s">
        <v>69</v>
      </c>
      <c r="CT71" s="154" t="s">
        <v>69</v>
      </c>
      <c r="CU71" s="154" t="s">
        <v>69</v>
      </c>
      <c r="CV71" s="154" t="s">
        <v>69</v>
      </c>
      <c r="CW71" s="154" t="s">
        <v>69</v>
      </c>
      <c r="CX71" s="154" t="s">
        <v>69</v>
      </c>
      <c r="CY71" s="154" t="s">
        <v>69</v>
      </c>
      <c r="CZ71" s="154" t="s">
        <v>69</v>
      </c>
      <c r="DA71" s="154" t="s">
        <v>69</v>
      </c>
      <c r="DB71" s="154" t="s">
        <v>69</v>
      </c>
      <c r="DC71" s="154" t="s">
        <v>69</v>
      </c>
      <c r="DD71" s="154" t="s">
        <v>69</v>
      </c>
      <c r="DE71" s="154" t="s">
        <v>69</v>
      </c>
      <c r="DF71" s="154" t="s">
        <v>69</v>
      </c>
      <c r="DG71" s="154" t="s">
        <v>69</v>
      </c>
      <c r="DH71" s="154" t="s">
        <v>69</v>
      </c>
      <c r="DI71" s="154" t="s">
        <v>69</v>
      </c>
      <c r="DJ71" s="154" t="s">
        <v>69</v>
      </c>
      <c r="DK71" s="154" t="s">
        <v>69</v>
      </c>
      <c r="DL71" s="154" t="s">
        <v>69</v>
      </c>
      <c r="DM71" s="154" t="s">
        <v>69</v>
      </c>
      <c r="DN71" s="154" t="s">
        <v>69</v>
      </c>
      <c r="DO71" s="154" t="s">
        <v>69</v>
      </c>
      <c r="DP71" s="154" t="s">
        <v>69</v>
      </c>
      <c r="DQ71" s="154" t="s">
        <v>69</v>
      </c>
      <c r="DR71" s="154" t="s">
        <v>69</v>
      </c>
      <c r="DS71" s="154">
        <v>4</v>
      </c>
      <c r="DT71" s="168">
        <v>3</v>
      </c>
      <c r="DU71" s="110">
        <f t="shared" si="2"/>
        <v>8.0645161290322578E-2</v>
      </c>
      <c r="DV71" s="104">
        <f t="shared" si="3"/>
        <v>0.8</v>
      </c>
    </row>
    <row r="72" spans="1:126" ht="68.25" hidden="1" customHeight="1" thickBot="1">
      <c r="A72" s="218" t="s">
        <v>302</v>
      </c>
      <c r="B72" s="236" t="s">
        <v>109</v>
      </c>
      <c r="C72" s="239" t="s">
        <v>308</v>
      </c>
      <c r="D72" s="219" t="s">
        <v>621</v>
      </c>
      <c r="E72" s="220" t="s">
        <v>434</v>
      </c>
      <c r="F72" s="167">
        <v>4</v>
      </c>
      <c r="G72" s="154" t="s">
        <v>69</v>
      </c>
      <c r="H72" s="154" t="s">
        <v>69</v>
      </c>
      <c r="I72" s="154" t="s">
        <v>69</v>
      </c>
      <c r="J72" s="154" t="s">
        <v>69</v>
      </c>
      <c r="K72" s="154" t="s">
        <v>69</v>
      </c>
      <c r="L72" s="154" t="s">
        <v>69</v>
      </c>
      <c r="M72" s="154" t="s">
        <v>69</v>
      </c>
      <c r="N72" s="154" t="s">
        <v>69</v>
      </c>
      <c r="O72" s="154" t="s">
        <v>69</v>
      </c>
      <c r="P72" s="154" t="s">
        <v>69</v>
      </c>
      <c r="Q72" s="154" t="s">
        <v>69</v>
      </c>
      <c r="R72" s="154" t="s">
        <v>69</v>
      </c>
      <c r="S72" s="154" t="s">
        <v>69</v>
      </c>
      <c r="T72" s="165" t="s">
        <v>69</v>
      </c>
      <c r="U72" s="165" t="s">
        <v>69</v>
      </c>
      <c r="V72" s="154" t="s">
        <v>69</v>
      </c>
      <c r="W72" s="154" t="s">
        <v>69</v>
      </c>
      <c r="X72" s="154" t="s">
        <v>69</v>
      </c>
      <c r="Y72" s="154" t="s">
        <v>69</v>
      </c>
      <c r="Z72" s="154" t="s">
        <v>69</v>
      </c>
      <c r="AA72" s="154" t="s">
        <v>69</v>
      </c>
      <c r="AB72" s="154" t="s">
        <v>69</v>
      </c>
      <c r="AC72" s="154" t="s">
        <v>69</v>
      </c>
      <c r="AD72" s="154" t="s">
        <v>69</v>
      </c>
      <c r="AE72" s="154" t="s">
        <v>69</v>
      </c>
      <c r="AF72" s="154" t="s">
        <v>69</v>
      </c>
      <c r="AG72" s="154" t="s">
        <v>69</v>
      </c>
      <c r="AH72" s="154" t="s">
        <v>69</v>
      </c>
      <c r="AI72" s="154" t="s">
        <v>69</v>
      </c>
      <c r="AJ72" s="154" t="s">
        <v>69</v>
      </c>
      <c r="AK72" s="154" t="s">
        <v>69</v>
      </c>
      <c r="AL72" s="154" t="s">
        <v>69</v>
      </c>
      <c r="AM72" s="154" t="s">
        <v>69</v>
      </c>
      <c r="AN72" s="154" t="s">
        <v>69</v>
      </c>
      <c r="AO72" s="154" t="s">
        <v>69</v>
      </c>
      <c r="AP72" s="154">
        <v>2</v>
      </c>
      <c r="AQ72" s="154" t="s">
        <v>69</v>
      </c>
      <c r="AR72" s="154" t="s">
        <v>69</v>
      </c>
      <c r="AS72" s="154">
        <v>3</v>
      </c>
      <c r="AT72" s="154" t="s">
        <v>69</v>
      </c>
      <c r="AU72" s="154" t="s">
        <v>69</v>
      </c>
      <c r="AV72" s="154">
        <v>3</v>
      </c>
      <c r="AW72" s="154" t="s">
        <v>69</v>
      </c>
      <c r="AX72" s="154" t="s">
        <v>69</v>
      </c>
      <c r="AY72" s="154" t="s">
        <v>69</v>
      </c>
      <c r="AZ72" s="154" t="s">
        <v>69</v>
      </c>
      <c r="BA72" s="154" t="s">
        <v>69</v>
      </c>
      <c r="BB72" s="154" t="s">
        <v>69</v>
      </c>
      <c r="BC72" s="154" t="s">
        <v>69</v>
      </c>
      <c r="BD72" s="154" t="s">
        <v>69</v>
      </c>
      <c r="BE72" s="154">
        <v>4</v>
      </c>
      <c r="BF72" s="154">
        <v>4</v>
      </c>
      <c r="BG72" s="154" t="s">
        <v>69</v>
      </c>
      <c r="BH72" s="154" t="s">
        <v>69</v>
      </c>
      <c r="BI72" s="154" t="s">
        <v>69</v>
      </c>
      <c r="BJ72" s="154" t="s">
        <v>69</v>
      </c>
      <c r="BK72" s="154" t="s">
        <v>69</v>
      </c>
      <c r="BL72" s="154" t="s">
        <v>69</v>
      </c>
      <c r="BM72" s="154" t="s">
        <v>69</v>
      </c>
      <c r="BN72" s="154" t="s">
        <v>69</v>
      </c>
      <c r="BO72" s="154" t="s">
        <v>69</v>
      </c>
      <c r="BP72" s="154" t="s">
        <v>69</v>
      </c>
      <c r="BQ72" s="154" t="s">
        <v>69</v>
      </c>
      <c r="BR72" s="154">
        <v>4</v>
      </c>
      <c r="BS72" s="154" t="s">
        <v>69</v>
      </c>
      <c r="BT72" s="154" t="s">
        <v>69</v>
      </c>
      <c r="BU72" s="154" t="s">
        <v>69</v>
      </c>
      <c r="BV72" s="154" t="s">
        <v>69</v>
      </c>
      <c r="BW72" s="154" t="s">
        <v>69</v>
      </c>
      <c r="BX72" s="154" t="s">
        <v>69</v>
      </c>
      <c r="BY72" s="154" t="s">
        <v>69</v>
      </c>
      <c r="BZ72" s="154">
        <v>4</v>
      </c>
      <c r="CA72" s="154" t="s">
        <v>69</v>
      </c>
      <c r="CB72" s="154" t="s">
        <v>69</v>
      </c>
      <c r="CC72" s="154" t="s">
        <v>69</v>
      </c>
      <c r="CD72" s="154" t="s">
        <v>69</v>
      </c>
      <c r="CE72" s="154" t="s">
        <v>69</v>
      </c>
      <c r="CF72" s="154" t="s">
        <v>69</v>
      </c>
      <c r="CG72" s="154">
        <v>4</v>
      </c>
      <c r="CH72" s="154" t="s">
        <v>69</v>
      </c>
      <c r="CI72" s="154" t="s">
        <v>69</v>
      </c>
      <c r="CJ72" s="154" t="s">
        <v>69</v>
      </c>
      <c r="CK72" s="154" t="s">
        <v>69</v>
      </c>
      <c r="CL72" s="154" t="s">
        <v>69</v>
      </c>
      <c r="CM72" s="154" t="s">
        <v>69</v>
      </c>
      <c r="CN72" s="154" t="s">
        <v>69</v>
      </c>
      <c r="CO72" s="154" t="s">
        <v>69</v>
      </c>
      <c r="CP72" s="154" t="s">
        <v>69</v>
      </c>
      <c r="CQ72" s="154" t="s">
        <v>69</v>
      </c>
      <c r="CR72" s="154" t="s">
        <v>69</v>
      </c>
      <c r="CS72" s="154" t="s">
        <v>69</v>
      </c>
      <c r="CT72" s="154" t="s">
        <v>69</v>
      </c>
      <c r="CU72" s="154" t="s">
        <v>69</v>
      </c>
      <c r="CV72" s="154" t="s">
        <v>69</v>
      </c>
      <c r="CW72" s="154" t="s">
        <v>69</v>
      </c>
      <c r="CX72" s="154" t="s">
        <v>69</v>
      </c>
      <c r="CY72" s="154" t="s">
        <v>69</v>
      </c>
      <c r="CZ72" s="154" t="s">
        <v>69</v>
      </c>
      <c r="DA72" s="154" t="s">
        <v>69</v>
      </c>
      <c r="DB72" s="154" t="s">
        <v>69</v>
      </c>
      <c r="DC72" s="154" t="s">
        <v>69</v>
      </c>
      <c r="DD72" s="154" t="s">
        <v>69</v>
      </c>
      <c r="DE72" s="154" t="s">
        <v>69</v>
      </c>
      <c r="DF72" s="154" t="s">
        <v>69</v>
      </c>
      <c r="DG72" s="154" t="s">
        <v>69</v>
      </c>
      <c r="DH72" s="154" t="s">
        <v>69</v>
      </c>
      <c r="DI72" s="154" t="s">
        <v>69</v>
      </c>
      <c r="DJ72" s="154" t="s">
        <v>69</v>
      </c>
      <c r="DK72" s="154">
        <v>2</v>
      </c>
      <c r="DL72" s="154" t="s">
        <v>69</v>
      </c>
      <c r="DM72" s="154" t="s">
        <v>69</v>
      </c>
      <c r="DN72" s="154" t="s">
        <v>69</v>
      </c>
      <c r="DO72" s="154" t="s">
        <v>69</v>
      </c>
      <c r="DP72" s="154" t="s">
        <v>69</v>
      </c>
      <c r="DQ72" s="154" t="s">
        <v>69</v>
      </c>
      <c r="DR72" s="154">
        <v>3</v>
      </c>
      <c r="DS72" s="154" t="s">
        <v>69</v>
      </c>
      <c r="DT72" s="168">
        <v>3</v>
      </c>
      <c r="DU72" s="110">
        <f t="shared" si="2"/>
        <v>0.19354838709677419</v>
      </c>
      <c r="DV72" s="104">
        <f t="shared" si="3"/>
        <v>0.83333333333333337</v>
      </c>
    </row>
    <row r="73" spans="1:126" ht="68.25" hidden="1" customHeight="1" thickBot="1">
      <c r="A73" s="218" t="s">
        <v>327</v>
      </c>
      <c r="B73" s="236" t="s">
        <v>107</v>
      </c>
      <c r="C73" s="239" t="s">
        <v>370</v>
      </c>
      <c r="D73" s="219">
        <v>44690</v>
      </c>
      <c r="E73" s="220" t="s">
        <v>434</v>
      </c>
      <c r="F73" s="167">
        <v>4</v>
      </c>
      <c r="G73" s="154" t="s">
        <v>69</v>
      </c>
      <c r="H73" s="154" t="s">
        <v>69</v>
      </c>
      <c r="I73" s="154" t="s">
        <v>69</v>
      </c>
      <c r="J73" s="154" t="s">
        <v>69</v>
      </c>
      <c r="K73" s="154" t="s">
        <v>69</v>
      </c>
      <c r="L73" s="154" t="s">
        <v>69</v>
      </c>
      <c r="M73" s="154" t="s">
        <v>69</v>
      </c>
      <c r="N73" s="154" t="s">
        <v>69</v>
      </c>
      <c r="O73" s="154" t="s">
        <v>69</v>
      </c>
      <c r="P73" s="154" t="s">
        <v>69</v>
      </c>
      <c r="Q73" s="154" t="s">
        <v>69</v>
      </c>
      <c r="R73" s="154" t="s">
        <v>69</v>
      </c>
      <c r="S73" s="154" t="s">
        <v>69</v>
      </c>
      <c r="T73" s="165" t="s">
        <v>69</v>
      </c>
      <c r="U73" s="165" t="s">
        <v>69</v>
      </c>
      <c r="V73" s="154" t="s">
        <v>69</v>
      </c>
      <c r="W73" s="154" t="s">
        <v>69</v>
      </c>
      <c r="X73" s="154" t="s">
        <v>69</v>
      </c>
      <c r="Y73" s="154" t="s">
        <v>69</v>
      </c>
      <c r="Z73" s="154" t="s">
        <v>69</v>
      </c>
      <c r="AA73" s="154" t="s">
        <v>69</v>
      </c>
      <c r="AB73" s="154" t="s">
        <v>69</v>
      </c>
      <c r="AC73" s="154">
        <v>3</v>
      </c>
      <c r="AD73" s="154" t="s">
        <v>69</v>
      </c>
      <c r="AE73" s="154" t="s">
        <v>69</v>
      </c>
      <c r="AF73" s="154" t="s">
        <v>69</v>
      </c>
      <c r="AG73" s="154" t="s">
        <v>69</v>
      </c>
      <c r="AH73" s="154" t="s">
        <v>69</v>
      </c>
      <c r="AI73" s="154" t="s">
        <v>69</v>
      </c>
      <c r="AJ73" s="154" t="s">
        <v>69</v>
      </c>
      <c r="AK73" s="154" t="s">
        <v>69</v>
      </c>
      <c r="AL73" s="154" t="s">
        <v>69</v>
      </c>
      <c r="AM73" s="154" t="s">
        <v>69</v>
      </c>
      <c r="AN73" s="154" t="s">
        <v>69</v>
      </c>
      <c r="AO73" s="154" t="s">
        <v>69</v>
      </c>
      <c r="AP73" s="154" t="s">
        <v>69</v>
      </c>
      <c r="AQ73" s="154" t="s">
        <v>69</v>
      </c>
      <c r="AR73" s="154" t="s">
        <v>69</v>
      </c>
      <c r="AS73" s="154" t="s">
        <v>69</v>
      </c>
      <c r="AT73" s="154" t="s">
        <v>69</v>
      </c>
      <c r="AU73" s="154">
        <v>3</v>
      </c>
      <c r="AV73" s="154" t="s">
        <v>69</v>
      </c>
      <c r="AW73" s="154" t="s">
        <v>69</v>
      </c>
      <c r="AX73" s="154">
        <v>3</v>
      </c>
      <c r="AY73" s="154" t="s">
        <v>69</v>
      </c>
      <c r="AZ73" s="154" t="s">
        <v>69</v>
      </c>
      <c r="BA73" s="154" t="s">
        <v>69</v>
      </c>
      <c r="BB73" s="154" t="s">
        <v>69</v>
      </c>
      <c r="BC73" s="154" t="s">
        <v>69</v>
      </c>
      <c r="BD73" s="154" t="s">
        <v>69</v>
      </c>
      <c r="BE73" s="154" t="s">
        <v>69</v>
      </c>
      <c r="BF73" s="154" t="s">
        <v>69</v>
      </c>
      <c r="BG73" s="154" t="s">
        <v>69</v>
      </c>
      <c r="BH73" s="154" t="s">
        <v>69</v>
      </c>
      <c r="BI73" s="154" t="s">
        <v>69</v>
      </c>
      <c r="BJ73" s="154" t="s">
        <v>69</v>
      </c>
      <c r="BK73" s="154" t="s">
        <v>69</v>
      </c>
      <c r="BL73" s="154" t="s">
        <v>69</v>
      </c>
      <c r="BM73" s="154" t="s">
        <v>69</v>
      </c>
      <c r="BN73" s="154" t="s">
        <v>69</v>
      </c>
      <c r="BO73" s="154" t="s">
        <v>69</v>
      </c>
      <c r="BP73" s="154" t="s">
        <v>69</v>
      </c>
      <c r="BQ73" s="154" t="s">
        <v>69</v>
      </c>
      <c r="BR73" s="154" t="s">
        <v>69</v>
      </c>
      <c r="BS73" s="154" t="s">
        <v>69</v>
      </c>
      <c r="BT73" s="154" t="s">
        <v>69</v>
      </c>
      <c r="BU73" s="154" t="s">
        <v>69</v>
      </c>
      <c r="BV73" s="154" t="s">
        <v>69</v>
      </c>
      <c r="BW73" s="154" t="s">
        <v>69</v>
      </c>
      <c r="BX73" s="154" t="s">
        <v>69</v>
      </c>
      <c r="BY73" s="154" t="s">
        <v>69</v>
      </c>
      <c r="BZ73" s="154" t="s">
        <v>69</v>
      </c>
      <c r="CA73" s="154">
        <v>2</v>
      </c>
      <c r="CB73" s="154">
        <v>3</v>
      </c>
      <c r="CC73" s="154" t="s">
        <v>69</v>
      </c>
      <c r="CD73" s="154" t="s">
        <v>69</v>
      </c>
      <c r="CE73" s="154" t="s">
        <v>69</v>
      </c>
      <c r="CF73" s="154" t="s">
        <v>69</v>
      </c>
      <c r="CG73" s="154" t="s">
        <v>69</v>
      </c>
      <c r="CH73" s="154" t="s">
        <v>69</v>
      </c>
      <c r="CI73" s="154" t="s">
        <v>69</v>
      </c>
      <c r="CJ73" s="154" t="s">
        <v>69</v>
      </c>
      <c r="CK73" s="154" t="s">
        <v>69</v>
      </c>
      <c r="CL73" s="154" t="s">
        <v>69</v>
      </c>
      <c r="CM73" s="154" t="s">
        <v>69</v>
      </c>
      <c r="CN73" s="154" t="s">
        <v>69</v>
      </c>
      <c r="CO73" s="154" t="s">
        <v>69</v>
      </c>
      <c r="CP73" s="154">
        <v>3</v>
      </c>
      <c r="CQ73" s="154" t="s">
        <v>69</v>
      </c>
      <c r="CR73" s="154" t="s">
        <v>69</v>
      </c>
      <c r="CS73" s="154" t="s">
        <v>69</v>
      </c>
      <c r="CT73" s="154">
        <v>3</v>
      </c>
      <c r="CU73" s="154" t="s">
        <v>69</v>
      </c>
      <c r="CV73" s="154" t="s">
        <v>69</v>
      </c>
      <c r="CW73" s="154" t="s">
        <v>69</v>
      </c>
      <c r="CX73" s="154" t="s">
        <v>69</v>
      </c>
      <c r="CY73" s="154" t="s">
        <v>69</v>
      </c>
      <c r="CZ73" s="154" t="s">
        <v>69</v>
      </c>
      <c r="DA73" s="154" t="s">
        <v>69</v>
      </c>
      <c r="DB73" s="154" t="s">
        <v>69</v>
      </c>
      <c r="DC73" s="154" t="s">
        <v>69</v>
      </c>
      <c r="DD73" s="154" t="s">
        <v>69</v>
      </c>
      <c r="DE73" s="154" t="s">
        <v>69</v>
      </c>
      <c r="DF73" s="154" t="s">
        <v>69</v>
      </c>
      <c r="DG73" s="154" t="s">
        <v>69</v>
      </c>
      <c r="DH73" s="154" t="s">
        <v>69</v>
      </c>
      <c r="DI73" s="154" t="s">
        <v>69</v>
      </c>
      <c r="DJ73" s="154" t="s">
        <v>69</v>
      </c>
      <c r="DK73" s="154" t="s">
        <v>69</v>
      </c>
      <c r="DL73" s="154" t="s">
        <v>69</v>
      </c>
      <c r="DM73" s="154" t="s">
        <v>69</v>
      </c>
      <c r="DN73" s="154" t="s">
        <v>69</v>
      </c>
      <c r="DO73" s="154" t="s">
        <v>69</v>
      </c>
      <c r="DP73" s="154" t="s">
        <v>69</v>
      </c>
      <c r="DQ73" s="154" t="s">
        <v>69</v>
      </c>
      <c r="DR73" s="154">
        <v>3</v>
      </c>
      <c r="DS73" s="154" t="s">
        <v>69</v>
      </c>
      <c r="DT73" s="168">
        <v>4</v>
      </c>
      <c r="DU73" s="110">
        <f t="shared" si="2"/>
        <v>0.16129032258064516</v>
      </c>
      <c r="DV73" s="104">
        <f t="shared" si="3"/>
        <v>0.9</v>
      </c>
    </row>
    <row r="74" spans="1:126" ht="68.25" hidden="1" customHeight="1" thickBot="1">
      <c r="A74" s="218" t="s">
        <v>351</v>
      </c>
      <c r="B74" s="236" t="s">
        <v>99</v>
      </c>
      <c r="C74" s="239" t="s">
        <v>431</v>
      </c>
      <c r="D74" s="219">
        <v>44958</v>
      </c>
      <c r="E74" s="220" t="s">
        <v>434</v>
      </c>
      <c r="F74" s="167">
        <v>4</v>
      </c>
      <c r="G74" s="154" t="s">
        <v>69</v>
      </c>
      <c r="H74" s="154" t="s">
        <v>69</v>
      </c>
      <c r="I74" s="154" t="s">
        <v>69</v>
      </c>
      <c r="J74" s="154" t="s">
        <v>69</v>
      </c>
      <c r="K74" s="154" t="s">
        <v>69</v>
      </c>
      <c r="L74" s="154" t="s">
        <v>69</v>
      </c>
      <c r="M74" s="154" t="s">
        <v>69</v>
      </c>
      <c r="N74" s="154" t="s">
        <v>69</v>
      </c>
      <c r="O74" s="154" t="s">
        <v>69</v>
      </c>
      <c r="P74" s="154" t="s">
        <v>69</v>
      </c>
      <c r="Q74" s="154" t="s">
        <v>69</v>
      </c>
      <c r="R74" s="154" t="s">
        <v>69</v>
      </c>
      <c r="S74" s="154" t="s">
        <v>69</v>
      </c>
      <c r="T74" s="165" t="s">
        <v>69</v>
      </c>
      <c r="U74" s="165" t="s">
        <v>69</v>
      </c>
      <c r="V74" s="154" t="s">
        <v>69</v>
      </c>
      <c r="W74" s="154" t="s">
        <v>69</v>
      </c>
      <c r="X74" s="154" t="s">
        <v>69</v>
      </c>
      <c r="Y74" s="154" t="s">
        <v>69</v>
      </c>
      <c r="Z74" s="154" t="s">
        <v>69</v>
      </c>
      <c r="AA74" s="154" t="s">
        <v>69</v>
      </c>
      <c r="AB74" s="154" t="s">
        <v>69</v>
      </c>
      <c r="AC74" s="154" t="s">
        <v>69</v>
      </c>
      <c r="AD74" s="154" t="s">
        <v>69</v>
      </c>
      <c r="AE74" s="154" t="s">
        <v>69</v>
      </c>
      <c r="AF74" s="154" t="s">
        <v>69</v>
      </c>
      <c r="AG74" s="154" t="s">
        <v>69</v>
      </c>
      <c r="AH74" s="154" t="s">
        <v>69</v>
      </c>
      <c r="AI74" s="154" t="s">
        <v>69</v>
      </c>
      <c r="AJ74" s="154" t="s">
        <v>69</v>
      </c>
      <c r="AK74" s="154" t="s">
        <v>69</v>
      </c>
      <c r="AL74" s="154" t="s">
        <v>69</v>
      </c>
      <c r="AM74" s="154" t="s">
        <v>69</v>
      </c>
      <c r="AN74" s="154" t="s">
        <v>69</v>
      </c>
      <c r="AO74" s="154" t="s">
        <v>69</v>
      </c>
      <c r="AP74" s="154" t="s">
        <v>69</v>
      </c>
      <c r="AQ74" s="154" t="s">
        <v>69</v>
      </c>
      <c r="AR74" s="154" t="s">
        <v>69</v>
      </c>
      <c r="AS74" s="154" t="s">
        <v>69</v>
      </c>
      <c r="AT74" s="154" t="s">
        <v>69</v>
      </c>
      <c r="AU74" s="154" t="s">
        <v>69</v>
      </c>
      <c r="AV74" s="154" t="s">
        <v>69</v>
      </c>
      <c r="AW74" s="154" t="s">
        <v>69</v>
      </c>
      <c r="AX74" s="154" t="s">
        <v>69</v>
      </c>
      <c r="AY74" s="154" t="s">
        <v>69</v>
      </c>
      <c r="AZ74" s="154" t="s">
        <v>69</v>
      </c>
      <c r="BA74" s="154" t="s">
        <v>69</v>
      </c>
      <c r="BB74" s="154" t="s">
        <v>69</v>
      </c>
      <c r="BC74" s="154" t="s">
        <v>69</v>
      </c>
      <c r="BD74" s="154">
        <v>3</v>
      </c>
      <c r="BE74" s="154" t="s">
        <v>69</v>
      </c>
      <c r="BF74" s="154" t="s">
        <v>69</v>
      </c>
      <c r="BG74" s="154" t="s">
        <v>69</v>
      </c>
      <c r="BH74" s="154" t="s">
        <v>69</v>
      </c>
      <c r="BI74" s="154" t="s">
        <v>69</v>
      </c>
      <c r="BJ74" s="154" t="s">
        <v>69</v>
      </c>
      <c r="BK74" s="154" t="s">
        <v>69</v>
      </c>
      <c r="BL74" s="154" t="s">
        <v>69</v>
      </c>
      <c r="BM74" s="154" t="s">
        <v>69</v>
      </c>
      <c r="BN74" s="154" t="s">
        <v>69</v>
      </c>
      <c r="BO74" s="154" t="s">
        <v>69</v>
      </c>
      <c r="BP74" s="154" t="s">
        <v>69</v>
      </c>
      <c r="BQ74" s="154" t="s">
        <v>69</v>
      </c>
      <c r="BR74" s="154" t="s">
        <v>69</v>
      </c>
      <c r="BS74" s="154" t="s">
        <v>69</v>
      </c>
      <c r="BT74" s="154" t="s">
        <v>69</v>
      </c>
      <c r="BU74" s="154" t="s">
        <v>69</v>
      </c>
      <c r="BV74" s="154" t="s">
        <v>69</v>
      </c>
      <c r="BW74" s="154" t="s">
        <v>69</v>
      </c>
      <c r="BX74" s="154" t="s">
        <v>69</v>
      </c>
      <c r="BY74" s="154" t="s">
        <v>69</v>
      </c>
      <c r="BZ74" s="154" t="s">
        <v>69</v>
      </c>
      <c r="CA74" s="154" t="s">
        <v>69</v>
      </c>
      <c r="CB74" s="154" t="s">
        <v>69</v>
      </c>
      <c r="CC74" s="154" t="s">
        <v>69</v>
      </c>
      <c r="CD74" s="154" t="s">
        <v>69</v>
      </c>
      <c r="CE74" s="154" t="s">
        <v>69</v>
      </c>
      <c r="CF74" s="154" t="s">
        <v>69</v>
      </c>
      <c r="CG74" s="154" t="s">
        <v>69</v>
      </c>
      <c r="CH74" s="154" t="s">
        <v>69</v>
      </c>
      <c r="CI74" s="154" t="s">
        <v>69</v>
      </c>
      <c r="CJ74" s="154" t="s">
        <v>69</v>
      </c>
      <c r="CK74" s="154" t="s">
        <v>69</v>
      </c>
      <c r="CL74" s="154" t="s">
        <v>69</v>
      </c>
      <c r="CM74" s="154" t="s">
        <v>69</v>
      </c>
      <c r="CN74" s="154" t="s">
        <v>69</v>
      </c>
      <c r="CO74" s="154" t="s">
        <v>69</v>
      </c>
      <c r="CP74" s="154" t="s">
        <v>69</v>
      </c>
      <c r="CQ74" s="154" t="s">
        <v>69</v>
      </c>
      <c r="CR74" s="154" t="s">
        <v>69</v>
      </c>
      <c r="CS74" s="154" t="s">
        <v>69</v>
      </c>
      <c r="CT74" s="154" t="s">
        <v>69</v>
      </c>
      <c r="CU74" s="154" t="s">
        <v>69</v>
      </c>
      <c r="CV74" s="154" t="s">
        <v>69</v>
      </c>
      <c r="CW74" s="154" t="s">
        <v>69</v>
      </c>
      <c r="CX74" s="154" t="s">
        <v>69</v>
      </c>
      <c r="CY74" s="154" t="s">
        <v>69</v>
      </c>
      <c r="CZ74" s="154" t="s">
        <v>69</v>
      </c>
      <c r="DA74" s="154" t="s">
        <v>69</v>
      </c>
      <c r="DB74" s="154" t="s">
        <v>69</v>
      </c>
      <c r="DC74" s="154">
        <v>2</v>
      </c>
      <c r="DD74" s="154" t="s">
        <v>69</v>
      </c>
      <c r="DE74" s="154" t="s">
        <v>69</v>
      </c>
      <c r="DF74" s="154" t="s">
        <v>69</v>
      </c>
      <c r="DG74" s="154" t="s">
        <v>69</v>
      </c>
      <c r="DH74" s="154" t="s">
        <v>69</v>
      </c>
      <c r="DI74" s="154" t="s">
        <v>69</v>
      </c>
      <c r="DJ74" s="154" t="s">
        <v>69</v>
      </c>
      <c r="DK74" s="154">
        <v>2</v>
      </c>
      <c r="DL74" s="154" t="s">
        <v>69</v>
      </c>
      <c r="DM74" s="154" t="s">
        <v>69</v>
      </c>
      <c r="DN74" s="154" t="s">
        <v>69</v>
      </c>
      <c r="DO74" s="154" t="s">
        <v>69</v>
      </c>
      <c r="DP74" s="154" t="s">
        <v>69</v>
      </c>
      <c r="DQ74" s="154" t="s">
        <v>69</v>
      </c>
      <c r="DR74" s="154">
        <v>3</v>
      </c>
      <c r="DS74" s="154" t="s">
        <v>69</v>
      </c>
      <c r="DT74" s="168">
        <v>4</v>
      </c>
      <c r="DU74" s="110">
        <f t="shared" si="2"/>
        <v>9.6774193548387094E-2</v>
      </c>
      <c r="DV74" s="104">
        <f t="shared" si="3"/>
        <v>0.66666666666666663</v>
      </c>
    </row>
    <row r="75" spans="1:126" ht="68.25" hidden="1" customHeight="1" thickBot="1">
      <c r="A75" s="218" t="s">
        <v>469</v>
      </c>
      <c r="B75" s="236" t="s">
        <v>467</v>
      </c>
      <c r="C75" s="239" t="s">
        <v>98</v>
      </c>
      <c r="D75" s="219">
        <v>45265</v>
      </c>
      <c r="E75" s="220" t="s">
        <v>434</v>
      </c>
      <c r="F75" s="154" t="s">
        <v>69</v>
      </c>
      <c r="G75" s="154" t="s">
        <v>69</v>
      </c>
      <c r="H75" s="154" t="s">
        <v>69</v>
      </c>
      <c r="I75" s="154" t="s">
        <v>69</v>
      </c>
      <c r="J75" s="154" t="s">
        <v>69</v>
      </c>
      <c r="K75" s="154" t="s">
        <v>69</v>
      </c>
      <c r="L75" s="154" t="s">
        <v>69</v>
      </c>
      <c r="M75" s="154" t="s">
        <v>69</v>
      </c>
      <c r="N75" s="154" t="s">
        <v>69</v>
      </c>
      <c r="O75" s="154" t="s">
        <v>69</v>
      </c>
      <c r="P75" s="154" t="s">
        <v>69</v>
      </c>
      <c r="Q75" s="154" t="s">
        <v>69</v>
      </c>
      <c r="R75" s="154" t="s">
        <v>69</v>
      </c>
      <c r="S75" s="154" t="s">
        <v>69</v>
      </c>
      <c r="T75" s="165" t="s">
        <v>69</v>
      </c>
      <c r="U75" s="165" t="s">
        <v>69</v>
      </c>
      <c r="V75" s="154" t="s">
        <v>69</v>
      </c>
      <c r="W75" s="154" t="s">
        <v>69</v>
      </c>
      <c r="X75" s="154" t="s">
        <v>69</v>
      </c>
      <c r="Y75" s="154" t="s">
        <v>69</v>
      </c>
      <c r="Z75" s="154" t="s">
        <v>69</v>
      </c>
      <c r="AA75" s="154" t="s">
        <v>69</v>
      </c>
      <c r="AB75" s="154" t="s">
        <v>69</v>
      </c>
      <c r="AC75" s="154" t="s">
        <v>69</v>
      </c>
      <c r="AD75" s="154" t="s">
        <v>69</v>
      </c>
      <c r="AE75" s="154" t="s">
        <v>69</v>
      </c>
      <c r="AF75" s="154" t="s">
        <v>69</v>
      </c>
      <c r="AG75" s="154" t="s">
        <v>69</v>
      </c>
      <c r="AH75" s="154" t="s">
        <v>69</v>
      </c>
      <c r="AI75" s="154" t="s">
        <v>69</v>
      </c>
      <c r="AJ75" s="154" t="s">
        <v>69</v>
      </c>
      <c r="AK75" s="154" t="s">
        <v>69</v>
      </c>
      <c r="AL75" s="154" t="s">
        <v>69</v>
      </c>
      <c r="AM75" s="154" t="s">
        <v>69</v>
      </c>
      <c r="AN75" s="154" t="s">
        <v>69</v>
      </c>
      <c r="AO75" s="154" t="s">
        <v>69</v>
      </c>
      <c r="AP75" s="154">
        <v>4</v>
      </c>
      <c r="AQ75" s="154" t="s">
        <v>69</v>
      </c>
      <c r="AR75" s="154" t="s">
        <v>69</v>
      </c>
      <c r="AS75" s="154" t="s">
        <v>69</v>
      </c>
      <c r="AT75" s="154" t="s">
        <v>69</v>
      </c>
      <c r="AU75" s="154" t="s">
        <v>69</v>
      </c>
      <c r="AV75" s="154" t="s">
        <v>69</v>
      </c>
      <c r="AW75" s="154" t="s">
        <v>69</v>
      </c>
      <c r="AX75" s="154" t="s">
        <v>69</v>
      </c>
      <c r="AY75" s="154" t="s">
        <v>69</v>
      </c>
      <c r="AZ75" s="154" t="s">
        <v>69</v>
      </c>
      <c r="BA75" s="154" t="s">
        <v>69</v>
      </c>
      <c r="BB75" s="154" t="s">
        <v>69</v>
      </c>
      <c r="BC75" s="154" t="s">
        <v>69</v>
      </c>
      <c r="BD75" s="154">
        <v>2</v>
      </c>
      <c r="BE75" s="154" t="s">
        <v>69</v>
      </c>
      <c r="BF75" s="154" t="s">
        <v>69</v>
      </c>
      <c r="BG75" s="154" t="s">
        <v>69</v>
      </c>
      <c r="BH75" s="154" t="s">
        <v>69</v>
      </c>
      <c r="BI75" s="154" t="s">
        <v>69</v>
      </c>
      <c r="BJ75" s="154" t="s">
        <v>69</v>
      </c>
      <c r="BK75" s="154" t="s">
        <v>69</v>
      </c>
      <c r="BL75" s="154" t="s">
        <v>69</v>
      </c>
      <c r="BM75" s="154" t="s">
        <v>69</v>
      </c>
      <c r="BN75" s="154" t="s">
        <v>69</v>
      </c>
      <c r="BO75" s="154" t="s">
        <v>69</v>
      </c>
      <c r="BP75" s="154" t="s">
        <v>69</v>
      </c>
      <c r="BQ75" s="154" t="s">
        <v>69</v>
      </c>
      <c r="BR75" s="154">
        <v>4</v>
      </c>
      <c r="BS75" s="154" t="s">
        <v>69</v>
      </c>
      <c r="BT75" s="154" t="s">
        <v>69</v>
      </c>
      <c r="BU75" s="154" t="s">
        <v>69</v>
      </c>
      <c r="BV75" s="154" t="s">
        <v>69</v>
      </c>
      <c r="BW75" s="154" t="s">
        <v>69</v>
      </c>
      <c r="BX75" s="154" t="s">
        <v>69</v>
      </c>
      <c r="BY75" s="154" t="s">
        <v>69</v>
      </c>
      <c r="BZ75" s="154" t="s">
        <v>69</v>
      </c>
      <c r="CA75" s="154">
        <v>4</v>
      </c>
      <c r="CB75" s="154">
        <v>4</v>
      </c>
      <c r="CC75" s="154" t="s">
        <v>69</v>
      </c>
      <c r="CD75" s="154" t="s">
        <v>69</v>
      </c>
      <c r="CE75" s="154" t="s">
        <v>69</v>
      </c>
      <c r="CF75" s="154" t="s">
        <v>69</v>
      </c>
      <c r="CG75" s="154" t="s">
        <v>69</v>
      </c>
      <c r="CH75" s="154" t="s">
        <v>69</v>
      </c>
      <c r="CI75" s="154" t="s">
        <v>69</v>
      </c>
      <c r="CJ75" s="154" t="s">
        <v>69</v>
      </c>
      <c r="CK75" s="154" t="s">
        <v>69</v>
      </c>
      <c r="CL75" s="154" t="s">
        <v>69</v>
      </c>
      <c r="CM75" s="154" t="s">
        <v>69</v>
      </c>
      <c r="CN75" s="154" t="s">
        <v>69</v>
      </c>
      <c r="CO75" s="154" t="s">
        <v>69</v>
      </c>
      <c r="CP75" s="154" t="s">
        <v>69</v>
      </c>
      <c r="CQ75" s="154" t="s">
        <v>69</v>
      </c>
      <c r="CR75" s="154" t="s">
        <v>69</v>
      </c>
      <c r="CS75" s="154" t="s">
        <v>69</v>
      </c>
      <c r="CT75" s="154">
        <v>2</v>
      </c>
      <c r="CU75" s="154" t="s">
        <v>69</v>
      </c>
      <c r="CV75" s="154" t="s">
        <v>69</v>
      </c>
      <c r="CW75" s="154" t="s">
        <v>69</v>
      </c>
      <c r="CX75" s="154" t="s">
        <v>69</v>
      </c>
      <c r="CY75" s="154" t="s">
        <v>69</v>
      </c>
      <c r="CZ75" s="154" t="s">
        <v>69</v>
      </c>
      <c r="DA75" s="154" t="s">
        <v>69</v>
      </c>
      <c r="DB75" s="154" t="s">
        <v>69</v>
      </c>
      <c r="DC75" s="154" t="s">
        <v>69</v>
      </c>
      <c r="DD75" s="154" t="s">
        <v>69</v>
      </c>
      <c r="DE75" s="154" t="s">
        <v>69</v>
      </c>
      <c r="DF75" s="154" t="s">
        <v>69</v>
      </c>
      <c r="DG75" s="154" t="s">
        <v>69</v>
      </c>
      <c r="DH75" s="154" t="s">
        <v>69</v>
      </c>
      <c r="DI75" s="154" t="s">
        <v>69</v>
      </c>
      <c r="DJ75" s="154" t="s">
        <v>69</v>
      </c>
      <c r="DK75" s="154" t="s">
        <v>69</v>
      </c>
      <c r="DL75" s="154" t="s">
        <v>69</v>
      </c>
      <c r="DM75" s="154" t="s">
        <v>69</v>
      </c>
      <c r="DN75" s="154" t="s">
        <v>69</v>
      </c>
      <c r="DO75" s="154" t="s">
        <v>69</v>
      </c>
      <c r="DP75" s="154" t="s">
        <v>69</v>
      </c>
      <c r="DQ75" s="154" t="s">
        <v>69</v>
      </c>
      <c r="DR75" s="154">
        <v>3</v>
      </c>
      <c r="DS75" s="154" t="s">
        <v>69</v>
      </c>
      <c r="DT75" s="168">
        <v>3</v>
      </c>
      <c r="DU75" s="110">
        <f t="shared" si="2"/>
        <v>0.12903225806451613</v>
      </c>
      <c r="DV75" s="104">
        <f t="shared" si="3"/>
        <v>0.75</v>
      </c>
    </row>
    <row r="76" spans="1:126" ht="68.25" hidden="1" customHeight="1" thickBot="1">
      <c r="A76" s="218" t="s">
        <v>373</v>
      </c>
      <c r="B76" s="236" t="s">
        <v>94</v>
      </c>
      <c r="C76" s="239" t="s">
        <v>95</v>
      </c>
      <c r="D76" s="219" t="s">
        <v>624</v>
      </c>
      <c r="E76" s="220" t="s">
        <v>434</v>
      </c>
      <c r="F76" s="167">
        <v>4</v>
      </c>
      <c r="G76" s="154" t="s">
        <v>69</v>
      </c>
      <c r="H76" s="154" t="s">
        <v>69</v>
      </c>
      <c r="I76" s="154" t="s">
        <v>69</v>
      </c>
      <c r="J76" s="154" t="s">
        <v>69</v>
      </c>
      <c r="K76" s="154" t="s">
        <v>69</v>
      </c>
      <c r="L76" s="154" t="s">
        <v>69</v>
      </c>
      <c r="M76" s="154" t="s">
        <v>69</v>
      </c>
      <c r="N76" s="154" t="s">
        <v>69</v>
      </c>
      <c r="O76" s="154" t="s">
        <v>69</v>
      </c>
      <c r="P76" s="154" t="s">
        <v>69</v>
      </c>
      <c r="Q76" s="154" t="s">
        <v>69</v>
      </c>
      <c r="R76" s="154" t="s">
        <v>69</v>
      </c>
      <c r="S76" s="154" t="s">
        <v>69</v>
      </c>
      <c r="T76" s="165" t="s">
        <v>69</v>
      </c>
      <c r="U76" s="165" t="s">
        <v>69</v>
      </c>
      <c r="V76" s="154" t="s">
        <v>69</v>
      </c>
      <c r="W76" s="154" t="s">
        <v>69</v>
      </c>
      <c r="X76" s="154" t="s">
        <v>69</v>
      </c>
      <c r="Y76" s="154" t="s">
        <v>69</v>
      </c>
      <c r="Z76" s="154" t="s">
        <v>69</v>
      </c>
      <c r="AA76" s="154" t="s">
        <v>69</v>
      </c>
      <c r="AB76" s="154" t="s">
        <v>69</v>
      </c>
      <c r="AC76" s="154" t="s">
        <v>69</v>
      </c>
      <c r="AD76" s="154" t="s">
        <v>69</v>
      </c>
      <c r="AE76" s="154" t="s">
        <v>69</v>
      </c>
      <c r="AF76" s="154" t="s">
        <v>69</v>
      </c>
      <c r="AG76" s="154" t="s">
        <v>69</v>
      </c>
      <c r="AH76" s="154" t="s">
        <v>69</v>
      </c>
      <c r="AI76" s="154" t="s">
        <v>69</v>
      </c>
      <c r="AJ76" s="154" t="s">
        <v>69</v>
      </c>
      <c r="AK76" s="154" t="s">
        <v>69</v>
      </c>
      <c r="AL76" s="154" t="s">
        <v>69</v>
      </c>
      <c r="AM76" s="154" t="s">
        <v>69</v>
      </c>
      <c r="AN76" s="154" t="s">
        <v>69</v>
      </c>
      <c r="AO76" s="154" t="s">
        <v>69</v>
      </c>
      <c r="AP76" s="154" t="s">
        <v>69</v>
      </c>
      <c r="AQ76" s="154" t="s">
        <v>69</v>
      </c>
      <c r="AR76" s="154" t="s">
        <v>69</v>
      </c>
      <c r="AS76" s="154" t="s">
        <v>69</v>
      </c>
      <c r="AT76" s="154" t="s">
        <v>69</v>
      </c>
      <c r="AU76" s="154" t="s">
        <v>69</v>
      </c>
      <c r="AV76" s="154" t="s">
        <v>69</v>
      </c>
      <c r="AW76" s="154" t="s">
        <v>69</v>
      </c>
      <c r="AX76" s="154" t="s">
        <v>69</v>
      </c>
      <c r="AY76" s="154" t="s">
        <v>69</v>
      </c>
      <c r="AZ76" s="154" t="s">
        <v>69</v>
      </c>
      <c r="BA76" s="154" t="s">
        <v>69</v>
      </c>
      <c r="BB76" s="154" t="s">
        <v>69</v>
      </c>
      <c r="BC76" s="154" t="s">
        <v>69</v>
      </c>
      <c r="BD76" s="154" t="s">
        <v>69</v>
      </c>
      <c r="BE76" s="154" t="s">
        <v>69</v>
      </c>
      <c r="BF76" s="154" t="s">
        <v>69</v>
      </c>
      <c r="BG76" s="154" t="s">
        <v>69</v>
      </c>
      <c r="BH76" s="154" t="s">
        <v>69</v>
      </c>
      <c r="BI76" s="154" t="s">
        <v>69</v>
      </c>
      <c r="BJ76" s="154" t="s">
        <v>69</v>
      </c>
      <c r="BK76" s="154" t="s">
        <v>69</v>
      </c>
      <c r="BL76" s="154" t="s">
        <v>69</v>
      </c>
      <c r="BM76" s="154" t="s">
        <v>69</v>
      </c>
      <c r="BN76" s="154" t="s">
        <v>69</v>
      </c>
      <c r="BO76" s="154" t="s">
        <v>69</v>
      </c>
      <c r="BP76" s="154" t="s">
        <v>69</v>
      </c>
      <c r="BQ76" s="154" t="s">
        <v>69</v>
      </c>
      <c r="BR76" s="154" t="s">
        <v>69</v>
      </c>
      <c r="BS76" s="154" t="s">
        <v>69</v>
      </c>
      <c r="BT76" s="154" t="s">
        <v>69</v>
      </c>
      <c r="BU76" s="154" t="s">
        <v>69</v>
      </c>
      <c r="BV76" s="154" t="s">
        <v>69</v>
      </c>
      <c r="BW76" s="154" t="s">
        <v>69</v>
      </c>
      <c r="BX76" s="154" t="s">
        <v>69</v>
      </c>
      <c r="BY76" s="154" t="s">
        <v>69</v>
      </c>
      <c r="BZ76" s="154" t="s">
        <v>69</v>
      </c>
      <c r="CA76" s="154" t="s">
        <v>69</v>
      </c>
      <c r="CB76" s="154" t="s">
        <v>69</v>
      </c>
      <c r="CC76" s="154" t="s">
        <v>69</v>
      </c>
      <c r="CD76" s="154" t="s">
        <v>69</v>
      </c>
      <c r="CE76" s="154" t="s">
        <v>69</v>
      </c>
      <c r="CF76" s="154" t="s">
        <v>69</v>
      </c>
      <c r="CG76" s="154" t="s">
        <v>69</v>
      </c>
      <c r="CH76" s="154" t="s">
        <v>69</v>
      </c>
      <c r="CI76" s="154" t="s">
        <v>69</v>
      </c>
      <c r="CJ76" s="154" t="s">
        <v>69</v>
      </c>
      <c r="CK76" s="154" t="s">
        <v>69</v>
      </c>
      <c r="CL76" s="154" t="s">
        <v>69</v>
      </c>
      <c r="CM76" s="154" t="s">
        <v>69</v>
      </c>
      <c r="CN76" s="154" t="s">
        <v>69</v>
      </c>
      <c r="CO76" s="154" t="s">
        <v>69</v>
      </c>
      <c r="CP76" s="154" t="s">
        <v>69</v>
      </c>
      <c r="CQ76" s="154" t="s">
        <v>69</v>
      </c>
      <c r="CR76" s="154" t="s">
        <v>69</v>
      </c>
      <c r="CS76" s="154" t="s">
        <v>69</v>
      </c>
      <c r="CT76" s="154" t="s">
        <v>69</v>
      </c>
      <c r="CU76" s="154" t="s">
        <v>69</v>
      </c>
      <c r="CV76" s="154" t="s">
        <v>69</v>
      </c>
      <c r="CW76" s="154" t="s">
        <v>69</v>
      </c>
      <c r="CX76" s="154" t="s">
        <v>69</v>
      </c>
      <c r="CY76" s="154" t="s">
        <v>69</v>
      </c>
      <c r="CZ76" s="154" t="s">
        <v>69</v>
      </c>
      <c r="DA76" s="154" t="s">
        <v>69</v>
      </c>
      <c r="DB76" s="154" t="s">
        <v>69</v>
      </c>
      <c r="DC76" s="154" t="s">
        <v>69</v>
      </c>
      <c r="DD76" s="154" t="s">
        <v>69</v>
      </c>
      <c r="DE76" s="154" t="s">
        <v>69</v>
      </c>
      <c r="DF76" s="154" t="s">
        <v>69</v>
      </c>
      <c r="DG76" s="154" t="s">
        <v>69</v>
      </c>
      <c r="DH76" s="154" t="s">
        <v>69</v>
      </c>
      <c r="DI76" s="154" t="s">
        <v>69</v>
      </c>
      <c r="DJ76" s="154" t="s">
        <v>69</v>
      </c>
      <c r="DK76" s="154" t="s">
        <v>69</v>
      </c>
      <c r="DL76" s="154" t="s">
        <v>69</v>
      </c>
      <c r="DM76" s="154" t="s">
        <v>69</v>
      </c>
      <c r="DN76" s="154" t="s">
        <v>69</v>
      </c>
      <c r="DO76" s="154" t="s">
        <v>69</v>
      </c>
      <c r="DP76" s="154" t="s">
        <v>69</v>
      </c>
      <c r="DQ76" s="154" t="s">
        <v>69</v>
      </c>
      <c r="DR76" s="154">
        <v>3</v>
      </c>
      <c r="DS76" s="154" t="s">
        <v>69</v>
      </c>
      <c r="DT76" s="168">
        <v>3</v>
      </c>
      <c r="DU76" s="110">
        <f t="shared" ref="DU76:DU96" si="4">COUNTIF(F76:DT76,"&gt;0")/62</f>
        <v>4.8387096774193547E-2</v>
      </c>
      <c r="DV76" s="104">
        <f t="shared" ref="DV76:DV96" si="5">+COUNTIF(F76:DT76,"&gt;2")/COUNTIF(F76:DT76,"&gt;1")</f>
        <v>1</v>
      </c>
    </row>
    <row r="77" spans="1:126" ht="68.25" hidden="1" customHeight="1" thickBot="1">
      <c r="A77" s="218" t="s">
        <v>109</v>
      </c>
      <c r="B77" s="236" t="s">
        <v>96</v>
      </c>
      <c r="C77" s="239" t="s">
        <v>97</v>
      </c>
      <c r="D77" s="219">
        <v>44292</v>
      </c>
      <c r="E77" s="220" t="s">
        <v>434</v>
      </c>
      <c r="F77" s="167">
        <v>4</v>
      </c>
      <c r="G77" s="154" t="s">
        <v>69</v>
      </c>
      <c r="H77" s="154" t="s">
        <v>69</v>
      </c>
      <c r="I77" s="154" t="s">
        <v>69</v>
      </c>
      <c r="J77" s="154" t="s">
        <v>69</v>
      </c>
      <c r="K77" s="154" t="s">
        <v>69</v>
      </c>
      <c r="L77" s="154" t="s">
        <v>69</v>
      </c>
      <c r="M77" s="154" t="s">
        <v>69</v>
      </c>
      <c r="N77" s="154" t="s">
        <v>69</v>
      </c>
      <c r="O77" s="154" t="s">
        <v>69</v>
      </c>
      <c r="P77" s="154" t="s">
        <v>69</v>
      </c>
      <c r="Q77" s="154" t="s">
        <v>69</v>
      </c>
      <c r="R77" s="154" t="s">
        <v>69</v>
      </c>
      <c r="S77" s="154" t="s">
        <v>69</v>
      </c>
      <c r="T77" s="165" t="s">
        <v>69</v>
      </c>
      <c r="U77" s="165" t="s">
        <v>69</v>
      </c>
      <c r="V77" s="154" t="s">
        <v>69</v>
      </c>
      <c r="W77" s="154" t="s">
        <v>69</v>
      </c>
      <c r="X77" s="154" t="s">
        <v>69</v>
      </c>
      <c r="Y77" s="154" t="s">
        <v>69</v>
      </c>
      <c r="Z77" s="154" t="s">
        <v>69</v>
      </c>
      <c r="AA77" s="154" t="s">
        <v>69</v>
      </c>
      <c r="AB77" s="154" t="s">
        <v>69</v>
      </c>
      <c r="AC77" s="154" t="s">
        <v>69</v>
      </c>
      <c r="AD77" s="154" t="s">
        <v>69</v>
      </c>
      <c r="AE77" s="154" t="s">
        <v>69</v>
      </c>
      <c r="AF77" s="154" t="s">
        <v>69</v>
      </c>
      <c r="AG77" s="154" t="s">
        <v>69</v>
      </c>
      <c r="AH77" s="154" t="s">
        <v>69</v>
      </c>
      <c r="AI77" s="154" t="s">
        <v>69</v>
      </c>
      <c r="AJ77" s="154" t="s">
        <v>69</v>
      </c>
      <c r="AK77" s="154" t="s">
        <v>69</v>
      </c>
      <c r="AL77" s="154" t="s">
        <v>69</v>
      </c>
      <c r="AM77" s="154" t="s">
        <v>69</v>
      </c>
      <c r="AN77" s="154" t="s">
        <v>69</v>
      </c>
      <c r="AO77" s="154" t="s">
        <v>69</v>
      </c>
      <c r="AP77" s="154" t="s">
        <v>69</v>
      </c>
      <c r="AQ77" s="154" t="s">
        <v>69</v>
      </c>
      <c r="AR77" s="154" t="s">
        <v>69</v>
      </c>
      <c r="AS77" s="154" t="s">
        <v>69</v>
      </c>
      <c r="AT77" s="154" t="s">
        <v>69</v>
      </c>
      <c r="AU77" s="154" t="s">
        <v>69</v>
      </c>
      <c r="AV77" s="154" t="s">
        <v>69</v>
      </c>
      <c r="AW77" s="154" t="s">
        <v>69</v>
      </c>
      <c r="AX77" s="154" t="s">
        <v>69</v>
      </c>
      <c r="AY77" s="154" t="s">
        <v>69</v>
      </c>
      <c r="AZ77" s="154" t="s">
        <v>69</v>
      </c>
      <c r="BA77" s="154" t="s">
        <v>69</v>
      </c>
      <c r="BB77" s="154" t="s">
        <v>69</v>
      </c>
      <c r="BC77" s="154" t="s">
        <v>69</v>
      </c>
      <c r="BD77" s="154">
        <v>3</v>
      </c>
      <c r="BE77" s="154" t="s">
        <v>69</v>
      </c>
      <c r="BF77" s="154" t="s">
        <v>69</v>
      </c>
      <c r="BG77" s="154" t="s">
        <v>69</v>
      </c>
      <c r="BH77" s="154" t="s">
        <v>69</v>
      </c>
      <c r="BI77" s="154" t="s">
        <v>69</v>
      </c>
      <c r="BJ77" s="154" t="s">
        <v>69</v>
      </c>
      <c r="BK77" s="154">
        <v>2</v>
      </c>
      <c r="BL77" s="154" t="s">
        <v>69</v>
      </c>
      <c r="BM77" s="154" t="s">
        <v>69</v>
      </c>
      <c r="BN77" s="154" t="s">
        <v>69</v>
      </c>
      <c r="BO77" s="154" t="s">
        <v>69</v>
      </c>
      <c r="BP77" s="154" t="s">
        <v>69</v>
      </c>
      <c r="BQ77" s="154" t="s">
        <v>69</v>
      </c>
      <c r="BR77" s="154">
        <v>4</v>
      </c>
      <c r="BS77" s="154" t="s">
        <v>69</v>
      </c>
      <c r="BT77" s="154" t="s">
        <v>69</v>
      </c>
      <c r="BU77" s="154" t="s">
        <v>69</v>
      </c>
      <c r="BV77" s="154" t="s">
        <v>69</v>
      </c>
      <c r="BW77" s="154" t="s">
        <v>69</v>
      </c>
      <c r="BX77" s="154" t="s">
        <v>69</v>
      </c>
      <c r="BY77" s="154" t="s">
        <v>69</v>
      </c>
      <c r="BZ77" s="154" t="s">
        <v>69</v>
      </c>
      <c r="CA77" s="154" t="s">
        <v>69</v>
      </c>
      <c r="CB77" s="154" t="s">
        <v>69</v>
      </c>
      <c r="CC77" s="154" t="s">
        <v>69</v>
      </c>
      <c r="CD77" s="154" t="s">
        <v>69</v>
      </c>
      <c r="CE77" s="154" t="s">
        <v>69</v>
      </c>
      <c r="CF77" s="154" t="s">
        <v>69</v>
      </c>
      <c r="CG77" s="154" t="s">
        <v>69</v>
      </c>
      <c r="CH77" s="154" t="s">
        <v>69</v>
      </c>
      <c r="CI77" s="154" t="s">
        <v>69</v>
      </c>
      <c r="CJ77" s="154" t="s">
        <v>69</v>
      </c>
      <c r="CK77" s="154" t="s">
        <v>69</v>
      </c>
      <c r="CL77" s="154" t="s">
        <v>69</v>
      </c>
      <c r="CM77" s="154" t="s">
        <v>69</v>
      </c>
      <c r="CN77" s="154" t="s">
        <v>69</v>
      </c>
      <c r="CO77" s="154" t="s">
        <v>69</v>
      </c>
      <c r="CP77" s="154" t="s">
        <v>69</v>
      </c>
      <c r="CQ77" s="154" t="s">
        <v>69</v>
      </c>
      <c r="CR77" s="154" t="s">
        <v>69</v>
      </c>
      <c r="CS77" s="154" t="s">
        <v>69</v>
      </c>
      <c r="CT77" s="154" t="s">
        <v>69</v>
      </c>
      <c r="CU77" s="154" t="s">
        <v>69</v>
      </c>
      <c r="CV77" s="154" t="s">
        <v>69</v>
      </c>
      <c r="CW77" s="154" t="s">
        <v>69</v>
      </c>
      <c r="CX77" s="154" t="s">
        <v>69</v>
      </c>
      <c r="CY77" s="154" t="s">
        <v>69</v>
      </c>
      <c r="CZ77" s="154" t="s">
        <v>69</v>
      </c>
      <c r="DA77" s="154" t="s">
        <v>69</v>
      </c>
      <c r="DB77" s="154" t="s">
        <v>69</v>
      </c>
      <c r="DC77" s="154" t="s">
        <v>69</v>
      </c>
      <c r="DD77" s="154" t="s">
        <v>69</v>
      </c>
      <c r="DE77" s="154" t="s">
        <v>69</v>
      </c>
      <c r="DF77" s="154" t="s">
        <v>69</v>
      </c>
      <c r="DG77" s="154" t="s">
        <v>69</v>
      </c>
      <c r="DH77" s="154" t="s">
        <v>69</v>
      </c>
      <c r="DI77" s="154" t="s">
        <v>69</v>
      </c>
      <c r="DJ77" s="154" t="s">
        <v>69</v>
      </c>
      <c r="DK77" s="154" t="s">
        <v>69</v>
      </c>
      <c r="DL77" s="154" t="s">
        <v>69</v>
      </c>
      <c r="DM77" s="154" t="s">
        <v>69</v>
      </c>
      <c r="DN77" s="154" t="s">
        <v>69</v>
      </c>
      <c r="DO77" s="154" t="s">
        <v>69</v>
      </c>
      <c r="DP77" s="154" t="s">
        <v>69</v>
      </c>
      <c r="DQ77" s="154" t="s">
        <v>69</v>
      </c>
      <c r="DR77" s="154">
        <v>3</v>
      </c>
      <c r="DS77" s="154" t="s">
        <v>69</v>
      </c>
      <c r="DT77" s="168">
        <v>2</v>
      </c>
      <c r="DU77" s="110">
        <f t="shared" si="4"/>
        <v>9.6774193548387094E-2</v>
      </c>
      <c r="DV77" s="104">
        <f t="shared" si="5"/>
        <v>0.66666666666666663</v>
      </c>
    </row>
    <row r="78" spans="1:126" ht="68.25" hidden="1" customHeight="1" thickBot="1">
      <c r="A78" s="221" t="s">
        <v>349</v>
      </c>
      <c r="B78" s="236" t="s">
        <v>103</v>
      </c>
      <c r="C78" s="239" t="s">
        <v>104</v>
      </c>
      <c r="D78" s="219" t="s">
        <v>614</v>
      </c>
      <c r="E78" s="220" t="s">
        <v>434</v>
      </c>
      <c r="F78" s="154" t="s">
        <v>69</v>
      </c>
      <c r="G78" s="154" t="s">
        <v>69</v>
      </c>
      <c r="H78" s="154" t="s">
        <v>69</v>
      </c>
      <c r="I78" s="154" t="s">
        <v>69</v>
      </c>
      <c r="J78" s="154" t="s">
        <v>69</v>
      </c>
      <c r="K78" s="154" t="s">
        <v>69</v>
      </c>
      <c r="L78" s="154" t="s">
        <v>69</v>
      </c>
      <c r="M78" s="154" t="s">
        <v>69</v>
      </c>
      <c r="N78" s="154" t="s">
        <v>69</v>
      </c>
      <c r="O78" s="154" t="s">
        <v>69</v>
      </c>
      <c r="P78" s="154" t="s">
        <v>69</v>
      </c>
      <c r="Q78" s="154" t="s">
        <v>69</v>
      </c>
      <c r="R78" s="154" t="s">
        <v>69</v>
      </c>
      <c r="S78" s="154" t="s">
        <v>69</v>
      </c>
      <c r="T78" s="165" t="s">
        <v>69</v>
      </c>
      <c r="U78" s="165" t="s">
        <v>69</v>
      </c>
      <c r="V78" s="154" t="s">
        <v>69</v>
      </c>
      <c r="W78" s="154" t="s">
        <v>69</v>
      </c>
      <c r="X78" s="154" t="s">
        <v>69</v>
      </c>
      <c r="Y78" s="154" t="s">
        <v>69</v>
      </c>
      <c r="Z78" s="154" t="s">
        <v>69</v>
      </c>
      <c r="AA78" s="154" t="s">
        <v>69</v>
      </c>
      <c r="AB78" s="154" t="s">
        <v>69</v>
      </c>
      <c r="AC78" s="154" t="s">
        <v>69</v>
      </c>
      <c r="AD78" s="154" t="s">
        <v>69</v>
      </c>
      <c r="AE78" s="154" t="s">
        <v>69</v>
      </c>
      <c r="AF78" s="154" t="s">
        <v>69</v>
      </c>
      <c r="AG78" s="154" t="s">
        <v>69</v>
      </c>
      <c r="AH78" s="154" t="s">
        <v>69</v>
      </c>
      <c r="AI78" s="154" t="s">
        <v>69</v>
      </c>
      <c r="AJ78" s="154" t="s">
        <v>69</v>
      </c>
      <c r="AK78" s="154" t="s">
        <v>69</v>
      </c>
      <c r="AL78" s="154" t="s">
        <v>69</v>
      </c>
      <c r="AM78" s="154" t="s">
        <v>69</v>
      </c>
      <c r="AN78" s="154" t="s">
        <v>69</v>
      </c>
      <c r="AO78" s="154" t="s">
        <v>69</v>
      </c>
      <c r="AP78" s="154" t="s">
        <v>69</v>
      </c>
      <c r="AQ78" s="154" t="s">
        <v>69</v>
      </c>
      <c r="AR78" s="154" t="s">
        <v>69</v>
      </c>
      <c r="AS78" s="154" t="s">
        <v>69</v>
      </c>
      <c r="AT78" s="154" t="s">
        <v>69</v>
      </c>
      <c r="AU78" s="154" t="s">
        <v>69</v>
      </c>
      <c r="AV78" s="154" t="s">
        <v>69</v>
      </c>
      <c r="AW78" s="154" t="s">
        <v>69</v>
      </c>
      <c r="AX78" s="154" t="s">
        <v>69</v>
      </c>
      <c r="AY78" s="154" t="s">
        <v>69</v>
      </c>
      <c r="AZ78" s="154" t="s">
        <v>69</v>
      </c>
      <c r="BA78" s="154" t="s">
        <v>69</v>
      </c>
      <c r="BB78" s="154" t="s">
        <v>69</v>
      </c>
      <c r="BC78" s="154" t="s">
        <v>69</v>
      </c>
      <c r="BD78" s="154" t="s">
        <v>69</v>
      </c>
      <c r="BE78" s="154" t="s">
        <v>69</v>
      </c>
      <c r="BF78" s="154" t="s">
        <v>69</v>
      </c>
      <c r="BG78" s="154" t="s">
        <v>69</v>
      </c>
      <c r="BH78" s="154" t="s">
        <v>69</v>
      </c>
      <c r="BI78" s="154" t="s">
        <v>69</v>
      </c>
      <c r="BJ78" s="154" t="s">
        <v>69</v>
      </c>
      <c r="BK78" s="154" t="s">
        <v>69</v>
      </c>
      <c r="BL78" s="154" t="s">
        <v>69</v>
      </c>
      <c r="BM78" s="154" t="s">
        <v>69</v>
      </c>
      <c r="BN78" s="154" t="s">
        <v>69</v>
      </c>
      <c r="BO78" s="154" t="s">
        <v>69</v>
      </c>
      <c r="BP78" s="154" t="s">
        <v>69</v>
      </c>
      <c r="BQ78" s="154" t="s">
        <v>69</v>
      </c>
      <c r="BR78" s="154" t="s">
        <v>69</v>
      </c>
      <c r="BS78" s="154" t="s">
        <v>69</v>
      </c>
      <c r="BT78" s="154" t="s">
        <v>69</v>
      </c>
      <c r="BU78" s="154" t="s">
        <v>69</v>
      </c>
      <c r="BV78" s="154" t="s">
        <v>69</v>
      </c>
      <c r="BW78" s="154" t="s">
        <v>69</v>
      </c>
      <c r="BX78" s="154" t="s">
        <v>69</v>
      </c>
      <c r="BY78" s="154" t="s">
        <v>69</v>
      </c>
      <c r="BZ78" s="154" t="s">
        <v>69</v>
      </c>
      <c r="CA78" s="154" t="s">
        <v>69</v>
      </c>
      <c r="CB78" s="154" t="s">
        <v>69</v>
      </c>
      <c r="CC78" s="154" t="s">
        <v>69</v>
      </c>
      <c r="CD78" s="154" t="s">
        <v>69</v>
      </c>
      <c r="CE78" s="154" t="s">
        <v>69</v>
      </c>
      <c r="CF78" s="154" t="s">
        <v>69</v>
      </c>
      <c r="CG78" s="154" t="s">
        <v>69</v>
      </c>
      <c r="CH78" s="154" t="s">
        <v>69</v>
      </c>
      <c r="CI78" s="154" t="s">
        <v>69</v>
      </c>
      <c r="CJ78" s="154" t="s">
        <v>69</v>
      </c>
      <c r="CK78" s="154" t="s">
        <v>69</v>
      </c>
      <c r="CL78" s="154" t="s">
        <v>69</v>
      </c>
      <c r="CM78" s="154" t="s">
        <v>69</v>
      </c>
      <c r="CN78" s="154" t="s">
        <v>69</v>
      </c>
      <c r="CO78" s="154" t="s">
        <v>69</v>
      </c>
      <c r="CP78" s="154" t="s">
        <v>69</v>
      </c>
      <c r="CQ78" s="154" t="s">
        <v>69</v>
      </c>
      <c r="CR78" s="154" t="s">
        <v>69</v>
      </c>
      <c r="CS78" s="154" t="s">
        <v>69</v>
      </c>
      <c r="CT78" s="154" t="s">
        <v>69</v>
      </c>
      <c r="CU78" s="154" t="s">
        <v>69</v>
      </c>
      <c r="CV78" s="154" t="s">
        <v>69</v>
      </c>
      <c r="CW78" s="154" t="s">
        <v>69</v>
      </c>
      <c r="CX78" s="154" t="s">
        <v>69</v>
      </c>
      <c r="CY78" s="154" t="s">
        <v>69</v>
      </c>
      <c r="CZ78" s="154" t="s">
        <v>69</v>
      </c>
      <c r="DA78" s="154" t="s">
        <v>69</v>
      </c>
      <c r="DB78" s="154" t="s">
        <v>69</v>
      </c>
      <c r="DC78" s="154" t="s">
        <v>69</v>
      </c>
      <c r="DD78" s="154" t="s">
        <v>69</v>
      </c>
      <c r="DE78" s="154" t="s">
        <v>69</v>
      </c>
      <c r="DF78" s="154" t="s">
        <v>69</v>
      </c>
      <c r="DG78" s="154" t="s">
        <v>69</v>
      </c>
      <c r="DH78" s="154" t="s">
        <v>69</v>
      </c>
      <c r="DI78" s="154" t="s">
        <v>69</v>
      </c>
      <c r="DJ78" s="154" t="s">
        <v>69</v>
      </c>
      <c r="DK78" s="154" t="s">
        <v>69</v>
      </c>
      <c r="DL78" s="154" t="s">
        <v>69</v>
      </c>
      <c r="DM78" s="154" t="s">
        <v>69</v>
      </c>
      <c r="DN78" s="154" t="s">
        <v>69</v>
      </c>
      <c r="DO78" s="154" t="s">
        <v>69</v>
      </c>
      <c r="DP78" s="154" t="s">
        <v>69</v>
      </c>
      <c r="DQ78" s="154" t="s">
        <v>69</v>
      </c>
      <c r="DR78" s="154">
        <v>3</v>
      </c>
      <c r="DS78" s="154" t="s">
        <v>69</v>
      </c>
      <c r="DT78" s="168">
        <v>2</v>
      </c>
      <c r="DU78" s="110">
        <f t="shared" si="4"/>
        <v>3.2258064516129031E-2</v>
      </c>
      <c r="DV78" s="104">
        <f t="shared" si="5"/>
        <v>0.5</v>
      </c>
    </row>
    <row r="79" spans="1:126" ht="68.25" hidden="1" customHeight="1" thickBot="1">
      <c r="A79" s="221" t="s">
        <v>353</v>
      </c>
      <c r="B79" s="236" t="s">
        <v>105</v>
      </c>
      <c r="C79" s="239" t="s">
        <v>106</v>
      </c>
      <c r="D79" s="219">
        <v>44958</v>
      </c>
      <c r="E79" s="220" t="s">
        <v>434</v>
      </c>
      <c r="F79" s="154" t="s">
        <v>69</v>
      </c>
      <c r="G79" s="154" t="s">
        <v>69</v>
      </c>
      <c r="H79" s="154" t="s">
        <v>69</v>
      </c>
      <c r="I79" s="154" t="s">
        <v>69</v>
      </c>
      <c r="J79" s="154" t="s">
        <v>69</v>
      </c>
      <c r="K79" s="154" t="s">
        <v>69</v>
      </c>
      <c r="L79" s="154" t="s">
        <v>69</v>
      </c>
      <c r="M79" s="154" t="s">
        <v>69</v>
      </c>
      <c r="N79" s="154" t="s">
        <v>69</v>
      </c>
      <c r="O79" s="154" t="s">
        <v>69</v>
      </c>
      <c r="P79" s="154" t="s">
        <v>69</v>
      </c>
      <c r="Q79" s="154" t="s">
        <v>69</v>
      </c>
      <c r="R79" s="154" t="s">
        <v>69</v>
      </c>
      <c r="S79" s="154" t="s">
        <v>69</v>
      </c>
      <c r="T79" s="165" t="s">
        <v>69</v>
      </c>
      <c r="U79" s="165" t="s">
        <v>69</v>
      </c>
      <c r="V79" s="154" t="s">
        <v>69</v>
      </c>
      <c r="W79" s="154" t="s">
        <v>69</v>
      </c>
      <c r="X79" s="154" t="s">
        <v>69</v>
      </c>
      <c r="Y79" s="154" t="s">
        <v>69</v>
      </c>
      <c r="Z79" s="154" t="s">
        <v>69</v>
      </c>
      <c r="AA79" s="154" t="s">
        <v>69</v>
      </c>
      <c r="AB79" s="154" t="s">
        <v>69</v>
      </c>
      <c r="AC79" s="154" t="s">
        <v>69</v>
      </c>
      <c r="AD79" s="154" t="s">
        <v>69</v>
      </c>
      <c r="AE79" s="154" t="s">
        <v>69</v>
      </c>
      <c r="AF79" s="154" t="s">
        <v>69</v>
      </c>
      <c r="AG79" s="154" t="s">
        <v>69</v>
      </c>
      <c r="AH79" s="154" t="s">
        <v>69</v>
      </c>
      <c r="AI79" s="154" t="s">
        <v>69</v>
      </c>
      <c r="AJ79" s="154" t="s">
        <v>69</v>
      </c>
      <c r="AK79" s="154" t="s">
        <v>69</v>
      </c>
      <c r="AL79" s="154" t="s">
        <v>69</v>
      </c>
      <c r="AM79" s="154" t="s">
        <v>69</v>
      </c>
      <c r="AN79" s="154" t="s">
        <v>69</v>
      </c>
      <c r="AO79" s="154" t="s">
        <v>69</v>
      </c>
      <c r="AP79" s="154" t="s">
        <v>69</v>
      </c>
      <c r="AQ79" s="154" t="s">
        <v>69</v>
      </c>
      <c r="AR79" s="154" t="s">
        <v>69</v>
      </c>
      <c r="AS79" s="154" t="s">
        <v>69</v>
      </c>
      <c r="AT79" s="154" t="s">
        <v>69</v>
      </c>
      <c r="AU79" s="154" t="s">
        <v>69</v>
      </c>
      <c r="AV79" s="154" t="s">
        <v>69</v>
      </c>
      <c r="AW79" s="154" t="s">
        <v>69</v>
      </c>
      <c r="AX79" s="154" t="s">
        <v>69</v>
      </c>
      <c r="AY79" s="154" t="s">
        <v>69</v>
      </c>
      <c r="AZ79" s="154" t="s">
        <v>69</v>
      </c>
      <c r="BA79" s="154" t="s">
        <v>69</v>
      </c>
      <c r="BB79" s="154" t="s">
        <v>69</v>
      </c>
      <c r="BC79" s="154" t="s">
        <v>69</v>
      </c>
      <c r="BD79" s="154" t="s">
        <v>69</v>
      </c>
      <c r="BE79" s="154">
        <v>2</v>
      </c>
      <c r="BF79" s="154" t="s">
        <v>69</v>
      </c>
      <c r="BG79" s="154" t="s">
        <v>69</v>
      </c>
      <c r="BH79" s="154" t="s">
        <v>69</v>
      </c>
      <c r="BI79" s="154" t="s">
        <v>69</v>
      </c>
      <c r="BJ79" s="154" t="s">
        <v>69</v>
      </c>
      <c r="BK79" s="154" t="s">
        <v>69</v>
      </c>
      <c r="BL79" s="154" t="s">
        <v>69</v>
      </c>
      <c r="BM79" s="154" t="s">
        <v>69</v>
      </c>
      <c r="BN79" s="154" t="s">
        <v>69</v>
      </c>
      <c r="BO79" s="154" t="s">
        <v>69</v>
      </c>
      <c r="BP79" s="154" t="s">
        <v>69</v>
      </c>
      <c r="BQ79" s="154" t="s">
        <v>69</v>
      </c>
      <c r="BR79" s="154" t="s">
        <v>69</v>
      </c>
      <c r="BS79" s="154" t="s">
        <v>69</v>
      </c>
      <c r="BT79" s="154" t="s">
        <v>69</v>
      </c>
      <c r="BU79" s="154" t="s">
        <v>69</v>
      </c>
      <c r="BV79" s="154" t="s">
        <v>69</v>
      </c>
      <c r="BW79" s="154" t="s">
        <v>69</v>
      </c>
      <c r="BX79" s="154" t="s">
        <v>69</v>
      </c>
      <c r="BY79" s="154" t="s">
        <v>69</v>
      </c>
      <c r="BZ79" s="154" t="s">
        <v>69</v>
      </c>
      <c r="CA79" s="154" t="s">
        <v>69</v>
      </c>
      <c r="CB79" s="154" t="s">
        <v>69</v>
      </c>
      <c r="CC79" s="154" t="s">
        <v>69</v>
      </c>
      <c r="CD79" s="154" t="s">
        <v>69</v>
      </c>
      <c r="CE79" s="154" t="s">
        <v>69</v>
      </c>
      <c r="CF79" s="154" t="s">
        <v>69</v>
      </c>
      <c r="CG79" s="154" t="s">
        <v>69</v>
      </c>
      <c r="CH79" s="154" t="s">
        <v>69</v>
      </c>
      <c r="CI79" s="154" t="s">
        <v>69</v>
      </c>
      <c r="CJ79" s="154" t="s">
        <v>69</v>
      </c>
      <c r="CK79" s="154" t="s">
        <v>69</v>
      </c>
      <c r="CL79" s="154" t="s">
        <v>69</v>
      </c>
      <c r="CM79" s="154" t="s">
        <v>69</v>
      </c>
      <c r="CN79" s="154" t="s">
        <v>69</v>
      </c>
      <c r="CO79" s="154" t="s">
        <v>69</v>
      </c>
      <c r="CP79" s="154" t="s">
        <v>69</v>
      </c>
      <c r="CQ79" s="154" t="s">
        <v>69</v>
      </c>
      <c r="CR79" s="154" t="s">
        <v>69</v>
      </c>
      <c r="CS79" s="154" t="s">
        <v>69</v>
      </c>
      <c r="CT79" s="154" t="s">
        <v>69</v>
      </c>
      <c r="CU79" s="154" t="s">
        <v>69</v>
      </c>
      <c r="CV79" s="154" t="s">
        <v>69</v>
      </c>
      <c r="CW79" s="154" t="s">
        <v>69</v>
      </c>
      <c r="CX79" s="154" t="s">
        <v>69</v>
      </c>
      <c r="CY79" s="154" t="s">
        <v>69</v>
      </c>
      <c r="CZ79" s="154" t="s">
        <v>69</v>
      </c>
      <c r="DA79" s="154" t="s">
        <v>69</v>
      </c>
      <c r="DB79" s="154" t="s">
        <v>69</v>
      </c>
      <c r="DC79" s="154" t="s">
        <v>69</v>
      </c>
      <c r="DD79" s="154" t="s">
        <v>69</v>
      </c>
      <c r="DE79" s="154" t="s">
        <v>69</v>
      </c>
      <c r="DF79" s="154" t="s">
        <v>69</v>
      </c>
      <c r="DG79" s="154" t="s">
        <v>69</v>
      </c>
      <c r="DH79" s="154" t="s">
        <v>69</v>
      </c>
      <c r="DI79" s="154" t="s">
        <v>69</v>
      </c>
      <c r="DJ79" s="154" t="s">
        <v>69</v>
      </c>
      <c r="DK79" s="154" t="s">
        <v>69</v>
      </c>
      <c r="DL79" s="154" t="s">
        <v>69</v>
      </c>
      <c r="DM79" s="154" t="s">
        <v>69</v>
      </c>
      <c r="DN79" s="154" t="s">
        <v>69</v>
      </c>
      <c r="DO79" s="154" t="s">
        <v>69</v>
      </c>
      <c r="DP79" s="154" t="s">
        <v>69</v>
      </c>
      <c r="DQ79" s="154" t="s">
        <v>69</v>
      </c>
      <c r="DR79" s="154">
        <v>3</v>
      </c>
      <c r="DS79" s="154" t="s">
        <v>69</v>
      </c>
      <c r="DT79" s="168">
        <v>2</v>
      </c>
      <c r="DU79" s="110">
        <f t="shared" si="4"/>
        <v>4.8387096774193547E-2</v>
      </c>
      <c r="DV79" s="104">
        <f t="shared" si="5"/>
        <v>0.33333333333333331</v>
      </c>
    </row>
    <row r="80" spans="1:126" ht="68.25" hidden="1" customHeight="1" thickBot="1">
      <c r="A80" s="218" t="s">
        <v>535</v>
      </c>
      <c r="B80" s="236" t="s">
        <v>546</v>
      </c>
      <c r="C80" s="239" t="s">
        <v>547</v>
      </c>
      <c r="D80" s="219">
        <v>45327</v>
      </c>
      <c r="E80" s="220" t="s">
        <v>434</v>
      </c>
      <c r="F80" s="167">
        <v>3</v>
      </c>
      <c r="G80" s="154" t="s">
        <v>69</v>
      </c>
      <c r="H80" s="154" t="s">
        <v>69</v>
      </c>
      <c r="I80" s="154">
        <v>3</v>
      </c>
      <c r="J80" s="154" t="s">
        <v>69</v>
      </c>
      <c r="K80" s="154" t="s">
        <v>69</v>
      </c>
      <c r="L80" s="154" t="s">
        <v>69</v>
      </c>
      <c r="M80" s="154" t="s">
        <v>69</v>
      </c>
      <c r="N80" s="154" t="s">
        <v>69</v>
      </c>
      <c r="O80" s="154" t="s">
        <v>69</v>
      </c>
      <c r="P80" s="154" t="s">
        <v>69</v>
      </c>
      <c r="Q80" s="154" t="s">
        <v>69</v>
      </c>
      <c r="R80" s="154" t="s">
        <v>69</v>
      </c>
      <c r="S80" s="154" t="s">
        <v>69</v>
      </c>
      <c r="T80" s="165" t="s">
        <v>69</v>
      </c>
      <c r="U80" s="165" t="s">
        <v>69</v>
      </c>
      <c r="V80" s="154" t="s">
        <v>69</v>
      </c>
      <c r="W80" s="154" t="s">
        <v>69</v>
      </c>
      <c r="X80" s="154" t="s">
        <v>69</v>
      </c>
      <c r="Y80" s="154" t="s">
        <v>69</v>
      </c>
      <c r="Z80" s="154" t="s">
        <v>69</v>
      </c>
      <c r="AA80" s="154" t="s">
        <v>69</v>
      </c>
      <c r="AB80" s="154" t="s">
        <v>69</v>
      </c>
      <c r="AC80" s="154" t="s">
        <v>69</v>
      </c>
      <c r="AD80" s="154" t="s">
        <v>69</v>
      </c>
      <c r="AE80" s="154" t="s">
        <v>69</v>
      </c>
      <c r="AF80" s="154" t="s">
        <v>69</v>
      </c>
      <c r="AG80" s="154" t="s">
        <v>69</v>
      </c>
      <c r="AH80" s="154" t="s">
        <v>69</v>
      </c>
      <c r="AI80" s="154" t="s">
        <v>69</v>
      </c>
      <c r="AJ80" s="154" t="s">
        <v>69</v>
      </c>
      <c r="AK80" s="154" t="s">
        <v>69</v>
      </c>
      <c r="AL80" s="154" t="s">
        <v>69</v>
      </c>
      <c r="AM80" s="154" t="s">
        <v>69</v>
      </c>
      <c r="AN80" s="154" t="s">
        <v>69</v>
      </c>
      <c r="AO80" s="154" t="s">
        <v>69</v>
      </c>
      <c r="AP80" s="154" t="s">
        <v>69</v>
      </c>
      <c r="AQ80" s="154" t="s">
        <v>69</v>
      </c>
      <c r="AR80" s="154" t="s">
        <v>69</v>
      </c>
      <c r="AS80" s="154" t="s">
        <v>69</v>
      </c>
      <c r="AT80" s="154" t="s">
        <v>69</v>
      </c>
      <c r="AU80" s="154" t="s">
        <v>69</v>
      </c>
      <c r="AV80" s="154" t="s">
        <v>69</v>
      </c>
      <c r="AW80" s="154" t="s">
        <v>69</v>
      </c>
      <c r="AX80" s="154" t="s">
        <v>69</v>
      </c>
      <c r="AY80" s="154" t="s">
        <v>69</v>
      </c>
      <c r="AZ80" s="154" t="s">
        <v>69</v>
      </c>
      <c r="BA80" s="154" t="s">
        <v>69</v>
      </c>
      <c r="BB80" s="154" t="s">
        <v>69</v>
      </c>
      <c r="BC80" s="154" t="s">
        <v>69</v>
      </c>
      <c r="BD80" s="154" t="s">
        <v>69</v>
      </c>
      <c r="BE80" s="154" t="s">
        <v>69</v>
      </c>
      <c r="BF80" s="154" t="s">
        <v>69</v>
      </c>
      <c r="BG80" s="154" t="s">
        <v>69</v>
      </c>
      <c r="BH80" s="154" t="s">
        <v>69</v>
      </c>
      <c r="BI80" s="154" t="s">
        <v>69</v>
      </c>
      <c r="BJ80" s="154" t="s">
        <v>69</v>
      </c>
      <c r="BK80" s="154" t="s">
        <v>69</v>
      </c>
      <c r="BL80" s="154" t="s">
        <v>69</v>
      </c>
      <c r="BM80" s="154" t="s">
        <v>69</v>
      </c>
      <c r="BN80" s="154" t="s">
        <v>69</v>
      </c>
      <c r="BO80" s="154" t="s">
        <v>69</v>
      </c>
      <c r="BP80" s="154" t="s">
        <v>69</v>
      </c>
      <c r="BQ80" s="154" t="s">
        <v>69</v>
      </c>
      <c r="BR80" s="154" t="s">
        <v>69</v>
      </c>
      <c r="BS80" s="154" t="s">
        <v>69</v>
      </c>
      <c r="BT80" s="154" t="s">
        <v>69</v>
      </c>
      <c r="BU80" s="154" t="s">
        <v>69</v>
      </c>
      <c r="BV80" s="154" t="s">
        <v>69</v>
      </c>
      <c r="BW80" s="154" t="s">
        <v>69</v>
      </c>
      <c r="BX80" s="154" t="s">
        <v>69</v>
      </c>
      <c r="BY80" s="154">
        <v>3</v>
      </c>
      <c r="BZ80" s="154" t="s">
        <v>69</v>
      </c>
      <c r="CA80" s="154">
        <v>2</v>
      </c>
      <c r="CB80" s="154" t="s">
        <v>69</v>
      </c>
      <c r="CC80" s="154">
        <v>2</v>
      </c>
      <c r="CD80" s="154" t="s">
        <v>69</v>
      </c>
      <c r="CE80" s="154" t="s">
        <v>69</v>
      </c>
      <c r="CF80" s="154" t="s">
        <v>69</v>
      </c>
      <c r="CG80" s="154" t="s">
        <v>69</v>
      </c>
      <c r="CH80" s="154" t="s">
        <v>69</v>
      </c>
      <c r="CI80" s="154" t="s">
        <v>69</v>
      </c>
      <c r="CJ80" s="154" t="s">
        <v>69</v>
      </c>
      <c r="CK80" s="154">
        <v>3</v>
      </c>
      <c r="CL80" s="154" t="s">
        <v>69</v>
      </c>
      <c r="CM80" s="154" t="s">
        <v>69</v>
      </c>
      <c r="CN80" s="154">
        <v>3</v>
      </c>
      <c r="CO80" s="154" t="s">
        <v>69</v>
      </c>
      <c r="CP80" s="154">
        <v>3</v>
      </c>
      <c r="CQ80" s="154" t="s">
        <v>69</v>
      </c>
      <c r="CR80" s="154" t="s">
        <v>69</v>
      </c>
      <c r="CS80" s="154" t="s">
        <v>69</v>
      </c>
      <c r="CT80" s="154" t="s">
        <v>69</v>
      </c>
      <c r="CU80" s="154" t="s">
        <v>69</v>
      </c>
      <c r="CV80" s="154" t="s">
        <v>69</v>
      </c>
      <c r="CW80" s="154" t="s">
        <v>69</v>
      </c>
      <c r="CX80" s="154" t="s">
        <v>69</v>
      </c>
      <c r="CY80" s="154" t="s">
        <v>69</v>
      </c>
      <c r="CZ80" s="154" t="s">
        <v>69</v>
      </c>
      <c r="DA80" s="154" t="s">
        <v>69</v>
      </c>
      <c r="DB80" s="154" t="s">
        <v>69</v>
      </c>
      <c r="DC80" s="154" t="s">
        <v>69</v>
      </c>
      <c r="DD80" s="154" t="s">
        <v>69</v>
      </c>
      <c r="DE80" s="154" t="s">
        <v>69</v>
      </c>
      <c r="DF80" s="154" t="s">
        <v>69</v>
      </c>
      <c r="DG80" s="154" t="s">
        <v>69</v>
      </c>
      <c r="DH80" s="154" t="s">
        <v>69</v>
      </c>
      <c r="DI80" s="154" t="s">
        <v>69</v>
      </c>
      <c r="DJ80" s="154" t="s">
        <v>69</v>
      </c>
      <c r="DK80" s="154" t="s">
        <v>69</v>
      </c>
      <c r="DL80" s="154" t="s">
        <v>69</v>
      </c>
      <c r="DM80" s="154" t="s">
        <v>69</v>
      </c>
      <c r="DN80" s="154" t="s">
        <v>69</v>
      </c>
      <c r="DO80" s="154" t="s">
        <v>69</v>
      </c>
      <c r="DP80" s="154" t="s">
        <v>69</v>
      </c>
      <c r="DQ80" s="154" t="s">
        <v>69</v>
      </c>
      <c r="DR80" s="154" t="s">
        <v>69</v>
      </c>
      <c r="DS80" s="154" t="s">
        <v>69</v>
      </c>
      <c r="DT80" s="168">
        <v>2</v>
      </c>
      <c r="DU80" s="110">
        <f t="shared" si="4"/>
        <v>0.14516129032258066</v>
      </c>
      <c r="DV80" s="104">
        <f t="shared" si="5"/>
        <v>0.66666666666666663</v>
      </c>
    </row>
    <row r="81" spans="1:126" ht="68.25" hidden="1" customHeight="1" thickBot="1">
      <c r="A81" s="218" t="s">
        <v>355</v>
      </c>
      <c r="B81" s="236" t="s">
        <v>101</v>
      </c>
      <c r="C81" s="239" t="s">
        <v>102</v>
      </c>
      <c r="D81" s="219">
        <v>44958</v>
      </c>
      <c r="E81" s="220" t="s">
        <v>434</v>
      </c>
      <c r="F81" s="167">
        <v>3</v>
      </c>
      <c r="G81" s="154" t="s">
        <v>69</v>
      </c>
      <c r="H81" s="154" t="s">
        <v>69</v>
      </c>
      <c r="I81" s="154" t="s">
        <v>69</v>
      </c>
      <c r="J81" s="154" t="s">
        <v>69</v>
      </c>
      <c r="K81" s="154" t="s">
        <v>69</v>
      </c>
      <c r="L81" s="154" t="s">
        <v>69</v>
      </c>
      <c r="M81" s="154" t="s">
        <v>69</v>
      </c>
      <c r="N81" s="154" t="s">
        <v>69</v>
      </c>
      <c r="O81" s="154" t="s">
        <v>69</v>
      </c>
      <c r="P81" s="154" t="s">
        <v>69</v>
      </c>
      <c r="Q81" s="154" t="s">
        <v>69</v>
      </c>
      <c r="R81" s="154" t="s">
        <v>69</v>
      </c>
      <c r="S81" s="154" t="s">
        <v>69</v>
      </c>
      <c r="T81" s="165" t="s">
        <v>69</v>
      </c>
      <c r="U81" s="165" t="s">
        <v>69</v>
      </c>
      <c r="V81" s="154" t="s">
        <v>69</v>
      </c>
      <c r="W81" s="154" t="s">
        <v>69</v>
      </c>
      <c r="X81" s="154" t="s">
        <v>69</v>
      </c>
      <c r="Y81" s="154" t="s">
        <v>69</v>
      </c>
      <c r="Z81" s="154" t="s">
        <v>69</v>
      </c>
      <c r="AA81" s="154" t="s">
        <v>69</v>
      </c>
      <c r="AB81" s="154" t="s">
        <v>69</v>
      </c>
      <c r="AC81" s="154" t="s">
        <v>69</v>
      </c>
      <c r="AD81" s="154" t="s">
        <v>69</v>
      </c>
      <c r="AE81" s="154" t="s">
        <v>69</v>
      </c>
      <c r="AF81" s="154" t="s">
        <v>69</v>
      </c>
      <c r="AG81" s="154" t="s">
        <v>69</v>
      </c>
      <c r="AH81" s="154" t="s">
        <v>69</v>
      </c>
      <c r="AI81" s="154" t="s">
        <v>69</v>
      </c>
      <c r="AJ81" s="154" t="s">
        <v>69</v>
      </c>
      <c r="AK81" s="154" t="s">
        <v>69</v>
      </c>
      <c r="AL81" s="154" t="s">
        <v>69</v>
      </c>
      <c r="AM81" s="154" t="s">
        <v>69</v>
      </c>
      <c r="AN81" s="154" t="s">
        <v>69</v>
      </c>
      <c r="AO81" s="154" t="s">
        <v>69</v>
      </c>
      <c r="AP81" s="154" t="s">
        <v>69</v>
      </c>
      <c r="AQ81" s="154" t="s">
        <v>69</v>
      </c>
      <c r="AR81" s="154" t="s">
        <v>69</v>
      </c>
      <c r="AS81" s="154" t="s">
        <v>69</v>
      </c>
      <c r="AT81" s="154" t="s">
        <v>69</v>
      </c>
      <c r="AU81" s="154" t="s">
        <v>69</v>
      </c>
      <c r="AV81" s="154" t="s">
        <v>69</v>
      </c>
      <c r="AW81" s="154" t="s">
        <v>69</v>
      </c>
      <c r="AX81" s="154" t="s">
        <v>69</v>
      </c>
      <c r="AY81" s="154" t="s">
        <v>69</v>
      </c>
      <c r="AZ81" s="154" t="s">
        <v>69</v>
      </c>
      <c r="BA81" s="154" t="s">
        <v>69</v>
      </c>
      <c r="BB81" s="154" t="s">
        <v>69</v>
      </c>
      <c r="BC81" s="154" t="s">
        <v>69</v>
      </c>
      <c r="BD81" s="154" t="s">
        <v>69</v>
      </c>
      <c r="BE81" s="154">
        <v>4</v>
      </c>
      <c r="BF81" s="154" t="s">
        <v>69</v>
      </c>
      <c r="BG81" s="154" t="s">
        <v>69</v>
      </c>
      <c r="BH81" s="154" t="s">
        <v>69</v>
      </c>
      <c r="BI81" s="154" t="s">
        <v>69</v>
      </c>
      <c r="BJ81" s="154" t="s">
        <v>69</v>
      </c>
      <c r="BK81" s="154" t="s">
        <v>69</v>
      </c>
      <c r="BL81" s="154" t="s">
        <v>69</v>
      </c>
      <c r="BM81" s="154" t="s">
        <v>69</v>
      </c>
      <c r="BN81" s="154" t="s">
        <v>69</v>
      </c>
      <c r="BO81" s="154" t="s">
        <v>69</v>
      </c>
      <c r="BP81" s="154" t="s">
        <v>69</v>
      </c>
      <c r="BQ81" s="154" t="s">
        <v>69</v>
      </c>
      <c r="BR81" s="154" t="s">
        <v>69</v>
      </c>
      <c r="BS81" s="154" t="s">
        <v>69</v>
      </c>
      <c r="BT81" s="154" t="s">
        <v>69</v>
      </c>
      <c r="BU81" s="154" t="s">
        <v>69</v>
      </c>
      <c r="BV81" s="154" t="s">
        <v>69</v>
      </c>
      <c r="BW81" s="154" t="s">
        <v>69</v>
      </c>
      <c r="BX81" s="154" t="s">
        <v>69</v>
      </c>
      <c r="BY81" s="154" t="s">
        <v>69</v>
      </c>
      <c r="BZ81" s="154" t="s">
        <v>69</v>
      </c>
      <c r="CA81" s="154" t="s">
        <v>69</v>
      </c>
      <c r="CB81" s="154" t="s">
        <v>69</v>
      </c>
      <c r="CC81" s="154" t="s">
        <v>69</v>
      </c>
      <c r="CD81" s="154" t="s">
        <v>69</v>
      </c>
      <c r="CE81" s="154" t="s">
        <v>69</v>
      </c>
      <c r="CF81" s="154" t="s">
        <v>69</v>
      </c>
      <c r="CG81" s="154" t="s">
        <v>69</v>
      </c>
      <c r="CH81" s="154" t="s">
        <v>69</v>
      </c>
      <c r="CI81" s="154" t="s">
        <v>69</v>
      </c>
      <c r="CJ81" s="154" t="s">
        <v>69</v>
      </c>
      <c r="CK81" s="154" t="s">
        <v>69</v>
      </c>
      <c r="CL81" s="154" t="s">
        <v>69</v>
      </c>
      <c r="CM81" s="171" t="s">
        <v>69</v>
      </c>
      <c r="CN81" s="171" t="s">
        <v>69</v>
      </c>
      <c r="CO81" s="171" t="s">
        <v>69</v>
      </c>
      <c r="CP81" s="171" t="s">
        <v>69</v>
      </c>
      <c r="CQ81" s="171" t="s">
        <v>69</v>
      </c>
      <c r="CR81" s="171" t="s">
        <v>69</v>
      </c>
      <c r="CS81" s="171" t="s">
        <v>69</v>
      </c>
      <c r="CT81" s="171" t="s">
        <v>69</v>
      </c>
      <c r="CU81" s="171" t="s">
        <v>69</v>
      </c>
      <c r="CV81" s="154" t="s">
        <v>69</v>
      </c>
      <c r="CW81" s="154" t="s">
        <v>69</v>
      </c>
      <c r="CX81" s="154" t="s">
        <v>69</v>
      </c>
      <c r="CY81" s="154" t="s">
        <v>69</v>
      </c>
      <c r="CZ81" s="154" t="s">
        <v>69</v>
      </c>
      <c r="DA81" s="154" t="s">
        <v>69</v>
      </c>
      <c r="DB81" s="154" t="s">
        <v>69</v>
      </c>
      <c r="DC81" s="154" t="s">
        <v>69</v>
      </c>
      <c r="DD81" s="154" t="s">
        <v>69</v>
      </c>
      <c r="DE81" s="154" t="s">
        <v>69</v>
      </c>
      <c r="DF81" s="154" t="s">
        <v>69</v>
      </c>
      <c r="DG81" s="154" t="s">
        <v>69</v>
      </c>
      <c r="DH81" s="154" t="s">
        <v>69</v>
      </c>
      <c r="DI81" s="154" t="s">
        <v>69</v>
      </c>
      <c r="DJ81" s="154" t="s">
        <v>69</v>
      </c>
      <c r="DK81" s="154" t="s">
        <v>69</v>
      </c>
      <c r="DL81" s="154" t="s">
        <v>69</v>
      </c>
      <c r="DM81" s="154" t="s">
        <v>69</v>
      </c>
      <c r="DN81" s="154" t="s">
        <v>69</v>
      </c>
      <c r="DO81" s="154" t="s">
        <v>69</v>
      </c>
      <c r="DP81" s="154" t="s">
        <v>69</v>
      </c>
      <c r="DQ81" s="154" t="s">
        <v>69</v>
      </c>
      <c r="DR81" s="154">
        <v>3</v>
      </c>
      <c r="DS81" s="154" t="s">
        <v>69</v>
      </c>
      <c r="DT81" s="168">
        <v>3</v>
      </c>
      <c r="DU81" s="110">
        <f t="shared" si="4"/>
        <v>6.4516129032258063E-2</v>
      </c>
      <c r="DV81" s="104">
        <f t="shared" si="5"/>
        <v>1</v>
      </c>
    </row>
    <row r="82" spans="1:126" ht="68.25" hidden="1" customHeight="1" thickBot="1">
      <c r="A82" s="148"/>
      <c r="B82" s="236" t="s">
        <v>701</v>
      </c>
      <c r="C82" s="239" t="s">
        <v>702</v>
      </c>
      <c r="D82" s="219">
        <v>45691</v>
      </c>
      <c r="E82" s="220" t="s">
        <v>434</v>
      </c>
      <c r="F82" s="154" t="s">
        <v>69</v>
      </c>
      <c r="G82" s="154" t="s">
        <v>69</v>
      </c>
      <c r="H82" s="154" t="s">
        <v>69</v>
      </c>
      <c r="I82" s="154" t="s">
        <v>69</v>
      </c>
      <c r="J82" s="154" t="s">
        <v>69</v>
      </c>
      <c r="K82" s="154" t="s">
        <v>69</v>
      </c>
      <c r="L82" s="154" t="s">
        <v>69</v>
      </c>
      <c r="M82" s="154" t="s">
        <v>69</v>
      </c>
      <c r="N82" s="154" t="s">
        <v>69</v>
      </c>
      <c r="O82" s="154" t="s">
        <v>69</v>
      </c>
      <c r="P82" s="154" t="s">
        <v>69</v>
      </c>
      <c r="Q82" s="154" t="s">
        <v>69</v>
      </c>
      <c r="R82" s="154" t="s">
        <v>69</v>
      </c>
      <c r="S82" s="154" t="s">
        <v>69</v>
      </c>
      <c r="T82" s="165" t="s">
        <v>69</v>
      </c>
      <c r="U82" s="165" t="s">
        <v>69</v>
      </c>
      <c r="V82" s="154" t="s">
        <v>69</v>
      </c>
      <c r="W82" s="154" t="s">
        <v>69</v>
      </c>
      <c r="X82" s="154" t="s">
        <v>69</v>
      </c>
      <c r="Y82" s="154" t="s">
        <v>69</v>
      </c>
      <c r="Z82" s="154" t="s">
        <v>69</v>
      </c>
      <c r="AA82" s="154" t="s">
        <v>69</v>
      </c>
      <c r="AB82" s="154" t="s">
        <v>69</v>
      </c>
      <c r="AC82" s="154" t="s">
        <v>69</v>
      </c>
      <c r="AD82" s="154" t="s">
        <v>69</v>
      </c>
      <c r="AE82" s="154" t="s">
        <v>69</v>
      </c>
      <c r="AF82" s="154" t="s">
        <v>69</v>
      </c>
      <c r="AG82" s="154" t="s">
        <v>69</v>
      </c>
      <c r="AH82" s="154" t="s">
        <v>69</v>
      </c>
      <c r="AI82" s="154" t="s">
        <v>69</v>
      </c>
      <c r="AJ82" s="154" t="s">
        <v>69</v>
      </c>
      <c r="AK82" s="154" t="s">
        <v>69</v>
      </c>
      <c r="AL82" s="154" t="s">
        <v>69</v>
      </c>
      <c r="AM82" s="154" t="s">
        <v>69</v>
      </c>
      <c r="AN82" s="154" t="s">
        <v>69</v>
      </c>
      <c r="AO82" s="154" t="s">
        <v>69</v>
      </c>
      <c r="AP82" s="154" t="s">
        <v>69</v>
      </c>
      <c r="AQ82" s="154" t="s">
        <v>69</v>
      </c>
      <c r="AR82" s="154" t="s">
        <v>69</v>
      </c>
      <c r="AS82" s="154" t="s">
        <v>69</v>
      </c>
      <c r="AT82" s="154" t="s">
        <v>69</v>
      </c>
      <c r="AU82" s="154" t="s">
        <v>69</v>
      </c>
      <c r="AV82" s="154" t="s">
        <v>69</v>
      </c>
      <c r="AW82" s="154" t="s">
        <v>69</v>
      </c>
      <c r="AX82" s="154" t="s">
        <v>69</v>
      </c>
      <c r="AY82" s="154" t="s">
        <v>69</v>
      </c>
      <c r="AZ82" s="154" t="s">
        <v>69</v>
      </c>
      <c r="BA82" s="154" t="s">
        <v>69</v>
      </c>
      <c r="BB82" s="154" t="s">
        <v>69</v>
      </c>
      <c r="BC82" s="154" t="s">
        <v>69</v>
      </c>
      <c r="BD82" s="154" t="s">
        <v>69</v>
      </c>
      <c r="BE82" s="154" t="s">
        <v>69</v>
      </c>
      <c r="BF82" s="154" t="s">
        <v>69</v>
      </c>
      <c r="BG82" s="154" t="s">
        <v>69</v>
      </c>
      <c r="BH82" s="154" t="s">
        <v>69</v>
      </c>
      <c r="BI82" s="154" t="s">
        <v>69</v>
      </c>
      <c r="BJ82" s="154" t="s">
        <v>69</v>
      </c>
      <c r="BK82" s="154" t="s">
        <v>69</v>
      </c>
      <c r="BL82" s="154" t="s">
        <v>69</v>
      </c>
      <c r="BM82" s="154" t="s">
        <v>69</v>
      </c>
      <c r="BN82" s="154" t="s">
        <v>69</v>
      </c>
      <c r="BO82" s="154" t="s">
        <v>69</v>
      </c>
      <c r="BP82" s="154" t="s">
        <v>69</v>
      </c>
      <c r="BQ82" s="154" t="s">
        <v>69</v>
      </c>
      <c r="BR82" s="154">
        <v>2</v>
      </c>
      <c r="BS82" s="154" t="s">
        <v>69</v>
      </c>
      <c r="BT82" s="154" t="s">
        <v>69</v>
      </c>
      <c r="BU82" s="154" t="s">
        <v>69</v>
      </c>
      <c r="BV82" s="154" t="s">
        <v>69</v>
      </c>
      <c r="BW82" s="154" t="s">
        <v>69</v>
      </c>
      <c r="BX82" s="154" t="s">
        <v>69</v>
      </c>
      <c r="BY82" s="154" t="s">
        <v>69</v>
      </c>
      <c r="BZ82" s="154" t="s">
        <v>69</v>
      </c>
      <c r="CA82" s="154" t="s">
        <v>69</v>
      </c>
      <c r="CB82" s="154" t="s">
        <v>69</v>
      </c>
      <c r="CC82" s="154" t="s">
        <v>69</v>
      </c>
      <c r="CD82" s="154" t="s">
        <v>69</v>
      </c>
      <c r="CE82" s="154" t="s">
        <v>69</v>
      </c>
      <c r="CF82" s="154" t="s">
        <v>69</v>
      </c>
      <c r="CG82" s="154" t="s">
        <v>69</v>
      </c>
      <c r="CH82" s="154" t="s">
        <v>69</v>
      </c>
      <c r="CI82" s="154" t="s">
        <v>69</v>
      </c>
      <c r="CJ82" s="154" t="s">
        <v>69</v>
      </c>
      <c r="CK82" s="154" t="s">
        <v>69</v>
      </c>
      <c r="CL82" s="154" t="s">
        <v>69</v>
      </c>
      <c r="CM82" s="154" t="s">
        <v>69</v>
      </c>
      <c r="CN82" s="154" t="s">
        <v>69</v>
      </c>
      <c r="CO82" s="154">
        <v>3</v>
      </c>
      <c r="CP82" s="154">
        <v>4</v>
      </c>
      <c r="CQ82" s="154">
        <v>4</v>
      </c>
      <c r="CR82" s="154" t="s">
        <v>69</v>
      </c>
      <c r="CS82" s="154" t="s">
        <v>69</v>
      </c>
      <c r="CT82" s="154" t="s">
        <v>69</v>
      </c>
      <c r="CU82" s="154" t="s">
        <v>69</v>
      </c>
      <c r="CV82" s="154" t="s">
        <v>69</v>
      </c>
      <c r="CW82" s="154" t="s">
        <v>69</v>
      </c>
      <c r="CX82" s="154" t="s">
        <v>69</v>
      </c>
      <c r="CY82" s="154" t="s">
        <v>69</v>
      </c>
      <c r="CZ82" s="154" t="s">
        <v>69</v>
      </c>
      <c r="DA82" s="154" t="s">
        <v>69</v>
      </c>
      <c r="DB82" s="154" t="s">
        <v>69</v>
      </c>
      <c r="DC82" s="154" t="s">
        <v>69</v>
      </c>
      <c r="DD82" s="154" t="s">
        <v>69</v>
      </c>
      <c r="DE82" s="154" t="s">
        <v>69</v>
      </c>
      <c r="DF82" s="154">
        <v>3</v>
      </c>
      <c r="DG82" s="154" t="s">
        <v>69</v>
      </c>
      <c r="DH82" s="154" t="s">
        <v>69</v>
      </c>
      <c r="DI82" s="154" t="s">
        <v>69</v>
      </c>
      <c r="DJ82" s="154" t="s">
        <v>69</v>
      </c>
      <c r="DK82" s="154" t="s">
        <v>69</v>
      </c>
      <c r="DL82" s="154" t="s">
        <v>69</v>
      </c>
      <c r="DM82" s="154" t="s">
        <v>69</v>
      </c>
      <c r="DN82" s="154" t="s">
        <v>69</v>
      </c>
      <c r="DO82" s="154" t="s">
        <v>69</v>
      </c>
      <c r="DP82" s="154" t="s">
        <v>69</v>
      </c>
      <c r="DQ82" s="154" t="s">
        <v>69</v>
      </c>
      <c r="DR82" s="154" t="s">
        <v>69</v>
      </c>
      <c r="DS82" s="154" t="s">
        <v>69</v>
      </c>
      <c r="DT82" s="154" t="s">
        <v>69</v>
      </c>
      <c r="DU82" s="110">
        <f t="shared" si="4"/>
        <v>8.0645161290322578E-2</v>
      </c>
      <c r="DV82" s="104">
        <f t="shared" si="5"/>
        <v>0.8</v>
      </c>
    </row>
    <row r="83" spans="1:126" ht="68.25" hidden="1" customHeight="1" thickBot="1">
      <c r="A83" s="148"/>
      <c r="B83" s="236" t="s">
        <v>703</v>
      </c>
      <c r="C83" s="239" t="s">
        <v>704</v>
      </c>
      <c r="D83" s="219">
        <v>45691</v>
      </c>
      <c r="E83" s="220" t="s">
        <v>434</v>
      </c>
      <c r="F83" s="154">
        <v>3</v>
      </c>
      <c r="G83" s="154" t="s">
        <v>69</v>
      </c>
      <c r="H83" s="154" t="s">
        <v>69</v>
      </c>
      <c r="I83" s="154" t="s">
        <v>69</v>
      </c>
      <c r="J83" s="154" t="s">
        <v>69</v>
      </c>
      <c r="K83" s="154" t="s">
        <v>69</v>
      </c>
      <c r="L83" s="154" t="s">
        <v>69</v>
      </c>
      <c r="M83" s="154" t="s">
        <v>69</v>
      </c>
      <c r="N83" s="154" t="s">
        <v>69</v>
      </c>
      <c r="O83" s="154" t="s">
        <v>69</v>
      </c>
      <c r="P83" s="154" t="s">
        <v>69</v>
      </c>
      <c r="Q83" s="154" t="s">
        <v>69</v>
      </c>
      <c r="R83" s="154" t="s">
        <v>69</v>
      </c>
      <c r="S83" s="154" t="s">
        <v>69</v>
      </c>
      <c r="T83" s="165" t="s">
        <v>69</v>
      </c>
      <c r="U83" s="165" t="s">
        <v>69</v>
      </c>
      <c r="V83" s="154" t="s">
        <v>69</v>
      </c>
      <c r="W83" s="154" t="s">
        <v>69</v>
      </c>
      <c r="X83" s="154" t="s">
        <v>69</v>
      </c>
      <c r="Y83" s="154">
        <v>2</v>
      </c>
      <c r="Z83" s="154" t="s">
        <v>69</v>
      </c>
      <c r="AA83" s="154" t="s">
        <v>69</v>
      </c>
      <c r="AB83" s="154" t="s">
        <v>69</v>
      </c>
      <c r="AC83" s="154" t="s">
        <v>69</v>
      </c>
      <c r="AD83" s="154" t="s">
        <v>69</v>
      </c>
      <c r="AE83" s="154" t="s">
        <v>69</v>
      </c>
      <c r="AF83" s="154" t="s">
        <v>69</v>
      </c>
      <c r="AG83" s="154" t="s">
        <v>69</v>
      </c>
      <c r="AH83" s="154" t="s">
        <v>69</v>
      </c>
      <c r="AI83" s="154" t="s">
        <v>69</v>
      </c>
      <c r="AJ83" s="154" t="s">
        <v>69</v>
      </c>
      <c r="AK83" s="154" t="s">
        <v>69</v>
      </c>
      <c r="AL83" s="154" t="s">
        <v>69</v>
      </c>
      <c r="AM83" s="154" t="s">
        <v>69</v>
      </c>
      <c r="AN83" s="154" t="s">
        <v>69</v>
      </c>
      <c r="AO83" s="154" t="s">
        <v>69</v>
      </c>
      <c r="AP83" s="154" t="s">
        <v>69</v>
      </c>
      <c r="AQ83" s="154" t="s">
        <v>69</v>
      </c>
      <c r="AR83" s="154">
        <v>2</v>
      </c>
      <c r="AS83" s="154" t="s">
        <v>69</v>
      </c>
      <c r="AT83" s="154" t="s">
        <v>69</v>
      </c>
      <c r="AU83" s="154" t="s">
        <v>69</v>
      </c>
      <c r="AV83" s="154" t="s">
        <v>69</v>
      </c>
      <c r="AW83" s="154" t="s">
        <v>69</v>
      </c>
      <c r="AX83" s="154">
        <v>3</v>
      </c>
      <c r="AY83" s="154" t="s">
        <v>69</v>
      </c>
      <c r="AZ83" s="154" t="s">
        <v>69</v>
      </c>
      <c r="BA83" s="154" t="s">
        <v>69</v>
      </c>
      <c r="BB83" s="154" t="s">
        <v>69</v>
      </c>
      <c r="BC83" s="154" t="s">
        <v>69</v>
      </c>
      <c r="BD83" s="154" t="s">
        <v>69</v>
      </c>
      <c r="BE83" s="154" t="s">
        <v>69</v>
      </c>
      <c r="BF83" s="154" t="s">
        <v>69</v>
      </c>
      <c r="BG83" s="154" t="s">
        <v>69</v>
      </c>
      <c r="BH83" s="154" t="s">
        <v>69</v>
      </c>
      <c r="BI83" s="154" t="s">
        <v>69</v>
      </c>
      <c r="BJ83" s="154" t="s">
        <v>69</v>
      </c>
      <c r="BK83" s="154" t="s">
        <v>69</v>
      </c>
      <c r="BL83" s="154" t="s">
        <v>69</v>
      </c>
      <c r="BM83" s="154" t="s">
        <v>69</v>
      </c>
      <c r="BN83" s="154" t="s">
        <v>69</v>
      </c>
      <c r="BO83" s="154" t="s">
        <v>69</v>
      </c>
      <c r="BP83" s="154" t="s">
        <v>69</v>
      </c>
      <c r="BQ83" s="154" t="s">
        <v>69</v>
      </c>
      <c r="BR83" s="154" t="s">
        <v>69</v>
      </c>
      <c r="BS83" s="154" t="s">
        <v>69</v>
      </c>
      <c r="BT83" s="154" t="s">
        <v>69</v>
      </c>
      <c r="BU83" s="154" t="s">
        <v>69</v>
      </c>
      <c r="BV83" s="154" t="s">
        <v>69</v>
      </c>
      <c r="BW83" s="154" t="s">
        <v>69</v>
      </c>
      <c r="BX83" s="154" t="s">
        <v>69</v>
      </c>
      <c r="BY83" s="154" t="s">
        <v>69</v>
      </c>
      <c r="BZ83" s="154" t="s">
        <v>69</v>
      </c>
      <c r="CA83" s="154" t="s">
        <v>69</v>
      </c>
      <c r="CB83" s="154" t="s">
        <v>69</v>
      </c>
      <c r="CC83" s="154" t="s">
        <v>69</v>
      </c>
      <c r="CD83" s="154" t="s">
        <v>69</v>
      </c>
      <c r="CE83" s="154" t="s">
        <v>69</v>
      </c>
      <c r="CF83" s="154" t="s">
        <v>69</v>
      </c>
      <c r="CG83" s="154" t="s">
        <v>69</v>
      </c>
      <c r="CH83" s="154" t="s">
        <v>69</v>
      </c>
      <c r="CI83" s="154" t="s">
        <v>69</v>
      </c>
      <c r="CJ83" s="154" t="s">
        <v>69</v>
      </c>
      <c r="CK83" s="154">
        <v>4</v>
      </c>
      <c r="CL83" s="154">
        <v>3</v>
      </c>
      <c r="CM83" s="154" t="s">
        <v>69</v>
      </c>
      <c r="CN83" s="154" t="s">
        <v>69</v>
      </c>
      <c r="CO83" s="154" t="s">
        <v>69</v>
      </c>
      <c r="CP83" s="154">
        <v>3</v>
      </c>
      <c r="CQ83" s="154" t="s">
        <v>69</v>
      </c>
      <c r="CR83" s="154" t="s">
        <v>69</v>
      </c>
      <c r="CS83" s="154" t="s">
        <v>69</v>
      </c>
      <c r="CT83" s="154" t="s">
        <v>69</v>
      </c>
      <c r="CU83" s="154" t="s">
        <v>69</v>
      </c>
      <c r="CV83" s="154" t="s">
        <v>69</v>
      </c>
      <c r="CW83" s="154" t="s">
        <v>69</v>
      </c>
      <c r="CX83" s="154" t="s">
        <v>69</v>
      </c>
      <c r="CY83" s="154" t="s">
        <v>69</v>
      </c>
      <c r="CZ83" s="154" t="s">
        <v>69</v>
      </c>
      <c r="DA83" s="154">
        <v>3</v>
      </c>
      <c r="DB83" s="154" t="s">
        <v>69</v>
      </c>
      <c r="DC83" s="154" t="s">
        <v>69</v>
      </c>
      <c r="DD83" s="154" t="s">
        <v>69</v>
      </c>
      <c r="DE83" s="154" t="s">
        <v>69</v>
      </c>
      <c r="DF83" s="154" t="s">
        <v>69</v>
      </c>
      <c r="DG83" s="154" t="s">
        <v>69</v>
      </c>
      <c r="DH83" s="154" t="s">
        <v>69</v>
      </c>
      <c r="DI83" s="154" t="s">
        <v>69</v>
      </c>
      <c r="DJ83" s="154" t="s">
        <v>69</v>
      </c>
      <c r="DK83" s="154" t="s">
        <v>69</v>
      </c>
      <c r="DL83" s="154" t="s">
        <v>69</v>
      </c>
      <c r="DM83" s="154" t="s">
        <v>69</v>
      </c>
      <c r="DN83" s="154" t="s">
        <v>69</v>
      </c>
      <c r="DO83" s="154" t="s">
        <v>69</v>
      </c>
      <c r="DP83" s="154" t="s">
        <v>69</v>
      </c>
      <c r="DQ83" s="154" t="s">
        <v>69</v>
      </c>
      <c r="DR83" s="154" t="s">
        <v>69</v>
      </c>
      <c r="DS83" s="154" t="s">
        <v>69</v>
      </c>
      <c r="DT83" s="154" t="s">
        <v>69</v>
      </c>
      <c r="DU83" s="110">
        <f t="shared" si="4"/>
        <v>0.12903225806451613</v>
      </c>
      <c r="DV83" s="104">
        <f t="shared" si="5"/>
        <v>0.75</v>
      </c>
    </row>
    <row r="84" spans="1:126" ht="68.25" hidden="1" customHeight="1" thickBot="1">
      <c r="A84" s="148"/>
      <c r="B84" s="236" t="s">
        <v>705</v>
      </c>
      <c r="C84" s="239" t="s">
        <v>706</v>
      </c>
      <c r="D84" s="219">
        <v>45691</v>
      </c>
      <c r="E84" s="220" t="s">
        <v>434</v>
      </c>
      <c r="F84" s="154">
        <v>2</v>
      </c>
      <c r="G84" s="154" t="s">
        <v>69</v>
      </c>
      <c r="H84" s="154" t="s">
        <v>69</v>
      </c>
      <c r="I84" s="154">
        <v>3</v>
      </c>
      <c r="J84" s="154" t="s">
        <v>69</v>
      </c>
      <c r="K84" s="154" t="s">
        <v>69</v>
      </c>
      <c r="L84" s="154" t="s">
        <v>69</v>
      </c>
      <c r="M84" s="154" t="s">
        <v>69</v>
      </c>
      <c r="N84" s="154" t="s">
        <v>69</v>
      </c>
      <c r="O84" s="154" t="s">
        <v>69</v>
      </c>
      <c r="P84" s="154" t="s">
        <v>69</v>
      </c>
      <c r="Q84" s="154" t="s">
        <v>69</v>
      </c>
      <c r="R84" s="154" t="s">
        <v>69</v>
      </c>
      <c r="S84" s="154" t="s">
        <v>69</v>
      </c>
      <c r="T84" s="165" t="s">
        <v>69</v>
      </c>
      <c r="U84" s="165" t="s">
        <v>69</v>
      </c>
      <c r="V84" s="154" t="s">
        <v>69</v>
      </c>
      <c r="W84" s="154" t="s">
        <v>69</v>
      </c>
      <c r="X84" s="154" t="s">
        <v>69</v>
      </c>
      <c r="Y84" s="154" t="s">
        <v>69</v>
      </c>
      <c r="Z84" s="154" t="s">
        <v>69</v>
      </c>
      <c r="AA84" s="154" t="s">
        <v>69</v>
      </c>
      <c r="AB84" s="154" t="s">
        <v>69</v>
      </c>
      <c r="AC84" s="154" t="s">
        <v>69</v>
      </c>
      <c r="AD84" s="154" t="s">
        <v>69</v>
      </c>
      <c r="AE84" s="154" t="s">
        <v>69</v>
      </c>
      <c r="AF84" s="154" t="s">
        <v>69</v>
      </c>
      <c r="AG84" s="154" t="s">
        <v>69</v>
      </c>
      <c r="AH84" s="154" t="s">
        <v>69</v>
      </c>
      <c r="AI84" s="154" t="s">
        <v>69</v>
      </c>
      <c r="AJ84" s="154" t="s">
        <v>69</v>
      </c>
      <c r="AK84" s="154" t="s">
        <v>69</v>
      </c>
      <c r="AL84" s="154" t="s">
        <v>69</v>
      </c>
      <c r="AM84" s="154" t="s">
        <v>69</v>
      </c>
      <c r="AN84" s="154" t="s">
        <v>69</v>
      </c>
      <c r="AO84" s="154" t="s">
        <v>69</v>
      </c>
      <c r="AP84" s="154" t="s">
        <v>69</v>
      </c>
      <c r="AQ84" s="154" t="s">
        <v>69</v>
      </c>
      <c r="AR84" s="154" t="s">
        <v>69</v>
      </c>
      <c r="AS84" s="154" t="s">
        <v>69</v>
      </c>
      <c r="AT84" s="154" t="s">
        <v>69</v>
      </c>
      <c r="AU84" s="154" t="s">
        <v>69</v>
      </c>
      <c r="AV84" s="154" t="s">
        <v>69</v>
      </c>
      <c r="AW84" s="154" t="s">
        <v>69</v>
      </c>
      <c r="AX84" s="154" t="s">
        <v>69</v>
      </c>
      <c r="AY84" s="154" t="s">
        <v>69</v>
      </c>
      <c r="AZ84" s="154" t="s">
        <v>69</v>
      </c>
      <c r="BA84" s="154" t="s">
        <v>69</v>
      </c>
      <c r="BB84" s="154" t="s">
        <v>69</v>
      </c>
      <c r="BC84" s="154" t="s">
        <v>69</v>
      </c>
      <c r="BD84" s="154" t="s">
        <v>69</v>
      </c>
      <c r="BE84" s="154" t="s">
        <v>69</v>
      </c>
      <c r="BF84" s="154" t="s">
        <v>69</v>
      </c>
      <c r="BG84" s="154" t="s">
        <v>69</v>
      </c>
      <c r="BH84" s="154" t="s">
        <v>69</v>
      </c>
      <c r="BI84" s="154" t="s">
        <v>69</v>
      </c>
      <c r="BJ84" s="154" t="s">
        <v>69</v>
      </c>
      <c r="BK84" s="154" t="s">
        <v>69</v>
      </c>
      <c r="BL84" s="154" t="s">
        <v>69</v>
      </c>
      <c r="BM84" s="154" t="s">
        <v>69</v>
      </c>
      <c r="BN84" s="154" t="s">
        <v>69</v>
      </c>
      <c r="BO84" s="154" t="s">
        <v>69</v>
      </c>
      <c r="BP84" s="154" t="s">
        <v>69</v>
      </c>
      <c r="BQ84" s="154" t="s">
        <v>69</v>
      </c>
      <c r="BR84" s="154" t="s">
        <v>69</v>
      </c>
      <c r="BS84" s="154" t="s">
        <v>69</v>
      </c>
      <c r="BT84" s="154" t="s">
        <v>69</v>
      </c>
      <c r="BU84" s="154" t="s">
        <v>69</v>
      </c>
      <c r="BV84" s="154" t="s">
        <v>69</v>
      </c>
      <c r="BW84" s="154" t="s">
        <v>69</v>
      </c>
      <c r="BX84" s="154" t="s">
        <v>69</v>
      </c>
      <c r="BY84" s="154" t="s">
        <v>69</v>
      </c>
      <c r="BZ84" s="154" t="s">
        <v>69</v>
      </c>
      <c r="CA84" s="154" t="s">
        <v>69</v>
      </c>
      <c r="CB84" s="154" t="s">
        <v>69</v>
      </c>
      <c r="CC84" s="154" t="s">
        <v>69</v>
      </c>
      <c r="CD84" s="154" t="s">
        <v>69</v>
      </c>
      <c r="CE84" s="154" t="s">
        <v>69</v>
      </c>
      <c r="CF84" s="154" t="s">
        <v>69</v>
      </c>
      <c r="CG84" s="154" t="s">
        <v>69</v>
      </c>
      <c r="CH84" s="154" t="s">
        <v>69</v>
      </c>
      <c r="CI84" s="154" t="s">
        <v>69</v>
      </c>
      <c r="CJ84" s="154" t="s">
        <v>69</v>
      </c>
      <c r="CK84" s="154" t="s">
        <v>69</v>
      </c>
      <c r="CL84" s="154" t="s">
        <v>69</v>
      </c>
      <c r="CM84" s="154">
        <v>3</v>
      </c>
      <c r="CN84" s="154" t="s">
        <v>69</v>
      </c>
      <c r="CO84" s="154" t="s">
        <v>69</v>
      </c>
      <c r="CP84" s="154" t="s">
        <v>69</v>
      </c>
      <c r="CQ84" s="154" t="s">
        <v>69</v>
      </c>
      <c r="CR84" s="154" t="s">
        <v>69</v>
      </c>
      <c r="CS84" s="154" t="s">
        <v>69</v>
      </c>
      <c r="CT84" s="154" t="s">
        <v>69</v>
      </c>
      <c r="CU84" s="154" t="s">
        <v>69</v>
      </c>
      <c r="CV84" s="154" t="s">
        <v>69</v>
      </c>
      <c r="CW84" s="154" t="s">
        <v>69</v>
      </c>
      <c r="CX84" s="154" t="s">
        <v>69</v>
      </c>
      <c r="CY84" s="154" t="s">
        <v>69</v>
      </c>
      <c r="CZ84" s="154" t="s">
        <v>69</v>
      </c>
      <c r="DA84" s="154" t="s">
        <v>69</v>
      </c>
      <c r="DB84" s="154" t="s">
        <v>69</v>
      </c>
      <c r="DC84" s="154" t="s">
        <v>69</v>
      </c>
      <c r="DD84" s="154" t="s">
        <v>69</v>
      </c>
      <c r="DE84" s="154" t="s">
        <v>69</v>
      </c>
      <c r="DF84" s="154" t="s">
        <v>69</v>
      </c>
      <c r="DG84" s="154" t="s">
        <v>69</v>
      </c>
      <c r="DH84" s="154" t="s">
        <v>69</v>
      </c>
      <c r="DI84" s="154" t="s">
        <v>69</v>
      </c>
      <c r="DJ84" s="154" t="s">
        <v>69</v>
      </c>
      <c r="DK84" s="154" t="s">
        <v>69</v>
      </c>
      <c r="DL84" s="154" t="s">
        <v>69</v>
      </c>
      <c r="DM84" s="154" t="s">
        <v>69</v>
      </c>
      <c r="DN84" s="154" t="s">
        <v>69</v>
      </c>
      <c r="DO84" s="154" t="s">
        <v>69</v>
      </c>
      <c r="DP84" s="154" t="s">
        <v>69</v>
      </c>
      <c r="DQ84" s="154" t="s">
        <v>69</v>
      </c>
      <c r="DR84" s="154" t="s">
        <v>69</v>
      </c>
      <c r="DS84" s="154" t="s">
        <v>69</v>
      </c>
      <c r="DT84" s="154" t="s">
        <v>69</v>
      </c>
      <c r="DU84" s="110">
        <f t="shared" si="4"/>
        <v>4.8387096774193547E-2</v>
      </c>
      <c r="DV84" s="104">
        <f t="shared" si="5"/>
        <v>0.66666666666666663</v>
      </c>
    </row>
    <row r="85" spans="1:126" ht="68.25" hidden="1" customHeight="1" thickBot="1">
      <c r="A85" s="148"/>
      <c r="B85" s="236" t="s">
        <v>707</v>
      </c>
      <c r="C85" s="239" t="s">
        <v>708</v>
      </c>
      <c r="D85" s="219">
        <v>45691</v>
      </c>
      <c r="E85" s="220" t="s">
        <v>434</v>
      </c>
      <c r="F85" s="154" t="s">
        <v>69</v>
      </c>
      <c r="G85" s="154" t="s">
        <v>69</v>
      </c>
      <c r="H85" s="154" t="s">
        <v>69</v>
      </c>
      <c r="I85" s="154" t="s">
        <v>69</v>
      </c>
      <c r="J85" s="154" t="s">
        <v>69</v>
      </c>
      <c r="K85" s="154" t="s">
        <v>69</v>
      </c>
      <c r="L85" s="154" t="s">
        <v>69</v>
      </c>
      <c r="M85" s="154" t="s">
        <v>69</v>
      </c>
      <c r="N85" s="154" t="s">
        <v>69</v>
      </c>
      <c r="O85" s="154" t="s">
        <v>69</v>
      </c>
      <c r="P85" s="154" t="s">
        <v>69</v>
      </c>
      <c r="Q85" s="154">
        <v>2</v>
      </c>
      <c r="R85" s="154" t="s">
        <v>69</v>
      </c>
      <c r="S85" s="154" t="s">
        <v>69</v>
      </c>
      <c r="T85" s="165" t="s">
        <v>69</v>
      </c>
      <c r="U85" s="165" t="s">
        <v>69</v>
      </c>
      <c r="V85" s="154" t="s">
        <v>69</v>
      </c>
      <c r="W85" s="154" t="s">
        <v>69</v>
      </c>
      <c r="X85" s="154" t="s">
        <v>69</v>
      </c>
      <c r="Y85" s="154" t="s">
        <v>69</v>
      </c>
      <c r="Z85" s="154" t="s">
        <v>69</v>
      </c>
      <c r="AA85" s="154" t="s">
        <v>69</v>
      </c>
      <c r="AB85" s="154" t="s">
        <v>69</v>
      </c>
      <c r="AC85" s="154" t="s">
        <v>69</v>
      </c>
      <c r="AD85" s="154" t="s">
        <v>69</v>
      </c>
      <c r="AE85" s="154" t="s">
        <v>69</v>
      </c>
      <c r="AF85" s="154">
        <v>4</v>
      </c>
      <c r="AG85" s="154" t="s">
        <v>69</v>
      </c>
      <c r="AH85" s="154">
        <v>2</v>
      </c>
      <c r="AI85" s="154" t="s">
        <v>69</v>
      </c>
      <c r="AJ85" s="154" t="s">
        <v>69</v>
      </c>
      <c r="AK85" s="154" t="s">
        <v>69</v>
      </c>
      <c r="AL85" s="154" t="s">
        <v>69</v>
      </c>
      <c r="AM85" s="154" t="s">
        <v>69</v>
      </c>
      <c r="AN85" s="154" t="s">
        <v>69</v>
      </c>
      <c r="AO85" s="154" t="s">
        <v>69</v>
      </c>
      <c r="AP85" s="154" t="s">
        <v>69</v>
      </c>
      <c r="AQ85" s="154" t="s">
        <v>69</v>
      </c>
      <c r="AR85" s="154" t="s">
        <v>69</v>
      </c>
      <c r="AS85" s="154" t="s">
        <v>69</v>
      </c>
      <c r="AT85" s="154" t="s">
        <v>69</v>
      </c>
      <c r="AU85" s="154" t="s">
        <v>69</v>
      </c>
      <c r="AV85" s="154" t="s">
        <v>69</v>
      </c>
      <c r="AW85" s="154" t="s">
        <v>69</v>
      </c>
      <c r="AX85" s="154" t="s">
        <v>69</v>
      </c>
      <c r="AY85" s="154" t="s">
        <v>69</v>
      </c>
      <c r="AZ85" s="154" t="s">
        <v>69</v>
      </c>
      <c r="BA85" s="154" t="s">
        <v>69</v>
      </c>
      <c r="BB85" s="154" t="s">
        <v>69</v>
      </c>
      <c r="BC85" s="154" t="s">
        <v>69</v>
      </c>
      <c r="BD85" s="154" t="s">
        <v>69</v>
      </c>
      <c r="BE85" s="154" t="s">
        <v>69</v>
      </c>
      <c r="BF85" s="154" t="s">
        <v>69</v>
      </c>
      <c r="BG85" s="154" t="s">
        <v>69</v>
      </c>
      <c r="BH85" s="154" t="s">
        <v>69</v>
      </c>
      <c r="BI85" s="154" t="s">
        <v>69</v>
      </c>
      <c r="BJ85" s="154" t="s">
        <v>69</v>
      </c>
      <c r="BK85" s="154" t="s">
        <v>69</v>
      </c>
      <c r="BL85" s="154" t="s">
        <v>69</v>
      </c>
      <c r="BM85" s="154" t="s">
        <v>69</v>
      </c>
      <c r="BN85" s="154" t="s">
        <v>69</v>
      </c>
      <c r="BO85" s="154" t="s">
        <v>69</v>
      </c>
      <c r="BP85" s="154" t="s">
        <v>69</v>
      </c>
      <c r="BQ85" s="154">
        <v>3</v>
      </c>
      <c r="BR85" s="154" t="s">
        <v>69</v>
      </c>
      <c r="BS85" s="154" t="s">
        <v>69</v>
      </c>
      <c r="BT85" s="154" t="s">
        <v>69</v>
      </c>
      <c r="BU85" s="154" t="s">
        <v>69</v>
      </c>
      <c r="BV85" s="154" t="s">
        <v>69</v>
      </c>
      <c r="BW85" s="154" t="s">
        <v>69</v>
      </c>
      <c r="BX85" s="154" t="s">
        <v>69</v>
      </c>
      <c r="BY85" s="154" t="s">
        <v>69</v>
      </c>
      <c r="BZ85" s="154" t="s">
        <v>69</v>
      </c>
      <c r="CA85" s="154" t="s">
        <v>69</v>
      </c>
      <c r="CB85" s="154" t="s">
        <v>69</v>
      </c>
      <c r="CC85" s="154" t="s">
        <v>69</v>
      </c>
      <c r="CD85" s="154" t="s">
        <v>69</v>
      </c>
      <c r="CE85" s="154" t="s">
        <v>69</v>
      </c>
      <c r="CF85" s="154" t="s">
        <v>69</v>
      </c>
      <c r="CG85" s="154" t="s">
        <v>69</v>
      </c>
      <c r="CH85" s="154" t="s">
        <v>69</v>
      </c>
      <c r="CI85" s="154" t="s">
        <v>69</v>
      </c>
      <c r="CJ85" s="154" t="s">
        <v>69</v>
      </c>
      <c r="CK85" s="154" t="s">
        <v>69</v>
      </c>
      <c r="CL85" s="154" t="s">
        <v>69</v>
      </c>
      <c r="CM85" s="154" t="s">
        <v>69</v>
      </c>
      <c r="CN85" s="154" t="s">
        <v>69</v>
      </c>
      <c r="CO85" s="154">
        <v>2</v>
      </c>
      <c r="CP85" s="154" t="s">
        <v>69</v>
      </c>
      <c r="CQ85" s="154" t="s">
        <v>69</v>
      </c>
      <c r="CR85" s="154" t="s">
        <v>69</v>
      </c>
      <c r="CS85" s="154" t="s">
        <v>69</v>
      </c>
      <c r="CT85" s="154" t="s">
        <v>69</v>
      </c>
      <c r="CU85" s="154" t="s">
        <v>69</v>
      </c>
      <c r="CV85" s="154" t="s">
        <v>69</v>
      </c>
      <c r="CW85" s="154" t="s">
        <v>69</v>
      </c>
      <c r="CX85" s="154" t="s">
        <v>69</v>
      </c>
      <c r="CY85" s="154" t="s">
        <v>69</v>
      </c>
      <c r="CZ85" s="154" t="s">
        <v>69</v>
      </c>
      <c r="DA85" s="154" t="s">
        <v>69</v>
      </c>
      <c r="DB85" s="154" t="s">
        <v>69</v>
      </c>
      <c r="DC85" s="154" t="s">
        <v>69</v>
      </c>
      <c r="DD85" s="154" t="s">
        <v>69</v>
      </c>
      <c r="DE85" s="154" t="s">
        <v>69</v>
      </c>
      <c r="DF85" s="154" t="s">
        <v>69</v>
      </c>
      <c r="DG85" s="154" t="s">
        <v>69</v>
      </c>
      <c r="DH85" s="154" t="s">
        <v>69</v>
      </c>
      <c r="DI85" s="154" t="s">
        <v>69</v>
      </c>
      <c r="DJ85" s="154" t="s">
        <v>69</v>
      </c>
      <c r="DK85" s="154" t="s">
        <v>69</v>
      </c>
      <c r="DL85" s="154" t="s">
        <v>69</v>
      </c>
      <c r="DM85" s="154" t="s">
        <v>69</v>
      </c>
      <c r="DN85" s="154" t="s">
        <v>69</v>
      </c>
      <c r="DO85" s="154" t="s">
        <v>69</v>
      </c>
      <c r="DP85" s="154" t="s">
        <v>69</v>
      </c>
      <c r="DQ85" s="154" t="s">
        <v>69</v>
      </c>
      <c r="DR85" s="154" t="s">
        <v>69</v>
      </c>
      <c r="DS85" s="154" t="s">
        <v>69</v>
      </c>
      <c r="DT85" s="154" t="s">
        <v>69</v>
      </c>
      <c r="DU85" s="110">
        <f t="shared" si="4"/>
        <v>8.0645161290322578E-2</v>
      </c>
      <c r="DV85" s="104">
        <f t="shared" si="5"/>
        <v>0.4</v>
      </c>
    </row>
    <row r="86" spans="1:126" ht="68.25" hidden="1" customHeight="1" thickBot="1">
      <c r="A86" s="148"/>
      <c r="B86" s="236" t="s">
        <v>709</v>
      </c>
      <c r="C86" s="239" t="s">
        <v>710</v>
      </c>
      <c r="D86" s="219">
        <v>45691</v>
      </c>
      <c r="E86" s="220" t="s">
        <v>434</v>
      </c>
      <c r="F86" s="154" t="s">
        <v>69</v>
      </c>
      <c r="G86" s="154" t="s">
        <v>69</v>
      </c>
      <c r="H86" s="154">
        <v>3</v>
      </c>
      <c r="I86" s="154">
        <v>3</v>
      </c>
      <c r="J86" s="154" t="s">
        <v>69</v>
      </c>
      <c r="K86" s="154" t="s">
        <v>69</v>
      </c>
      <c r="L86" s="154" t="s">
        <v>69</v>
      </c>
      <c r="M86" s="154" t="s">
        <v>69</v>
      </c>
      <c r="N86" s="154" t="s">
        <v>69</v>
      </c>
      <c r="O86" s="154" t="s">
        <v>69</v>
      </c>
      <c r="P86" s="154" t="s">
        <v>69</v>
      </c>
      <c r="Q86" s="154" t="s">
        <v>69</v>
      </c>
      <c r="R86" s="154" t="s">
        <v>69</v>
      </c>
      <c r="S86" s="154" t="s">
        <v>69</v>
      </c>
      <c r="T86" s="165" t="s">
        <v>69</v>
      </c>
      <c r="U86" s="165" t="s">
        <v>69</v>
      </c>
      <c r="V86" s="154" t="s">
        <v>69</v>
      </c>
      <c r="W86" s="154" t="s">
        <v>69</v>
      </c>
      <c r="X86" s="154" t="s">
        <v>69</v>
      </c>
      <c r="Y86" s="154" t="s">
        <v>69</v>
      </c>
      <c r="Z86" s="154" t="s">
        <v>69</v>
      </c>
      <c r="AA86" s="154" t="s">
        <v>69</v>
      </c>
      <c r="AB86" s="154" t="s">
        <v>69</v>
      </c>
      <c r="AC86" s="154" t="s">
        <v>69</v>
      </c>
      <c r="AD86" s="154" t="s">
        <v>69</v>
      </c>
      <c r="AE86" s="154" t="s">
        <v>69</v>
      </c>
      <c r="AF86" s="154" t="s">
        <v>69</v>
      </c>
      <c r="AG86" s="154" t="s">
        <v>69</v>
      </c>
      <c r="AH86" s="154" t="s">
        <v>69</v>
      </c>
      <c r="AI86" s="154" t="s">
        <v>69</v>
      </c>
      <c r="AJ86" s="154" t="s">
        <v>69</v>
      </c>
      <c r="AK86" s="154" t="s">
        <v>69</v>
      </c>
      <c r="AL86" s="154" t="s">
        <v>69</v>
      </c>
      <c r="AM86" s="154" t="s">
        <v>69</v>
      </c>
      <c r="AN86" s="154" t="s">
        <v>69</v>
      </c>
      <c r="AO86" s="154" t="s">
        <v>69</v>
      </c>
      <c r="AP86" s="154" t="s">
        <v>69</v>
      </c>
      <c r="AQ86" s="154" t="s">
        <v>69</v>
      </c>
      <c r="AR86" s="154" t="s">
        <v>69</v>
      </c>
      <c r="AS86" s="154" t="s">
        <v>69</v>
      </c>
      <c r="AT86" s="154" t="s">
        <v>69</v>
      </c>
      <c r="AU86" s="154" t="s">
        <v>69</v>
      </c>
      <c r="AV86" s="154" t="s">
        <v>69</v>
      </c>
      <c r="AW86" s="154" t="s">
        <v>69</v>
      </c>
      <c r="AX86" s="154" t="s">
        <v>69</v>
      </c>
      <c r="AY86" s="154" t="s">
        <v>69</v>
      </c>
      <c r="AZ86" s="154" t="s">
        <v>69</v>
      </c>
      <c r="BA86" s="154" t="s">
        <v>69</v>
      </c>
      <c r="BB86" s="154" t="s">
        <v>69</v>
      </c>
      <c r="BC86" s="154" t="s">
        <v>69</v>
      </c>
      <c r="BD86" s="154" t="s">
        <v>69</v>
      </c>
      <c r="BE86" s="154">
        <v>3</v>
      </c>
      <c r="BF86" s="154">
        <v>2</v>
      </c>
      <c r="BG86" s="154" t="s">
        <v>69</v>
      </c>
      <c r="BH86" s="154" t="s">
        <v>69</v>
      </c>
      <c r="BI86" s="154" t="s">
        <v>69</v>
      </c>
      <c r="BJ86" s="154" t="s">
        <v>69</v>
      </c>
      <c r="BK86" s="154" t="s">
        <v>69</v>
      </c>
      <c r="BL86" s="154" t="s">
        <v>69</v>
      </c>
      <c r="BM86" s="154" t="s">
        <v>69</v>
      </c>
      <c r="BN86" s="154" t="s">
        <v>69</v>
      </c>
      <c r="BO86" s="154" t="s">
        <v>69</v>
      </c>
      <c r="BP86" s="154" t="s">
        <v>69</v>
      </c>
      <c r="BQ86" s="154" t="s">
        <v>69</v>
      </c>
      <c r="BR86" s="154" t="s">
        <v>69</v>
      </c>
      <c r="BS86" s="154" t="s">
        <v>69</v>
      </c>
      <c r="BT86" s="154" t="s">
        <v>69</v>
      </c>
      <c r="BU86" s="154" t="s">
        <v>69</v>
      </c>
      <c r="BV86" s="154" t="s">
        <v>69</v>
      </c>
      <c r="BW86" s="154" t="s">
        <v>69</v>
      </c>
      <c r="BX86" s="154" t="s">
        <v>69</v>
      </c>
      <c r="BY86" s="154" t="s">
        <v>69</v>
      </c>
      <c r="BZ86" s="154" t="s">
        <v>69</v>
      </c>
      <c r="CA86" s="154" t="s">
        <v>69</v>
      </c>
      <c r="CB86" s="154" t="s">
        <v>69</v>
      </c>
      <c r="CC86" s="154" t="s">
        <v>69</v>
      </c>
      <c r="CD86" s="154" t="s">
        <v>69</v>
      </c>
      <c r="CE86" s="154" t="s">
        <v>69</v>
      </c>
      <c r="CF86" s="154" t="s">
        <v>69</v>
      </c>
      <c r="CG86" s="154" t="s">
        <v>69</v>
      </c>
      <c r="CH86" s="154" t="s">
        <v>69</v>
      </c>
      <c r="CI86" s="154" t="s">
        <v>69</v>
      </c>
      <c r="CJ86" s="154" t="s">
        <v>69</v>
      </c>
      <c r="CK86" s="154" t="s">
        <v>69</v>
      </c>
      <c r="CL86" s="154" t="s">
        <v>69</v>
      </c>
      <c r="CM86" s="154" t="s">
        <v>69</v>
      </c>
      <c r="CN86" s="154" t="s">
        <v>69</v>
      </c>
      <c r="CO86" s="154" t="s">
        <v>69</v>
      </c>
      <c r="CP86" s="154" t="s">
        <v>69</v>
      </c>
      <c r="CQ86" s="154" t="s">
        <v>69</v>
      </c>
      <c r="CR86" s="154" t="s">
        <v>69</v>
      </c>
      <c r="CS86" s="154" t="s">
        <v>69</v>
      </c>
      <c r="CT86" s="154" t="s">
        <v>69</v>
      </c>
      <c r="CU86" s="154" t="s">
        <v>69</v>
      </c>
      <c r="CV86" s="154" t="s">
        <v>69</v>
      </c>
      <c r="CW86" s="154" t="s">
        <v>69</v>
      </c>
      <c r="CX86" s="154" t="s">
        <v>69</v>
      </c>
      <c r="CY86" s="154" t="s">
        <v>69</v>
      </c>
      <c r="CZ86" s="154" t="s">
        <v>69</v>
      </c>
      <c r="DA86" s="154" t="s">
        <v>69</v>
      </c>
      <c r="DB86" s="154" t="s">
        <v>69</v>
      </c>
      <c r="DC86" s="154" t="s">
        <v>69</v>
      </c>
      <c r="DD86" s="154" t="s">
        <v>69</v>
      </c>
      <c r="DE86" s="154" t="s">
        <v>69</v>
      </c>
      <c r="DF86" s="154" t="s">
        <v>69</v>
      </c>
      <c r="DG86" s="154" t="s">
        <v>69</v>
      </c>
      <c r="DH86" s="154" t="s">
        <v>69</v>
      </c>
      <c r="DI86" s="154" t="s">
        <v>69</v>
      </c>
      <c r="DJ86" s="154" t="s">
        <v>69</v>
      </c>
      <c r="DK86" s="154" t="s">
        <v>69</v>
      </c>
      <c r="DL86" s="154" t="s">
        <v>69</v>
      </c>
      <c r="DM86" s="154" t="s">
        <v>69</v>
      </c>
      <c r="DN86" s="154" t="s">
        <v>69</v>
      </c>
      <c r="DO86" s="154" t="s">
        <v>69</v>
      </c>
      <c r="DP86" s="154" t="s">
        <v>69</v>
      </c>
      <c r="DQ86" s="154" t="s">
        <v>69</v>
      </c>
      <c r="DR86" s="154" t="s">
        <v>69</v>
      </c>
      <c r="DS86" s="154" t="s">
        <v>69</v>
      </c>
      <c r="DT86" s="154" t="s">
        <v>69</v>
      </c>
      <c r="DU86" s="110">
        <f t="shared" si="4"/>
        <v>6.4516129032258063E-2</v>
      </c>
      <c r="DV86" s="104">
        <f t="shared" si="5"/>
        <v>0.75</v>
      </c>
    </row>
    <row r="87" spans="1:126" ht="68.25" hidden="1" customHeight="1" thickBot="1">
      <c r="A87" s="148"/>
      <c r="B87" s="236" t="s">
        <v>711</v>
      </c>
      <c r="C87" s="239" t="s">
        <v>712</v>
      </c>
      <c r="D87" s="219">
        <v>45691</v>
      </c>
      <c r="E87" s="220" t="s">
        <v>434</v>
      </c>
      <c r="F87" s="154" t="s">
        <v>69</v>
      </c>
      <c r="G87" s="154" t="s">
        <v>69</v>
      </c>
      <c r="H87" s="154" t="s">
        <v>69</v>
      </c>
      <c r="I87" s="154" t="s">
        <v>69</v>
      </c>
      <c r="J87" s="154" t="s">
        <v>69</v>
      </c>
      <c r="K87" s="154" t="s">
        <v>69</v>
      </c>
      <c r="L87" s="154" t="s">
        <v>69</v>
      </c>
      <c r="M87" s="154" t="s">
        <v>69</v>
      </c>
      <c r="N87" s="154" t="s">
        <v>69</v>
      </c>
      <c r="O87" s="154" t="s">
        <v>69</v>
      </c>
      <c r="P87" s="154" t="s">
        <v>69</v>
      </c>
      <c r="Q87" s="154" t="s">
        <v>69</v>
      </c>
      <c r="R87" s="154" t="s">
        <v>69</v>
      </c>
      <c r="S87" s="154" t="s">
        <v>69</v>
      </c>
      <c r="T87" s="165" t="s">
        <v>69</v>
      </c>
      <c r="U87" s="165" t="s">
        <v>69</v>
      </c>
      <c r="V87" s="154" t="s">
        <v>69</v>
      </c>
      <c r="W87" s="154" t="s">
        <v>69</v>
      </c>
      <c r="X87" s="154" t="s">
        <v>69</v>
      </c>
      <c r="Y87" s="154">
        <v>3</v>
      </c>
      <c r="Z87" s="154" t="s">
        <v>69</v>
      </c>
      <c r="AA87" s="154" t="s">
        <v>69</v>
      </c>
      <c r="AB87" s="154" t="s">
        <v>69</v>
      </c>
      <c r="AC87" s="154" t="s">
        <v>69</v>
      </c>
      <c r="AD87" s="154" t="s">
        <v>69</v>
      </c>
      <c r="AE87" s="154" t="s">
        <v>69</v>
      </c>
      <c r="AF87" s="154" t="s">
        <v>69</v>
      </c>
      <c r="AG87" s="154" t="s">
        <v>69</v>
      </c>
      <c r="AH87" s="154" t="s">
        <v>69</v>
      </c>
      <c r="AI87" s="154" t="s">
        <v>69</v>
      </c>
      <c r="AJ87" s="154" t="s">
        <v>69</v>
      </c>
      <c r="AK87" s="154" t="s">
        <v>69</v>
      </c>
      <c r="AL87" s="154" t="s">
        <v>69</v>
      </c>
      <c r="AM87" s="154" t="s">
        <v>69</v>
      </c>
      <c r="AN87" s="154" t="s">
        <v>69</v>
      </c>
      <c r="AO87" s="154" t="s">
        <v>69</v>
      </c>
      <c r="AP87" s="154" t="s">
        <v>69</v>
      </c>
      <c r="AQ87" s="154" t="s">
        <v>69</v>
      </c>
      <c r="AR87" s="154" t="s">
        <v>69</v>
      </c>
      <c r="AS87" s="154" t="s">
        <v>69</v>
      </c>
      <c r="AT87" s="154" t="s">
        <v>69</v>
      </c>
      <c r="AU87" s="154" t="s">
        <v>69</v>
      </c>
      <c r="AV87" s="154" t="s">
        <v>69</v>
      </c>
      <c r="AW87" s="154" t="s">
        <v>69</v>
      </c>
      <c r="AX87" s="154" t="s">
        <v>69</v>
      </c>
      <c r="AY87" s="154" t="s">
        <v>69</v>
      </c>
      <c r="AZ87" s="154" t="s">
        <v>69</v>
      </c>
      <c r="BA87" s="154" t="s">
        <v>69</v>
      </c>
      <c r="BB87" s="154" t="s">
        <v>69</v>
      </c>
      <c r="BC87" s="154" t="s">
        <v>69</v>
      </c>
      <c r="BD87" s="154" t="s">
        <v>69</v>
      </c>
      <c r="BE87" s="154" t="s">
        <v>69</v>
      </c>
      <c r="BF87" s="154" t="s">
        <v>69</v>
      </c>
      <c r="BG87" s="154" t="s">
        <v>69</v>
      </c>
      <c r="BH87" s="154" t="s">
        <v>69</v>
      </c>
      <c r="BI87" s="154" t="s">
        <v>69</v>
      </c>
      <c r="BJ87" s="154" t="s">
        <v>69</v>
      </c>
      <c r="BK87" s="154" t="s">
        <v>69</v>
      </c>
      <c r="BL87" s="154" t="s">
        <v>69</v>
      </c>
      <c r="BM87" s="154" t="s">
        <v>69</v>
      </c>
      <c r="BN87" s="154" t="s">
        <v>69</v>
      </c>
      <c r="BO87" s="154" t="s">
        <v>69</v>
      </c>
      <c r="BP87" s="154" t="s">
        <v>69</v>
      </c>
      <c r="BQ87" s="154" t="s">
        <v>69</v>
      </c>
      <c r="BR87" s="154" t="s">
        <v>69</v>
      </c>
      <c r="BS87" s="154" t="s">
        <v>69</v>
      </c>
      <c r="BT87" s="154" t="s">
        <v>69</v>
      </c>
      <c r="BU87" s="154" t="s">
        <v>69</v>
      </c>
      <c r="BV87" s="154" t="s">
        <v>69</v>
      </c>
      <c r="BW87" s="154" t="s">
        <v>69</v>
      </c>
      <c r="BX87" s="154" t="s">
        <v>69</v>
      </c>
      <c r="BY87" s="154" t="s">
        <v>69</v>
      </c>
      <c r="BZ87" s="154" t="s">
        <v>69</v>
      </c>
      <c r="CA87" s="154" t="s">
        <v>69</v>
      </c>
      <c r="CB87" s="154" t="s">
        <v>69</v>
      </c>
      <c r="CC87" s="154" t="s">
        <v>69</v>
      </c>
      <c r="CD87" s="154" t="s">
        <v>69</v>
      </c>
      <c r="CE87" s="154" t="s">
        <v>69</v>
      </c>
      <c r="CF87" s="154" t="s">
        <v>69</v>
      </c>
      <c r="CG87" s="154">
        <v>4</v>
      </c>
      <c r="CH87" s="154" t="s">
        <v>69</v>
      </c>
      <c r="CI87" s="154" t="s">
        <v>69</v>
      </c>
      <c r="CJ87" s="154" t="s">
        <v>69</v>
      </c>
      <c r="CK87" s="154" t="s">
        <v>69</v>
      </c>
      <c r="CL87" s="154" t="s">
        <v>69</v>
      </c>
      <c r="CM87" s="154" t="s">
        <v>69</v>
      </c>
      <c r="CN87" s="154" t="s">
        <v>69</v>
      </c>
      <c r="CO87" s="154" t="s">
        <v>69</v>
      </c>
      <c r="CP87" s="154" t="s">
        <v>69</v>
      </c>
      <c r="CQ87" s="154" t="s">
        <v>69</v>
      </c>
      <c r="CR87" s="154" t="s">
        <v>69</v>
      </c>
      <c r="CS87" s="154" t="s">
        <v>69</v>
      </c>
      <c r="CT87" s="154" t="s">
        <v>69</v>
      </c>
      <c r="CU87" s="154" t="s">
        <v>69</v>
      </c>
      <c r="CV87" s="154" t="s">
        <v>69</v>
      </c>
      <c r="CW87" s="154" t="s">
        <v>69</v>
      </c>
      <c r="CX87" s="154" t="s">
        <v>69</v>
      </c>
      <c r="CY87" s="154" t="s">
        <v>69</v>
      </c>
      <c r="CZ87" s="154" t="s">
        <v>69</v>
      </c>
      <c r="DA87" s="154">
        <v>3</v>
      </c>
      <c r="DB87" s="154" t="s">
        <v>69</v>
      </c>
      <c r="DC87" s="154">
        <v>3</v>
      </c>
      <c r="DD87" s="154" t="s">
        <v>69</v>
      </c>
      <c r="DE87" s="154" t="s">
        <v>69</v>
      </c>
      <c r="DF87" s="154">
        <v>3</v>
      </c>
      <c r="DG87" s="154" t="s">
        <v>69</v>
      </c>
      <c r="DH87" s="154" t="s">
        <v>69</v>
      </c>
      <c r="DI87" s="154" t="s">
        <v>69</v>
      </c>
      <c r="DJ87" s="154" t="s">
        <v>69</v>
      </c>
      <c r="DK87" s="154" t="s">
        <v>69</v>
      </c>
      <c r="DL87" s="154" t="s">
        <v>69</v>
      </c>
      <c r="DM87" s="154" t="s">
        <v>69</v>
      </c>
      <c r="DN87" s="154" t="s">
        <v>69</v>
      </c>
      <c r="DO87" s="154" t="s">
        <v>69</v>
      </c>
      <c r="DP87" s="154" t="s">
        <v>69</v>
      </c>
      <c r="DQ87" s="154" t="s">
        <v>69</v>
      </c>
      <c r="DR87" s="154" t="s">
        <v>69</v>
      </c>
      <c r="DS87" s="154" t="s">
        <v>69</v>
      </c>
      <c r="DT87" s="154" t="s">
        <v>69</v>
      </c>
      <c r="DU87" s="110">
        <f t="shared" si="4"/>
        <v>8.0645161290322578E-2</v>
      </c>
      <c r="DV87" s="104">
        <f t="shared" si="5"/>
        <v>1</v>
      </c>
    </row>
    <row r="88" spans="1:126" ht="68.25" hidden="1" customHeight="1" thickBot="1">
      <c r="A88" s="148"/>
      <c r="B88" s="236" t="s">
        <v>713</v>
      </c>
      <c r="C88" s="239" t="s">
        <v>714</v>
      </c>
      <c r="D88" s="219">
        <v>45691</v>
      </c>
      <c r="E88" s="220" t="s">
        <v>434</v>
      </c>
      <c r="F88" s="154" t="s">
        <v>69</v>
      </c>
      <c r="G88" s="154" t="s">
        <v>69</v>
      </c>
      <c r="H88" s="154" t="s">
        <v>69</v>
      </c>
      <c r="I88" s="154" t="s">
        <v>69</v>
      </c>
      <c r="J88" s="154" t="s">
        <v>69</v>
      </c>
      <c r="K88" s="154" t="s">
        <v>69</v>
      </c>
      <c r="L88" s="154" t="s">
        <v>69</v>
      </c>
      <c r="M88" s="154">
        <v>3</v>
      </c>
      <c r="N88" s="154">
        <v>2</v>
      </c>
      <c r="O88" s="154" t="s">
        <v>69</v>
      </c>
      <c r="P88" s="154" t="s">
        <v>69</v>
      </c>
      <c r="Q88" s="154" t="s">
        <v>69</v>
      </c>
      <c r="R88" s="154" t="s">
        <v>69</v>
      </c>
      <c r="S88" s="154" t="s">
        <v>69</v>
      </c>
      <c r="T88" s="165" t="s">
        <v>69</v>
      </c>
      <c r="U88" s="165" t="s">
        <v>69</v>
      </c>
      <c r="V88" s="154" t="s">
        <v>69</v>
      </c>
      <c r="W88" s="154" t="s">
        <v>69</v>
      </c>
      <c r="X88" s="154" t="s">
        <v>69</v>
      </c>
      <c r="Y88" s="154" t="s">
        <v>69</v>
      </c>
      <c r="Z88" s="154" t="s">
        <v>69</v>
      </c>
      <c r="AA88" s="154" t="s">
        <v>69</v>
      </c>
      <c r="AB88" s="154" t="s">
        <v>69</v>
      </c>
      <c r="AC88" s="154" t="s">
        <v>69</v>
      </c>
      <c r="AD88" s="154" t="s">
        <v>69</v>
      </c>
      <c r="AE88" s="154" t="s">
        <v>69</v>
      </c>
      <c r="AF88" s="154" t="s">
        <v>69</v>
      </c>
      <c r="AG88" s="154" t="s">
        <v>69</v>
      </c>
      <c r="AH88" s="154">
        <v>2</v>
      </c>
      <c r="AI88" s="154" t="s">
        <v>69</v>
      </c>
      <c r="AJ88" s="154" t="s">
        <v>69</v>
      </c>
      <c r="AK88" s="154" t="s">
        <v>69</v>
      </c>
      <c r="AL88" s="154" t="s">
        <v>69</v>
      </c>
      <c r="AM88" s="154" t="s">
        <v>69</v>
      </c>
      <c r="AN88" s="154" t="s">
        <v>69</v>
      </c>
      <c r="AO88" s="154" t="s">
        <v>69</v>
      </c>
      <c r="AP88" s="154" t="s">
        <v>69</v>
      </c>
      <c r="AQ88" s="154" t="s">
        <v>69</v>
      </c>
      <c r="AR88" s="154" t="s">
        <v>69</v>
      </c>
      <c r="AS88" s="154" t="s">
        <v>69</v>
      </c>
      <c r="AT88" s="154" t="s">
        <v>69</v>
      </c>
      <c r="AU88" s="154" t="s">
        <v>69</v>
      </c>
      <c r="AV88" s="154" t="s">
        <v>69</v>
      </c>
      <c r="AW88" s="154" t="s">
        <v>69</v>
      </c>
      <c r="AX88" s="154" t="s">
        <v>69</v>
      </c>
      <c r="AY88" s="154" t="s">
        <v>69</v>
      </c>
      <c r="AZ88" s="154" t="s">
        <v>69</v>
      </c>
      <c r="BA88" s="154" t="s">
        <v>69</v>
      </c>
      <c r="BB88" s="154" t="s">
        <v>69</v>
      </c>
      <c r="BC88" s="154" t="s">
        <v>69</v>
      </c>
      <c r="BD88" s="154" t="s">
        <v>69</v>
      </c>
      <c r="BE88" s="154" t="s">
        <v>69</v>
      </c>
      <c r="BF88" s="154" t="s">
        <v>69</v>
      </c>
      <c r="BG88" s="154" t="s">
        <v>69</v>
      </c>
      <c r="BH88" s="154" t="s">
        <v>69</v>
      </c>
      <c r="BI88" s="154" t="s">
        <v>69</v>
      </c>
      <c r="BJ88" s="154" t="s">
        <v>69</v>
      </c>
      <c r="BK88" s="154" t="s">
        <v>69</v>
      </c>
      <c r="BL88" s="154" t="s">
        <v>69</v>
      </c>
      <c r="BM88" s="154" t="s">
        <v>69</v>
      </c>
      <c r="BN88" s="154" t="s">
        <v>69</v>
      </c>
      <c r="BO88" s="154" t="s">
        <v>69</v>
      </c>
      <c r="BP88" s="154" t="s">
        <v>69</v>
      </c>
      <c r="BQ88" s="154">
        <v>3</v>
      </c>
      <c r="BR88" s="154" t="s">
        <v>69</v>
      </c>
      <c r="BS88" s="154" t="s">
        <v>69</v>
      </c>
      <c r="BT88" s="154" t="s">
        <v>69</v>
      </c>
      <c r="BU88" s="154" t="s">
        <v>69</v>
      </c>
      <c r="BV88" s="154" t="s">
        <v>69</v>
      </c>
      <c r="BW88" s="154" t="s">
        <v>69</v>
      </c>
      <c r="BX88" s="154" t="s">
        <v>69</v>
      </c>
      <c r="BY88" s="154">
        <v>3</v>
      </c>
      <c r="BZ88" s="154" t="s">
        <v>69</v>
      </c>
      <c r="CA88" s="154" t="s">
        <v>69</v>
      </c>
      <c r="CB88" s="154" t="s">
        <v>69</v>
      </c>
      <c r="CC88" s="154" t="s">
        <v>69</v>
      </c>
      <c r="CD88" s="154" t="s">
        <v>69</v>
      </c>
      <c r="CE88" s="154" t="s">
        <v>69</v>
      </c>
      <c r="CF88" s="154" t="s">
        <v>69</v>
      </c>
      <c r="CG88" s="154" t="s">
        <v>69</v>
      </c>
      <c r="CH88" s="154" t="s">
        <v>69</v>
      </c>
      <c r="CI88" s="154" t="s">
        <v>69</v>
      </c>
      <c r="CJ88" s="154" t="s">
        <v>69</v>
      </c>
      <c r="CK88" s="154" t="s">
        <v>69</v>
      </c>
      <c r="CL88" s="154" t="s">
        <v>69</v>
      </c>
      <c r="CM88" s="154" t="s">
        <v>69</v>
      </c>
      <c r="CN88" s="154" t="s">
        <v>69</v>
      </c>
      <c r="CO88" s="154" t="s">
        <v>69</v>
      </c>
      <c r="CP88" s="154" t="s">
        <v>69</v>
      </c>
      <c r="CQ88" s="154" t="s">
        <v>69</v>
      </c>
      <c r="CR88" s="154" t="s">
        <v>69</v>
      </c>
      <c r="CS88" s="154" t="s">
        <v>69</v>
      </c>
      <c r="CT88" s="154" t="s">
        <v>69</v>
      </c>
      <c r="CU88" s="154" t="s">
        <v>69</v>
      </c>
      <c r="CV88" s="154">
        <v>3</v>
      </c>
      <c r="CW88" s="154" t="s">
        <v>69</v>
      </c>
      <c r="CX88" s="154">
        <v>3</v>
      </c>
      <c r="CY88" s="154" t="s">
        <v>69</v>
      </c>
      <c r="CZ88" s="154" t="s">
        <v>69</v>
      </c>
      <c r="DA88" s="154" t="s">
        <v>69</v>
      </c>
      <c r="DB88" s="154" t="s">
        <v>69</v>
      </c>
      <c r="DC88" s="154" t="s">
        <v>69</v>
      </c>
      <c r="DD88" s="154" t="s">
        <v>69</v>
      </c>
      <c r="DE88" s="154" t="s">
        <v>69</v>
      </c>
      <c r="DF88" s="154" t="s">
        <v>69</v>
      </c>
      <c r="DG88" s="154" t="s">
        <v>69</v>
      </c>
      <c r="DH88" s="154" t="s">
        <v>69</v>
      </c>
      <c r="DI88" s="154" t="s">
        <v>69</v>
      </c>
      <c r="DJ88" s="154" t="s">
        <v>69</v>
      </c>
      <c r="DK88" s="154" t="s">
        <v>69</v>
      </c>
      <c r="DL88" s="154" t="s">
        <v>69</v>
      </c>
      <c r="DM88" s="154" t="s">
        <v>69</v>
      </c>
      <c r="DN88" s="154" t="s">
        <v>69</v>
      </c>
      <c r="DO88" s="154" t="s">
        <v>69</v>
      </c>
      <c r="DP88" s="154" t="s">
        <v>69</v>
      </c>
      <c r="DQ88" s="154" t="s">
        <v>69</v>
      </c>
      <c r="DR88" s="154" t="s">
        <v>69</v>
      </c>
      <c r="DS88" s="154" t="s">
        <v>69</v>
      </c>
      <c r="DT88" s="154">
        <v>3</v>
      </c>
      <c r="DU88" s="110">
        <f t="shared" si="4"/>
        <v>0.12903225806451613</v>
      </c>
      <c r="DV88" s="212">
        <f t="shared" si="5"/>
        <v>0.75</v>
      </c>
    </row>
    <row r="89" spans="1:126" ht="68.25" hidden="1" customHeight="1" thickBot="1">
      <c r="A89" s="148"/>
      <c r="B89" s="237" t="s">
        <v>719</v>
      </c>
      <c r="C89" s="239" t="s">
        <v>720</v>
      </c>
      <c r="D89" s="219"/>
      <c r="E89" s="220" t="s">
        <v>434</v>
      </c>
      <c r="F89" s="154" t="s">
        <v>69</v>
      </c>
      <c r="G89" s="154" t="s">
        <v>69</v>
      </c>
      <c r="H89" s="154" t="s">
        <v>69</v>
      </c>
      <c r="I89" s="154" t="s">
        <v>69</v>
      </c>
      <c r="J89" s="154" t="s">
        <v>69</v>
      </c>
      <c r="K89" s="154" t="s">
        <v>69</v>
      </c>
      <c r="L89" s="154" t="s">
        <v>69</v>
      </c>
      <c r="M89" s="154" t="s">
        <v>69</v>
      </c>
      <c r="N89" s="154" t="s">
        <v>69</v>
      </c>
      <c r="O89" s="154" t="s">
        <v>69</v>
      </c>
      <c r="P89" s="154" t="s">
        <v>69</v>
      </c>
      <c r="Q89" s="154" t="s">
        <v>69</v>
      </c>
      <c r="R89" s="154" t="s">
        <v>69</v>
      </c>
      <c r="S89" s="154">
        <v>3</v>
      </c>
      <c r="T89" s="154">
        <v>3</v>
      </c>
      <c r="U89" s="154">
        <v>3</v>
      </c>
      <c r="V89" s="154" t="s">
        <v>69</v>
      </c>
      <c r="W89" s="154" t="s">
        <v>69</v>
      </c>
      <c r="X89" s="154" t="s">
        <v>69</v>
      </c>
      <c r="Y89" s="154" t="s">
        <v>69</v>
      </c>
      <c r="Z89" s="154" t="s">
        <v>69</v>
      </c>
      <c r="AA89" s="154" t="s">
        <v>69</v>
      </c>
      <c r="AB89" s="154" t="s">
        <v>69</v>
      </c>
      <c r="AC89" s="154" t="s">
        <v>69</v>
      </c>
      <c r="AD89" s="154" t="s">
        <v>69</v>
      </c>
      <c r="AE89" s="154" t="s">
        <v>69</v>
      </c>
      <c r="AF89" s="154" t="s">
        <v>69</v>
      </c>
      <c r="AG89" s="154" t="s">
        <v>69</v>
      </c>
      <c r="AH89" s="154" t="s">
        <v>69</v>
      </c>
      <c r="AI89" s="154" t="s">
        <v>69</v>
      </c>
      <c r="AJ89" s="154" t="s">
        <v>69</v>
      </c>
      <c r="AK89" s="154" t="s">
        <v>69</v>
      </c>
      <c r="AL89" s="154" t="s">
        <v>69</v>
      </c>
      <c r="AM89" s="154" t="s">
        <v>69</v>
      </c>
      <c r="AN89" s="154">
        <v>2</v>
      </c>
      <c r="AO89" s="154" t="s">
        <v>69</v>
      </c>
      <c r="AP89" s="154" t="s">
        <v>69</v>
      </c>
      <c r="AQ89" s="154" t="s">
        <v>69</v>
      </c>
      <c r="AR89" s="154" t="s">
        <v>69</v>
      </c>
      <c r="AS89" s="154" t="s">
        <v>69</v>
      </c>
      <c r="AT89" s="154" t="s">
        <v>69</v>
      </c>
      <c r="AU89" s="154" t="s">
        <v>69</v>
      </c>
      <c r="AV89" s="154" t="s">
        <v>69</v>
      </c>
      <c r="AW89" s="154" t="s">
        <v>69</v>
      </c>
      <c r="AX89" s="154" t="s">
        <v>69</v>
      </c>
      <c r="AY89" s="154" t="s">
        <v>69</v>
      </c>
      <c r="AZ89" s="154" t="s">
        <v>69</v>
      </c>
      <c r="BA89" s="154" t="s">
        <v>69</v>
      </c>
      <c r="BB89" s="154" t="s">
        <v>69</v>
      </c>
      <c r="BC89" s="154" t="s">
        <v>69</v>
      </c>
      <c r="BD89" s="154" t="s">
        <v>69</v>
      </c>
      <c r="BE89" s="154" t="s">
        <v>69</v>
      </c>
      <c r="BF89" s="154" t="s">
        <v>69</v>
      </c>
      <c r="BG89" s="154" t="s">
        <v>69</v>
      </c>
      <c r="BH89" s="154" t="s">
        <v>69</v>
      </c>
      <c r="BI89" s="154" t="s">
        <v>69</v>
      </c>
      <c r="BJ89" s="154" t="s">
        <v>69</v>
      </c>
      <c r="BK89" s="154" t="s">
        <v>69</v>
      </c>
      <c r="BL89" s="154" t="s">
        <v>69</v>
      </c>
      <c r="BM89" s="154" t="s">
        <v>69</v>
      </c>
      <c r="BN89" s="154" t="s">
        <v>69</v>
      </c>
      <c r="BO89" s="154" t="s">
        <v>69</v>
      </c>
      <c r="BP89" s="154" t="s">
        <v>69</v>
      </c>
      <c r="BQ89" s="154" t="s">
        <v>69</v>
      </c>
      <c r="BR89" s="154" t="s">
        <v>69</v>
      </c>
      <c r="BS89" s="154" t="s">
        <v>69</v>
      </c>
      <c r="BT89" s="154" t="s">
        <v>69</v>
      </c>
      <c r="BU89" s="154" t="s">
        <v>69</v>
      </c>
      <c r="BV89" s="154" t="s">
        <v>69</v>
      </c>
      <c r="BW89" s="154" t="s">
        <v>69</v>
      </c>
      <c r="BX89" s="154" t="s">
        <v>69</v>
      </c>
      <c r="BY89" s="154" t="s">
        <v>69</v>
      </c>
      <c r="BZ89" s="154" t="s">
        <v>69</v>
      </c>
      <c r="CA89" s="154" t="s">
        <v>69</v>
      </c>
      <c r="CB89" s="154" t="s">
        <v>69</v>
      </c>
      <c r="CC89" s="154" t="s">
        <v>69</v>
      </c>
      <c r="CD89" s="154" t="s">
        <v>69</v>
      </c>
      <c r="CE89" s="154" t="s">
        <v>69</v>
      </c>
      <c r="CF89" s="154" t="s">
        <v>69</v>
      </c>
      <c r="CG89" s="154" t="s">
        <v>69</v>
      </c>
      <c r="CH89" s="154" t="s">
        <v>69</v>
      </c>
      <c r="CI89" s="154" t="s">
        <v>69</v>
      </c>
      <c r="CJ89" s="154" t="s">
        <v>69</v>
      </c>
      <c r="CK89" s="154" t="s">
        <v>69</v>
      </c>
      <c r="CL89" s="154" t="s">
        <v>69</v>
      </c>
      <c r="CM89" s="154" t="s">
        <v>69</v>
      </c>
      <c r="CN89" s="154" t="s">
        <v>69</v>
      </c>
      <c r="CO89" s="154" t="s">
        <v>69</v>
      </c>
      <c r="CP89" s="154" t="s">
        <v>69</v>
      </c>
      <c r="CQ89" s="154" t="s">
        <v>69</v>
      </c>
      <c r="CR89" s="154" t="s">
        <v>69</v>
      </c>
      <c r="CS89" s="154" t="s">
        <v>69</v>
      </c>
      <c r="CT89" s="154" t="s">
        <v>69</v>
      </c>
      <c r="CU89" s="154" t="s">
        <v>69</v>
      </c>
      <c r="CV89" s="154" t="s">
        <v>69</v>
      </c>
      <c r="CW89" s="154" t="s">
        <v>69</v>
      </c>
      <c r="CX89" s="154" t="s">
        <v>69</v>
      </c>
      <c r="CY89" s="154" t="s">
        <v>69</v>
      </c>
      <c r="CZ89" s="154" t="s">
        <v>69</v>
      </c>
      <c r="DA89" s="154">
        <v>2</v>
      </c>
      <c r="DB89" s="154" t="s">
        <v>69</v>
      </c>
      <c r="DC89" s="154" t="s">
        <v>69</v>
      </c>
      <c r="DD89" s="154" t="s">
        <v>69</v>
      </c>
      <c r="DE89" s="154" t="s">
        <v>69</v>
      </c>
      <c r="DF89" s="154" t="s">
        <v>69</v>
      </c>
      <c r="DG89" s="154" t="s">
        <v>69</v>
      </c>
      <c r="DH89" s="154" t="s">
        <v>69</v>
      </c>
      <c r="DI89" s="154" t="s">
        <v>69</v>
      </c>
      <c r="DJ89" s="154" t="s">
        <v>69</v>
      </c>
      <c r="DK89" s="154" t="s">
        <v>69</v>
      </c>
      <c r="DL89" s="154" t="s">
        <v>69</v>
      </c>
      <c r="DM89" s="154" t="s">
        <v>69</v>
      </c>
      <c r="DN89" s="154" t="s">
        <v>69</v>
      </c>
      <c r="DO89" s="154" t="s">
        <v>69</v>
      </c>
      <c r="DP89" s="154" t="s">
        <v>69</v>
      </c>
      <c r="DQ89" s="154" t="s">
        <v>69</v>
      </c>
      <c r="DR89" s="154" t="s">
        <v>69</v>
      </c>
      <c r="DS89" s="154" t="s">
        <v>69</v>
      </c>
      <c r="DT89" s="154" t="s">
        <v>69</v>
      </c>
      <c r="DU89" s="110">
        <f t="shared" si="4"/>
        <v>8.0645161290322578E-2</v>
      </c>
      <c r="DV89" s="104">
        <f t="shared" si="5"/>
        <v>0.6</v>
      </c>
    </row>
    <row r="90" spans="1:126" ht="68.25" hidden="1" customHeight="1" thickBot="1">
      <c r="A90" s="148"/>
      <c r="B90" s="237" t="s">
        <v>721</v>
      </c>
      <c r="C90" s="239" t="s">
        <v>722</v>
      </c>
      <c r="D90" s="219"/>
      <c r="E90" s="220" t="s">
        <v>434</v>
      </c>
      <c r="F90" s="154">
        <v>3</v>
      </c>
      <c r="G90" s="154" t="s">
        <v>69</v>
      </c>
      <c r="H90" s="154">
        <v>3</v>
      </c>
      <c r="I90" s="154" t="s">
        <v>69</v>
      </c>
      <c r="J90" s="154">
        <v>3</v>
      </c>
      <c r="K90" s="154" t="s">
        <v>69</v>
      </c>
      <c r="L90" s="154" t="s">
        <v>69</v>
      </c>
      <c r="M90" s="154" t="s">
        <v>69</v>
      </c>
      <c r="N90" s="154" t="s">
        <v>69</v>
      </c>
      <c r="O90" s="154">
        <v>3</v>
      </c>
      <c r="P90" s="154" t="s">
        <v>69</v>
      </c>
      <c r="Q90" s="154" t="s">
        <v>69</v>
      </c>
      <c r="R90" s="154" t="s">
        <v>69</v>
      </c>
      <c r="S90" s="154" t="s">
        <v>69</v>
      </c>
      <c r="T90" s="154" t="s">
        <v>69</v>
      </c>
      <c r="U90" s="154" t="s">
        <v>69</v>
      </c>
      <c r="V90" s="154" t="s">
        <v>69</v>
      </c>
      <c r="W90" s="154" t="s">
        <v>69</v>
      </c>
      <c r="X90" s="154" t="s">
        <v>69</v>
      </c>
      <c r="Y90" s="154" t="s">
        <v>69</v>
      </c>
      <c r="Z90" s="154" t="s">
        <v>69</v>
      </c>
      <c r="AA90" s="154" t="s">
        <v>69</v>
      </c>
      <c r="AB90" s="154" t="s">
        <v>69</v>
      </c>
      <c r="AC90" s="154" t="s">
        <v>69</v>
      </c>
      <c r="AD90" s="154" t="s">
        <v>69</v>
      </c>
      <c r="AE90" s="154" t="s">
        <v>69</v>
      </c>
      <c r="AF90" s="154" t="s">
        <v>69</v>
      </c>
      <c r="AG90" s="154" t="s">
        <v>69</v>
      </c>
      <c r="AH90" s="154" t="s">
        <v>69</v>
      </c>
      <c r="AI90" s="154" t="s">
        <v>69</v>
      </c>
      <c r="AJ90" s="154" t="s">
        <v>69</v>
      </c>
      <c r="AK90" s="154" t="s">
        <v>69</v>
      </c>
      <c r="AL90" s="154" t="s">
        <v>69</v>
      </c>
      <c r="AM90" s="154" t="s">
        <v>69</v>
      </c>
      <c r="AN90" s="154" t="s">
        <v>69</v>
      </c>
      <c r="AO90" s="154" t="s">
        <v>69</v>
      </c>
      <c r="AP90" s="154" t="s">
        <v>69</v>
      </c>
      <c r="AQ90" s="154" t="s">
        <v>69</v>
      </c>
      <c r="AR90" s="154">
        <v>2</v>
      </c>
      <c r="AS90" s="154" t="s">
        <v>69</v>
      </c>
      <c r="AT90" s="154" t="s">
        <v>69</v>
      </c>
      <c r="AU90" s="154" t="s">
        <v>69</v>
      </c>
      <c r="AV90" s="154" t="s">
        <v>69</v>
      </c>
      <c r="AW90" s="154" t="s">
        <v>69</v>
      </c>
      <c r="AX90" s="154" t="s">
        <v>69</v>
      </c>
      <c r="AY90" s="154" t="s">
        <v>69</v>
      </c>
      <c r="AZ90" s="154" t="s">
        <v>69</v>
      </c>
      <c r="BA90" s="154" t="s">
        <v>69</v>
      </c>
      <c r="BB90" s="154" t="s">
        <v>69</v>
      </c>
      <c r="BC90" s="154" t="s">
        <v>69</v>
      </c>
      <c r="BD90" s="154" t="s">
        <v>69</v>
      </c>
      <c r="BE90" s="154" t="s">
        <v>69</v>
      </c>
      <c r="BF90" s="154" t="s">
        <v>69</v>
      </c>
      <c r="BG90" s="154" t="s">
        <v>69</v>
      </c>
      <c r="BH90" s="154" t="s">
        <v>69</v>
      </c>
      <c r="BI90" s="154" t="s">
        <v>69</v>
      </c>
      <c r="BJ90" s="154" t="s">
        <v>69</v>
      </c>
      <c r="BK90" s="154" t="s">
        <v>69</v>
      </c>
      <c r="BL90" s="154" t="s">
        <v>69</v>
      </c>
      <c r="BM90" s="154" t="s">
        <v>69</v>
      </c>
      <c r="BN90" s="154" t="s">
        <v>69</v>
      </c>
      <c r="BO90" s="154" t="s">
        <v>69</v>
      </c>
      <c r="BP90" s="154" t="s">
        <v>69</v>
      </c>
      <c r="BQ90" s="154" t="s">
        <v>69</v>
      </c>
      <c r="BR90" s="154" t="s">
        <v>69</v>
      </c>
      <c r="BS90" s="154" t="s">
        <v>69</v>
      </c>
      <c r="BT90" s="154" t="s">
        <v>69</v>
      </c>
      <c r="BU90" s="154" t="s">
        <v>69</v>
      </c>
      <c r="BV90" s="154" t="s">
        <v>69</v>
      </c>
      <c r="BW90" s="154" t="s">
        <v>69</v>
      </c>
      <c r="BX90" s="154" t="s">
        <v>69</v>
      </c>
      <c r="BY90" s="154" t="s">
        <v>69</v>
      </c>
      <c r="BZ90" s="154" t="s">
        <v>69</v>
      </c>
      <c r="CA90" s="154" t="s">
        <v>69</v>
      </c>
      <c r="CB90" s="154" t="s">
        <v>69</v>
      </c>
      <c r="CC90" s="154" t="s">
        <v>69</v>
      </c>
      <c r="CD90" s="154" t="s">
        <v>69</v>
      </c>
      <c r="CE90" s="154" t="s">
        <v>69</v>
      </c>
      <c r="CF90" s="154" t="s">
        <v>69</v>
      </c>
      <c r="CG90" s="154" t="s">
        <v>69</v>
      </c>
      <c r="CH90" s="154" t="s">
        <v>69</v>
      </c>
      <c r="CI90" s="154" t="s">
        <v>69</v>
      </c>
      <c r="CJ90" s="154" t="s">
        <v>69</v>
      </c>
      <c r="CK90" s="154" t="s">
        <v>69</v>
      </c>
      <c r="CL90" s="154" t="s">
        <v>69</v>
      </c>
      <c r="CM90" s="154" t="s">
        <v>69</v>
      </c>
      <c r="CN90" s="154" t="s">
        <v>69</v>
      </c>
      <c r="CO90" s="154">
        <v>3</v>
      </c>
      <c r="CP90" s="154" t="s">
        <v>69</v>
      </c>
      <c r="CQ90" s="154" t="s">
        <v>69</v>
      </c>
      <c r="CR90" s="154" t="s">
        <v>69</v>
      </c>
      <c r="CS90" s="154" t="s">
        <v>69</v>
      </c>
      <c r="CT90" s="154" t="s">
        <v>69</v>
      </c>
      <c r="CU90" s="154" t="s">
        <v>69</v>
      </c>
      <c r="CV90" s="154" t="s">
        <v>69</v>
      </c>
      <c r="CW90" s="154" t="s">
        <v>69</v>
      </c>
      <c r="CX90" s="154" t="s">
        <v>69</v>
      </c>
      <c r="CY90" s="154" t="s">
        <v>69</v>
      </c>
      <c r="CZ90" s="154" t="s">
        <v>69</v>
      </c>
      <c r="DA90" s="154">
        <v>3</v>
      </c>
      <c r="DB90" s="154" t="s">
        <v>69</v>
      </c>
      <c r="DC90" s="154">
        <v>3</v>
      </c>
      <c r="DD90" s="154" t="s">
        <v>69</v>
      </c>
      <c r="DE90" s="154" t="s">
        <v>69</v>
      </c>
      <c r="DF90" s="154" t="s">
        <v>69</v>
      </c>
      <c r="DG90" s="154" t="s">
        <v>69</v>
      </c>
      <c r="DH90" s="154" t="s">
        <v>69</v>
      </c>
      <c r="DI90" s="154" t="s">
        <v>69</v>
      </c>
      <c r="DJ90" s="154" t="s">
        <v>69</v>
      </c>
      <c r="DK90" s="154" t="s">
        <v>69</v>
      </c>
      <c r="DL90" s="154" t="s">
        <v>69</v>
      </c>
      <c r="DM90" s="154" t="s">
        <v>69</v>
      </c>
      <c r="DN90" s="154" t="s">
        <v>69</v>
      </c>
      <c r="DO90" s="154" t="s">
        <v>69</v>
      </c>
      <c r="DP90" s="154" t="s">
        <v>69</v>
      </c>
      <c r="DQ90" s="154" t="s">
        <v>69</v>
      </c>
      <c r="DR90" s="154" t="s">
        <v>69</v>
      </c>
      <c r="DS90" s="154" t="s">
        <v>69</v>
      </c>
      <c r="DT90" s="154" t="s">
        <v>69</v>
      </c>
      <c r="DU90" s="110">
        <f t="shared" si="4"/>
        <v>0.12903225806451613</v>
      </c>
      <c r="DV90" s="104">
        <f t="shared" si="5"/>
        <v>0.875</v>
      </c>
    </row>
    <row r="91" spans="1:126" ht="68.25" hidden="1" customHeight="1" thickBot="1">
      <c r="A91" s="148"/>
      <c r="B91" s="237" t="s">
        <v>723</v>
      </c>
      <c r="C91" s="239" t="s">
        <v>724</v>
      </c>
      <c r="D91" s="219"/>
      <c r="E91" s="220" t="s">
        <v>434</v>
      </c>
      <c r="F91" s="154">
        <v>3</v>
      </c>
      <c r="G91" s="154" t="s">
        <v>69</v>
      </c>
      <c r="H91" s="154">
        <v>3</v>
      </c>
      <c r="I91" s="154" t="s">
        <v>69</v>
      </c>
      <c r="J91" s="154" t="s">
        <v>69</v>
      </c>
      <c r="K91" s="154" t="s">
        <v>69</v>
      </c>
      <c r="L91" s="154" t="s">
        <v>69</v>
      </c>
      <c r="M91" s="154" t="s">
        <v>69</v>
      </c>
      <c r="N91" s="154" t="s">
        <v>69</v>
      </c>
      <c r="O91" s="154">
        <v>3</v>
      </c>
      <c r="P91" s="154" t="s">
        <v>69</v>
      </c>
      <c r="Q91" s="154" t="s">
        <v>69</v>
      </c>
      <c r="R91" s="154" t="s">
        <v>69</v>
      </c>
      <c r="S91" s="154" t="s">
        <v>69</v>
      </c>
      <c r="T91" s="154" t="s">
        <v>69</v>
      </c>
      <c r="U91" s="154" t="s">
        <v>69</v>
      </c>
      <c r="V91" s="154" t="s">
        <v>69</v>
      </c>
      <c r="W91" s="154" t="s">
        <v>69</v>
      </c>
      <c r="X91" s="154" t="s">
        <v>69</v>
      </c>
      <c r="Y91" s="154" t="s">
        <v>69</v>
      </c>
      <c r="Z91" s="154" t="s">
        <v>69</v>
      </c>
      <c r="AA91" s="154" t="s">
        <v>69</v>
      </c>
      <c r="AB91" s="154" t="s">
        <v>69</v>
      </c>
      <c r="AC91" s="154" t="s">
        <v>69</v>
      </c>
      <c r="AD91" s="154" t="s">
        <v>69</v>
      </c>
      <c r="AE91" s="154" t="s">
        <v>69</v>
      </c>
      <c r="AF91" s="154" t="s">
        <v>69</v>
      </c>
      <c r="AG91" s="154" t="s">
        <v>69</v>
      </c>
      <c r="AH91" s="154" t="s">
        <v>69</v>
      </c>
      <c r="AI91" s="154" t="s">
        <v>69</v>
      </c>
      <c r="AJ91" s="154" t="s">
        <v>69</v>
      </c>
      <c r="AK91" s="154" t="s">
        <v>69</v>
      </c>
      <c r="AL91" s="154" t="s">
        <v>69</v>
      </c>
      <c r="AM91" s="154" t="s">
        <v>69</v>
      </c>
      <c r="AN91" s="154" t="s">
        <v>69</v>
      </c>
      <c r="AO91" s="154" t="s">
        <v>69</v>
      </c>
      <c r="AP91" s="154" t="s">
        <v>69</v>
      </c>
      <c r="AQ91" s="154" t="s">
        <v>69</v>
      </c>
      <c r="AR91" s="154" t="s">
        <v>69</v>
      </c>
      <c r="AS91" s="154" t="s">
        <v>69</v>
      </c>
      <c r="AT91" s="154" t="s">
        <v>69</v>
      </c>
      <c r="AU91" s="154" t="s">
        <v>69</v>
      </c>
      <c r="AV91" s="154" t="s">
        <v>69</v>
      </c>
      <c r="AW91" s="154" t="s">
        <v>69</v>
      </c>
      <c r="AX91" s="154" t="s">
        <v>69</v>
      </c>
      <c r="AY91" s="154" t="s">
        <v>69</v>
      </c>
      <c r="AZ91" s="154" t="s">
        <v>69</v>
      </c>
      <c r="BA91" s="154" t="s">
        <v>69</v>
      </c>
      <c r="BB91" s="154" t="s">
        <v>69</v>
      </c>
      <c r="BC91" s="154" t="s">
        <v>69</v>
      </c>
      <c r="BD91" s="154" t="s">
        <v>69</v>
      </c>
      <c r="BE91" s="154" t="s">
        <v>69</v>
      </c>
      <c r="BF91" s="154" t="s">
        <v>69</v>
      </c>
      <c r="BG91" s="154" t="s">
        <v>69</v>
      </c>
      <c r="BH91" s="154" t="s">
        <v>69</v>
      </c>
      <c r="BI91" s="154" t="s">
        <v>69</v>
      </c>
      <c r="BJ91" s="154" t="s">
        <v>69</v>
      </c>
      <c r="BK91" s="154" t="s">
        <v>69</v>
      </c>
      <c r="BL91" s="154" t="s">
        <v>69</v>
      </c>
      <c r="BM91" s="154" t="s">
        <v>69</v>
      </c>
      <c r="BN91" s="154" t="s">
        <v>69</v>
      </c>
      <c r="BO91" s="154" t="s">
        <v>69</v>
      </c>
      <c r="BP91" s="154" t="s">
        <v>69</v>
      </c>
      <c r="BQ91" s="154" t="s">
        <v>69</v>
      </c>
      <c r="BR91" s="154" t="s">
        <v>69</v>
      </c>
      <c r="BS91" s="154" t="s">
        <v>69</v>
      </c>
      <c r="BT91" s="154" t="s">
        <v>69</v>
      </c>
      <c r="BU91" s="154" t="s">
        <v>69</v>
      </c>
      <c r="BV91" s="154" t="s">
        <v>69</v>
      </c>
      <c r="BW91" s="154" t="s">
        <v>69</v>
      </c>
      <c r="BX91" s="154" t="s">
        <v>69</v>
      </c>
      <c r="BY91" s="154" t="s">
        <v>69</v>
      </c>
      <c r="BZ91" s="154" t="s">
        <v>69</v>
      </c>
      <c r="CA91" s="154" t="s">
        <v>69</v>
      </c>
      <c r="CB91" s="154" t="s">
        <v>69</v>
      </c>
      <c r="CC91" s="154" t="s">
        <v>69</v>
      </c>
      <c r="CD91" s="154" t="s">
        <v>69</v>
      </c>
      <c r="CE91" s="154" t="s">
        <v>69</v>
      </c>
      <c r="CF91" s="154" t="s">
        <v>69</v>
      </c>
      <c r="CG91" s="154" t="s">
        <v>69</v>
      </c>
      <c r="CH91" s="154" t="s">
        <v>69</v>
      </c>
      <c r="CI91" s="154" t="s">
        <v>69</v>
      </c>
      <c r="CJ91" s="154" t="s">
        <v>69</v>
      </c>
      <c r="CK91" s="154" t="s">
        <v>69</v>
      </c>
      <c r="CL91" s="154" t="s">
        <v>69</v>
      </c>
      <c r="CM91" s="154" t="s">
        <v>69</v>
      </c>
      <c r="CN91" s="154" t="s">
        <v>69</v>
      </c>
      <c r="CO91" s="154" t="s">
        <v>69</v>
      </c>
      <c r="CP91" s="154" t="s">
        <v>69</v>
      </c>
      <c r="CQ91" s="154" t="s">
        <v>69</v>
      </c>
      <c r="CR91" s="154" t="s">
        <v>69</v>
      </c>
      <c r="CS91" s="154" t="s">
        <v>69</v>
      </c>
      <c r="CT91" s="154" t="s">
        <v>69</v>
      </c>
      <c r="CU91" s="154" t="s">
        <v>69</v>
      </c>
      <c r="CV91" s="154" t="s">
        <v>69</v>
      </c>
      <c r="CW91" s="154" t="s">
        <v>69</v>
      </c>
      <c r="CX91" s="154" t="s">
        <v>69</v>
      </c>
      <c r="CY91" s="154" t="s">
        <v>69</v>
      </c>
      <c r="CZ91" s="154" t="s">
        <v>69</v>
      </c>
      <c r="DA91" s="154" t="s">
        <v>69</v>
      </c>
      <c r="DB91" s="154" t="s">
        <v>69</v>
      </c>
      <c r="DC91" s="154" t="s">
        <v>69</v>
      </c>
      <c r="DD91" s="154" t="s">
        <v>69</v>
      </c>
      <c r="DE91" s="154" t="s">
        <v>69</v>
      </c>
      <c r="DF91" s="154" t="s">
        <v>69</v>
      </c>
      <c r="DG91" s="154" t="s">
        <v>69</v>
      </c>
      <c r="DH91" s="154" t="s">
        <v>69</v>
      </c>
      <c r="DI91" s="154" t="s">
        <v>69</v>
      </c>
      <c r="DJ91" s="154" t="s">
        <v>69</v>
      </c>
      <c r="DK91" s="154" t="s">
        <v>69</v>
      </c>
      <c r="DL91" s="154" t="s">
        <v>69</v>
      </c>
      <c r="DM91" s="154" t="s">
        <v>69</v>
      </c>
      <c r="DN91" s="154" t="s">
        <v>69</v>
      </c>
      <c r="DO91" s="154" t="s">
        <v>69</v>
      </c>
      <c r="DP91" s="154" t="s">
        <v>69</v>
      </c>
      <c r="DQ91" s="154" t="s">
        <v>69</v>
      </c>
      <c r="DR91" s="154" t="s">
        <v>69</v>
      </c>
      <c r="DS91" s="154" t="s">
        <v>69</v>
      </c>
      <c r="DT91" s="154" t="s">
        <v>69</v>
      </c>
      <c r="DU91" s="110">
        <f t="shared" si="4"/>
        <v>4.8387096774193547E-2</v>
      </c>
      <c r="DV91" s="104">
        <f t="shared" si="5"/>
        <v>1</v>
      </c>
    </row>
    <row r="92" spans="1:126" ht="68.25" hidden="1" customHeight="1" thickBot="1">
      <c r="A92" s="148"/>
      <c r="B92" s="237" t="s">
        <v>725</v>
      </c>
      <c r="C92" s="239" t="s">
        <v>726</v>
      </c>
      <c r="D92" s="219"/>
      <c r="E92" s="220" t="s">
        <v>434</v>
      </c>
      <c r="F92" s="154">
        <v>3</v>
      </c>
      <c r="G92" s="154" t="s">
        <v>69</v>
      </c>
      <c r="H92" s="154">
        <v>3</v>
      </c>
      <c r="I92" s="154" t="s">
        <v>69</v>
      </c>
      <c r="J92" s="154" t="s">
        <v>69</v>
      </c>
      <c r="K92" s="154" t="s">
        <v>69</v>
      </c>
      <c r="L92" s="154" t="s">
        <v>69</v>
      </c>
      <c r="M92" s="154">
        <v>4</v>
      </c>
      <c r="N92" s="154">
        <v>2</v>
      </c>
      <c r="O92" s="154" t="s">
        <v>69</v>
      </c>
      <c r="P92" s="154" t="s">
        <v>69</v>
      </c>
      <c r="Q92" s="154" t="s">
        <v>69</v>
      </c>
      <c r="R92" s="154" t="s">
        <v>69</v>
      </c>
      <c r="S92" s="154" t="s">
        <v>69</v>
      </c>
      <c r="T92" s="154" t="s">
        <v>69</v>
      </c>
      <c r="U92" s="154" t="s">
        <v>69</v>
      </c>
      <c r="V92" s="154" t="s">
        <v>69</v>
      </c>
      <c r="W92" s="154" t="s">
        <v>69</v>
      </c>
      <c r="X92" s="154" t="s">
        <v>69</v>
      </c>
      <c r="Y92" s="154" t="s">
        <v>69</v>
      </c>
      <c r="Z92" s="154" t="s">
        <v>69</v>
      </c>
      <c r="AA92" s="154">
        <v>3</v>
      </c>
      <c r="AB92" s="154" t="s">
        <v>69</v>
      </c>
      <c r="AC92" s="154" t="s">
        <v>69</v>
      </c>
      <c r="AD92" s="154" t="s">
        <v>69</v>
      </c>
      <c r="AE92" s="154" t="s">
        <v>69</v>
      </c>
      <c r="AF92" s="154" t="s">
        <v>69</v>
      </c>
      <c r="AG92" s="154" t="s">
        <v>69</v>
      </c>
      <c r="AH92" s="154" t="s">
        <v>69</v>
      </c>
      <c r="AI92" s="154" t="s">
        <v>69</v>
      </c>
      <c r="AJ92" s="154" t="s">
        <v>69</v>
      </c>
      <c r="AK92" s="154" t="s">
        <v>69</v>
      </c>
      <c r="AL92" s="154" t="s">
        <v>69</v>
      </c>
      <c r="AM92" s="154" t="s">
        <v>69</v>
      </c>
      <c r="AN92" s="154" t="s">
        <v>69</v>
      </c>
      <c r="AO92" s="154" t="s">
        <v>69</v>
      </c>
      <c r="AP92" s="154" t="s">
        <v>69</v>
      </c>
      <c r="AQ92" s="154" t="s">
        <v>69</v>
      </c>
      <c r="AR92" s="154">
        <v>2</v>
      </c>
      <c r="AS92" s="154" t="s">
        <v>69</v>
      </c>
      <c r="AT92" s="154" t="s">
        <v>69</v>
      </c>
      <c r="AU92" s="154" t="s">
        <v>69</v>
      </c>
      <c r="AV92" s="154" t="s">
        <v>69</v>
      </c>
      <c r="AW92" s="154" t="s">
        <v>69</v>
      </c>
      <c r="AX92" s="154" t="s">
        <v>69</v>
      </c>
      <c r="AY92" s="154" t="s">
        <v>69</v>
      </c>
      <c r="AZ92" s="154" t="s">
        <v>69</v>
      </c>
      <c r="BA92" s="154" t="s">
        <v>69</v>
      </c>
      <c r="BB92" s="154">
        <v>3</v>
      </c>
      <c r="BC92" s="154" t="s">
        <v>69</v>
      </c>
      <c r="BD92" s="154" t="s">
        <v>69</v>
      </c>
      <c r="BE92" s="154" t="s">
        <v>69</v>
      </c>
      <c r="BF92" s="154" t="s">
        <v>69</v>
      </c>
      <c r="BG92" s="154" t="s">
        <v>69</v>
      </c>
      <c r="BH92" s="154" t="s">
        <v>69</v>
      </c>
      <c r="BI92" s="154" t="s">
        <v>69</v>
      </c>
      <c r="BJ92" s="154" t="s">
        <v>69</v>
      </c>
      <c r="BK92" s="154" t="s">
        <v>69</v>
      </c>
      <c r="BL92" s="154" t="s">
        <v>69</v>
      </c>
      <c r="BM92" s="154" t="s">
        <v>69</v>
      </c>
      <c r="BN92" s="154" t="s">
        <v>69</v>
      </c>
      <c r="BO92" s="154" t="s">
        <v>69</v>
      </c>
      <c r="BP92" s="154" t="s">
        <v>69</v>
      </c>
      <c r="BQ92" s="154" t="s">
        <v>69</v>
      </c>
      <c r="BR92" s="154" t="s">
        <v>69</v>
      </c>
      <c r="BS92" s="154" t="s">
        <v>69</v>
      </c>
      <c r="BT92" s="154" t="s">
        <v>69</v>
      </c>
      <c r="BU92" s="154" t="s">
        <v>69</v>
      </c>
      <c r="BV92" s="154" t="s">
        <v>69</v>
      </c>
      <c r="BW92" s="154" t="s">
        <v>69</v>
      </c>
      <c r="BX92" s="154" t="s">
        <v>69</v>
      </c>
      <c r="BY92" s="154" t="s">
        <v>69</v>
      </c>
      <c r="BZ92" s="154" t="s">
        <v>69</v>
      </c>
      <c r="CA92" s="154" t="s">
        <v>69</v>
      </c>
      <c r="CB92" s="154" t="s">
        <v>69</v>
      </c>
      <c r="CC92" s="154" t="s">
        <v>69</v>
      </c>
      <c r="CD92" s="154" t="s">
        <v>69</v>
      </c>
      <c r="CE92" s="154" t="s">
        <v>69</v>
      </c>
      <c r="CF92" s="154" t="s">
        <v>69</v>
      </c>
      <c r="CG92" s="154" t="s">
        <v>69</v>
      </c>
      <c r="CH92" s="154" t="s">
        <v>69</v>
      </c>
      <c r="CI92" s="154" t="s">
        <v>69</v>
      </c>
      <c r="CJ92" s="154" t="s">
        <v>69</v>
      </c>
      <c r="CK92" s="154" t="s">
        <v>69</v>
      </c>
      <c r="CL92" s="154" t="s">
        <v>69</v>
      </c>
      <c r="CM92" s="154" t="s">
        <v>69</v>
      </c>
      <c r="CN92" s="154" t="s">
        <v>69</v>
      </c>
      <c r="CO92" s="154">
        <v>3</v>
      </c>
      <c r="CP92" s="154">
        <v>3</v>
      </c>
      <c r="CQ92" s="154" t="s">
        <v>69</v>
      </c>
      <c r="CR92" s="154" t="s">
        <v>69</v>
      </c>
      <c r="CS92" s="154" t="s">
        <v>69</v>
      </c>
      <c r="CT92" s="154" t="s">
        <v>69</v>
      </c>
      <c r="CU92" s="154" t="s">
        <v>69</v>
      </c>
      <c r="CV92" s="154" t="s">
        <v>69</v>
      </c>
      <c r="CW92" s="154" t="s">
        <v>69</v>
      </c>
      <c r="CX92" s="154" t="s">
        <v>69</v>
      </c>
      <c r="CY92" s="154" t="s">
        <v>69</v>
      </c>
      <c r="CZ92" s="154" t="s">
        <v>69</v>
      </c>
      <c r="DA92" s="154" t="s">
        <v>69</v>
      </c>
      <c r="DB92" s="154" t="s">
        <v>69</v>
      </c>
      <c r="DC92" s="154" t="s">
        <v>69</v>
      </c>
      <c r="DD92" s="154" t="s">
        <v>69</v>
      </c>
      <c r="DE92" s="154" t="s">
        <v>69</v>
      </c>
      <c r="DF92" s="154" t="s">
        <v>69</v>
      </c>
      <c r="DG92" s="154" t="s">
        <v>69</v>
      </c>
      <c r="DH92" s="154" t="s">
        <v>69</v>
      </c>
      <c r="DI92" s="154" t="s">
        <v>69</v>
      </c>
      <c r="DJ92" s="154" t="s">
        <v>69</v>
      </c>
      <c r="DK92" s="154" t="s">
        <v>69</v>
      </c>
      <c r="DL92" s="154" t="s">
        <v>69</v>
      </c>
      <c r="DM92" s="154" t="s">
        <v>69</v>
      </c>
      <c r="DN92" s="154" t="s">
        <v>69</v>
      </c>
      <c r="DO92" s="154" t="s">
        <v>69</v>
      </c>
      <c r="DP92" s="154" t="s">
        <v>69</v>
      </c>
      <c r="DQ92" s="154" t="s">
        <v>69</v>
      </c>
      <c r="DR92" s="154" t="s">
        <v>69</v>
      </c>
      <c r="DS92" s="154" t="s">
        <v>69</v>
      </c>
      <c r="DT92" s="154" t="s">
        <v>69</v>
      </c>
      <c r="DU92" s="110">
        <f t="shared" si="4"/>
        <v>0.14516129032258066</v>
      </c>
      <c r="DV92" s="104">
        <f t="shared" si="5"/>
        <v>0.77777777777777779</v>
      </c>
    </row>
    <row r="93" spans="1:126" ht="68.25" hidden="1" customHeight="1" thickBot="1">
      <c r="A93" s="148"/>
      <c r="B93" s="237" t="s">
        <v>727</v>
      </c>
      <c r="C93" s="239" t="s">
        <v>728</v>
      </c>
      <c r="D93" s="219"/>
      <c r="E93" s="220" t="s">
        <v>434</v>
      </c>
      <c r="F93" s="154">
        <v>3</v>
      </c>
      <c r="G93" s="154" t="s">
        <v>69</v>
      </c>
      <c r="H93" s="154">
        <v>2</v>
      </c>
      <c r="I93" s="154" t="s">
        <v>69</v>
      </c>
      <c r="J93" s="154" t="s">
        <v>69</v>
      </c>
      <c r="K93" s="154" t="s">
        <v>69</v>
      </c>
      <c r="L93" s="154" t="s">
        <v>69</v>
      </c>
      <c r="M93" s="154" t="s">
        <v>69</v>
      </c>
      <c r="N93" s="154" t="s">
        <v>69</v>
      </c>
      <c r="O93" s="154" t="s">
        <v>69</v>
      </c>
      <c r="P93" s="154" t="s">
        <v>69</v>
      </c>
      <c r="Q93" s="154">
        <v>2</v>
      </c>
      <c r="R93" s="154" t="s">
        <v>69</v>
      </c>
      <c r="S93" s="154" t="s">
        <v>69</v>
      </c>
      <c r="T93" s="154" t="s">
        <v>69</v>
      </c>
      <c r="U93" s="154" t="s">
        <v>69</v>
      </c>
      <c r="V93" s="154" t="s">
        <v>69</v>
      </c>
      <c r="W93" s="154" t="s">
        <v>69</v>
      </c>
      <c r="X93" s="154" t="s">
        <v>69</v>
      </c>
      <c r="Y93" s="154" t="s">
        <v>69</v>
      </c>
      <c r="Z93" s="154" t="s">
        <v>69</v>
      </c>
      <c r="AA93" s="154">
        <v>3</v>
      </c>
      <c r="AB93" s="154">
        <v>3</v>
      </c>
      <c r="AC93" s="154" t="s">
        <v>69</v>
      </c>
      <c r="AD93" s="154" t="s">
        <v>69</v>
      </c>
      <c r="AE93" s="154" t="s">
        <v>69</v>
      </c>
      <c r="AF93" s="154" t="s">
        <v>69</v>
      </c>
      <c r="AG93" s="154" t="s">
        <v>69</v>
      </c>
      <c r="AH93" s="154" t="s">
        <v>69</v>
      </c>
      <c r="AI93" s="154" t="s">
        <v>69</v>
      </c>
      <c r="AJ93" s="154" t="s">
        <v>69</v>
      </c>
      <c r="AK93" s="154" t="s">
        <v>69</v>
      </c>
      <c r="AL93" s="154" t="s">
        <v>69</v>
      </c>
      <c r="AM93" s="154" t="s">
        <v>69</v>
      </c>
      <c r="AN93" s="154" t="s">
        <v>69</v>
      </c>
      <c r="AO93" s="154" t="s">
        <v>69</v>
      </c>
      <c r="AP93" s="154" t="s">
        <v>69</v>
      </c>
      <c r="AQ93" s="154" t="s">
        <v>69</v>
      </c>
      <c r="AR93" s="154" t="s">
        <v>69</v>
      </c>
      <c r="AS93" s="154" t="s">
        <v>69</v>
      </c>
      <c r="AT93" s="154" t="s">
        <v>69</v>
      </c>
      <c r="AU93" s="154" t="s">
        <v>69</v>
      </c>
      <c r="AV93" s="154" t="s">
        <v>69</v>
      </c>
      <c r="AW93" s="154" t="s">
        <v>69</v>
      </c>
      <c r="AX93" s="154" t="s">
        <v>69</v>
      </c>
      <c r="AY93" s="154" t="s">
        <v>69</v>
      </c>
      <c r="AZ93" s="154" t="s">
        <v>69</v>
      </c>
      <c r="BA93" s="154" t="s">
        <v>69</v>
      </c>
      <c r="BB93" s="154" t="s">
        <v>69</v>
      </c>
      <c r="BC93" s="154" t="s">
        <v>69</v>
      </c>
      <c r="BD93" s="154" t="s">
        <v>69</v>
      </c>
      <c r="BE93" s="154" t="s">
        <v>69</v>
      </c>
      <c r="BF93" s="154" t="s">
        <v>69</v>
      </c>
      <c r="BG93" s="154" t="s">
        <v>69</v>
      </c>
      <c r="BH93" s="154" t="s">
        <v>69</v>
      </c>
      <c r="BI93" s="154" t="s">
        <v>69</v>
      </c>
      <c r="BJ93" s="154" t="s">
        <v>69</v>
      </c>
      <c r="BK93" s="154" t="s">
        <v>69</v>
      </c>
      <c r="BL93" s="154" t="s">
        <v>69</v>
      </c>
      <c r="BM93" s="154" t="s">
        <v>69</v>
      </c>
      <c r="BN93" s="154" t="s">
        <v>69</v>
      </c>
      <c r="BO93" s="154" t="s">
        <v>69</v>
      </c>
      <c r="BP93" s="154" t="s">
        <v>69</v>
      </c>
      <c r="BQ93" s="154" t="s">
        <v>69</v>
      </c>
      <c r="BR93" s="154" t="s">
        <v>69</v>
      </c>
      <c r="BS93" s="154" t="s">
        <v>69</v>
      </c>
      <c r="BT93" s="154" t="s">
        <v>69</v>
      </c>
      <c r="BU93" s="154" t="s">
        <v>69</v>
      </c>
      <c r="BV93" s="154" t="s">
        <v>69</v>
      </c>
      <c r="BW93" s="154" t="s">
        <v>69</v>
      </c>
      <c r="BX93" s="154" t="s">
        <v>69</v>
      </c>
      <c r="BY93" s="154" t="s">
        <v>69</v>
      </c>
      <c r="BZ93" s="154" t="s">
        <v>69</v>
      </c>
      <c r="CA93" s="154" t="s">
        <v>69</v>
      </c>
      <c r="CB93" s="154" t="s">
        <v>69</v>
      </c>
      <c r="CC93" s="154" t="s">
        <v>69</v>
      </c>
      <c r="CD93" s="154" t="s">
        <v>69</v>
      </c>
      <c r="CE93" s="154" t="s">
        <v>69</v>
      </c>
      <c r="CF93" s="154" t="s">
        <v>69</v>
      </c>
      <c r="CG93" s="154">
        <v>3</v>
      </c>
      <c r="CH93" s="154" t="s">
        <v>69</v>
      </c>
      <c r="CI93" s="154" t="s">
        <v>69</v>
      </c>
      <c r="CJ93" s="154" t="s">
        <v>69</v>
      </c>
      <c r="CK93" s="154" t="s">
        <v>69</v>
      </c>
      <c r="CL93" s="154" t="s">
        <v>69</v>
      </c>
      <c r="CM93" s="154" t="s">
        <v>69</v>
      </c>
      <c r="CN93" s="154" t="s">
        <v>69</v>
      </c>
      <c r="CO93" s="154" t="s">
        <v>69</v>
      </c>
      <c r="CP93" s="154" t="s">
        <v>69</v>
      </c>
      <c r="CQ93" s="154" t="s">
        <v>69</v>
      </c>
      <c r="CR93" s="154" t="s">
        <v>69</v>
      </c>
      <c r="CS93" s="154" t="s">
        <v>69</v>
      </c>
      <c r="CT93" s="154">
        <v>2</v>
      </c>
      <c r="CU93" s="154" t="s">
        <v>69</v>
      </c>
      <c r="CV93" s="154" t="s">
        <v>69</v>
      </c>
      <c r="CW93" s="154" t="s">
        <v>69</v>
      </c>
      <c r="CX93" s="154" t="s">
        <v>69</v>
      </c>
      <c r="CY93" s="154" t="s">
        <v>69</v>
      </c>
      <c r="CZ93" s="154" t="s">
        <v>69</v>
      </c>
      <c r="DA93" s="154" t="s">
        <v>69</v>
      </c>
      <c r="DB93" s="154" t="s">
        <v>69</v>
      </c>
      <c r="DC93" s="154" t="s">
        <v>69</v>
      </c>
      <c r="DD93" s="154" t="s">
        <v>69</v>
      </c>
      <c r="DE93" s="154" t="s">
        <v>69</v>
      </c>
      <c r="DF93" s="154" t="s">
        <v>69</v>
      </c>
      <c r="DG93" s="154" t="s">
        <v>69</v>
      </c>
      <c r="DH93" s="154" t="s">
        <v>69</v>
      </c>
      <c r="DI93" s="154" t="s">
        <v>69</v>
      </c>
      <c r="DJ93" s="154" t="s">
        <v>69</v>
      </c>
      <c r="DK93" s="154" t="s">
        <v>69</v>
      </c>
      <c r="DL93" s="154" t="s">
        <v>69</v>
      </c>
      <c r="DM93" s="154" t="s">
        <v>69</v>
      </c>
      <c r="DN93" s="154" t="s">
        <v>69</v>
      </c>
      <c r="DO93" s="154" t="s">
        <v>69</v>
      </c>
      <c r="DP93" s="154" t="s">
        <v>69</v>
      </c>
      <c r="DQ93" s="154" t="s">
        <v>69</v>
      </c>
      <c r="DR93" s="154" t="s">
        <v>69</v>
      </c>
      <c r="DS93" s="154" t="s">
        <v>69</v>
      </c>
      <c r="DT93" s="154" t="s">
        <v>69</v>
      </c>
      <c r="DU93" s="110">
        <f t="shared" si="4"/>
        <v>0.11290322580645161</v>
      </c>
      <c r="DV93" s="104">
        <f t="shared" si="5"/>
        <v>0.5714285714285714</v>
      </c>
    </row>
    <row r="94" spans="1:126" ht="68.25" hidden="1" customHeight="1" thickBot="1">
      <c r="A94" s="148"/>
      <c r="B94" s="238" t="s">
        <v>729</v>
      </c>
      <c r="C94" s="239" t="s">
        <v>730</v>
      </c>
      <c r="D94" s="219"/>
      <c r="E94" s="220" t="s">
        <v>434</v>
      </c>
      <c r="F94" s="154" t="s">
        <v>69</v>
      </c>
      <c r="G94" s="154" t="s">
        <v>69</v>
      </c>
      <c r="H94" s="154" t="s">
        <v>69</v>
      </c>
      <c r="I94" s="154" t="s">
        <v>69</v>
      </c>
      <c r="J94" s="154" t="s">
        <v>69</v>
      </c>
      <c r="K94" s="154" t="s">
        <v>69</v>
      </c>
      <c r="L94" s="154" t="s">
        <v>69</v>
      </c>
      <c r="M94" s="154" t="s">
        <v>69</v>
      </c>
      <c r="N94" s="154" t="s">
        <v>69</v>
      </c>
      <c r="O94" s="154" t="s">
        <v>69</v>
      </c>
      <c r="P94" s="154" t="s">
        <v>69</v>
      </c>
      <c r="Q94" s="154" t="s">
        <v>69</v>
      </c>
      <c r="R94" s="154" t="s">
        <v>69</v>
      </c>
      <c r="S94" s="154" t="s">
        <v>69</v>
      </c>
      <c r="T94" s="154" t="s">
        <v>69</v>
      </c>
      <c r="U94" s="154" t="s">
        <v>69</v>
      </c>
      <c r="V94" s="154" t="s">
        <v>69</v>
      </c>
      <c r="W94" s="154" t="s">
        <v>69</v>
      </c>
      <c r="X94" s="154" t="s">
        <v>69</v>
      </c>
      <c r="Y94" s="154" t="s">
        <v>69</v>
      </c>
      <c r="Z94" s="154" t="s">
        <v>69</v>
      </c>
      <c r="AA94" s="154" t="s">
        <v>69</v>
      </c>
      <c r="AB94" s="154">
        <v>2</v>
      </c>
      <c r="AC94" s="154" t="s">
        <v>69</v>
      </c>
      <c r="AD94" s="154" t="s">
        <v>69</v>
      </c>
      <c r="AE94" s="154" t="s">
        <v>69</v>
      </c>
      <c r="AF94" s="154" t="s">
        <v>69</v>
      </c>
      <c r="AG94" s="154" t="s">
        <v>69</v>
      </c>
      <c r="AH94" s="154" t="s">
        <v>69</v>
      </c>
      <c r="AI94" s="154" t="s">
        <v>69</v>
      </c>
      <c r="AJ94" s="154" t="s">
        <v>69</v>
      </c>
      <c r="AK94" s="154" t="s">
        <v>69</v>
      </c>
      <c r="AL94" s="154" t="s">
        <v>69</v>
      </c>
      <c r="AM94" s="154" t="s">
        <v>69</v>
      </c>
      <c r="AN94" s="154" t="s">
        <v>69</v>
      </c>
      <c r="AO94" s="154" t="s">
        <v>69</v>
      </c>
      <c r="AP94" s="154" t="s">
        <v>69</v>
      </c>
      <c r="AQ94" s="154" t="s">
        <v>69</v>
      </c>
      <c r="AR94" s="154" t="s">
        <v>69</v>
      </c>
      <c r="AS94" s="154">
        <v>3</v>
      </c>
      <c r="AT94" s="154" t="s">
        <v>69</v>
      </c>
      <c r="AU94" s="154" t="s">
        <v>69</v>
      </c>
      <c r="AV94" s="154" t="s">
        <v>69</v>
      </c>
      <c r="AW94" s="154" t="s">
        <v>69</v>
      </c>
      <c r="AX94" s="154">
        <v>3</v>
      </c>
      <c r="AY94" s="154" t="s">
        <v>69</v>
      </c>
      <c r="AZ94" s="154" t="s">
        <v>69</v>
      </c>
      <c r="BA94" s="154" t="s">
        <v>69</v>
      </c>
      <c r="BB94" s="154" t="s">
        <v>69</v>
      </c>
      <c r="BC94" s="154" t="s">
        <v>69</v>
      </c>
      <c r="BD94" s="154" t="s">
        <v>69</v>
      </c>
      <c r="BE94" s="154">
        <v>3</v>
      </c>
      <c r="BF94" s="154" t="s">
        <v>69</v>
      </c>
      <c r="BG94" s="154" t="s">
        <v>69</v>
      </c>
      <c r="BH94" s="154" t="s">
        <v>69</v>
      </c>
      <c r="BI94" s="154" t="s">
        <v>69</v>
      </c>
      <c r="BJ94" s="154" t="s">
        <v>69</v>
      </c>
      <c r="BK94" s="154" t="s">
        <v>69</v>
      </c>
      <c r="BL94" s="154" t="s">
        <v>69</v>
      </c>
      <c r="BM94" s="154" t="s">
        <v>69</v>
      </c>
      <c r="BN94" s="154" t="s">
        <v>69</v>
      </c>
      <c r="BO94" s="154" t="s">
        <v>69</v>
      </c>
      <c r="BP94" s="154" t="s">
        <v>69</v>
      </c>
      <c r="BQ94" s="154" t="s">
        <v>69</v>
      </c>
      <c r="BR94" s="154" t="s">
        <v>69</v>
      </c>
      <c r="BS94" s="154" t="s">
        <v>69</v>
      </c>
      <c r="BT94" s="154" t="s">
        <v>69</v>
      </c>
      <c r="BU94" s="154" t="s">
        <v>69</v>
      </c>
      <c r="BV94" s="154" t="s">
        <v>69</v>
      </c>
      <c r="BW94" s="154" t="s">
        <v>69</v>
      </c>
      <c r="BX94" s="154" t="s">
        <v>69</v>
      </c>
      <c r="BY94" s="154" t="s">
        <v>69</v>
      </c>
      <c r="BZ94" s="154" t="s">
        <v>69</v>
      </c>
      <c r="CA94" s="154" t="s">
        <v>69</v>
      </c>
      <c r="CB94" s="154" t="s">
        <v>69</v>
      </c>
      <c r="CC94" s="154" t="s">
        <v>69</v>
      </c>
      <c r="CD94" s="154" t="s">
        <v>69</v>
      </c>
      <c r="CE94" s="154" t="s">
        <v>69</v>
      </c>
      <c r="CF94" s="154" t="s">
        <v>69</v>
      </c>
      <c r="CG94" s="154" t="s">
        <v>69</v>
      </c>
      <c r="CH94" s="154" t="s">
        <v>69</v>
      </c>
      <c r="CI94" s="154" t="s">
        <v>69</v>
      </c>
      <c r="CJ94" s="154" t="s">
        <v>69</v>
      </c>
      <c r="CK94" s="154" t="s">
        <v>69</v>
      </c>
      <c r="CL94" s="154" t="s">
        <v>69</v>
      </c>
      <c r="CM94" s="154" t="s">
        <v>69</v>
      </c>
      <c r="CN94" s="154" t="s">
        <v>69</v>
      </c>
      <c r="CO94" s="154" t="s">
        <v>69</v>
      </c>
      <c r="CP94" s="154">
        <v>3</v>
      </c>
      <c r="CQ94" s="154" t="s">
        <v>69</v>
      </c>
      <c r="CR94" s="154" t="s">
        <v>69</v>
      </c>
      <c r="CS94" s="154">
        <v>2</v>
      </c>
      <c r="CT94" s="154">
        <v>2</v>
      </c>
      <c r="CU94" s="154" t="s">
        <v>69</v>
      </c>
      <c r="CV94" s="154" t="s">
        <v>69</v>
      </c>
      <c r="CW94" s="154" t="s">
        <v>69</v>
      </c>
      <c r="CX94" s="154">
        <v>2</v>
      </c>
      <c r="CY94" s="154" t="s">
        <v>69</v>
      </c>
      <c r="CZ94" s="154" t="s">
        <v>69</v>
      </c>
      <c r="DA94" s="154" t="s">
        <v>69</v>
      </c>
      <c r="DB94" s="154" t="s">
        <v>69</v>
      </c>
      <c r="DC94" s="154" t="s">
        <v>69</v>
      </c>
      <c r="DD94" s="154" t="s">
        <v>69</v>
      </c>
      <c r="DE94" s="154" t="s">
        <v>69</v>
      </c>
      <c r="DF94" s="154" t="s">
        <v>69</v>
      </c>
      <c r="DG94" s="154" t="s">
        <v>69</v>
      </c>
      <c r="DH94" s="154" t="s">
        <v>69</v>
      </c>
      <c r="DI94" s="154" t="s">
        <v>69</v>
      </c>
      <c r="DJ94" s="154" t="s">
        <v>69</v>
      </c>
      <c r="DK94" s="154" t="s">
        <v>69</v>
      </c>
      <c r="DL94" s="154" t="s">
        <v>69</v>
      </c>
      <c r="DM94" s="154" t="s">
        <v>69</v>
      </c>
      <c r="DN94" s="154" t="s">
        <v>69</v>
      </c>
      <c r="DO94" s="154" t="s">
        <v>69</v>
      </c>
      <c r="DP94" s="154" t="s">
        <v>69</v>
      </c>
      <c r="DQ94" s="154" t="s">
        <v>69</v>
      </c>
      <c r="DR94" s="154" t="s">
        <v>69</v>
      </c>
      <c r="DS94" s="154">
        <v>2</v>
      </c>
      <c r="DT94" s="154" t="s">
        <v>69</v>
      </c>
      <c r="DU94" s="110">
        <f t="shared" si="4"/>
        <v>0.14516129032258066</v>
      </c>
      <c r="DV94" s="104">
        <f t="shared" si="5"/>
        <v>0.44444444444444442</v>
      </c>
    </row>
    <row r="95" spans="1:126" ht="65.25" hidden="1" customHeight="1" thickBot="1">
      <c r="B95" s="238" t="s">
        <v>778</v>
      </c>
      <c r="C95" s="239" t="s">
        <v>731</v>
      </c>
      <c r="D95" s="226"/>
      <c r="E95" s="220" t="s">
        <v>434</v>
      </c>
      <c r="F95" s="195">
        <v>4</v>
      </c>
      <c r="G95" s="195">
        <v>2</v>
      </c>
      <c r="H95" s="195">
        <v>4</v>
      </c>
      <c r="I95" s="195" t="s">
        <v>69</v>
      </c>
      <c r="J95" s="195" t="s">
        <v>69</v>
      </c>
      <c r="K95" s="195" t="s">
        <v>69</v>
      </c>
      <c r="L95" s="195" t="s">
        <v>69</v>
      </c>
      <c r="M95" s="195" t="s">
        <v>69</v>
      </c>
      <c r="N95" s="195" t="s">
        <v>69</v>
      </c>
      <c r="O95" s="195">
        <v>3</v>
      </c>
      <c r="P95" s="195" t="s">
        <v>69</v>
      </c>
      <c r="Q95" s="195" t="s">
        <v>69</v>
      </c>
      <c r="R95" s="195" t="s">
        <v>69</v>
      </c>
      <c r="S95" s="195" t="s">
        <v>69</v>
      </c>
      <c r="T95" s="195" t="s">
        <v>69</v>
      </c>
      <c r="U95" s="195" t="s">
        <v>69</v>
      </c>
      <c r="V95" s="195" t="s">
        <v>69</v>
      </c>
      <c r="W95" s="195" t="s">
        <v>69</v>
      </c>
      <c r="X95" s="195" t="s">
        <v>69</v>
      </c>
      <c r="Y95" s="195" t="s">
        <v>69</v>
      </c>
      <c r="Z95" s="195" t="s">
        <v>69</v>
      </c>
      <c r="AA95" s="195" t="s">
        <v>69</v>
      </c>
      <c r="AB95" s="195" t="s">
        <v>69</v>
      </c>
      <c r="AC95" s="195" t="s">
        <v>69</v>
      </c>
      <c r="AD95" s="195" t="s">
        <v>69</v>
      </c>
      <c r="AE95" s="195" t="s">
        <v>69</v>
      </c>
      <c r="AF95" s="195" t="s">
        <v>69</v>
      </c>
      <c r="AG95" s="195" t="s">
        <v>69</v>
      </c>
      <c r="AH95" s="195" t="s">
        <v>69</v>
      </c>
      <c r="AI95" s="195" t="s">
        <v>69</v>
      </c>
      <c r="AJ95" s="195" t="s">
        <v>69</v>
      </c>
      <c r="AK95" s="195" t="s">
        <v>69</v>
      </c>
      <c r="AL95" s="195" t="s">
        <v>69</v>
      </c>
      <c r="AM95" s="195" t="s">
        <v>69</v>
      </c>
      <c r="AN95" s="195" t="s">
        <v>69</v>
      </c>
      <c r="AO95" s="195" t="s">
        <v>69</v>
      </c>
      <c r="AP95" s="195" t="s">
        <v>69</v>
      </c>
      <c r="AQ95" s="195" t="s">
        <v>69</v>
      </c>
      <c r="AR95" s="195" t="s">
        <v>69</v>
      </c>
      <c r="AS95" s="195" t="s">
        <v>69</v>
      </c>
      <c r="AT95" s="195" t="s">
        <v>69</v>
      </c>
      <c r="AU95" s="195">
        <v>3</v>
      </c>
      <c r="AV95" s="195" t="s">
        <v>69</v>
      </c>
      <c r="AW95" s="195" t="s">
        <v>69</v>
      </c>
      <c r="AX95" s="195" t="s">
        <v>69</v>
      </c>
      <c r="AY95" s="195" t="s">
        <v>69</v>
      </c>
      <c r="AZ95" s="195" t="s">
        <v>69</v>
      </c>
      <c r="BA95" s="195" t="s">
        <v>69</v>
      </c>
      <c r="BB95" s="195" t="s">
        <v>69</v>
      </c>
      <c r="BC95" s="195" t="s">
        <v>69</v>
      </c>
      <c r="BD95" s="195" t="s">
        <v>69</v>
      </c>
      <c r="BE95" s="195" t="s">
        <v>69</v>
      </c>
      <c r="BF95" s="195" t="s">
        <v>69</v>
      </c>
      <c r="BG95" s="195" t="s">
        <v>69</v>
      </c>
      <c r="BH95" s="195" t="s">
        <v>69</v>
      </c>
      <c r="BI95" s="195" t="s">
        <v>69</v>
      </c>
      <c r="BJ95" s="195" t="s">
        <v>69</v>
      </c>
      <c r="BK95" s="195" t="s">
        <v>69</v>
      </c>
      <c r="BL95" s="195" t="s">
        <v>69</v>
      </c>
      <c r="BM95" s="195" t="s">
        <v>69</v>
      </c>
      <c r="BN95" s="195" t="s">
        <v>69</v>
      </c>
      <c r="BO95" s="195" t="s">
        <v>69</v>
      </c>
      <c r="BP95" s="195" t="s">
        <v>69</v>
      </c>
      <c r="BQ95" s="195" t="s">
        <v>69</v>
      </c>
      <c r="BR95" s="195" t="s">
        <v>69</v>
      </c>
      <c r="BS95" s="195" t="s">
        <v>69</v>
      </c>
      <c r="BT95" s="195" t="s">
        <v>69</v>
      </c>
      <c r="BU95" s="195" t="s">
        <v>69</v>
      </c>
      <c r="BV95" s="195" t="s">
        <v>69</v>
      </c>
      <c r="BW95" s="195" t="s">
        <v>69</v>
      </c>
      <c r="BX95" s="195" t="s">
        <v>69</v>
      </c>
      <c r="BY95" s="195" t="s">
        <v>69</v>
      </c>
      <c r="BZ95" s="195" t="s">
        <v>69</v>
      </c>
      <c r="CA95" s="195" t="s">
        <v>69</v>
      </c>
      <c r="CB95" s="195" t="s">
        <v>69</v>
      </c>
      <c r="CC95" s="195" t="s">
        <v>69</v>
      </c>
      <c r="CD95" s="195" t="s">
        <v>69</v>
      </c>
      <c r="CE95" s="195" t="s">
        <v>69</v>
      </c>
      <c r="CF95" s="195" t="s">
        <v>69</v>
      </c>
      <c r="CG95" s="195" t="s">
        <v>69</v>
      </c>
      <c r="CH95" s="195" t="s">
        <v>69</v>
      </c>
      <c r="CI95" s="195" t="s">
        <v>69</v>
      </c>
      <c r="CJ95" s="195" t="s">
        <v>69</v>
      </c>
      <c r="CK95" s="195">
        <v>2</v>
      </c>
      <c r="CL95" s="195" t="s">
        <v>69</v>
      </c>
      <c r="CM95" s="195" t="s">
        <v>69</v>
      </c>
      <c r="CN95" s="195" t="s">
        <v>69</v>
      </c>
      <c r="CO95" s="195" t="s">
        <v>69</v>
      </c>
      <c r="CP95" s="195" t="s">
        <v>69</v>
      </c>
      <c r="CQ95" s="195" t="s">
        <v>69</v>
      </c>
      <c r="CR95" s="195" t="s">
        <v>69</v>
      </c>
      <c r="CS95" s="195" t="s">
        <v>69</v>
      </c>
      <c r="CT95" s="195" t="s">
        <v>69</v>
      </c>
      <c r="CU95" s="195" t="s">
        <v>69</v>
      </c>
      <c r="CV95" s="195" t="s">
        <v>69</v>
      </c>
      <c r="CW95" s="195" t="s">
        <v>69</v>
      </c>
      <c r="CX95" s="195" t="s">
        <v>69</v>
      </c>
      <c r="CY95" s="195" t="s">
        <v>69</v>
      </c>
      <c r="CZ95" s="195" t="s">
        <v>69</v>
      </c>
      <c r="DA95" s="195" t="s">
        <v>69</v>
      </c>
      <c r="DB95" s="195" t="s">
        <v>69</v>
      </c>
      <c r="DC95" s="195" t="s">
        <v>69</v>
      </c>
      <c r="DD95" s="195" t="s">
        <v>69</v>
      </c>
      <c r="DE95" s="195" t="s">
        <v>69</v>
      </c>
      <c r="DF95" s="195" t="s">
        <v>69</v>
      </c>
      <c r="DG95" s="195" t="s">
        <v>69</v>
      </c>
      <c r="DH95" s="195" t="s">
        <v>69</v>
      </c>
      <c r="DI95" s="195" t="s">
        <v>69</v>
      </c>
      <c r="DJ95" s="195" t="s">
        <v>69</v>
      </c>
      <c r="DK95" s="195" t="s">
        <v>69</v>
      </c>
      <c r="DL95" s="195" t="s">
        <v>69</v>
      </c>
      <c r="DM95" s="195" t="s">
        <v>69</v>
      </c>
      <c r="DN95" s="195" t="s">
        <v>69</v>
      </c>
      <c r="DO95" s="195" t="s">
        <v>69</v>
      </c>
      <c r="DP95" s="195" t="s">
        <v>69</v>
      </c>
      <c r="DQ95" s="195" t="s">
        <v>69</v>
      </c>
      <c r="DR95" s="195" t="s">
        <v>69</v>
      </c>
      <c r="DS95" s="195" t="s">
        <v>69</v>
      </c>
      <c r="DT95" s="195" t="s">
        <v>69</v>
      </c>
      <c r="DU95" s="110">
        <f t="shared" si="4"/>
        <v>9.6774193548387094E-2</v>
      </c>
      <c r="DV95" s="104">
        <f t="shared" si="5"/>
        <v>0.66666666666666663</v>
      </c>
    </row>
    <row r="96" spans="1:126" ht="65.25" hidden="1" customHeight="1" thickBot="1">
      <c r="B96" s="238" t="s">
        <v>756</v>
      </c>
      <c r="C96" s="239" t="s">
        <v>757</v>
      </c>
      <c r="D96" s="226"/>
      <c r="E96" s="220" t="s">
        <v>434</v>
      </c>
      <c r="F96" s="195" t="s">
        <v>69</v>
      </c>
      <c r="G96" s="195" t="s">
        <v>69</v>
      </c>
      <c r="H96" s="195" t="s">
        <v>69</v>
      </c>
      <c r="I96" s="195" t="s">
        <v>69</v>
      </c>
      <c r="J96" s="195" t="s">
        <v>69</v>
      </c>
      <c r="K96" s="195" t="s">
        <v>69</v>
      </c>
      <c r="L96" s="195" t="s">
        <v>69</v>
      </c>
      <c r="M96" s="195" t="s">
        <v>69</v>
      </c>
      <c r="N96" s="195" t="s">
        <v>69</v>
      </c>
      <c r="O96" s="195" t="s">
        <v>69</v>
      </c>
      <c r="P96" s="195" t="s">
        <v>69</v>
      </c>
      <c r="Q96" s="195" t="s">
        <v>69</v>
      </c>
      <c r="R96" s="195" t="s">
        <v>69</v>
      </c>
      <c r="S96" s="195" t="s">
        <v>69</v>
      </c>
      <c r="T96" s="195" t="s">
        <v>69</v>
      </c>
      <c r="U96" s="195" t="s">
        <v>69</v>
      </c>
      <c r="V96" s="195" t="s">
        <v>69</v>
      </c>
      <c r="W96" s="195" t="s">
        <v>69</v>
      </c>
      <c r="X96" s="195" t="s">
        <v>69</v>
      </c>
      <c r="Y96" s="195" t="s">
        <v>69</v>
      </c>
      <c r="Z96" s="195" t="s">
        <v>69</v>
      </c>
      <c r="AA96" s="195" t="s">
        <v>69</v>
      </c>
      <c r="AB96" s="195" t="s">
        <v>69</v>
      </c>
      <c r="AC96" s="195" t="s">
        <v>69</v>
      </c>
      <c r="AD96" s="195" t="s">
        <v>69</v>
      </c>
      <c r="AE96" s="195" t="s">
        <v>69</v>
      </c>
      <c r="AF96" s="195">
        <v>3</v>
      </c>
      <c r="AG96" s="195" t="s">
        <v>69</v>
      </c>
      <c r="AH96" s="195" t="s">
        <v>69</v>
      </c>
      <c r="AI96" s="195" t="s">
        <v>69</v>
      </c>
      <c r="AJ96" s="195" t="s">
        <v>69</v>
      </c>
      <c r="AK96" s="195" t="s">
        <v>69</v>
      </c>
      <c r="AL96" s="195" t="s">
        <v>69</v>
      </c>
      <c r="AM96" s="195" t="s">
        <v>69</v>
      </c>
      <c r="AN96" s="195" t="s">
        <v>69</v>
      </c>
      <c r="AO96" s="195" t="s">
        <v>69</v>
      </c>
      <c r="AP96" s="195" t="s">
        <v>69</v>
      </c>
      <c r="AQ96" s="195" t="s">
        <v>69</v>
      </c>
      <c r="AR96" s="195" t="s">
        <v>69</v>
      </c>
      <c r="AS96" s="195" t="s">
        <v>69</v>
      </c>
      <c r="AT96" s="195" t="s">
        <v>69</v>
      </c>
      <c r="AU96" s="195" t="s">
        <v>69</v>
      </c>
      <c r="AV96" s="195" t="s">
        <v>69</v>
      </c>
      <c r="AW96" s="195" t="s">
        <v>69</v>
      </c>
      <c r="AX96" s="195" t="s">
        <v>69</v>
      </c>
      <c r="AY96" s="195" t="s">
        <v>69</v>
      </c>
      <c r="AZ96" s="195" t="s">
        <v>69</v>
      </c>
      <c r="BA96" s="195" t="s">
        <v>69</v>
      </c>
      <c r="BB96" s="195" t="s">
        <v>69</v>
      </c>
      <c r="BC96" s="195" t="s">
        <v>69</v>
      </c>
      <c r="BD96" s="195" t="s">
        <v>69</v>
      </c>
      <c r="BE96" s="195" t="s">
        <v>69</v>
      </c>
      <c r="BF96" s="195" t="s">
        <v>69</v>
      </c>
      <c r="BG96" s="195" t="s">
        <v>69</v>
      </c>
      <c r="BH96" s="195" t="s">
        <v>69</v>
      </c>
      <c r="BI96" s="195" t="s">
        <v>69</v>
      </c>
      <c r="BJ96" s="195" t="s">
        <v>69</v>
      </c>
      <c r="BK96" s="195" t="s">
        <v>69</v>
      </c>
      <c r="BL96" s="195" t="s">
        <v>69</v>
      </c>
      <c r="BM96" s="195" t="s">
        <v>69</v>
      </c>
      <c r="BN96" s="195" t="s">
        <v>69</v>
      </c>
      <c r="BO96" s="195" t="s">
        <v>69</v>
      </c>
      <c r="BP96" s="195" t="s">
        <v>69</v>
      </c>
      <c r="BQ96" s="195" t="s">
        <v>69</v>
      </c>
      <c r="BR96" s="195" t="s">
        <v>69</v>
      </c>
      <c r="BS96" s="195" t="s">
        <v>69</v>
      </c>
      <c r="BT96" s="195" t="s">
        <v>69</v>
      </c>
      <c r="BU96" s="195" t="s">
        <v>69</v>
      </c>
      <c r="BV96" s="195" t="s">
        <v>69</v>
      </c>
      <c r="BW96" s="195" t="s">
        <v>69</v>
      </c>
      <c r="BX96" s="195" t="s">
        <v>69</v>
      </c>
      <c r="BY96" s="195" t="s">
        <v>69</v>
      </c>
      <c r="BZ96" s="195" t="s">
        <v>69</v>
      </c>
      <c r="CA96" s="195" t="s">
        <v>69</v>
      </c>
      <c r="CB96" s="195" t="s">
        <v>69</v>
      </c>
      <c r="CC96" s="195" t="s">
        <v>69</v>
      </c>
      <c r="CD96" s="195" t="s">
        <v>69</v>
      </c>
      <c r="CE96" s="195" t="s">
        <v>69</v>
      </c>
      <c r="CF96" s="195" t="s">
        <v>69</v>
      </c>
      <c r="CG96" s="195" t="s">
        <v>69</v>
      </c>
      <c r="CH96" s="195" t="s">
        <v>69</v>
      </c>
      <c r="CI96" s="195" t="s">
        <v>69</v>
      </c>
      <c r="CJ96" s="195" t="s">
        <v>69</v>
      </c>
      <c r="CK96" s="195" t="s">
        <v>69</v>
      </c>
      <c r="CL96" s="195" t="s">
        <v>69</v>
      </c>
      <c r="CM96" s="195" t="s">
        <v>69</v>
      </c>
      <c r="CN96" s="195" t="s">
        <v>69</v>
      </c>
      <c r="CO96" s="195" t="s">
        <v>69</v>
      </c>
      <c r="CP96" s="195" t="s">
        <v>69</v>
      </c>
      <c r="CQ96" s="195" t="s">
        <v>69</v>
      </c>
      <c r="CR96" s="195" t="s">
        <v>69</v>
      </c>
      <c r="CS96" s="195" t="s">
        <v>69</v>
      </c>
      <c r="CT96" s="195" t="s">
        <v>69</v>
      </c>
      <c r="CU96" s="195" t="s">
        <v>69</v>
      </c>
      <c r="CV96" s="195" t="s">
        <v>69</v>
      </c>
      <c r="CW96" s="195" t="s">
        <v>69</v>
      </c>
      <c r="CX96" s="195" t="s">
        <v>69</v>
      </c>
      <c r="CY96" s="195" t="s">
        <v>69</v>
      </c>
      <c r="CZ96" s="195" t="s">
        <v>69</v>
      </c>
      <c r="DA96" s="195" t="s">
        <v>69</v>
      </c>
      <c r="DB96" s="195" t="s">
        <v>69</v>
      </c>
      <c r="DC96" s="195" t="s">
        <v>69</v>
      </c>
      <c r="DD96" s="195" t="s">
        <v>69</v>
      </c>
      <c r="DE96" s="195" t="s">
        <v>69</v>
      </c>
      <c r="DF96" s="195" t="s">
        <v>69</v>
      </c>
      <c r="DG96" s="195" t="s">
        <v>69</v>
      </c>
      <c r="DH96" s="195" t="s">
        <v>69</v>
      </c>
      <c r="DI96" s="195" t="s">
        <v>69</v>
      </c>
      <c r="DJ96" s="195" t="s">
        <v>69</v>
      </c>
      <c r="DK96" s="195" t="s">
        <v>69</v>
      </c>
      <c r="DL96" s="195" t="s">
        <v>69</v>
      </c>
      <c r="DM96" s="195" t="s">
        <v>69</v>
      </c>
      <c r="DN96" s="195" t="s">
        <v>69</v>
      </c>
      <c r="DO96" s="195" t="s">
        <v>69</v>
      </c>
      <c r="DP96" s="195" t="s">
        <v>69</v>
      </c>
      <c r="DQ96" s="195" t="s">
        <v>69</v>
      </c>
      <c r="DR96" s="195" t="s">
        <v>69</v>
      </c>
      <c r="DS96" s="195" t="s">
        <v>69</v>
      </c>
      <c r="DT96" s="195" t="s">
        <v>69</v>
      </c>
      <c r="DU96" s="110">
        <f t="shared" si="4"/>
        <v>1.6129032258064516E-2</v>
      </c>
      <c r="DV96" s="104">
        <f t="shared" si="5"/>
        <v>1</v>
      </c>
    </row>
    <row r="97" spans="1:126" ht="60" hidden="1" customHeight="1" thickBot="1">
      <c r="A97" s="207" t="s">
        <v>522</v>
      </c>
      <c r="B97" s="207" t="s">
        <v>522</v>
      </c>
      <c r="C97" s="239" t="s">
        <v>514</v>
      </c>
      <c r="D97" s="208">
        <v>44518</v>
      </c>
      <c r="E97" s="220" t="s">
        <v>434</v>
      </c>
      <c r="F97" s="124">
        <v>4</v>
      </c>
      <c r="G97" s="124">
        <v>4</v>
      </c>
      <c r="H97" s="123" t="s">
        <v>69</v>
      </c>
      <c r="I97" s="123" t="s">
        <v>69</v>
      </c>
      <c r="J97" s="123" t="s">
        <v>69</v>
      </c>
      <c r="K97" s="123">
        <v>4</v>
      </c>
      <c r="L97" s="123">
        <v>4</v>
      </c>
      <c r="M97" s="123">
        <v>4</v>
      </c>
      <c r="N97" s="123">
        <v>4</v>
      </c>
      <c r="O97" s="123">
        <v>4</v>
      </c>
      <c r="P97" s="123">
        <v>4</v>
      </c>
      <c r="Q97" s="123">
        <v>4</v>
      </c>
      <c r="R97" s="123">
        <v>4</v>
      </c>
      <c r="S97" s="123" t="s">
        <v>69</v>
      </c>
      <c r="T97" s="123" t="s">
        <v>69</v>
      </c>
      <c r="U97" s="124" t="s">
        <v>69</v>
      </c>
      <c r="V97" s="123">
        <v>4</v>
      </c>
      <c r="W97" s="123">
        <v>4</v>
      </c>
      <c r="X97" s="123">
        <v>4</v>
      </c>
      <c r="Y97" s="123">
        <v>4</v>
      </c>
      <c r="Z97" s="124">
        <v>4</v>
      </c>
      <c r="AA97" s="123">
        <v>4</v>
      </c>
      <c r="AB97" s="123">
        <v>4</v>
      </c>
      <c r="AC97" s="124">
        <v>4</v>
      </c>
      <c r="AD97" s="106" t="s">
        <v>69</v>
      </c>
      <c r="AE97" s="106" t="s">
        <v>69</v>
      </c>
      <c r="AF97" s="106">
        <v>2</v>
      </c>
      <c r="AG97" s="106">
        <v>3</v>
      </c>
      <c r="AH97" s="123" t="s">
        <v>69</v>
      </c>
      <c r="AI97" s="106">
        <v>3</v>
      </c>
      <c r="AJ97" s="124">
        <v>4</v>
      </c>
      <c r="AK97" s="124">
        <v>4</v>
      </c>
      <c r="AL97" s="123">
        <v>4</v>
      </c>
      <c r="AM97" s="123">
        <v>4</v>
      </c>
      <c r="AN97" s="123">
        <v>4</v>
      </c>
      <c r="AO97" s="123">
        <v>4</v>
      </c>
      <c r="AP97" s="124">
        <v>4</v>
      </c>
      <c r="AQ97" s="124">
        <v>4</v>
      </c>
      <c r="AR97" s="123">
        <v>4</v>
      </c>
      <c r="AS97" s="123">
        <v>4</v>
      </c>
      <c r="AT97" s="123">
        <v>4</v>
      </c>
      <c r="AU97" s="123">
        <v>4</v>
      </c>
      <c r="AV97" s="123" t="s">
        <v>69</v>
      </c>
      <c r="AW97" s="123">
        <v>4</v>
      </c>
      <c r="AX97" s="123">
        <v>4</v>
      </c>
      <c r="AY97" s="123">
        <v>4</v>
      </c>
      <c r="AZ97" s="123">
        <v>4</v>
      </c>
      <c r="BA97" s="123">
        <v>4</v>
      </c>
      <c r="BB97" s="123">
        <v>4</v>
      </c>
      <c r="BC97" s="123">
        <v>4</v>
      </c>
      <c r="BD97" s="124">
        <v>2</v>
      </c>
      <c r="BE97" s="123" t="s">
        <v>69</v>
      </c>
      <c r="BF97" s="123" t="s">
        <v>69</v>
      </c>
      <c r="BG97" s="123">
        <v>4</v>
      </c>
      <c r="BH97" s="123">
        <v>4</v>
      </c>
      <c r="BI97" s="123">
        <v>4</v>
      </c>
      <c r="BJ97" s="124">
        <v>4</v>
      </c>
      <c r="BK97" s="124">
        <v>3</v>
      </c>
      <c r="BL97" s="123">
        <v>4</v>
      </c>
      <c r="BM97" s="123">
        <v>4</v>
      </c>
      <c r="BN97" s="124">
        <v>4</v>
      </c>
      <c r="BO97" s="123">
        <v>4</v>
      </c>
      <c r="BP97" s="124">
        <v>4</v>
      </c>
      <c r="BQ97" s="124">
        <v>4</v>
      </c>
      <c r="BR97" s="123" t="s">
        <v>69</v>
      </c>
      <c r="BS97" s="124">
        <v>4</v>
      </c>
      <c r="BT97" s="124">
        <v>2</v>
      </c>
      <c r="BU97" s="123" t="s">
        <v>69</v>
      </c>
      <c r="BV97" s="123" t="s">
        <v>69</v>
      </c>
      <c r="BW97" s="123"/>
      <c r="BX97" s="123">
        <v>4</v>
      </c>
      <c r="BY97" s="123" t="s">
        <v>69</v>
      </c>
      <c r="BZ97" s="124">
        <v>4</v>
      </c>
      <c r="CA97" s="124">
        <v>4</v>
      </c>
      <c r="CB97" s="124">
        <v>4</v>
      </c>
      <c r="CC97" s="123" t="s">
        <v>69</v>
      </c>
      <c r="CD97" s="123">
        <v>4</v>
      </c>
      <c r="CE97" s="124">
        <v>4</v>
      </c>
      <c r="CF97" s="123">
        <v>4</v>
      </c>
      <c r="CG97" s="123">
        <v>4</v>
      </c>
      <c r="CH97" s="124">
        <v>4</v>
      </c>
      <c r="CI97" s="124">
        <v>2</v>
      </c>
      <c r="CJ97" s="123" t="s">
        <v>69</v>
      </c>
      <c r="CK97" s="124">
        <v>3</v>
      </c>
      <c r="CL97" s="124">
        <v>4</v>
      </c>
      <c r="CM97" s="123" t="s">
        <v>69</v>
      </c>
      <c r="CN97" s="123" t="s">
        <v>69</v>
      </c>
      <c r="CO97" s="123" t="s">
        <v>69</v>
      </c>
      <c r="CP97" s="123" t="s">
        <v>69</v>
      </c>
      <c r="CQ97" s="123" t="s">
        <v>69</v>
      </c>
      <c r="CR97" s="123" t="s">
        <v>69</v>
      </c>
      <c r="CS97" s="123" t="s">
        <v>69</v>
      </c>
      <c r="CT97" s="123" t="s">
        <v>69</v>
      </c>
      <c r="CU97" s="124">
        <v>4</v>
      </c>
      <c r="CV97" s="124">
        <v>4</v>
      </c>
      <c r="CW97" s="124">
        <v>4</v>
      </c>
      <c r="CX97" s="124">
        <v>4</v>
      </c>
      <c r="CY97" s="123">
        <v>2</v>
      </c>
      <c r="CZ97" s="124">
        <v>4</v>
      </c>
      <c r="DA97" s="124">
        <v>4</v>
      </c>
      <c r="DB97" s="123">
        <v>4</v>
      </c>
      <c r="DC97" s="123">
        <v>4</v>
      </c>
      <c r="DD97" s="123" t="s">
        <v>69</v>
      </c>
      <c r="DE97" s="124">
        <v>4</v>
      </c>
      <c r="DF97" s="123" t="s">
        <v>69</v>
      </c>
      <c r="DG97" s="124">
        <v>3</v>
      </c>
      <c r="DH97" s="124">
        <v>4</v>
      </c>
      <c r="DI97" s="123" t="s">
        <v>69</v>
      </c>
      <c r="DJ97" s="124">
        <v>4</v>
      </c>
      <c r="DK97" s="124">
        <v>4</v>
      </c>
      <c r="DL97" s="124">
        <v>4</v>
      </c>
      <c r="DM97" s="124">
        <v>4</v>
      </c>
      <c r="DN97" s="124" t="s">
        <v>69</v>
      </c>
      <c r="DO97" s="124" t="s">
        <v>69</v>
      </c>
      <c r="DP97" s="124" t="s">
        <v>69</v>
      </c>
      <c r="DQ97" s="124" t="s">
        <v>69</v>
      </c>
      <c r="DR97" s="124">
        <v>4</v>
      </c>
      <c r="DS97" s="124">
        <v>4</v>
      </c>
      <c r="DT97" s="124" t="s">
        <v>69</v>
      </c>
      <c r="DU97" s="209">
        <f>COUNTIF(F97:DT97,"&gt;0")/62</f>
        <v>1.3548387096774193</v>
      </c>
      <c r="DV97" s="210">
        <f>+COUNTIF(F97:DT97,"&gt;2")/COUNTIF(F97:DT97,"&gt;1")</f>
        <v>0.94047619047619047</v>
      </c>
    </row>
    <row r="98" spans="1:126" s="174" customFormat="1" ht="68.25" hidden="1" customHeight="1" thickBot="1">
      <c r="A98" s="1201"/>
      <c r="B98" s="865"/>
      <c r="C98" s="227" t="s">
        <v>17</v>
      </c>
      <c r="D98" s="201"/>
      <c r="E98" s="201"/>
      <c r="F98" s="202">
        <f t="shared" ref="F98:AK98" si="6">COUNTIF(F16:F66,"&gt;1")</f>
        <v>26</v>
      </c>
      <c r="G98" s="203">
        <f t="shared" si="6"/>
        <v>11</v>
      </c>
      <c r="H98" s="199">
        <f t="shared" si="6"/>
        <v>12</v>
      </c>
      <c r="I98" s="199">
        <f t="shared" si="6"/>
        <v>3</v>
      </c>
      <c r="J98" s="199">
        <f t="shared" si="6"/>
        <v>6</v>
      </c>
      <c r="K98" s="199">
        <f t="shared" si="6"/>
        <v>10</v>
      </c>
      <c r="L98" s="199">
        <f t="shared" si="6"/>
        <v>5</v>
      </c>
      <c r="M98" s="199">
        <f t="shared" si="6"/>
        <v>11</v>
      </c>
      <c r="N98" s="199">
        <f t="shared" si="6"/>
        <v>7</v>
      </c>
      <c r="O98" s="199">
        <f t="shared" si="6"/>
        <v>22</v>
      </c>
      <c r="P98" s="199">
        <f t="shared" si="6"/>
        <v>6</v>
      </c>
      <c r="Q98" s="200">
        <f t="shared" si="6"/>
        <v>13</v>
      </c>
      <c r="R98" s="203">
        <f t="shared" si="6"/>
        <v>5</v>
      </c>
      <c r="S98" s="199">
        <f t="shared" si="6"/>
        <v>6</v>
      </c>
      <c r="T98" s="199">
        <f t="shared" si="6"/>
        <v>3</v>
      </c>
      <c r="U98" s="199">
        <f t="shared" si="6"/>
        <v>2</v>
      </c>
      <c r="V98" s="199">
        <f t="shared" si="6"/>
        <v>5</v>
      </c>
      <c r="W98" s="199">
        <f t="shared" si="6"/>
        <v>2</v>
      </c>
      <c r="X98" s="199">
        <f t="shared" si="6"/>
        <v>3</v>
      </c>
      <c r="Y98" s="199">
        <f t="shared" si="6"/>
        <v>4</v>
      </c>
      <c r="Z98" s="199">
        <f t="shared" si="6"/>
        <v>3</v>
      </c>
      <c r="AA98" s="199">
        <f t="shared" si="6"/>
        <v>13</v>
      </c>
      <c r="AB98" s="199">
        <f t="shared" si="6"/>
        <v>2</v>
      </c>
      <c r="AC98" s="199">
        <f t="shared" si="6"/>
        <v>5</v>
      </c>
      <c r="AD98" s="199">
        <f t="shared" si="6"/>
        <v>7</v>
      </c>
      <c r="AE98" s="199">
        <f t="shared" si="6"/>
        <v>2</v>
      </c>
      <c r="AF98" s="199">
        <f t="shared" si="6"/>
        <v>13</v>
      </c>
      <c r="AG98" s="199">
        <f t="shared" si="6"/>
        <v>7</v>
      </c>
      <c r="AH98" s="199">
        <f t="shared" si="6"/>
        <v>9</v>
      </c>
      <c r="AI98" s="199">
        <f t="shared" si="6"/>
        <v>4</v>
      </c>
      <c r="AJ98" s="199">
        <f t="shared" si="6"/>
        <v>3</v>
      </c>
      <c r="AK98" s="200">
        <f t="shared" si="6"/>
        <v>2</v>
      </c>
      <c r="AL98" s="198">
        <f t="shared" ref="AL98:BQ98" si="7">COUNTIF(AL16:AL66,"&gt;1")</f>
        <v>10</v>
      </c>
      <c r="AM98" s="199">
        <f t="shared" si="7"/>
        <v>7</v>
      </c>
      <c r="AN98" s="199">
        <f t="shared" si="7"/>
        <v>14</v>
      </c>
      <c r="AO98" s="199">
        <f t="shared" si="7"/>
        <v>8</v>
      </c>
      <c r="AP98" s="199">
        <f t="shared" si="7"/>
        <v>18</v>
      </c>
      <c r="AQ98" s="199">
        <f t="shared" si="7"/>
        <v>8</v>
      </c>
      <c r="AR98" s="199">
        <f t="shared" si="7"/>
        <v>13</v>
      </c>
      <c r="AS98" s="199">
        <f t="shared" si="7"/>
        <v>12</v>
      </c>
      <c r="AT98" s="199">
        <f t="shared" si="7"/>
        <v>5</v>
      </c>
      <c r="AU98" s="199">
        <f t="shared" si="7"/>
        <v>17</v>
      </c>
      <c r="AV98" s="199">
        <f t="shared" si="7"/>
        <v>10</v>
      </c>
      <c r="AW98" s="199">
        <f t="shared" si="7"/>
        <v>4</v>
      </c>
      <c r="AX98" s="199">
        <f t="shared" si="7"/>
        <v>15</v>
      </c>
      <c r="AY98" s="199">
        <f t="shared" si="7"/>
        <v>12</v>
      </c>
      <c r="AZ98" s="199">
        <f t="shared" si="7"/>
        <v>6</v>
      </c>
      <c r="BA98" s="199">
        <f t="shared" si="7"/>
        <v>6</v>
      </c>
      <c r="BB98" s="199">
        <f t="shared" si="7"/>
        <v>7</v>
      </c>
      <c r="BC98" s="199">
        <f t="shared" si="7"/>
        <v>5</v>
      </c>
      <c r="BD98" s="199">
        <f t="shared" si="7"/>
        <v>10</v>
      </c>
      <c r="BE98" s="199">
        <f t="shared" si="7"/>
        <v>16</v>
      </c>
      <c r="BF98" s="199">
        <f t="shared" si="7"/>
        <v>12</v>
      </c>
      <c r="BG98" s="199">
        <f t="shared" si="7"/>
        <v>4</v>
      </c>
      <c r="BH98" s="199">
        <f t="shared" si="7"/>
        <v>3</v>
      </c>
      <c r="BI98" s="199">
        <f t="shared" si="7"/>
        <v>4</v>
      </c>
      <c r="BJ98" s="199">
        <f t="shared" si="7"/>
        <v>7</v>
      </c>
      <c r="BK98" s="199">
        <f t="shared" si="7"/>
        <v>7</v>
      </c>
      <c r="BL98" s="199">
        <f t="shared" si="7"/>
        <v>6</v>
      </c>
      <c r="BM98" s="199">
        <f t="shared" si="7"/>
        <v>5</v>
      </c>
      <c r="BN98" s="205">
        <f t="shared" si="7"/>
        <v>8</v>
      </c>
      <c r="BO98" s="198">
        <f t="shared" si="7"/>
        <v>2</v>
      </c>
      <c r="BP98" s="199">
        <f t="shared" si="7"/>
        <v>8</v>
      </c>
      <c r="BQ98" s="199">
        <f t="shared" si="7"/>
        <v>6</v>
      </c>
      <c r="BR98" s="199">
        <f t="shared" ref="BR98:CW98" si="8">COUNTIF(BR16:BR66,"&gt;1")</f>
        <v>34</v>
      </c>
      <c r="BS98" s="199">
        <f t="shared" si="8"/>
        <v>4</v>
      </c>
      <c r="BT98" s="199">
        <f t="shared" si="8"/>
        <v>0</v>
      </c>
      <c r="BU98" s="200">
        <f t="shared" si="8"/>
        <v>7</v>
      </c>
      <c r="BV98" s="203">
        <f t="shared" si="8"/>
        <v>7</v>
      </c>
      <c r="BW98" s="199">
        <f t="shared" si="8"/>
        <v>1</v>
      </c>
      <c r="BX98" s="199">
        <f t="shared" si="8"/>
        <v>2</v>
      </c>
      <c r="BY98" s="199">
        <f t="shared" si="8"/>
        <v>17</v>
      </c>
      <c r="BZ98" s="199">
        <f t="shared" si="8"/>
        <v>11</v>
      </c>
      <c r="CA98" s="199">
        <f t="shared" si="8"/>
        <v>9</v>
      </c>
      <c r="CB98" s="199">
        <f t="shared" si="8"/>
        <v>6</v>
      </c>
      <c r="CC98" s="199">
        <f t="shared" si="8"/>
        <v>3</v>
      </c>
      <c r="CD98" s="199">
        <f t="shared" si="8"/>
        <v>0</v>
      </c>
      <c r="CE98" s="200">
        <f t="shared" si="8"/>
        <v>0</v>
      </c>
      <c r="CF98" s="198">
        <f t="shared" si="8"/>
        <v>0</v>
      </c>
      <c r="CG98" s="199">
        <f t="shared" si="8"/>
        <v>32</v>
      </c>
      <c r="CH98" s="199">
        <f t="shared" si="8"/>
        <v>6</v>
      </c>
      <c r="CI98" s="199">
        <f t="shared" si="8"/>
        <v>8</v>
      </c>
      <c r="CJ98" s="199">
        <f t="shared" si="8"/>
        <v>8</v>
      </c>
      <c r="CK98" s="199">
        <f t="shared" si="8"/>
        <v>3</v>
      </c>
      <c r="CL98" s="199">
        <f t="shared" si="8"/>
        <v>1</v>
      </c>
      <c r="CM98" s="199">
        <f t="shared" si="8"/>
        <v>14</v>
      </c>
      <c r="CN98" s="200">
        <f t="shared" si="8"/>
        <v>18</v>
      </c>
      <c r="CO98" s="198">
        <f t="shared" si="8"/>
        <v>21</v>
      </c>
      <c r="CP98" s="199">
        <f t="shared" si="8"/>
        <v>25</v>
      </c>
      <c r="CQ98" s="199">
        <f t="shared" si="8"/>
        <v>15</v>
      </c>
      <c r="CR98" s="200">
        <f t="shared" si="8"/>
        <v>6</v>
      </c>
      <c r="CS98" s="198">
        <f t="shared" si="8"/>
        <v>8</v>
      </c>
      <c r="CT98" s="199">
        <f t="shared" si="8"/>
        <v>9</v>
      </c>
      <c r="CU98" s="199">
        <f t="shared" si="8"/>
        <v>6</v>
      </c>
      <c r="CV98" s="199">
        <f t="shared" si="8"/>
        <v>11</v>
      </c>
      <c r="CW98" s="199">
        <f t="shared" si="8"/>
        <v>7</v>
      </c>
      <c r="CX98" s="199">
        <f t="shared" ref="CX98:DM98" si="9">COUNTIF(CX16:CX66,"&gt;1")</f>
        <v>10</v>
      </c>
      <c r="CY98" s="199">
        <f t="shared" si="9"/>
        <v>6</v>
      </c>
      <c r="CZ98" s="199">
        <f t="shared" si="9"/>
        <v>6</v>
      </c>
      <c r="DA98" s="199">
        <f t="shared" si="9"/>
        <v>14</v>
      </c>
      <c r="DB98" s="199">
        <f t="shared" si="9"/>
        <v>13</v>
      </c>
      <c r="DC98" s="199">
        <f t="shared" si="9"/>
        <v>18</v>
      </c>
      <c r="DD98" s="199">
        <f t="shared" si="9"/>
        <v>12</v>
      </c>
      <c r="DE98" s="199">
        <f t="shared" si="9"/>
        <v>5</v>
      </c>
      <c r="DF98" s="199">
        <f t="shared" si="9"/>
        <v>12</v>
      </c>
      <c r="DG98" s="199">
        <f t="shared" si="9"/>
        <v>3</v>
      </c>
      <c r="DH98" s="199">
        <f t="shared" si="9"/>
        <v>3</v>
      </c>
      <c r="DI98" s="199">
        <f t="shared" si="9"/>
        <v>2</v>
      </c>
      <c r="DJ98" s="199">
        <f t="shared" si="9"/>
        <v>4</v>
      </c>
      <c r="DK98" s="199">
        <f t="shared" si="9"/>
        <v>16</v>
      </c>
      <c r="DL98" s="199">
        <f t="shared" si="9"/>
        <v>11</v>
      </c>
      <c r="DM98" s="199">
        <f t="shared" si="9"/>
        <v>6</v>
      </c>
      <c r="DN98" s="199">
        <f ca="1">COUNTIF(DN16:DN98,"&gt;1")</f>
        <v>0</v>
      </c>
      <c r="DO98" s="199">
        <f t="shared" ref="DO98:DT98" si="10">COUNTIF(DO16:DO66,"&gt;1")</f>
        <v>2</v>
      </c>
      <c r="DP98" s="199">
        <v>1</v>
      </c>
      <c r="DQ98" s="199">
        <f t="shared" si="10"/>
        <v>1</v>
      </c>
      <c r="DR98" s="199">
        <f t="shared" si="10"/>
        <v>3</v>
      </c>
      <c r="DS98" s="199">
        <f t="shared" si="10"/>
        <v>6</v>
      </c>
      <c r="DT98" s="200">
        <f t="shared" si="10"/>
        <v>33</v>
      </c>
      <c r="DU98" s="867"/>
      <c r="DV98" s="868"/>
    </row>
    <row r="99" spans="1:126" s="174" customFormat="1" ht="68.25" hidden="1" customHeight="1" thickBot="1">
      <c r="A99" s="1202"/>
      <c r="B99" s="866"/>
      <c r="C99" s="871" t="s">
        <v>12</v>
      </c>
      <c r="D99" s="872"/>
      <c r="E99" s="873"/>
      <c r="F99" s="196">
        <v>3</v>
      </c>
      <c r="G99" s="196">
        <v>3</v>
      </c>
      <c r="H99" s="196">
        <v>3</v>
      </c>
      <c r="I99" s="196">
        <v>3</v>
      </c>
      <c r="J99" s="196">
        <v>3</v>
      </c>
      <c r="K99" s="196">
        <v>3</v>
      </c>
      <c r="L99" s="196">
        <v>3</v>
      </c>
      <c r="M99" s="196">
        <v>3</v>
      </c>
      <c r="N99" s="196">
        <v>3</v>
      </c>
      <c r="O99" s="196">
        <v>3</v>
      </c>
      <c r="P99" s="196">
        <v>3</v>
      </c>
      <c r="Q99" s="196">
        <v>3</v>
      </c>
      <c r="R99" s="196">
        <v>3</v>
      </c>
      <c r="S99" s="196">
        <v>3</v>
      </c>
      <c r="T99" s="196">
        <v>0</v>
      </c>
      <c r="U99" s="196">
        <v>3</v>
      </c>
      <c r="V99" s="196">
        <v>3</v>
      </c>
      <c r="W99" s="196">
        <v>3</v>
      </c>
      <c r="X99" s="196">
        <v>3</v>
      </c>
      <c r="Y99" s="196">
        <v>3</v>
      </c>
      <c r="Z99" s="196">
        <v>3</v>
      </c>
      <c r="AA99" s="196">
        <v>3</v>
      </c>
      <c r="AB99" s="196">
        <v>3</v>
      </c>
      <c r="AC99" s="196">
        <v>3</v>
      </c>
      <c r="AD99" s="196">
        <v>3</v>
      </c>
      <c r="AE99" s="196">
        <v>3</v>
      </c>
      <c r="AF99" s="196">
        <v>3</v>
      </c>
      <c r="AG99" s="196">
        <v>3</v>
      </c>
      <c r="AH99" s="196">
        <v>3</v>
      </c>
      <c r="AI99" s="196">
        <v>3</v>
      </c>
      <c r="AJ99" s="196">
        <v>3</v>
      </c>
      <c r="AK99" s="196">
        <v>3</v>
      </c>
      <c r="AL99" s="196">
        <v>3</v>
      </c>
      <c r="AM99" s="196">
        <v>3</v>
      </c>
      <c r="AN99" s="196">
        <v>3</v>
      </c>
      <c r="AO99" s="196">
        <v>3</v>
      </c>
      <c r="AP99" s="196">
        <v>3</v>
      </c>
      <c r="AQ99" s="196">
        <v>3</v>
      </c>
      <c r="AR99" s="196">
        <v>3</v>
      </c>
      <c r="AS99" s="196">
        <v>3</v>
      </c>
      <c r="AT99" s="196">
        <v>3</v>
      </c>
      <c r="AU99" s="196">
        <v>3</v>
      </c>
      <c r="AV99" s="196">
        <v>3</v>
      </c>
      <c r="AW99" s="196">
        <v>3</v>
      </c>
      <c r="AX99" s="196">
        <v>3</v>
      </c>
      <c r="AY99" s="196">
        <v>3</v>
      </c>
      <c r="AZ99" s="196">
        <v>3</v>
      </c>
      <c r="BA99" s="196">
        <v>3</v>
      </c>
      <c r="BB99" s="196">
        <v>3</v>
      </c>
      <c r="BC99" s="196">
        <v>3</v>
      </c>
      <c r="BD99" s="196">
        <v>3</v>
      </c>
      <c r="BE99" s="196">
        <v>3</v>
      </c>
      <c r="BF99" s="196">
        <v>3</v>
      </c>
      <c r="BG99" s="196">
        <v>3</v>
      </c>
      <c r="BH99" s="196">
        <v>3</v>
      </c>
      <c r="BI99" s="196">
        <v>3</v>
      </c>
      <c r="BJ99" s="196">
        <v>3</v>
      </c>
      <c r="BK99" s="196">
        <v>3</v>
      </c>
      <c r="BL99" s="196">
        <v>3</v>
      </c>
      <c r="BM99" s="196">
        <v>3</v>
      </c>
      <c r="BN99" s="196">
        <v>3</v>
      </c>
      <c r="BO99" s="196">
        <v>3</v>
      </c>
      <c r="BP99" s="196">
        <v>3</v>
      </c>
      <c r="BQ99" s="196">
        <v>3</v>
      </c>
      <c r="BR99" s="196">
        <v>3</v>
      </c>
      <c r="BS99" s="196">
        <v>3</v>
      </c>
      <c r="BT99" s="196">
        <v>3</v>
      </c>
      <c r="BU99" s="196">
        <v>3</v>
      </c>
      <c r="BV99" s="196">
        <v>3</v>
      </c>
      <c r="BW99" s="196">
        <v>3</v>
      </c>
      <c r="BX99" s="196">
        <v>3</v>
      </c>
      <c r="BY99" s="196">
        <v>3</v>
      </c>
      <c r="BZ99" s="196">
        <v>3</v>
      </c>
      <c r="CA99" s="196">
        <v>3</v>
      </c>
      <c r="CB99" s="196">
        <v>3</v>
      </c>
      <c r="CC99" s="196">
        <v>3</v>
      </c>
      <c r="CD99" s="196">
        <v>3</v>
      </c>
      <c r="CE99" s="196">
        <v>3</v>
      </c>
      <c r="CF99" s="196">
        <v>3</v>
      </c>
      <c r="CG99" s="196">
        <v>3</v>
      </c>
      <c r="CH99" s="196">
        <v>3</v>
      </c>
      <c r="CI99" s="196">
        <v>3</v>
      </c>
      <c r="CJ99" s="196">
        <v>3</v>
      </c>
      <c r="CK99" s="196">
        <v>3</v>
      </c>
      <c r="CL99" s="196">
        <v>3</v>
      </c>
      <c r="CM99" s="196">
        <v>3</v>
      </c>
      <c r="CN99" s="204">
        <v>3</v>
      </c>
      <c r="CO99" s="196">
        <v>3</v>
      </c>
      <c r="CP99" s="196">
        <v>3</v>
      </c>
      <c r="CQ99" s="196">
        <v>3</v>
      </c>
      <c r="CR99" s="197">
        <v>3</v>
      </c>
      <c r="CS99" s="196">
        <v>3</v>
      </c>
      <c r="CT99" s="196">
        <v>3</v>
      </c>
      <c r="CU99" s="196">
        <v>3</v>
      </c>
      <c r="CV99" s="196">
        <v>3</v>
      </c>
      <c r="CW99" s="196">
        <v>3</v>
      </c>
      <c r="CX99" s="196">
        <v>3</v>
      </c>
      <c r="CY99" s="196">
        <v>3</v>
      </c>
      <c r="CZ99" s="196">
        <v>3</v>
      </c>
      <c r="DA99" s="196">
        <v>3</v>
      </c>
      <c r="DB99" s="196">
        <v>3</v>
      </c>
      <c r="DC99" s="196">
        <v>3</v>
      </c>
      <c r="DD99" s="196">
        <v>3</v>
      </c>
      <c r="DE99" s="196">
        <v>3</v>
      </c>
      <c r="DF99" s="196">
        <v>3</v>
      </c>
      <c r="DG99" s="196">
        <v>3</v>
      </c>
      <c r="DH99" s="196">
        <v>3</v>
      </c>
      <c r="DI99" s="196">
        <v>3</v>
      </c>
      <c r="DJ99" s="196">
        <v>3</v>
      </c>
      <c r="DK99" s="196">
        <v>3</v>
      </c>
      <c r="DL99" s="196">
        <v>3</v>
      </c>
      <c r="DM99" s="196">
        <v>3</v>
      </c>
      <c r="DN99" s="196">
        <v>3</v>
      </c>
      <c r="DO99" s="196">
        <v>3</v>
      </c>
      <c r="DP99" s="196">
        <v>3</v>
      </c>
      <c r="DQ99" s="196">
        <v>3</v>
      </c>
      <c r="DR99" s="196">
        <v>3</v>
      </c>
      <c r="DS99" s="196">
        <v>3</v>
      </c>
      <c r="DT99" s="197">
        <v>3</v>
      </c>
      <c r="DU99" s="869"/>
      <c r="DV99" s="870"/>
    </row>
    <row r="100" spans="1:126" s="14" customFormat="1" ht="15.75" customHeight="1">
      <c r="B100" s="146"/>
      <c r="C100" s="146"/>
      <c r="D100" s="146"/>
      <c r="E100" s="1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194"/>
      <c r="CV100" s="194"/>
      <c r="CW100" s="194"/>
      <c r="CX100" s="194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</row>
    <row r="101" spans="1:126" s="14" customFormat="1" ht="15.75" customHeight="1">
      <c r="B101" s="146"/>
      <c r="C101" s="146"/>
      <c r="D101" s="146"/>
      <c r="E101" s="1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194"/>
      <c r="CV101" s="194"/>
      <c r="CW101" s="194"/>
      <c r="CX101" s="194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/>
      <c r="DJ101" s="46"/>
      <c r="DK101" s="46"/>
      <c r="DL101" s="46"/>
      <c r="DM101" s="46"/>
      <c r="DN101" s="46"/>
      <c r="DO101" s="46"/>
      <c r="DP101" s="46"/>
      <c r="DQ101" s="46"/>
    </row>
    <row r="102" spans="1:126" s="14" customFormat="1" ht="15.75" customHeight="1">
      <c r="B102" s="146"/>
      <c r="C102" s="146"/>
      <c r="D102" s="146"/>
      <c r="E102" s="146"/>
      <c r="F102" s="46"/>
      <c r="G102" s="46"/>
      <c r="H102" s="46"/>
      <c r="I102" s="46"/>
      <c r="J102" s="46"/>
      <c r="K102" s="46"/>
      <c r="L102" s="46"/>
      <c r="M102" s="46"/>
      <c r="N102" s="46" t="s">
        <v>213</v>
      </c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194"/>
      <c r="CV102" s="194"/>
      <c r="CW102" s="194"/>
      <c r="CX102" s="194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/>
      <c r="DJ102" s="46"/>
      <c r="DK102" s="46"/>
      <c r="DL102" s="46"/>
      <c r="DM102" s="46"/>
      <c r="DN102" s="46"/>
      <c r="DO102" s="46"/>
      <c r="DP102" s="46"/>
      <c r="DQ102" s="46"/>
    </row>
    <row r="103" spans="1:126" s="14" customFormat="1" ht="15.75" customHeight="1">
      <c r="B103" s="146"/>
      <c r="C103" s="146"/>
      <c r="D103" s="146"/>
      <c r="E103" s="1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  <c r="DM103" s="46"/>
      <c r="DN103" s="46"/>
      <c r="DO103" s="46"/>
      <c r="DP103" s="46"/>
      <c r="DQ103" s="46"/>
    </row>
    <row r="104" spans="1:126" s="14" customFormat="1" ht="15.75" customHeight="1" thickBot="1">
      <c r="B104" s="146"/>
      <c r="C104" s="146"/>
      <c r="D104" s="146"/>
      <c r="E104" s="146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46"/>
      <c r="Z104" s="46"/>
      <c r="AA104" s="46"/>
      <c r="AB104" s="46"/>
      <c r="AC104" s="46"/>
      <c r="AD104" s="46"/>
      <c r="AE104" s="46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</row>
    <row r="105" spans="1:126" s="14" customFormat="1" ht="48" customHeight="1">
      <c r="B105" s="146"/>
      <c r="C105" s="874" t="s">
        <v>13</v>
      </c>
      <c r="D105" s="875"/>
      <c r="E105" s="875"/>
      <c r="F105" s="874" t="s">
        <v>14</v>
      </c>
      <c r="G105" s="875"/>
      <c r="H105" s="875"/>
      <c r="I105" s="875"/>
      <c r="J105" s="875"/>
      <c r="K105" s="875"/>
      <c r="L105" s="875"/>
      <c r="M105" s="875"/>
      <c r="N105" s="875"/>
      <c r="O105" s="875"/>
      <c r="P105" s="875"/>
      <c r="Q105" s="875"/>
      <c r="R105" s="875"/>
      <c r="S105" s="875"/>
      <c r="T105" s="875"/>
      <c r="U105" s="875"/>
      <c r="V105" s="875"/>
      <c r="W105" s="875"/>
      <c r="X105" s="875"/>
      <c r="Y105" s="875"/>
      <c r="Z105" s="875"/>
      <c r="AA105" s="875"/>
      <c r="AB105" s="875"/>
      <c r="AC105" s="878"/>
      <c r="AD105" s="874" t="s">
        <v>15</v>
      </c>
      <c r="AE105" s="875"/>
      <c r="AF105" s="875"/>
      <c r="AG105" s="875"/>
      <c r="AH105" s="875"/>
      <c r="AI105" s="875"/>
      <c r="AJ105" s="875"/>
      <c r="AK105" s="875"/>
      <c r="AL105" s="875"/>
      <c r="AM105" s="875"/>
      <c r="AN105" s="875"/>
      <c r="AO105" s="875"/>
      <c r="AP105" s="875"/>
      <c r="AQ105" s="875"/>
      <c r="AR105" s="875"/>
      <c r="AS105" s="875"/>
      <c r="AT105" s="875"/>
      <c r="AU105" s="875"/>
      <c r="AV105" s="875"/>
      <c r="AW105" s="875"/>
      <c r="AX105" s="875"/>
      <c r="AY105" s="875"/>
      <c r="AZ105" s="875"/>
      <c r="BA105" s="875"/>
      <c r="BB105" s="875"/>
      <c r="BC105" s="875"/>
      <c r="BD105" s="875"/>
      <c r="BE105" s="875"/>
      <c r="BF105" s="875"/>
      <c r="BG105" s="875"/>
      <c r="BH105" s="875"/>
      <c r="BI105" s="875"/>
      <c r="BJ105" s="880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</row>
    <row r="106" spans="1:126" s="14" customFormat="1" ht="48" customHeight="1">
      <c r="B106" s="146"/>
      <c r="C106" s="876"/>
      <c r="D106" s="877"/>
      <c r="E106" s="877"/>
      <c r="F106" s="876"/>
      <c r="G106" s="877"/>
      <c r="H106" s="877"/>
      <c r="I106" s="877"/>
      <c r="J106" s="877"/>
      <c r="K106" s="877"/>
      <c r="L106" s="877"/>
      <c r="M106" s="877"/>
      <c r="N106" s="877"/>
      <c r="O106" s="877"/>
      <c r="P106" s="877"/>
      <c r="Q106" s="877"/>
      <c r="R106" s="877"/>
      <c r="S106" s="877"/>
      <c r="T106" s="877"/>
      <c r="U106" s="877"/>
      <c r="V106" s="877"/>
      <c r="W106" s="877"/>
      <c r="X106" s="877"/>
      <c r="Y106" s="877"/>
      <c r="Z106" s="877"/>
      <c r="AA106" s="877"/>
      <c r="AB106" s="877"/>
      <c r="AC106" s="879"/>
      <c r="AD106" s="876"/>
      <c r="AE106" s="877"/>
      <c r="AF106" s="877"/>
      <c r="AG106" s="877"/>
      <c r="AH106" s="877"/>
      <c r="AI106" s="877"/>
      <c r="AJ106" s="877"/>
      <c r="AK106" s="877"/>
      <c r="AL106" s="877"/>
      <c r="AM106" s="877"/>
      <c r="AN106" s="877"/>
      <c r="AO106" s="877"/>
      <c r="AP106" s="877"/>
      <c r="AQ106" s="877"/>
      <c r="AR106" s="877"/>
      <c r="AS106" s="877"/>
      <c r="AT106" s="877"/>
      <c r="AU106" s="877"/>
      <c r="AV106" s="877"/>
      <c r="AW106" s="877"/>
      <c r="AX106" s="877"/>
      <c r="AY106" s="877"/>
      <c r="AZ106" s="877"/>
      <c r="BA106" s="877"/>
      <c r="BB106" s="877"/>
      <c r="BC106" s="877"/>
      <c r="BD106" s="877"/>
      <c r="BE106" s="877"/>
      <c r="BF106" s="877"/>
      <c r="BG106" s="877"/>
      <c r="BH106" s="877"/>
      <c r="BI106" s="877"/>
      <c r="BJ106" s="881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</row>
    <row r="107" spans="1:126" s="14" customFormat="1" ht="29.25" customHeight="1">
      <c r="B107" s="146"/>
      <c r="C107" s="852" t="s">
        <v>16</v>
      </c>
      <c r="D107" s="853"/>
      <c r="E107" s="853"/>
      <c r="F107" s="852" t="s">
        <v>16</v>
      </c>
      <c r="G107" s="853"/>
      <c r="H107" s="853"/>
      <c r="I107" s="853"/>
      <c r="J107" s="853"/>
      <c r="K107" s="853"/>
      <c r="L107" s="853"/>
      <c r="M107" s="853"/>
      <c r="N107" s="853"/>
      <c r="O107" s="853"/>
      <c r="P107" s="853"/>
      <c r="Q107" s="853"/>
      <c r="R107" s="853"/>
      <c r="S107" s="853"/>
      <c r="T107" s="853"/>
      <c r="U107" s="853"/>
      <c r="V107" s="853"/>
      <c r="W107" s="853"/>
      <c r="X107" s="853"/>
      <c r="Y107" s="853"/>
      <c r="Z107" s="853"/>
      <c r="AA107" s="853"/>
      <c r="AB107" s="853"/>
      <c r="AC107" s="858"/>
      <c r="AD107" s="852" t="s">
        <v>16</v>
      </c>
      <c r="AE107" s="853"/>
      <c r="AF107" s="853"/>
      <c r="AG107" s="853"/>
      <c r="AH107" s="853"/>
      <c r="AI107" s="853"/>
      <c r="AJ107" s="853"/>
      <c r="AK107" s="853"/>
      <c r="AL107" s="853"/>
      <c r="AM107" s="853"/>
      <c r="AN107" s="853"/>
      <c r="AO107" s="853"/>
      <c r="AP107" s="853"/>
      <c r="AQ107" s="853"/>
      <c r="AR107" s="853"/>
      <c r="AS107" s="853"/>
      <c r="AT107" s="853"/>
      <c r="AU107" s="853"/>
      <c r="AV107" s="853"/>
      <c r="AW107" s="853"/>
      <c r="AX107" s="853"/>
      <c r="AY107" s="853"/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/>
      <c r="BJ107" s="861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</row>
    <row r="108" spans="1:126" s="14" customFormat="1" ht="29.25" customHeight="1">
      <c r="B108" s="146"/>
      <c r="C108" s="854"/>
      <c r="D108" s="855"/>
      <c r="E108" s="855"/>
      <c r="F108" s="854"/>
      <c r="G108" s="855"/>
      <c r="H108" s="855"/>
      <c r="I108" s="855"/>
      <c r="J108" s="855"/>
      <c r="K108" s="855"/>
      <c r="L108" s="855"/>
      <c r="M108" s="855"/>
      <c r="N108" s="855"/>
      <c r="O108" s="855"/>
      <c r="P108" s="855"/>
      <c r="Q108" s="855"/>
      <c r="R108" s="855"/>
      <c r="S108" s="855"/>
      <c r="T108" s="855"/>
      <c r="U108" s="855"/>
      <c r="V108" s="855"/>
      <c r="W108" s="855"/>
      <c r="X108" s="855"/>
      <c r="Y108" s="855"/>
      <c r="Z108" s="855"/>
      <c r="AA108" s="855"/>
      <c r="AB108" s="855"/>
      <c r="AC108" s="859"/>
      <c r="AD108" s="854"/>
      <c r="AE108" s="855"/>
      <c r="AF108" s="855"/>
      <c r="AG108" s="855"/>
      <c r="AH108" s="855"/>
      <c r="AI108" s="855"/>
      <c r="AJ108" s="855"/>
      <c r="AK108" s="855"/>
      <c r="AL108" s="855"/>
      <c r="AM108" s="855"/>
      <c r="AN108" s="855"/>
      <c r="AO108" s="855"/>
      <c r="AP108" s="855"/>
      <c r="AQ108" s="855"/>
      <c r="AR108" s="855"/>
      <c r="AS108" s="855"/>
      <c r="AT108" s="855"/>
      <c r="AU108" s="855"/>
      <c r="AV108" s="855"/>
      <c r="AW108" s="855"/>
      <c r="AX108" s="855"/>
      <c r="AY108" s="855"/>
      <c r="AZ108" s="855"/>
      <c r="BA108" s="855"/>
      <c r="BB108" s="855"/>
      <c r="BC108" s="855"/>
      <c r="BD108" s="855"/>
      <c r="BE108" s="855"/>
      <c r="BF108" s="855"/>
      <c r="BG108" s="855"/>
      <c r="BH108" s="855"/>
      <c r="BI108" s="855"/>
      <c r="BJ108" s="862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</row>
    <row r="109" spans="1:126" s="14" customFormat="1" ht="29.25" customHeight="1">
      <c r="B109" s="146"/>
      <c r="C109" s="854"/>
      <c r="D109" s="855"/>
      <c r="E109" s="855"/>
      <c r="F109" s="854"/>
      <c r="G109" s="855"/>
      <c r="H109" s="855"/>
      <c r="I109" s="855"/>
      <c r="J109" s="855"/>
      <c r="K109" s="855"/>
      <c r="L109" s="855"/>
      <c r="M109" s="855"/>
      <c r="N109" s="855"/>
      <c r="O109" s="855"/>
      <c r="P109" s="855"/>
      <c r="Q109" s="855"/>
      <c r="R109" s="855"/>
      <c r="S109" s="855"/>
      <c r="T109" s="855"/>
      <c r="U109" s="855"/>
      <c r="V109" s="855"/>
      <c r="W109" s="855"/>
      <c r="X109" s="855"/>
      <c r="Y109" s="855"/>
      <c r="Z109" s="855"/>
      <c r="AA109" s="855"/>
      <c r="AB109" s="855"/>
      <c r="AC109" s="859"/>
      <c r="AD109" s="854"/>
      <c r="AE109" s="855"/>
      <c r="AF109" s="855"/>
      <c r="AG109" s="855"/>
      <c r="AH109" s="855"/>
      <c r="AI109" s="855"/>
      <c r="AJ109" s="855"/>
      <c r="AK109" s="855"/>
      <c r="AL109" s="855"/>
      <c r="AM109" s="855"/>
      <c r="AN109" s="855"/>
      <c r="AO109" s="855"/>
      <c r="AP109" s="855"/>
      <c r="AQ109" s="855"/>
      <c r="AR109" s="855"/>
      <c r="AS109" s="855"/>
      <c r="AT109" s="855"/>
      <c r="AU109" s="855"/>
      <c r="AV109" s="855"/>
      <c r="AW109" s="855"/>
      <c r="AX109" s="855"/>
      <c r="AY109" s="855"/>
      <c r="AZ109" s="855"/>
      <c r="BA109" s="855"/>
      <c r="BB109" s="855"/>
      <c r="BC109" s="855"/>
      <c r="BD109" s="855"/>
      <c r="BE109" s="855"/>
      <c r="BF109" s="855"/>
      <c r="BG109" s="855"/>
      <c r="BH109" s="855"/>
      <c r="BI109" s="855"/>
      <c r="BJ109" s="862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</row>
    <row r="110" spans="1:126" s="14" customFormat="1" ht="29.25" customHeight="1">
      <c r="B110" s="146"/>
      <c r="C110" s="854"/>
      <c r="D110" s="855"/>
      <c r="E110" s="855"/>
      <c r="F110" s="854"/>
      <c r="G110" s="855"/>
      <c r="H110" s="855"/>
      <c r="I110" s="855"/>
      <c r="J110" s="855"/>
      <c r="K110" s="855"/>
      <c r="L110" s="855"/>
      <c r="M110" s="855"/>
      <c r="N110" s="855"/>
      <c r="O110" s="855"/>
      <c r="P110" s="855"/>
      <c r="Q110" s="855"/>
      <c r="R110" s="855"/>
      <c r="S110" s="855"/>
      <c r="T110" s="855"/>
      <c r="U110" s="855"/>
      <c r="V110" s="855"/>
      <c r="W110" s="855"/>
      <c r="X110" s="855"/>
      <c r="Y110" s="855"/>
      <c r="Z110" s="855"/>
      <c r="AA110" s="855"/>
      <c r="AB110" s="855"/>
      <c r="AC110" s="859"/>
      <c r="AD110" s="854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62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</row>
    <row r="111" spans="1:126" s="14" customFormat="1" ht="29.25" customHeight="1">
      <c r="B111" s="146"/>
      <c r="C111" s="854"/>
      <c r="D111" s="855"/>
      <c r="E111" s="855"/>
      <c r="F111" s="854"/>
      <c r="G111" s="855"/>
      <c r="H111" s="855"/>
      <c r="I111" s="855"/>
      <c r="J111" s="855"/>
      <c r="K111" s="855"/>
      <c r="L111" s="855"/>
      <c r="M111" s="855"/>
      <c r="N111" s="855"/>
      <c r="O111" s="855"/>
      <c r="P111" s="855"/>
      <c r="Q111" s="855"/>
      <c r="R111" s="855"/>
      <c r="S111" s="855"/>
      <c r="T111" s="855"/>
      <c r="U111" s="855"/>
      <c r="V111" s="855"/>
      <c r="W111" s="855"/>
      <c r="X111" s="855"/>
      <c r="Y111" s="855"/>
      <c r="Z111" s="855"/>
      <c r="AA111" s="855"/>
      <c r="AB111" s="855"/>
      <c r="AC111" s="859"/>
      <c r="AD111" s="854"/>
      <c r="AE111" s="855"/>
      <c r="AF111" s="855"/>
      <c r="AG111" s="855"/>
      <c r="AH111" s="855"/>
      <c r="AI111" s="855"/>
      <c r="AJ111" s="855"/>
      <c r="AK111" s="855"/>
      <c r="AL111" s="855"/>
      <c r="AM111" s="855"/>
      <c r="AN111" s="855"/>
      <c r="AO111" s="855"/>
      <c r="AP111" s="855"/>
      <c r="AQ111" s="855"/>
      <c r="AR111" s="855"/>
      <c r="AS111" s="855"/>
      <c r="AT111" s="855"/>
      <c r="AU111" s="855"/>
      <c r="AV111" s="855"/>
      <c r="AW111" s="855"/>
      <c r="AX111" s="855"/>
      <c r="AY111" s="855"/>
      <c r="AZ111" s="855"/>
      <c r="BA111" s="855"/>
      <c r="BB111" s="855"/>
      <c r="BC111" s="855"/>
      <c r="BD111" s="855"/>
      <c r="BE111" s="855"/>
      <c r="BF111" s="855"/>
      <c r="BG111" s="855"/>
      <c r="BH111" s="855"/>
      <c r="BI111" s="855"/>
      <c r="BJ111" s="862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</row>
    <row r="112" spans="1:126" s="14" customFormat="1" ht="29.25" customHeight="1">
      <c r="B112" s="146"/>
      <c r="C112" s="854"/>
      <c r="D112" s="855"/>
      <c r="E112" s="855"/>
      <c r="F112" s="854"/>
      <c r="G112" s="855"/>
      <c r="H112" s="855"/>
      <c r="I112" s="855"/>
      <c r="J112" s="855"/>
      <c r="K112" s="855"/>
      <c r="L112" s="855"/>
      <c r="M112" s="855"/>
      <c r="N112" s="855"/>
      <c r="O112" s="855"/>
      <c r="P112" s="855"/>
      <c r="Q112" s="855"/>
      <c r="R112" s="855"/>
      <c r="S112" s="855"/>
      <c r="T112" s="855"/>
      <c r="U112" s="855"/>
      <c r="V112" s="855"/>
      <c r="W112" s="855"/>
      <c r="X112" s="855"/>
      <c r="Y112" s="855"/>
      <c r="Z112" s="855"/>
      <c r="AA112" s="855"/>
      <c r="AB112" s="855"/>
      <c r="AC112" s="859"/>
      <c r="AD112" s="854"/>
      <c r="AE112" s="855"/>
      <c r="AF112" s="855"/>
      <c r="AG112" s="855"/>
      <c r="AH112" s="855"/>
      <c r="AI112" s="855"/>
      <c r="AJ112" s="855"/>
      <c r="AK112" s="855"/>
      <c r="AL112" s="855"/>
      <c r="AM112" s="855"/>
      <c r="AN112" s="855"/>
      <c r="AO112" s="855"/>
      <c r="AP112" s="855"/>
      <c r="AQ112" s="855"/>
      <c r="AR112" s="855"/>
      <c r="AS112" s="855"/>
      <c r="AT112" s="855"/>
      <c r="AU112" s="855"/>
      <c r="AV112" s="855"/>
      <c r="AW112" s="855"/>
      <c r="AX112" s="855"/>
      <c r="AY112" s="855"/>
      <c r="AZ112" s="855"/>
      <c r="BA112" s="855"/>
      <c r="BB112" s="855"/>
      <c r="BC112" s="855"/>
      <c r="BD112" s="855"/>
      <c r="BE112" s="855"/>
      <c r="BF112" s="855"/>
      <c r="BG112" s="855"/>
      <c r="BH112" s="855"/>
      <c r="BI112" s="855"/>
      <c r="BJ112" s="862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</row>
    <row r="113" spans="2:118" s="14" customFormat="1" ht="29.25" customHeight="1">
      <c r="B113" s="146"/>
      <c r="C113" s="854"/>
      <c r="D113" s="855"/>
      <c r="E113" s="855"/>
      <c r="F113" s="854"/>
      <c r="G113" s="855"/>
      <c r="H113" s="855"/>
      <c r="I113" s="855"/>
      <c r="J113" s="855"/>
      <c r="K113" s="855"/>
      <c r="L113" s="855"/>
      <c r="M113" s="855"/>
      <c r="N113" s="855"/>
      <c r="O113" s="855"/>
      <c r="P113" s="855"/>
      <c r="Q113" s="855"/>
      <c r="R113" s="855"/>
      <c r="S113" s="855"/>
      <c r="T113" s="855"/>
      <c r="U113" s="855"/>
      <c r="V113" s="855"/>
      <c r="W113" s="855"/>
      <c r="X113" s="855"/>
      <c r="Y113" s="855"/>
      <c r="Z113" s="855"/>
      <c r="AA113" s="855"/>
      <c r="AB113" s="855"/>
      <c r="AC113" s="859"/>
      <c r="AD113" s="854"/>
      <c r="AE113" s="855"/>
      <c r="AF113" s="855"/>
      <c r="AG113" s="855"/>
      <c r="AH113" s="855"/>
      <c r="AI113" s="855"/>
      <c r="AJ113" s="855"/>
      <c r="AK113" s="855"/>
      <c r="AL113" s="855"/>
      <c r="AM113" s="855"/>
      <c r="AN113" s="855"/>
      <c r="AO113" s="855"/>
      <c r="AP113" s="855"/>
      <c r="AQ113" s="855"/>
      <c r="AR113" s="855"/>
      <c r="AS113" s="855"/>
      <c r="AT113" s="855"/>
      <c r="AU113" s="855"/>
      <c r="AV113" s="855"/>
      <c r="AW113" s="855"/>
      <c r="AX113" s="855"/>
      <c r="AY113" s="855"/>
      <c r="AZ113" s="855"/>
      <c r="BA113" s="855"/>
      <c r="BB113" s="855"/>
      <c r="BC113" s="855"/>
      <c r="BD113" s="855"/>
      <c r="BE113" s="855"/>
      <c r="BF113" s="855"/>
      <c r="BG113" s="855"/>
      <c r="BH113" s="855"/>
      <c r="BI113" s="855"/>
      <c r="BJ113" s="862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</row>
    <row r="114" spans="2:118" s="14" customFormat="1" ht="29.25" customHeight="1">
      <c r="B114" s="146"/>
      <c r="C114" s="854"/>
      <c r="D114" s="855"/>
      <c r="E114" s="855"/>
      <c r="F114" s="854"/>
      <c r="G114" s="855"/>
      <c r="H114" s="855"/>
      <c r="I114" s="855"/>
      <c r="J114" s="855"/>
      <c r="K114" s="855"/>
      <c r="L114" s="855"/>
      <c r="M114" s="855"/>
      <c r="N114" s="855"/>
      <c r="O114" s="855"/>
      <c r="P114" s="855"/>
      <c r="Q114" s="855"/>
      <c r="R114" s="855"/>
      <c r="S114" s="855"/>
      <c r="T114" s="855"/>
      <c r="U114" s="855"/>
      <c r="V114" s="855"/>
      <c r="W114" s="855"/>
      <c r="X114" s="855"/>
      <c r="Y114" s="855"/>
      <c r="Z114" s="855"/>
      <c r="AA114" s="855"/>
      <c r="AB114" s="855"/>
      <c r="AC114" s="859"/>
      <c r="AD114" s="854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862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</row>
    <row r="115" spans="2:118" s="14" customFormat="1" ht="29.25" customHeight="1">
      <c r="B115" s="146"/>
      <c r="C115" s="854"/>
      <c r="D115" s="855"/>
      <c r="E115" s="855"/>
      <c r="F115" s="854"/>
      <c r="G115" s="855"/>
      <c r="H115" s="855"/>
      <c r="I115" s="855"/>
      <c r="J115" s="855"/>
      <c r="K115" s="855"/>
      <c r="L115" s="855"/>
      <c r="M115" s="855"/>
      <c r="N115" s="855"/>
      <c r="O115" s="855"/>
      <c r="P115" s="855"/>
      <c r="Q115" s="855"/>
      <c r="R115" s="855"/>
      <c r="S115" s="855"/>
      <c r="T115" s="855"/>
      <c r="U115" s="855"/>
      <c r="V115" s="855"/>
      <c r="W115" s="855"/>
      <c r="X115" s="855"/>
      <c r="Y115" s="855"/>
      <c r="Z115" s="855"/>
      <c r="AA115" s="855"/>
      <c r="AB115" s="855"/>
      <c r="AC115" s="859"/>
      <c r="AD115" s="854"/>
      <c r="AE115" s="855"/>
      <c r="AF115" s="855"/>
      <c r="AG115" s="855"/>
      <c r="AH115" s="855"/>
      <c r="AI115" s="855"/>
      <c r="AJ115" s="855"/>
      <c r="AK115" s="855"/>
      <c r="AL115" s="855"/>
      <c r="AM115" s="855"/>
      <c r="AN115" s="855"/>
      <c r="AO115" s="855"/>
      <c r="AP115" s="855"/>
      <c r="AQ115" s="855"/>
      <c r="AR115" s="855"/>
      <c r="AS115" s="855"/>
      <c r="AT115" s="855"/>
      <c r="AU115" s="855"/>
      <c r="AV115" s="855"/>
      <c r="AW115" s="855"/>
      <c r="AX115" s="855"/>
      <c r="AY115" s="855"/>
      <c r="AZ115" s="855"/>
      <c r="BA115" s="855"/>
      <c r="BB115" s="855"/>
      <c r="BC115" s="855"/>
      <c r="BD115" s="855"/>
      <c r="BE115" s="855"/>
      <c r="BF115" s="855"/>
      <c r="BG115" s="855"/>
      <c r="BH115" s="855"/>
      <c r="BI115" s="855"/>
      <c r="BJ115" s="862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</row>
    <row r="116" spans="2:118" s="14" customFormat="1" ht="29.25" customHeight="1" thickBot="1">
      <c r="B116" s="146"/>
      <c r="C116" s="856"/>
      <c r="D116" s="857"/>
      <c r="E116" s="857"/>
      <c r="F116" s="856"/>
      <c r="G116" s="857"/>
      <c r="H116" s="857"/>
      <c r="I116" s="857"/>
      <c r="J116" s="857"/>
      <c r="K116" s="857"/>
      <c r="L116" s="857"/>
      <c r="M116" s="857"/>
      <c r="N116" s="857"/>
      <c r="O116" s="857"/>
      <c r="P116" s="857"/>
      <c r="Q116" s="857"/>
      <c r="R116" s="857"/>
      <c r="S116" s="857"/>
      <c r="T116" s="857"/>
      <c r="U116" s="857"/>
      <c r="V116" s="857"/>
      <c r="W116" s="857"/>
      <c r="X116" s="857"/>
      <c r="Y116" s="857"/>
      <c r="Z116" s="857"/>
      <c r="AA116" s="857"/>
      <c r="AB116" s="857"/>
      <c r="AC116" s="860"/>
      <c r="AD116" s="856"/>
      <c r="AE116" s="857"/>
      <c r="AF116" s="857"/>
      <c r="AG116" s="857"/>
      <c r="AH116" s="857"/>
      <c r="AI116" s="857"/>
      <c r="AJ116" s="857"/>
      <c r="AK116" s="857"/>
      <c r="AL116" s="857"/>
      <c r="AM116" s="857"/>
      <c r="AN116" s="857"/>
      <c r="AO116" s="857"/>
      <c r="AP116" s="857"/>
      <c r="AQ116" s="857"/>
      <c r="AR116" s="857"/>
      <c r="AS116" s="857"/>
      <c r="AT116" s="857"/>
      <c r="AU116" s="857"/>
      <c r="AV116" s="857"/>
      <c r="AW116" s="857"/>
      <c r="AX116" s="857"/>
      <c r="AY116" s="857"/>
      <c r="AZ116" s="857"/>
      <c r="BA116" s="857"/>
      <c r="BB116" s="857"/>
      <c r="BC116" s="857"/>
      <c r="BD116" s="857"/>
      <c r="BE116" s="857"/>
      <c r="BF116" s="857"/>
      <c r="BG116" s="857"/>
      <c r="BH116" s="857"/>
      <c r="BI116" s="857"/>
      <c r="BJ116" s="863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</row>
    <row r="117" spans="2:118" s="14" customFormat="1">
      <c r="B117" s="146"/>
      <c r="C117" s="146"/>
      <c r="D117" s="146"/>
      <c r="E117" s="146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</row>
    <row r="118" spans="2:118">
      <c r="AA118" s="30"/>
      <c r="AB118" s="30"/>
      <c r="AC118" s="30"/>
      <c r="DK118"/>
      <c r="DL118"/>
      <c r="DM118"/>
      <c r="DN118"/>
    </row>
    <row r="119" spans="2:118" ht="22.5" customHeight="1">
      <c r="R119" s="101"/>
      <c r="AA119" s="30"/>
      <c r="AB119" s="30"/>
      <c r="AC119" s="30"/>
      <c r="DK119"/>
      <c r="DL119"/>
      <c r="DM119"/>
      <c r="DN119"/>
    </row>
    <row r="120" spans="2:118" ht="22.5" customHeight="1">
      <c r="AA120" s="30"/>
      <c r="AB120" s="30"/>
      <c r="AC120" s="30"/>
      <c r="DK120"/>
      <c r="DL120"/>
      <c r="DM120"/>
      <c r="DN120"/>
    </row>
    <row r="121" spans="2:118">
      <c r="AA121" s="30"/>
      <c r="AB121" s="30"/>
      <c r="AC121" s="30"/>
      <c r="DK121"/>
      <c r="DL121"/>
      <c r="DM121"/>
      <c r="DN121"/>
    </row>
    <row r="122" spans="2:118">
      <c r="AA122" s="30"/>
      <c r="AB122" s="30"/>
      <c r="AC122" s="30"/>
      <c r="DK122"/>
      <c r="DL122"/>
      <c r="DM122"/>
      <c r="DN122"/>
    </row>
    <row r="123" spans="2:118">
      <c r="AA123" s="30"/>
      <c r="AB123" s="30"/>
      <c r="AC123" s="30"/>
      <c r="DK123"/>
      <c r="DL123"/>
      <c r="DM123"/>
      <c r="DN123"/>
    </row>
    <row r="124" spans="2:118">
      <c r="AA124" s="30"/>
      <c r="AB124" s="30"/>
      <c r="AC124" s="30"/>
      <c r="DK124"/>
      <c r="DL124"/>
      <c r="DM124"/>
      <c r="DN124"/>
    </row>
    <row r="125" spans="2:118">
      <c r="AA125" s="30"/>
      <c r="AB125" s="30"/>
      <c r="AC125" s="30"/>
      <c r="DK125"/>
      <c r="DL125"/>
      <c r="DM125"/>
      <c r="DN125"/>
    </row>
    <row r="126" spans="2:118" ht="21">
      <c r="C126" s="864" t="s">
        <v>18</v>
      </c>
      <c r="D126" s="864"/>
      <c r="E126" s="864"/>
      <c r="F126" s="864"/>
      <c r="AA126" s="30"/>
      <c r="AB126" s="30"/>
      <c r="AC126" s="30"/>
      <c r="DK126"/>
      <c r="DL126"/>
      <c r="DM126"/>
      <c r="DN126"/>
    </row>
    <row r="127" spans="2:118" ht="21">
      <c r="C127" s="864" t="s">
        <v>19</v>
      </c>
      <c r="D127" s="864"/>
      <c r="E127" s="864"/>
      <c r="F127" s="864"/>
      <c r="AA127" s="30"/>
      <c r="AB127" s="30"/>
      <c r="AC127" s="30"/>
      <c r="DK127"/>
      <c r="DL127"/>
      <c r="DM127"/>
      <c r="DN127"/>
    </row>
    <row r="128" spans="2:118">
      <c r="AA128" s="30"/>
      <c r="AB128" s="30"/>
      <c r="AC128" s="30"/>
      <c r="DK128"/>
      <c r="DL128"/>
      <c r="DM128"/>
      <c r="DN128"/>
    </row>
    <row r="129" spans="6:118">
      <c r="AA129" s="30"/>
      <c r="AB129" s="30"/>
      <c r="AC129" s="30"/>
      <c r="DK129"/>
      <c r="DL129"/>
      <c r="DM129"/>
      <c r="DN129"/>
    </row>
    <row r="130" spans="6:118">
      <c r="AA130" s="30"/>
      <c r="AB130" s="30"/>
      <c r="AC130" s="30"/>
      <c r="DK130"/>
      <c r="DL130"/>
      <c r="DM130"/>
      <c r="DN130"/>
    </row>
    <row r="131" spans="6:118"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DK131"/>
      <c r="DL131"/>
      <c r="DM131"/>
      <c r="DN131"/>
    </row>
    <row r="132" spans="6:118">
      <c r="AA132" s="30"/>
      <c r="AB132" s="30"/>
      <c r="AC132" s="30"/>
      <c r="DK132"/>
      <c r="DL132"/>
      <c r="DM132"/>
      <c r="DN132"/>
    </row>
    <row r="133" spans="6:118">
      <c r="AA133" s="30"/>
      <c r="AB133" s="30"/>
      <c r="AC133" s="30"/>
      <c r="DK133"/>
      <c r="DL133"/>
      <c r="DM133"/>
      <c r="DN133"/>
    </row>
    <row r="134" spans="6:118">
      <c r="AA134" s="30"/>
      <c r="AB134" s="30"/>
      <c r="AC134" s="30"/>
      <c r="DK134"/>
      <c r="DL134"/>
      <c r="DM134"/>
      <c r="DN134"/>
    </row>
    <row r="135" spans="6:118">
      <c r="AA135" s="30"/>
      <c r="AB135" s="30"/>
      <c r="AC135" s="30"/>
      <c r="DK135"/>
      <c r="DL135"/>
      <c r="DM135"/>
      <c r="DN135"/>
    </row>
    <row r="136" spans="6:118">
      <c r="AA136" s="30"/>
      <c r="AB136" s="30"/>
      <c r="AC136" s="30"/>
      <c r="DK136"/>
      <c r="DL136"/>
      <c r="DM136"/>
      <c r="DN136"/>
    </row>
    <row r="137" spans="6:118">
      <c r="AA137" s="30"/>
      <c r="AB137" s="30"/>
      <c r="AC137" s="30"/>
      <c r="DK137"/>
      <c r="DL137"/>
      <c r="DM137"/>
      <c r="DN137"/>
    </row>
    <row r="138" spans="6:118">
      <c r="AA138" s="30"/>
      <c r="AB138" s="30"/>
      <c r="AC138" s="30"/>
      <c r="DK138"/>
      <c r="DL138"/>
      <c r="DM138"/>
      <c r="DN138"/>
    </row>
    <row r="139" spans="6:118">
      <c r="AA139" s="30"/>
      <c r="AB139" s="30"/>
      <c r="AC139" s="30"/>
      <c r="DK139"/>
      <c r="DL139"/>
      <c r="DM139"/>
      <c r="DN139"/>
    </row>
    <row r="140" spans="6:118">
      <c r="AA140" s="30"/>
      <c r="AB140" s="30"/>
      <c r="AC140" s="30"/>
      <c r="DK140"/>
      <c r="DL140"/>
      <c r="DM140"/>
      <c r="DN140"/>
    </row>
    <row r="141" spans="6:118">
      <c r="AA141" s="30"/>
      <c r="AB141" s="30"/>
      <c r="AC141" s="30"/>
      <c r="DK141"/>
      <c r="DL141"/>
      <c r="DM141"/>
      <c r="DN141"/>
    </row>
    <row r="142" spans="6:118">
      <c r="AA142" s="30"/>
      <c r="AB142" s="30"/>
      <c r="AC142" s="30"/>
      <c r="DK142"/>
      <c r="DL142"/>
      <c r="DM142"/>
      <c r="DN142"/>
    </row>
    <row r="143" spans="6:118">
      <c r="AA143" s="30"/>
      <c r="AB143" s="30"/>
      <c r="AC143" s="30"/>
      <c r="DK143"/>
      <c r="DL143"/>
      <c r="DM143"/>
      <c r="DN143"/>
    </row>
    <row r="144" spans="6:118">
      <c r="AA144" s="30"/>
      <c r="AB144" s="30"/>
      <c r="AC144" s="30"/>
      <c r="DK144"/>
      <c r="DL144"/>
      <c r="DM144"/>
      <c r="DN144"/>
    </row>
    <row r="145" spans="27:118">
      <c r="AA145" s="30"/>
      <c r="AB145" s="30"/>
      <c r="AC145" s="30"/>
      <c r="DK145"/>
      <c r="DL145"/>
      <c r="DM145"/>
      <c r="DN145"/>
    </row>
    <row r="146" spans="27:118">
      <c r="AA146" s="30"/>
      <c r="AB146" s="30"/>
      <c r="AC146" s="30"/>
      <c r="DK146"/>
      <c r="DL146"/>
      <c r="DM146"/>
      <c r="DN146"/>
    </row>
    <row r="147" spans="27:118">
      <c r="AA147" s="30"/>
      <c r="AB147" s="30"/>
      <c r="AC147" s="30"/>
      <c r="DK147"/>
      <c r="DL147"/>
      <c r="DM147"/>
      <c r="DN147"/>
    </row>
    <row r="148" spans="27:118">
      <c r="AA148" s="30"/>
      <c r="AB148" s="30"/>
      <c r="AC148" s="30"/>
      <c r="DK148"/>
      <c r="DL148"/>
      <c r="DM148"/>
      <c r="DN148"/>
    </row>
    <row r="149" spans="27:118">
      <c r="AA149" s="30"/>
      <c r="AB149" s="30"/>
      <c r="AC149" s="30"/>
      <c r="DK149"/>
      <c r="DL149"/>
      <c r="DM149"/>
      <c r="DN149"/>
    </row>
    <row r="150" spans="27:118">
      <c r="AA150" s="30"/>
      <c r="AB150" s="30"/>
      <c r="AC150" s="30"/>
      <c r="DK150"/>
      <c r="DL150"/>
      <c r="DM150"/>
      <c r="DN150"/>
    </row>
    <row r="151" spans="27:118">
      <c r="AA151" s="30"/>
      <c r="AB151" s="30"/>
      <c r="AC151" s="30"/>
      <c r="DK151"/>
      <c r="DL151"/>
      <c r="DM151"/>
      <c r="DN151"/>
    </row>
    <row r="152" spans="27:118">
      <c r="AA152" s="30"/>
      <c r="AB152" s="30"/>
      <c r="AC152" s="30"/>
      <c r="DK152"/>
      <c r="DL152"/>
      <c r="DM152"/>
      <c r="DN152"/>
    </row>
    <row r="153" spans="27:118">
      <c r="AA153" s="30"/>
      <c r="AB153" s="30"/>
      <c r="AC153" s="30"/>
      <c r="DK153"/>
      <c r="DL153"/>
      <c r="DM153"/>
      <c r="DN153"/>
    </row>
    <row r="154" spans="27:118">
      <c r="AA154" s="30"/>
      <c r="AB154" s="30"/>
      <c r="AC154" s="30"/>
      <c r="DK154"/>
      <c r="DL154"/>
      <c r="DM154"/>
      <c r="DN154"/>
    </row>
    <row r="155" spans="27:118">
      <c r="AA155" s="30"/>
      <c r="AB155" s="30"/>
      <c r="AC155" s="30"/>
      <c r="DK155"/>
      <c r="DL155"/>
      <c r="DM155"/>
      <c r="DN155"/>
    </row>
    <row r="156" spans="27:118">
      <c r="AA156" s="30"/>
      <c r="AB156" s="30"/>
      <c r="AC156" s="30"/>
      <c r="DK156"/>
      <c r="DL156"/>
      <c r="DM156"/>
      <c r="DN156"/>
    </row>
    <row r="157" spans="27:118">
      <c r="AA157" s="30"/>
      <c r="AB157" s="30"/>
      <c r="AC157" s="30"/>
      <c r="DK157"/>
      <c r="DL157"/>
      <c r="DM157"/>
      <c r="DN157"/>
    </row>
    <row r="158" spans="27:118">
      <c r="AA158" s="30"/>
      <c r="AB158" s="30"/>
      <c r="AC158" s="30"/>
      <c r="DK158"/>
      <c r="DL158"/>
      <c r="DM158"/>
      <c r="DN158"/>
    </row>
    <row r="159" spans="27:118">
      <c r="AA159" s="30"/>
      <c r="AB159" s="30"/>
      <c r="AC159" s="30"/>
      <c r="DK159"/>
      <c r="DL159"/>
      <c r="DM159"/>
      <c r="DN159"/>
    </row>
    <row r="160" spans="27:118">
      <c r="AA160" s="30"/>
      <c r="AB160" s="30"/>
      <c r="AC160" s="30"/>
      <c r="DK160"/>
      <c r="DL160"/>
      <c r="DM160"/>
      <c r="DN160"/>
    </row>
    <row r="161" spans="27:118">
      <c r="AA161" s="30"/>
      <c r="AB161" s="30"/>
      <c r="AC161" s="30"/>
      <c r="DK161"/>
      <c r="DL161"/>
      <c r="DM161"/>
      <c r="DN161"/>
    </row>
    <row r="162" spans="27:118">
      <c r="AA162" s="30"/>
      <c r="AB162" s="30"/>
      <c r="AC162" s="30"/>
      <c r="DK162"/>
      <c r="DL162"/>
      <c r="DM162"/>
      <c r="DN162"/>
    </row>
    <row r="163" spans="27:118">
      <c r="AA163" s="30"/>
      <c r="AB163" s="30"/>
      <c r="AC163" s="30"/>
      <c r="DK163"/>
      <c r="DL163"/>
      <c r="DM163"/>
      <c r="DN163"/>
    </row>
    <row r="164" spans="27:118">
      <c r="AA164" s="30"/>
      <c r="AB164" s="30"/>
      <c r="AC164" s="30"/>
      <c r="DK164"/>
      <c r="DL164"/>
      <c r="DM164"/>
      <c r="DN164"/>
    </row>
    <row r="165" spans="27:118">
      <c r="AA165" s="30"/>
      <c r="AB165" s="30"/>
      <c r="AC165" s="30"/>
      <c r="DK165"/>
      <c r="DL165"/>
      <c r="DM165"/>
      <c r="DN165"/>
    </row>
    <row r="166" spans="27:118">
      <c r="AA166" s="30"/>
      <c r="AB166" s="30"/>
      <c r="AC166" s="30"/>
      <c r="DK166"/>
      <c r="DL166"/>
      <c r="DM166"/>
      <c r="DN166"/>
    </row>
    <row r="167" spans="27:118">
      <c r="AA167" s="30"/>
      <c r="AB167" s="30"/>
      <c r="AC167" s="30"/>
      <c r="DK167"/>
      <c r="DL167"/>
      <c r="DM167"/>
      <c r="DN167"/>
    </row>
    <row r="168" spans="27:118">
      <c r="AA168" s="30"/>
      <c r="AB168" s="30"/>
      <c r="AC168" s="30"/>
      <c r="DK168"/>
      <c r="DL168"/>
      <c r="DM168"/>
      <c r="DN168"/>
    </row>
    <row r="169" spans="27:118">
      <c r="AA169" s="30"/>
      <c r="AB169" s="30"/>
      <c r="AC169" s="30"/>
      <c r="DK169"/>
      <c r="DL169"/>
      <c r="DM169"/>
      <c r="DN169"/>
    </row>
    <row r="170" spans="27:118">
      <c r="AA170" s="30"/>
      <c r="AB170" s="30"/>
      <c r="AC170" s="30"/>
      <c r="DK170"/>
      <c r="DL170"/>
      <c r="DM170"/>
      <c r="DN170"/>
    </row>
    <row r="171" spans="27:118">
      <c r="AA171" s="30"/>
      <c r="AB171" s="30"/>
      <c r="AC171" s="30"/>
      <c r="DK171"/>
      <c r="DL171"/>
      <c r="DM171"/>
      <c r="DN171"/>
    </row>
    <row r="172" spans="27:118">
      <c r="AA172" s="30"/>
      <c r="AB172" s="30"/>
      <c r="AC172" s="30"/>
      <c r="DK172"/>
      <c r="DL172"/>
      <c r="DM172"/>
      <c r="DN172"/>
    </row>
    <row r="173" spans="27:118">
      <c r="AA173" s="30"/>
      <c r="AB173" s="30"/>
      <c r="AC173" s="30"/>
      <c r="DK173"/>
      <c r="DL173"/>
      <c r="DM173"/>
      <c r="DN173"/>
    </row>
    <row r="174" spans="27:118">
      <c r="AA174" s="30"/>
      <c r="AB174" s="30"/>
      <c r="AC174" s="30"/>
      <c r="DK174"/>
      <c r="DL174"/>
      <c r="DM174"/>
      <c r="DN174"/>
    </row>
    <row r="175" spans="27:118">
      <c r="AA175" s="30"/>
      <c r="AB175" s="30"/>
      <c r="AC175" s="30"/>
      <c r="DK175"/>
      <c r="DL175"/>
      <c r="DM175"/>
      <c r="DN175"/>
    </row>
    <row r="176" spans="27:118">
      <c r="AA176" s="30"/>
      <c r="AB176" s="30"/>
      <c r="AC176" s="30"/>
      <c r="DK176"/>
      <c r="DL176"/>
      <c r="DM176"/>
      <c r="DN176"/>
    </row>
    <row r="177" spans="27:118">
      <c r="AA177" s="30"/>
      <c r="AB177" s="30"/>
      <c r="AC177" s="30"/>
      <c r="DK177"/>
      <c r="DL177"/>
      <c r="DM177"/>
      <c r="DN177"/>
    </row>
    <row r="178" spans="27:118">
      <c r="AA178" s="30"/>
      <c r="AB178" s="30"/>
      <c r="AC178" s="30"/>
      <c r="DK178"/>
      <c r="DL178"/>
      <c r="DM178"/>
      <c r="DN178"/>
    </row>
    <row r="179" spans="27:118">
      <c r="AA179" s="30"/>
      <c r="AB179" s="30"/>
      <c r="AC179" s="30"/>
      <c r="DK179"/>
      <c r="DL179"/>
      <c r="DM179"/>
      <c r="DN179"/>
    </row>
    <row r="180" spans="27:118">
      <c r="AA180" s="30"/>
      <c r="AB180" s="30"/>
      <c r="AC180" s="30"/>
      <c r="DK180"/>
      <c r="DL180"/>
      <c r="DM180"/>
      <c r="DN180"/>
    </row>
    <row r="181" spans="27:118">
      <c r="AA181" s="30"/>
      <c r="AB181" s="30"/>
      <c r="AC181" s="30"/>
      <c r="DK181"/>
      <c r="DL181"/>
      <c r="DM181"/>
      <c r="DN181"/>
    </row>
    <row r="182" spans="27:118">
      <c r="AA182" s="30"/>
      <c r="AB182" s="30"/>
      <c r="AC182" s="30"/>
      <c r="DK182"/>
      <c r="DL182"/>
      <c r="DM182"/>
      <c r="DN182"/>
    </row>
    <row r="183" spans="27:118">
      <c r="AA183" s="30"/>
      <c r="AB183" s="30"/>
      <c r="AC183" s="30"/>
      <c r="DK183"/>
      <c r="DL183"/>
      <c r="DM183"/>
      <c r="DN183"/>
    </row>
    <row r="184" spans="27:118">
      <c r="AA184" s="30"/>
      <c r="AB184" s="30"/>
      <c r="AC184" s="30"/>
      <c r="DK184"/>
      <c r="DL184"/>
      <c r="DM184"/>
      <c r="DN184"/>
    </row>
    <row r="185" spans="27:118">
      <c r="AA185" s="30"/>
      <c r="AB185" s="30"/>
      <c r="AC185" s="30"/>
      <c r="DK185"/>
      <c r="DL185"/>
      <c r="DM185"/>
      <c r="DN185"/>
    </row>
    <row r="186" spans="27:118">
      <c r="AA186" s="30"/>
      <c r="AB186" s="30"/>
      <c r="AC186" s="30"/>
      <c r="DK186"/>
      <c r="DL186"/>
      <c r="DM186"/>
      <c r="DN186"/>
    </row>
    <row r="187" spans="27:118">
      <c r="AA187" s="30"/>
      <c r="AB187" s="30"/>
      <c r="AC187" s="30"/>
      <c r="DK187"/>
      <c r="DL187"/>
      <c r="DM187"/>
      <c r="DN187"/>
    </row>
    <row r="188" spans="27:118">
      <c r="AA188" s="30"/>
      <c r="AB188" s="30"/>
      <c r="AC188" s="30"/>
      <c r="DK188"/>
      <c r="DL188"/>
      <c r="DM188"/>
      <c r="DN188"/>
    </row>
    <row r="189" spans="27:118">
      <c r="AA189" s="30"/>
      <c r="AB189" s="30"/>
      <c r="AC189" s="30"/>
      <c r="DK189"/>
      <c r="DL189"/>
      <c r="DM189"/>
      <c r="DN189"/>
    </row>
    <row r="190" spans="27:118">
      <c r="AA190" s="30"/>
      <c r="AB190" s="30"/>
      <c r="AC190" s="30"/>
      <c r="DK190"/>
      <c r="DL190"/>
      <c r="DM190"/>
      <c r="DN190"/>
    </row>
    <row r="191" spans="27:118">
      <c r="AA191" s="30"/>
      <c r="AB191" s="30"/>
      <c r="AC191" s="30"/>
      <c r="DK191"/>
      <c r="DL191"/>
      <c r="DM191"/>
      <c r="DN191"/>
    </row>
    <row r="192" spans="27:118">
      <c r="AA192" s="30"/>
      <c r="AB192" s="30"/>
      <c r="AC192" s="30"/>
      <c r="DK192"/>
      <c r="DL192"/>
      <c r="DM192"/>
      <c r="DN192"/>
    </row>
    <row r="193" spans="27:118">
      <c r="AA193" s="30"/>
      <c r="AB193" s="30"/>
      <c r="AC193" s="30"/>
      <c r="DK193"/>
      <c r="DL193"/>
      <c r="DM193"/>
      <c r="DN193"/>
    </row>
    <row r="194" spans="27:118">
      <c r="AA194" s="30"/>
      <c r="AB194" s="30"/>
      <c r="AC194" s="30"/>
      <c r="DK194"/>
      <c r="DL194"/>
      <c r="DM194"/>
      <c r="DN194"/>
    </row>
    <row r="195" spans="27:118">
      <c r="AA195" s="30"/>
      <c r="AB195" s="30"/>
      <c r="AC195" s="30"/>
      <c r="DK195"/>
      <c r="DL195"/>
      <c r="DM195"/>
      <c r="DN195"/>
    </row>
    <row r="196" spans="27:118">
      <c r="AA196" s="30"/>
      <c r="AB196" s="30"/>
      <c r="AC196" s="30"/>
      <c r="DK196"/>
      <c r="DL196"/>
      <c r="DM196"/>
      <c r="DN196"/>
    </row>
    <row r="197" spans="27:118">
      <c r="AA197" s="30"/>
      <c r="AB197" s="30"/>
      <c r="AC197" s="30"/>
      <c r="DK197"/>
      <c r="DL197"/>
      <c r="DM197"/>
      <c r="DN197"/>
    </row>
    <row r="198" spans="27:118">
      <c r="AA198" s="30"/>
      <c r="AB198" s="30"/>
      <c r="AC198" s="30"/>
      <c r="DK198"/>
      <c r="DL198"/>
      <c r="DM198"/>
      <c r="DN198"/>
    </row>
    <row r="199" spans="27:118">
      <c r="AA199" s="30"/>
      <c r="AB199" s="30"/>
      <c r="AC199" s="30"/>
      <c r="DK199"/>
      <c r="DL199"/>
      <c r="DM199"/>
      <c r="DN199"/>
    </row>
    <row r="200" spans="27:118">
      <c r="AA200" s="30"/>
      <c r="AB200" s="30"/>
      <c r="AC200" s="30"/>
      <c r="DK200"/>
      <c r="DL200"/>
      <c r="DM200"/>
      <c r="DN200"/>
    </row>
    <row r="201" spans="27:118">
      <c r="AA201" s="30"/>
      <c r="AB201" s="30"/>
      <c r="AC201" s="30"/>
      <c r="DK201"/>
      <c r="DL201"/>
      <c r="DM201"/>
      <c r="DN201"/>
    </row>
    <row r="202" spans="27:118">
      <c r="AA202" s="30"/>
      <c r="AB202" s="30"/>
      <c r="AC202" s="30"/>
      <c r="DK202"/>
      <c r="DL202"/>
      <c r="DM202"/>
      <c r="DN202"/>
    </row>
    <row r="203" spans="27:118">
      <c r="AA203" s="30"/>
      <c r="AB203" s="30"/>
      <c r="AC203" s="30"/>
      <c r="DK203"/>
      <c r="DL203"/>
      <c r="DM203"/>
      <c r="DN203"/>
    </row>
    <row r="204" spans="27:118">
      <c r="AA204" s="30"/>
      <c r="AB204" s="30"/>
      <c r="AC204" s="30"/>
      <c r="DK204"/>
      <c r="DL204"/>
      <c r="DM204"/>
      <c r="DN204"/>
    </row>
    <row r="205" spans="27:118">
      <c r="AA205" s="30"/>
      <c r="AB205" s="30"/>
      <c r="AC205" s="30"/>
      <c r="DK205"/>
      <c r="DL205"/>
      <c r="DM205"/>
      <c r="DN205"/>
    </row>
    <row r="206" spans="27:118">
      <c r="AA206" s="30"/>
      <c r="AB206" s="30"/>
      <c r="AC206" s="30"/>
      <c r="DK206"/>
      <c r="DL206"/>
      <c r="DM206"/>
      <c r="DN206"/>
    </row>
    <row r="207" spans="27:118">
      <c r="AA207" s="30"/>
      <c r="AB207" s="30"/>
      <c r="AC207" s="30"/>
      <c r="DK207"/>
      <c r="DL207"/>
      <c r="DM207"/>
      <c r="DN207"/>
    </row>
    <row r="208" spans="27:118">
      <c r="AA208" s="30"/>
      <c r="AB208" s="30"/>
      <c r="AC208" s="30"/>
      <c r="DK208"/>
      <c r="DL208"/>
      <c r="DM208"/>
      <c r="DN208"/>
    </row>
    <row r="209" spans="27:118">
      <c r="AA209" s="30"/>
      <c r="AB209" s="30"/>
      <c r="AC209" s="30"/>
      <c r="DK209"/>
      <c r="DL209"/>
      <c r="DM209"/>
      <c r="DN209"/>
    </row>
    <row r="210" spans="27:118">
      <c r="AA210" s="30"/>
      <c r="AB210" s="30"/>
      <c r="AC210" s="30"/>
      <c r="DK210"/>
      <c r="DL210"/>
      <c r="DM210"/>
      <c r="DN210"/>
    </row>
    <row r="211" spans="27:118">
      <c r="AA211" s="30"/>
      <c r="AB211" s="30"/>
      <c r="AC211" s="30"/>
      <c r="DK211"/>
      <c r="DL211"/>
      <c r="DM211"/>
      <c r="DN211"/>
    </row>
    <row r="212" spans="27:118">
      <c r="AA212" s="30"/>
      <c r="AB212" s="30"/>
      <c r="AC212" s="30"/>
      <c r="DK212"/>
      <c r="DL212"/>
      <c r="DM212"/>
      <c r="DN212"/>
    </row>
    <row r="213" spans="27:118">
      <c r="AA213" s="30"/>
      <c r="AB213" s="30"/>
      <c r="AC213" s="30"/>
      <c r="DK213"/>
      <c r="DL213"/>
      <c r="DM213"/>
      <c r="DN213"/>
    </row>
    <row r="214" spans="27:118">
      <c r="AA214" s="30"/>
      <c r="AB214" s="30"/>
      <c r="AC214" s="30"/>
      <c r="DK214"/>
      <c r="DL214"/>
      <c r="DM214"/>
      <c r="DN214"/>
    </row>
    <row r="215" spans="27:118">
      <c r="AA215" s="30"/>
      <c r="AB215" s="30"/>
      <c r="AC215" s="30"/>
      <c r="DK215"/>
      <c r="DL215"/>
      <c r="DM215"/>
      <c r="DN215"/>
    </row>
    <row r="216" spans="27:118">
      <c r="AA216" s="30"/>
      <c r="AB216" s="30"/>
      <c r="AC216" s="30"/>
      <c r="DK216"/>
      <c r="DL216"/>
      <c r="DM216"/>
      <c r="DN216"/>
    </row>
    <row r="217" spans="27:118">
      <c r="AA217" s="30"/>
      <c r="AB217" s="30"/>
      <c r="AC217" s="30"/>
      <c r="DK217"/>
      <c r="DL217"/>
      <c r="DM217"/>
      <c r="DN217"/>
    </row>
    <row r="218" spans="27:118">
      <c r="AA218" s="30"/>
      <c r="AB218" s="30"/>
      <c r="AC218" s="30"/>
      <c r="DK218"/>
      <c r="DL218"/>
      <c r="DM218"/>
      <c r="DN218"/>
    </row>
    <row r="219" spans="27:118">
      <c r="AA219" s="30"/>
      <c r="AB219" s="30"/>
      <c r="AC219" s="30"/>
      <c r="DK219"/>
      <c r="DL219"/>
      <c r="DM219"/>
      <c r="DN219"/>
    </row>
    <row r="220" spans="27:118">
      <c r="AA220" s="30"/>
      <c r="AB220" s="30"/>
      <c r="AC220" s="30"/>
      <c r="DK220"/>
      <c r="DL220"/>
      <c r="DM220"/>
      <c r="DN220"/>
    </row>
    <row r="221" spans="27:118">
      <c r="AA221" s="30"/>
      <c r="AB221" s="30"/>
      <c r="AC221" s="30"/>
      <c r="DK221"/>
      <c r="DL221"/>
      <c r="DM221"/>
      <c r="DN221"/>
    </row>
    <row r="222" spans="27:118">
      <c r="AA222" s="30"/>
      <c r="AB222" s="30"/>
      <c r="AC222" s="30"/>
      <c r="DK222"/>
      <c r="DL222"/>
      <c r="DM222"/>
      <c r="DN222"/>
    </row>
    <row r="223" spans="27:118">
      <c r="AA223" s="30"/>
      <c r="AB223" s="30"/>
      <c r="AC223" s="30"/>
      <c r="DK223"/>
      <c r="DL223"/>
      <c r="DM223"/>
      <c r="DN223"/>
    </row>
    <row r="224" spans="27:118">
      <c r="AA224" s="30"/>
      <c r="AB224" s="30"/>
      <c r="AC224" s="30"/>
      <c r="DK224"/>
      <c r="DL224"/>
      <c r="DM224"/>
      <c r="DN224"/>
    </row>
    <row r="225" spans="27:118">
      <c r="AA225" s="30"/>
      <c r="AB225" s="30"/>
      <c r="AC225" s="30"/>
      <c r="DK225"/>
      <c r="DL225"/>
      <c r="DM225"/>
      <c r="DN225"/>
    </row>
    <row r="226" spans="27:118">
      <c r="AA226" s="30"/>
      <c r="AB226" s="30"/>
      <c r="AC226" s="30"/>
      <c r="DK226"/>
      <c r="DL226"/>
      <c r="DM226"/>
      <c r="DN226"/>
    </row>
    <row r="227" spans="27:118">
      <c r="AA227" s="30"/>
      <c r="AB227" s="30"/>
      <c r="AC227" s="30"/>
      <c r="DK227"/>
      <c r="DL227"/>
      <c r="DM227"/>
      <c r="DN227"/>
    </row>
    <row r="228" spans="27:118">
      <c r="AA228" s="30"/>
      <c r="AB228" s="30"/>
      <c r="AC228" s="30"/>
      <c r="DK228"/>
      <c r="DL228"/>
      <c r="DM228"/>
      <c r="DN228"/>
    </row>
    <row r="229" spans="27:118">
      <c r="AA229" s="30"/>
      <c r="AB229" s="30"/>
      <c r="AC229" s="30"/>
      <c r="DK229"/>
      <c r="DL229"/>
      <c r="DM229"/>
      <c r="DN229"/>
    </row>
    <row r="230" spans="27:118">
      <c r="AA230" s="30"/>
      <c r="AB230" s="30"/>
      <c r="AC230" s="30"/>
      <c r="DK230"/>
      <c r="DL230"/>
      <c r="DM230"/>
      <c r="DN230"/>
    </row>
    <row r="231" spans="27:118">
      <c r="AA231" s="30"/>
      <c r="AB231" s="30"/>
      <c r="AC231" s="30"/>
      <c r="DK231"/>
      <c r="DL231"/>
      <c r="DM231"/>
      <c r="DN231"/>
    </row>
    <row r="232" spans="27:118">
      <c r="AA232" s="30"/>
      <c r="AB232" s="30"/>
      <c r="AC232" s="30"/>
      <c r="DK232"/>
      <c r="DL232"/>
      <c r="DM232"/>
      <c r="DN232"/>
    </row>
    <row r="233" spans="27:118">
      <c r="AA233" s="30"/>
      <c r="AB233" s="30"/>
      <c r="AC233" s="30"/>
      <c r="DK233"/>
      <c r="DL233"/>
      <c r="DM233"/>
      <c r="DN233"/>
    </row>
    <row r="234" spans="27:118">
      <c r="AA234" s="30"/>
      <c r="AB234" s="30"/>
      <c r="AC234" s="30"/>
      <c r="DK234"/>
      <c r="DL234"/>
      <c r="DM234"/>
      <c r="DN234"/>
    </row>
    <row r="235" spans="27:118">
      <c r="AA235" s="30"/>
      <c r="AB235" s="30"/>
      <c r="AC235" s="30"/>
      <c r="DK235"/>
      <c r="DL235"/>
      <c r="DM235"/>
      <c r="DN235"/>
    </row>
    <row r="236" spans="27:118">
      <c r="AA236" s="30"/>
      <c r="AB236" s="30"/>
      <c r="AC236" s="30"/>
      <c r="DK236"/>
      <c r="DL236"/>
      <c r="DM236"/>
      <c r="DN236"/>
    </row>
    <row r="237" spans="27:118">
      <c r="AA237" s="30"/>
      <c r="AB237" s="30"/>
      <c r="AC237" s="30"/>
      <c r="DK237"/>
      <c r="DL237"/>
      <c r="DM237"/>
      <c r="DN237"/>
    </row>
    <row r="238" spans="27:118">
      <c r="AA238" s="30"/>
      <c r="AB238" s="30"/>
      <c r="AC238" s="30"/>
      <c r="DK238"/>
      <c r="DL238"/>
      <c r="DM238"/>
      <c r="DN238"/>
    </row>
    <row r="239" spans="27:118">
      <c r="AA239" s="30"/>
      <c r="AB239" s="30"/>
      <c r="AC239" s="30"/>
      <c r="DK239"/>
      <c r="DL239"/>
      <c r="DM239"/>
      <c r="DN239"/>
    </row>
    <row r="240" spans="27:118">
      <c r="AA240" s="30"/>
      <c r="AB240" s="30"/>
      <c r="AC240" s="30"/>
      <c r="DK240"/>
      <c r="DL240"/>
      <c r="DM240"/>
      <c r="DN240"/>
    </row>
    <row r="241" spans="27:118">
      <c r="AA241" s="30"/>
      <c r="AB241" s="30"/>
      <c r="AC241" s="30"/>
      <c r="DK241"/>
      <c r="DL241"/>
      <c r="DM241"/>
      <c r="DN241"/>
    </row>
    <row r="242" spans="27:118">
      <c r="AA242" s="30"/>
      <c r="AB242" s="30"/>
      <c r="AC242" s="30"/>
      <c r="DK242"/>
      <c r="DL242"/>
      <c r="DM242"/>
      <c r="DN242"/>
    </row>
    <row r="243" spans="27:118">
      <c r="AA243" s="30"/>
      <c r="AB243" s="30"/>
      <c r="AC243" s="30"/>
      <c r="DK243"/>
      <c r="DL243"/>
      <c r="DM243"/>
      <c r="DN243"/>
    </row>
    <row r="244" spans="27:118">
      <c r="AA244" s="30"/>
      <c r="AB244" s="30"/>
      <c r="AC244" s="30"/>
      <c r="DK244"/>
      <c r="DL244"/>
      <c r="DM244"/>
      <c r="DN244"/>
    </row>
    <row r="245" spans="27:118">
      <c r="AA245" s="30"/>
      <c r="AB245" s="30"/>
      <c r="AC245" s="30"/>
      <c r="DK245"/>
      <c r="DL245"/>
      <c r="DM245"/>
      <c r="DN245"/>
    </row>
    <row r="246" spans="27:118">
      <c r="AA246" s="30"/>
      <c r="AB246" s="30"/>
      <c r="AC246" s="30"/>
      <c r="DK246"/>
      <c r="DL246"/>
      <c r="DM246"/>
      <c r="DN246"/>
    </row>
    <row r="247" spans="27:118">
      <c r="AA247" s="30"/>
      <c r="AB247" s="30"/>
      <c r="AC247" s="30"/>
      <c r="DK247"/>
      <c r="DL247"/>
      <c r="DM247"/>
      <c r="DN247"/>
    </row>
    <row r="248" spans="27:118">
      <c r="AA248" s="30"/>
      <c r="AB248" s="30"/>
      <c r="AC248" s="30"/>
      <c r="DK248"/>
      <c r="DL248"/>
      <c r="DM248"/>
      <c r="DN248"/>
    </row>
    <row r="249" spans="27:118">
      <c r="AA249" s="30"/>
      <c r="AB249" s="30"/>
      <c r="AC249" s="30"/>
      <c r="DK249"/>
      <c r="DL249"/>
      <c r="DM249"/>
      <c r="DN249"/>
    </row>
    <row r="250" spans="27:118">
      <c r="AA250" s="30"/>
      <c r="AB250" s="30"/>
      <c r="AC250" s="30"/>
      <c r="DK250"/>
      <c r="DL250"/>
      <c r="DM250"/>
      <c r="DN250"/>
    </row>
    <row r="251" spans="27:118">
      <c r="AA251" s="30"/>
      <c r="AB251" s="30"/>
      <c r="AC251" s="30"/>
      <c r="DK251"/>
      <c r="DL251"/>
      <c r="DM251"/>
      <c r="DN251"/>
    </row>
    <row r="252" spans="27:118">
      <c r="AA252" s="30"/>
      <c r="AB252" s="30"/>
      <c r="AC252" s="30"/>
      <c r="DK252"/>
      <c r="DL252"/>
      <c r="DM252"/>
      <c r="DN252"/>
    </row>
    <row r="253" spans="27:118">
      <c r="AA253" s="30"/>
      <c r="AB253" s="30"/>
      <c r="AC253" s="30"/>
      <c r="DK253"/>
      <c r="DL253"/>
      <c r="DM253"/>
      <c r="DN253"/>
    </row>
    <row r="254" spans="27:118">
      <c r="AA254" s="30"/>
      <c r="AB254" s="30"/>
      <c r="AC254" s="30"/>
      <c r="DK254"/>
      <c r="DL254"/>
      <c r="DM254"/>
      <c r="DN254"/>
    </row>
    <row r="255" spans="27:118">
      <c r="AA255" s="30"/>
      <c r="AB255" s="30"/>
      <c r="AC255" s="30"/>
      <c r="DK255"/>
      <c r="DL255"/>
      <c r="DM255"/>
      <c r="DN255"/>
    </row>
    <row r="256" spans="27:118">
      <c r="AA256" s="30"/>
      <c r="AB256" s="30"/>
      <c r="AC256" s="30"/>
      <c r="DK256"/>
      <c r="DL256"/>
      <c r="DM256"/>
      <c r="DN256"/>
    </row>
    <row r="257" spans="27:118">
      <c r="AA257" s="30"/>
      <c r="AB257" s="30"/>
      <c r="AC257" s="30"/>
      <c r="DK257"/>
      <c r="DL257"/>
      <c r="DM257"/>
      <c r="DN257"/>
    </row>
    <row r="258" spans="27:118">
      <c r="AA258" s="30"/>
      <c r="AB258" s="30"/>
      <c r="AC258" s="30"/>
      <c r="DK258"/>
      <c r="DL258"/>
      <c r="DM258"/>
      <c r="DN258"/>
    </row>
    <row r="259" spans="27:118">
      <c r="AA259" s="30"/>
      <c r="AB259" s="30"/>
      <c r="AC259" s="30"/>
      <c r="DK259"/>
      <c r="DL259"/>
      <c r="DM259"/>
      <c r="DN259"/>
    </row>
    <row r="260" spans="27:118">
      <c r="AA260" s="30"/>
      <c r="AB260" s="30"/>
      <c r="AC260" s="30"/>
      <c r="DK260"/>
      <c r="DL260"/>
      <c r="DM260"/>
      <c r="DN260"/>
    </row>
    <row r="261" spans="27:118">
      <c r="AA261" s="30"/>
      <c r="AB261" s="30"/>
      <c r="AC261" s="30"/>
      <c r="DK261"/>
      <c r="DL261"/>
      <c r="DM261"/>
      <c r="DN261"/>
    </row>
    <row r="262" spans="27:118">
      <c r="AA262" s="30"/>
      <c r="AB262" s="30"/>
      <c r="AC262" s="30"/>
      <c r="DK262"/>
      <c r="DL262"/>
      <c r="DM262"/>
      <c r="DN262"/>
    </row>
    <row r="263" spans="27:118">
      <c r="AA263" s="30"/>
      <c r="AB263" s="30"/>
      <c r="AC263" s="30"/>
      <c r="DK263"/>
      <c r="DL263"/>
      <c r="DM263"/>
      <c r="DN263"/>
    </row>
    <row r="264" spans="27:118">
      <c r="AA264" s="30"/>
      <c r="AB264" s="30"/>
      <c r="AC264" s="30"/>
      <c r="DK264"/>
      <c r="DL264"/>
      <c r="DM264"/>
      <c r="DN264"/>
    </row>
    <row r="265" spans="27:118">
      <c r="AA265" s="30"/>
      <c r="AB265" s="30"/>
      <c r="AC265" s="30"/>
      <c r="DK265"/>
      <c r="DL265"/>
      <c r="DM265"/>
      <c r="DN265"/>
    </row>
    <row r="266" spans="27:118">
      <c r="AA266" s="30"/>
      <c r="AB266" s="30"/>
      <c r="AC266" s="30"/>
      <c r="DK266"/>
      <c r="DL266"/>
      <c r="DM266"/>
      <c r="DN266"/>
    </row>
    <row r="267" spans="27:118">
      <c r="AA267" s="30"/>
      <c r="AB267" s="30"/>
      <c r="AC267" s="30"/>
      <c r="DK267"/>
      <c r="DL267"/>
      <c r="DM267"/>
      <c r="DN267"/>
    </row>
    <row r="268" spans="27:118">
      <c r="AA268" s="30"/>
      <c r="AB268" s="30"/>
      <c r="AC268" s="30"/>
      <c r="DK268"/>
      <c r="DL268"/>
      <c r="DM268"/>
      <c r="DN268"/>
    </row>
    <row r="269" spans="27:118">
      <c r="AA269" s="30"/>
      <c r="AB269" s="30"/>
      <c r="AC269" s="30"/>
      <c r="DK269"/>
      <c r="DL269"/>
      <c r="DM269"/>
      <c r="DN269"/>
    </row>
    <row r="270" spans="27:118">
      <c r="AA270" s="30"/>
      <c r="AB270" s="30"/>
      <c r="AC270" s="30"/>
      <c r="DK270"/>
      <c r="DL270"/>
      <c r="DM270"/>
      <c r="DN270"/>
    </row>
    <row r="271" spans="27:118">
      <c r="AA271" s="30"/>
      <c r="AB271" s="30"/>
      <c r="AC271" s="30"/>
      <c r="DK271"/>
      <c r="DL271"/>
      <c r="DM271"/>
      <c r="DN271"/>
    </row>
    <row r="272" spans="27:118">
      <c r="AA272" s="30"/>
      <c r="AB272" s="30"/>
      <c r="AC272" s="30"/>
      <c r="DK272"/>
      <c r="DL272"/>
      <c r="DM272"/>
      <c r="DN272"/>
    </row>
    <row r="273" spans="27:118">
      <c r="AA273" s="30"/>
      <c r="AB273" s="30"/>
      <c r="AC273" s="30"/>
      <c r="DK273"/>
      <c r="DL273"/>
      <c r="DM273"/>
      <c r="DN273"/>
    </row>
    <row r="274" spans="27:118">
      <c r="AA274" s="30"/>
      <c r="AB274" s="30"/>
      <c r="AC274" s="30"/>
      <c r="DK274"/>
      <c r="DL274"/>
      <c r="DM274"/>
      <c r="DN274"/>
    </row>
    <row r="275" spans="27:118">
      <c r="AA275" s="30"/>
      <c r="AB275" s="30"/>
      <c r="AC275" s="30"/>
      <c r="DK275"/>
      <c r="DL275"/>
      <c r="DM275"/>
      <c r="DN275"/>
    </row>
    <row r="276" spans="27:118">
      <c r="AA276" s="30"/>
      <c r="AB276" s="30"/>
      <c r="AC276" s="30"/>
      <c r="DK276"/>
      <c r="DL276"/>
      <c r="DM276"/>
      <c r="DN276"/>
    </row>
    <row r="277" spans="27:118">
      <c r="AA277" s="30"/>
      <c r="AB277" s="30"/>
      <c r="AC277" s="30"/>
      <c r="DK277"/>
      <c r="DL277"/>
      <c r="DM277"/>
      <c r="DN277"/>
    </row>
    <row r="278" spans="27:118">
      <c r="AA278" s="30"/>
      <c r="AB278" s="30"/>
      <c r="AC278" s="30"/>
      <c r="DK278"/>
      <c r="DL278"/>
      <c r="DM278"/>
      <c r="DN278"/>
    </row>
    <row r="279" spans="27:118">
      <c r="AA279" s="30"/>
      <c r="AB279" s="30"/>
      <c r="AC279" s="30"/>
      <c r="DK279"/>
      <c r="DL279"/>
      <c r="DM279"/>
      <c r="DN279"/>
    </row>
    <row r="280" spans="27:118">
      <c r="AA280" s="30"/>
      <c r="AB280" s="30"/>
      <c r="AC280" s="30"/>
      <c r="DK280"/>
      <c r="DL280"/>
      <c r="DM280"/>
      <c r="DN280"/>
    </row>
    <row r="281" spans="27:118">
      <c r="AA281" s="30"/>
      <c r="AB281" s="30"/>
      <c r="AC281" s="30"/>
      <c r="DK281"/>
      <c r="DL281"/>
      <c r="DM281"/>
      <c r="DN281"/>
    </row>
    <row r="282" spans="27:118">
      <c r="AA282" s="30"/>
      <c r="AB282" s="30"/>
      <c r="AC282" s="30"/>
      <c r="DK282"/>
      <c r="DL282"/>
      <c r="DM282"/>
      <c r="DN282"/>
    </row>
    <row r="283" spans="27:118">
      <c r="AA283" s="30"/>
      <c r="AB283" s="30"/>
      <c r="AC283" s="30"/>
      <c r="DK283"/>
      <c r="DL283"/>
      <c r="DM283"/>
      <c r="DN283"/>
    </row>
    <row r="284" spans="27:118">
      <c r="AA284" s="30"/>
      <c r="AB284" s="30"/>
      <c r="AC284" s="30"/>
      <c r="DK284"/>
      <c r="DL284"/>
      <c r="DM284"/>
      <c r="DN284"/>
    </row>
    <row r="285" spans="27:118">
      <c r="AA285" s="30"/>
      <c r="AB285" s="30"/>
      <c r="AC285" s="30"/>
      <c r="DK285"/>
      <c r="DL285"/>
      <c r="DM285"/>
      <c r="DN285"/>
    </row>
    <row r="286" spans="27:118">
      <c r="AA286" s="30"/>
      <c r="AB286" s="30"/>
      <c r="AC286" s="30"/>
      <c r="DK286"/>
      <c r="DL286"/>
      <c r="DM286"/>
      <c r="DN286"/>
    </row>
    <row r="287" spans="27:118">
      <c r="AA287" s="30"/>
      <c r="AB287" s="30"/>
      <c r="AC287" s="30"/>
      <c r="DK287"/>
      <c r="DL287"/>
      <c r="DM287"/>
      <c r="DN287"/>
    </row>
    <row r="288" spans="27:118">
      <c r="AA288" s="30"/>
      <c r="AB288" s="30"/>
      <c r="AC288" s="30"/>
      <c r="DK288"/>
      <c r="DL288"/>
      <c r="DM288"/>
      <c r="DN288"/>
    </row>
    <row r="289" spans="27:118">
      <c r="AA289" s="30"/>
      <c r="AB289" s="30"/>
      <c r="AC289" s="30"/>
      <c r="DK289"/>
      <c r="DL289"/>
      <c r="DM289"/>
      <c r="DN289"/>
    </row>
    <row r="290" spans="27:118">
      <c r="AA290" s="30"/>
      <c r="AB290" s="30"/>
      <c r="AC290" s="30"/>
      <c r="DK290"/>
      <c r="DL290"/>
      <c r="DM290"/>
      <c r="DN290"/>
    </row>
    <row r="291" spans="27:118">
      <c r="AA291" s="30"/>
      <c r="AB291" s="30"/>
      <c r="AC291" s="30"/>
      <c r="DK291"/>
      <c r="DL291"/>
      <c r="DM291"/>
      <c r="DN291"/>
    </row>
    <row r="292" spans="27:118">
      <c r="AA292" s="30"/>
      <c r="AB292" s="30"/>
      <c r="AC292" s="30"/>
      <c r="DK292"/>
      <c r="DL292"/>
      <c r="DM292"/>
      <c r="DN292"/>
    </row>
    <row r="293" spans="27:118">
      <c r="AA293" s="30"/>
      <c r="AB293" s="30"/>
      <c r="AC293" s="30"/>
      <c r="DK293"/>
      <c r="DL293"/>
      <c r="DM293"/>
      <c r="DN293"/>
    </row>
    <row r="294" spans="27:118">
      <c r="AA294" s="30"/>
      <c r="AB294" s="30"/>
      <c r="AC294" s="30"/>
      <c r="DK294"/>
      <c r="DL294"/>
      <c r="DM294"/>
      <c r="DN294"/>
    </row>
    <row r="295" spans="27:118">
      <c r="AA295" s="30"/>
      <c r="AB295" s="30"/>
      <c r="AC295" s="30"/>
      <c r="DK295"/>
      <c r="DL295"/>
      <c r="DM295"/>
      <c r="DN295"/>
    </row>
    <row r="296" spans="27:118">
      <c r="AA296" s="30"/>
      <c r="AB296" s="30"/>
      <c r="AC296" s="30"/>
      <c r="DK296"/>
      <c r="DL296"/>
      <c r="DM296"/>
      <c r="DN296"/>
    </row>
    <row r="297" spans="27:118">
      <c r="AA297" s="30"/>
      <c r="AB297" s="30"/>
      <c r="AC297" s="30"/>
      <c r="DK297"/>
      <c r="DL297"/>
      <c r="DM297"/>
      <c r="DN297"/>
    </row>
    <row r="298" spans="27:118">
      <c r="AA298" s="30"/>
      <c r="AB298" s="30"/>
      <c r="AC298" s="30"/>
      <c r="DK298"/>
      <c r="DL298"/>
      <c r="DM298"/>
      <c r="DN298"/>
    </row>
    <row r="299" spans="27:118">
      <c r="AA299" s="30"/>
      <c r="AB299" s="30"/>
      <c r="AC299" s="30"/>
      <c r="DK299"/>
      <c r="DL299"/>
      <c r="DM299"/>
      <c r="DN299"/>
    </row>
    <row r="300" spans="27:118">
      <c r="AA300" s="30"/>
      <c r="AB300" s="30"/>
      <c r="AC300" s="30"/>
      <c r="DK300"/>
      <c r="DL300"/>
      <c r="DM300"/>
      <c r="DN300"/>
    </row>
    <row r="301" spans="27:118">
      <c r="AA301" s="30"/>
      <c r="AB301" s="30"/>
      <c r="AC301" s="30"/>
      <c r="DK301"/>
      <c r="DL301"/>
      <c r="DM301"/>
      <c r="DN301"/>
    </row>
    <row r="302" spans="27:118">
      <c r="AA302" s="30"/>
      <c r="AB302" s="30"/>
      <c r="AC302" s="30"/>
      <c r="DK302"/>
      <c r="DL302"/>
      <c r="DM302"/>
      <c r="DN302"/>
    </row>
    <row r="303" spans="27:118">
      <c r="AA303" s="30"/>
      <c r="AB303" s="30"/>
      <c r="AC303" s="30"/>
      <c r="DK303"/>
      <c r="DL303"/>
      <c r="DM303"/>
      <c r="DN303"/>
    </row>
    <row r="304" spans="27:118">
      <c r="AA304" s="30"/>
      <c r="AB304" s="30"/>
      <c r="AC304" s="30"/>
      <c r="DK304"/>
      <c r="DL304"/>
      <c r="DM304"/>
      <c r="DN304"/>
    </row>
    <row r="305" spans="27:118">
      <c r="AA305" s="30"/>
      <c r="AB305" s="30"/>
      <c r="AC305" s="30"/>
      <c r="DK305"/>
      <c r="DL305"/>
      <c r="DM305"/>
      <c r="DN305"/>
    </row>
    <row r="306" spans="27:118">
      <c r="AA306" s="30"/>
      <c r="AB306" s="30"/>
      <c r="AC306" s="30"/>
      <c r="DK306"/>
      <c r="DL306"/>
      <c r="DM306"/>
      <c r="DN306"/>
    </row>
    <row r="307" spans="27:118">
      <c r="AA307" s="30"/>
      <c r="AB307" s="30"/>
      <c r="AC307" s="30"/>
      <c r="DK307"/>
      <c r="DL307"/>
      <c r="DM307"/>
      <c r="DN307"/>
    </row>
    <row r="308" spans="27:118">
      <c r="AA308" s="30"/>
      <c r="AB308" s="30"/>
      <c r="AC308" s="30"/>
      <c r="DK308"/>
      <c r="DL308"/>
      <c r="DM308"/>
      <c r="DN308"/>
    </row>
    <row r="309" spans="27:118">
      <c r="AA309" s="30"/>
      <c r="AB309" s="30"/>
      <c r="AC309" s="30"/>
      <c r="DK309"/>
      <c r="DL309"/>
      <c r="DM309"/>
      <c r="DN309"/>
    </row>
    <row r="310" spans="27:118">
      <c r="AA310" s="30"/>
      <c r="AB310" s="30"/>
      <c r="AC310" s="30"/>
      <c r="DK310"/>
      <c r="DL310"/>
      <c r="DM310"/>
      <c r="DN310"/>
    </row>
    <row r="311" spans="27:118">
      <c r="AA311" s="30"/>
      <c r="AB311" s="30"/>
      <c r="AC311" s="30"/>
      <c r="DK311"/>
      <c r="DL311"/>
      <c r="DM311"/>
      <c r="DN311"/>
    </row>
    <row r="312" spans="27:118">
      <c r="AA312" s="30"/>
      <c r="AB312" s="30"/>
      <c r="AC312" s="30"/>
      <c r="DK312"/>
      <c r="DL312"/>
      <c r="DM312"/>
      <c r="DN312"/>
    </row>
    <row r="313" spans="27:118">
      <c r="AA313" s="30"/>
      <c r="AB313" s="30"/>
      <c r="AC313" s="30"/>
      <c r="DK313"/>
      <c r="DL313"/>
      <c r="DM313"/>
      <c r="DN313"/>
    </row>
    <row r="314" spans="27:118">
      <c r="AA314" s="30"/>
      <c r="AB314" s="30"/>
      <c r="AC314" s="30"/>
      <c r="DK314"/>
      <c r="DL314"/>
      <c r="DM314"/>
      <c r="DN314"/>
    </row>
    <row r="315" spans="27:118">
      <c r="AA315" s="30"/>
      <c r="AB315" s="30"/>
      <c r="AC315" s="30"/>
      <c r="DK315"/>
      <c r="DL315"/>
      <c r="DM315"/>
      <c r="DN315"/>
    </row>
    <row r="316" spans="27:118">
      <c r="AA316" s="30"/>
      <c r="AB316" s="30"/>
      <c r="AC316" s="30"/>
      <c r="DK316"/>
      <c r="DL316"/>
      <c r="DM316"/>
      <c r="DN316"/>
    </row>
    <row r="317" spans="27:118">
      <c r="AA317" s="30"/>
      <c r="AB317" s="30"/>
      <c r="AC317" s="30"/>
      <c r="DK317"/>
      <c r="DL317"/>
      <c r="DM317"/>
      <c r="DN317"/>
    </row>
    <row r="318" spans="27:118">
      <c r="AA318" s="30"/>
      <c r="AB318" s="30"/>
      <c r="AC318" s="30"/>
      <c r="DK318"/>
      <c r="DL318"/>
      <c r="DM318"/>
      <c r="DN318"/>
    </row>
    <row r="319" spans="27:118">
      <c r="AA319" s="30"/>
      <c r="AB319" s="30"/>
      <c r="AC319" s="30"/>
      <c r="DK319"/>
      <c r="DL319"/>
      <c r="DM319"/>
      <c r="DN319"/>
    </row>
    <row r="320" spans="27:118">
      <c r="AA320" s="30"/>
      <c r="AB320" s="30"/>
      <c r="AC320" s="30"/>
      <c r="DK320"/>
      <c r="DL320"/>
      <c r="DM320"/>
      <c r="DN320"/>
    </row>
    <row r="321" spans="27:118">
      <c r="AA321" s="30"/>
      <c r="AB321" s="30"/>
      <c r="AC321" s="30"/>
      <c r="DK321"/>
      <c r="DL321"/>
      <c r="DM321"/>
      <c r="DN321"/>
    </row>
    <row r="322" spans="27:118">
      <c r="AA322" s="30"/>
      <c r="AB322" s="30"/>
      <c r="AC322" s="30"/>
      <c r="DK322"/>
      <c r="DL322"/>
      <c r="DM322"/>
      <c r="DN322"/>
    </row>
    <row r="323" spans="27:118">
      <c r="AA323" s="30"/>
      <c r="AB323" s="30"/>
      <c r="AC323" s="30"/>
      <c r="DK323"/>
      <c r="DL323"/>
      <c r="DM323"/>
      <c r="DN323"/>
    </row>
    <row r="324" spans="27:118">
      <c r="AA324" s="30"/>
      <c r="AB324" s="30"/>
      <c r="AC324" s="30"/>
      <c r="DK324"/>
      <c r="DL324"/>
      <c r="DM324"/>
      <c r="DN324"/>
    </row>
    <row r="325" spans="27:118">
      <c r="AA325" s="30"/>
      <c r="AB325" s="30"/>
      <c r="AC325" s="30"/>
      <c r="DK325"/>
      <c r="DL325"/>
      <c r="DM325"/>
      <c r="DN325"/>
    </row>
    <row r="326" spans="27:118">
      <c r="AA326" s="30"/>
      <c r="AB326" s="30"/>
      <c r="AC326" s="30"/>
      <c r="DK326"/>
      <c r="DL326"/>
      <c r="DM326"/>
      <c r="DN326"/>
    </row>
    <row r="327" spans="27:118">
      <c r="AA327" s="30"/>
      <c r="AB327" s="30"/>
      <c r="AC327" s="30"/>
      <c r="DK327"/>
      <c r="DL327"/>
      <c r="DM327"/>
      <c r="DN327"/>
    </row>
    <row r="328" spans="27:118">
      <c r="AA328" s="30"/>
      <c r="AB328" s="30"/>
      <c r="AC328" s="30"/>
      <c r="DK328"/>
      <c r="DL328"/>
      <c r="DM328"/>
      <c r="DN328"/>
    </row>
    <row r="329" spans="27:118">
      <c r="AA329" s="30"/>
      <c r="AB329" s="30"/>
      <c r="AC329" s="30"/>
      <c r="DK329"/>
      <c r="DL329"/>
      <c r="DM329"/>
      <c r="DN329"/>
    </row>
    <row r="330" spans="27:118">
      <c r="AA330" s="30"/>
      <c r="AB330" s="30"/>
      <c r="AC330" s="30"/>
      <c r="DK330"/>
      <c r="DL330"/>
      <c r="DM330"/>
      <c r="DN330"/>
    </row>
    <row r="331" spans="27:118">
      <c r="AA331" s="30"/>
      <c r="AB331" s="30"/>
      <c r="AC331" s="30"/>
      <c r="DK331"/>
      <c r="DL331"/>
      <c r="DM331"/>
      <c r="DN331"/>
    </row>
    <row r="332" spans="27:118">
      <c r="AA332" s="30"/>
      <c r="AB332" s="30"/>
      <c r="AC332" s="30"/>
      <c r="DK332"/>
      <c r="DL332"/>
      <c r="DM332"/>
      <c r="DN332"/>
    </row>
    <row r="333" spans="27:118">
      <c r="AA333" s="30"/>
      <c r="AB333" s="30"/>
      <c r="AC333" s="30"/>
      <c r="DK333"/>
      <c r="DL333"/>
      <c r="DM333"/>
      <c r="DN333"/>
    </row>
    <row r="334" spans="27:118">
      <c r="AA334" s="30"/>
      <c r="AB334" s="30"/>
      <c r="AC334" s="30"/>
      <c r="DK334"/>
      <c r="DL334"/>
      <c r="DM334"/>
      <c r="DN334"/>
    </row>
    <row r="335" spans="27:118">
      <c r="AA335" s="30"/>
      <c r="AB335" s="30"/>
      <c r="AC335" s="30"/>
      <c r="DK335"/>
      <c r="DL335"/>
      <c r="DM335"/>
      <c r="DN335"/>
    </row>
    <row r="336" spans="27:118">
      <c r="AA336" s="30"/>
      <c r="AB336" s="30"/>
      <c r="AC336" s="30"/>
      <c r="DK336"/>
      <c r="DL336"/>
      <c r="DM336"/>
      <c r="DN336"/>
    </row>
    <row r="337" spans="27:118">
      <c r="AA337" s="30"/>
      <c r="AB337" s="30"/>
      <c r="AC337" s="30"/>
      <c r="DK337"/>
      <c r="DL337"/>
      <c r="DM337"/>
      <c r="DN337"/>
    </row>
    <row r="338" spans="27:118">
      <c r="AA338" s="30"/>
      <c r="AB338" s="30"/>
      <c r="AC338" s="30"/>
      <c r="DK338"/>
      <c r="DL338"/>
      <c r="DM338"/>
      <c r="DN338"/>
    </row>
    <row r="339" spans="27:118">
      <c r="AA339" s="30"/>
      <c r="AB339" s="30"/>
      <c r="AC339" s="30"/>
      <c r="DK339"/>
      <c r="DL339"/>
      <c r="DM339"/>
      <c r="DN339"/>
    </row>
    <row r="340" spans="27:118">
      <c r="AA340" s="30"/>
      <c r="AB340" s="30"/>
      <c r="AC340" s="30"/>
      <c r="DK340"/>
      <c r="DL340"/>
      <c r="DM340"/>
      <c r="DN340"/>
    </row>
    <row r="341" spans="27:118">
      <c r="AA341" s="30"/>
      <c r="AB341" s="30"/>
      <c r="AC341" s="30"/>
      <c r="DK341"/>
      <c r="DL341"/>
      <c r="DM341"/>
      <c r="DN341"/>
    </row>
    <row r="342" spans="27:118">
      <c r="AA342" s="30"/>
      <c r="AB342" s="30"/>
      <c r="AC342" s="30"/>
      <c r="DK342"/>
      <c r="DL342"/>
      <c r="DM342"/>
      <c r="DN342"/>
    </row>
    <row r="343" spans="27:118">
      <c r="AA343" s="30"/>
      <c r="AB343" s="30"/>
      <c r="AC343" s="30"/>
      <c r="DK343"/>
      <c r="DL343"/>
      <c r="DM343"/>
      <c r="DN343"/>
    </row>
    <row r="344" spans="27:118">
      <c r="AA344" s="30"/>
      <c r="AB344" s="30"/>
      <c r="AC344" s="30"/>
      <c r="DK344"/>
      <c r="DL344"/>
      <c r="DM344"/>
      <c r="DN344"/>
    </row>
    <row r="345" spans="27:118">
      <c r="AA345" s="30"/>
      <c r="AB345" s="30"/>
      <c r="AC345" s="30"/>
      <c r="DK345"/>
      <c r="DL345"/>
      <c r="DM345"/>
      <c r="DN345"/>
    </row>
    <row r="346" spans="27:118">
      <c r="AA346" s="30"/>
      <c r="AB346" s="30"/>
      <c r="AC346" s="30"/>
      <c r="DK346"/>
      <c r="DL346"/>
      <c r="DM346"/>
      <c r="DN346"/>
    </row>
    <row r="347" spans="27:118">
      <c r="AA347" s="30"/>
      <c r="AB347" s="30"/>
      <c r="AC347" s="30"/>
      <c r="DK347"/>
      <c r="DL347"/>
      <c r="DM347"/>
      <c r="DN347"/>
    </row>
    <row r="348" spans="27:118">
      <c r="AA348" s="30"/>
      <c r="AB348" s="30"/>
      <c r="AC348" s="30"/>
      <c r="DK348"/>
      <c r="DL348"/>
      <c r="DM348"/>
      <c r="DN348"/>
    </row>
    <row r="349" spans="27:118">
      <c r="AA349" s="30"/>
      <c r="AB349" s="30"/>
      <c r="AC349" s="30"/>
      <c r="DK349"/>
      <c r="DL349"/>
      <c r="DM349"/>
      <c r="DN349"/>
    </row>
    <row r="350" spans="27:118">
      <c r="AA350" s="30"/>
      <c r="AB350" s="30"/>
      <c r="AC350" s="30"/>
      <c r="DK350"/>
      <c r="DL350"/>
      <c r="DM350"/>
      <c r="DN350"/>
    </row>
    <row r="351" spans="27:118">
      <c r="AA351" s="30"/>
      <c r="AB351" s="30"/>
      <c r="AC351" s="30"/>
      <c r="DK351"/>
      <c r="DL351"/>
      <c r="DM351"/>
      <c r="DN351"/>
    </row>
    <row r="352" spans="27:118">
      <c r="AA352" s="30"/>
      <c r="AB352" s="30"/>
      <c r="AC352" s="30"/>
      <c r="DK352"/>
      <c r="DL352"/>
      <c r="DM352"/>
      <c r="DN352"/>
    </row>
    <row r="353" spans="27:118">
      <c r="AA353" s="30"/>
      <c r="AB353" s="30"/>
      <c r="AC353" s="30"/>
      <c r="DK353"/>
      <c r="DL353"/>
      <c r="DM353"/>
      <c r="DN353"/>
    </row>
    <row r="354" spans="27:118">
      <c r="AA354" s="30"/>
      <c r="AB354" s="30"/>
      <c r="AC354" s="30"/>
      <c r="DK354"/>
      <c r="DL354"/>
      <c r="DM354"/>
      <c r="DN354"/>
    </row>
    <row r="355" spans="27:118">
      <c r="AA355" s="30"/>
      <c r="AB355" s="30"/>
      <c r="AC355" s="30"/>
      <c r="DK355"/>
      <c r="DL355"/>
      <c r="DM355"/>
      <c r="DN355"/>
    </row>
    <row r="356" spans="27:118">
      <c r="AA356" s="30"/>
      <c r="AB356" s="30"/>
      <c r="AC356" s="30"/>
      <c r="DK356"/>
      <c r="DL356"/>
      <c r="DM356"/>
      <c r="DN356"/>
    </row>
    <row r="357" spans="27:118">
      <c r="AA357" s="30"/>
      <c r="AB357" s="30"/>
      <c r="AC357" s="30"/>
      <c r="DK357"/>
      <c r="DL357"/>
      <c r="DM357"/>
      <c r="DN357"/>
    </row>
    <row r="358" spans="27:118">
      <c r="AA358" s="30"/>
      <c r="AB358" s="30"/>
      <c r="AC358" s="30"/>
      <c r="DK358"/>
      <c r="DL358"/>
      <c r="DM358"/>
      <c r="DN358"/>
    </row>
    <row r="359" spans="27:118">
      <c r="AA359" s="30"/>
      <c r="AB359" s="30"/>
      <c r="AC359" s="30"/>
      <c r="DK359"/>
      <c r="DL359"/>
      <c r="DM359"/>
      <c r="DN359"/>
    </row>
    <row r="360" spans="27:118">
      <c r="AA360" s="30"/>
      <c r="AB360" s="30"/>
      <c r="AC360" s="30"/>
      <c r="DK360"/>
      <c r="DL360"/>
      <c r="DM360"/>
      <c r="DN360"/>
    </row>
    <row r="361" spans="27:118">
      <c r="AA361" s="30"/>
      <c r="AB361" s="30"/>
      <c r="AC361" s="30"/>
      <c r="DK361"/>
      <c r="DL361"/>
      <c r="DM361"/>
      <c r="DN361"/>
    </row>
    <row r="362" spans="27:118">
      <c r="AA362" s="30"/>
      <c r="AB362" s="30"/>
      <c r="AC362" s="30"/>
      <c r="DK362"/>
      <c r="DL362"/>
      <c r="DM362"/>
      <c r="DN362"/>
    </row>
    <row r="363" spans="27:118">
      <c r="AA363" s="30"/>
      <c r="AB363" s="30"/>
      <c r="AC363" s="30"/>
      <c r="DK363"/>
      <c r="DL363"/>
      <c r="DM363"/>
      <c r="DN363"/>
    </row>
    <row r="364" spans="27:118">
      <c r="AA364" s="30"/>
      <c r="AB364" s="30"/>
      <c r="AC364" s="30"/>
      <c r="DK364"/>
      <c r="DL364"/>
      <c r="DM364"/>
      <c r="DN364"/>
    </row>
    <row r="365" spans="27:118">
      <c r="AA365" s="30"/>
      <c r="AB365" s="30"/>
      <c r="AC365" s="30"/>
      <c r="DK365"/>
      <c r="DL365"/>
      <c r="DM365"/>
      <c r="DN365"/>
    </row>
    <row r="366" spans="27:118">
      <c r="AA366" s="30"/>
      <c r="AB366" s="30"/>
      <c r="AC366" s="30"/>
      <c r="DK366"/>
      <c r="DL366"/>
      <c r="DM366"/>
      <c r="DN366"/>
    </row>
    <row r="367" spans="27:118">
      <c r="AA367" s="30"/>
      <c r="AB367" s="30"/>
      <c r="AC367" s="30"/>
      <c r="DK367"/>
      <c r="DL367"/>
      <c r="DM367"/>
      <c r="DN367"/>
    </row>
    <row r="368" spans="27:118">
      <c r="AA368" s="30"/>
      <c r="AB368" s="30"/>
      <c r="AC368" s="30"/>
      <c r="DK368"/>
      <c r="DL368"/>
      <c r="DM368"/>
      <c r="DN368"/>
    </row>
    <row r="369" spans="27:118">
      <c r="AA369" s="30"/>
      <c r="AB369" s="30"/>
      <c r="AC369" s="30"/>
      <c r="DK369"/>
      <c r="DL369"/>
      <c r="DM369"/>
      <c r="DN369"/>
    </row>
    <row r="370" spans="27:118">
      <c r="AA370" s="30"/>
      <c r="AB370" s="30"/>
      <c r="AC370" s="30"/>
      <c r="DK370"/>
      <c r="DL370"/>
      <c r="DM370"/>
      <c r="DN370"/>
    </row>
    <row r="371" spans="27:118">
      <c r="AA371" s="30"/>
      <c r="AB371" s="30"/>
      <c r="AC371" s="30"/>
      <c r="DK371"/>
      <c r="DL371"/>
      <c r="DM371"/>
      <c r="DN371"/>
    </row>
    <row r="372" spans="27:118">
      <c r="AA372" s="30"/>
      <c r="AB372" s="30"/>
      <c r="AC372" s="30"/>
      <c r="DK372"/>
      <c r="DL372"/>
      <c r="DM372"/>
      <c r="DN372"/>
    </row>
    <row r="373" spans="27:118">
      <c r="AA373" s="30"/>
      <c r="AB373" s="30"/>
      <c r="AC373" s="30"/>
      <c r="DK373"/>
      <c r="DL373"/>
      <c r="DM373"/>
      <c r="DN373"/>
    </row>
    <row r="374" spans="27:118">
      <c r="AA374" s="30"/>
      <c r="AB374" s="30"/>
      <c r="AC374" s="30"/>
      <c r="DK374"/>
      <c r="DL374"/>
      <c r="DM374"/>
      <c r="DN374"/>
    </row>
    <row r="375" spans="27:118">
      <c r="AA375" s="30"/>
      <c r="AB375" s="30"/>
      <c r="AC375" s="30"/>
      <c r="DK375"/>
      <c r="DL375"/>
      <c r="DM375"/>
      <c r="DN375"/>
    </row>
    <row r="376" spans="27:118">
      <c r="AA376" s="30"/>
      <c r="AB376" s="30"/>
      <c r="AC376" s="30"/>
      <c r="DK376"/>
      <c r="DL376"/>
      <c r="DM376"/>
      <c r="DN376"/>
    </row>
    <row r="377" spans="27:118">
      <c r="AA377" s="30"/>
      <c r="AB377" s="30"/>
      <c r="AC377" s="30"/>
      <c r="DK377"/>
      <c r="DL377"/>
      <c r="DM377"/>
      <c r="DN377"/>
    </row>
    <row r="378" spans="27:118">
      <c r="AA378" s="30"/>
      <c r="AB378" s="30"/>
      <c r="AC378" s="30"/>
      <c r="DK378"/>
      <c r="DL378"/>
      <c r="DM378"/>
      <c r="DN378"/>
    </row>
    <row r="379" spans="27:118">
      <c r="AA379" s="30"/>
      <c r="AB379" s="30"/>
      <c r="AC379" s="30"/>
      <c r="DK379"/>
      <c r="DL379"/>
      <c r="DM379"/>
      <c r="DN379"/>
    </row>
    <row r="380" spans="27:118">
      <c r="AA380" s="30"/>
      <c r="AB380" s="30"/>
      <c r="AC380" s="30"/>
      <c r="DK380"/>
      <c r="DL380"/>
      <c r="DM380"/>
      <c r="DN380"/>
    </row>
    <row r="381" spans="27:118">
      <c r="AA381" s="30"/>
      <c r="AB381" s="30"/>
      <c r="AC381" s="30"/>
      <c r="DK381"/>
      <c r="DL381"/>
      <c r="DM381"/>
      <c r="DN381"/>
    </row>
    <row r="382" spans="27:118">
      <c r="AA382" s="30"/>
      <c r="AB382" s="30"/>
      <c r="AC382" s="30"/>
      <c r="DK382"/>
      <c r="DL382"/>
      <c r="DM382"/>
      <c r="DN382"/>
    </row>
    <row r="383" spans="27:118">
      <c r="AA383" s="30"/>
      <c r="AB383" s="30"/>
      <c r="AC383" s="30"/>
      <c r="DK383"/>
      <c r="DL383"/>
      <c r="DM383"/>
      <c r="DN383"/>
    </row>
    <row r="384" spans="27:118">
      <c r="AA384" s="30"/>
      <c r="AB384" s="30"/>
      <c r="AC384" s="30"/>
      <c r="DK384"/>
      <c r="DL384"/>
      <c r="DM384"/>
      <c r="DN384"/>
    </row>
    <row r="385" spans="27:118">
      <c r="AA385" s="30"/>
      <c r="AB385" s="30"/>
      <c r="AC385" s="30"/>
      <c r="DK385"/>
      <c r="DL385"/>
      <c r="DM385"/>
      <c r="DN385"/>
    </row>
    <row r="386" spans="27:118">
      <c r="AA386" s="30"/>
      <c r="AB386" s="30"/>
      <c r="AC386" s="30"/>
      <c r="DK386"/>
      <c r="DL386"/>
      <c r="DM386"/>
      <c r="DN386"/>
    </row>
    <row r="387" spans="27:118">
      <c r="AA387" s="30"/>
      <c r="AB387" s="30"/>
      <c r="AC387" s="30"/>
      <c r="DK387"/>
      <c r="DL387"/>
      <c r="DM387"/>
      <c r="DN387"/>
    </row>
    <row r="388" spans="27:118">
      <c r="AA388" s="30"/>
      <c r="AB388" s="30"/>
      <c r="AC388" s="30"/>
      <c r="DK388"/>
      <c r="DL388"/>
      <c r="DM388"/>
      <c r="DN388"/>
    </row>
    <row r="389" spans="27:118">
      <c r="AA389" s="30"/>
      <c r="AB389" s="30"/>
      <c r="AC389" s="30"/>
      <c r="DK389"/>
      <c r="DL389"/>
      <c r="DM389"/>
      <c r="DN389"/>
    </row>
    <row r="390" spans="27:118">
      <c r="AA390" s="30"/>
      <c r="AB390" s="30"/>
      <c r="AC390" s="30"/>
      <c r="DK390"/>
      <c r="DL390"/>
      <c r="DM390"/>
      <c r="DN390"/>
    </row>
    <row r="391" spans="27:118">
      <c r="AA391" s="30"/>
      <c r="AB391" s="30"/>
      <c r="AC391" s="30"/>
      <c r="DK391"/>
      <c r="DL391"/>
      <c r="DM391"/>
      <c r="DN391"/>
    </row>
    <row r="392" spans="27:118">
      <c r="AA392" s="30"/>
      <c r="AB392" s="30"/>
      <c r="AC392" s="30"/>
      <c r="DK392"/>
      <c r="DL392"/>
      <c r="DM392"/>
      <c r="DN392"/>
    </row>
    <row r="393" spans="27:118">
      <c r="AA393" s="30"/>
      <c r="AB393" s="30"/>
      <c r="AC393" s="30"/>
      <c r="DK393"/>
      <c r="DL393"/>
      <c r="DM393"/>
      <c r="DN393"/>
    </row>
    <row r="394" spans="27:118">
      <c r="AA394" s="30"/>
      <c r="AB394" s="30"/>
      <c r="AC394" s="30"/>
      <c r="DK394"/>
      <c r="DL394"/>
      <c r="DM394"/>
      <c r="DN394"/>
    </row>
    <row r="395" spans="27:118">
      <c r="AA395" s="30"/>
      <c r="AB395" s="30"/>
      <c r="AC395" s="30"/>
      <c r="DK395"/>
      <c r="DL395"/>
      <c r="DM395"/>
      <c r="DN395"/>
    </row>
    <row r="396" spans="27:118">
      <c r="AA396" s="30"/>
      <c r="AB396" s="30"/>
      <c r="AC396" s="30"/>
      <c r="DK396"/>
      <c r="DL396"/>
      <c r="DM396"/>
      <c r="DN396"/>
    </row>
    <row r="397" spans="27:118">
      <c r="AA397" s="30"/>
      <c r="AB397" s="30"/>
      <c r="AC397" s="30"/>
      <c r="DK397"/>
      <c r="DL397"/>
      <c r="DM397"/>
      <c r="DN397"/>
    </row>
    <row r="398" spans="27:118">
      <c r="AA398" s="30"/>
      <c r="AB398" s="30"/>
      <c r="AC398" s="30"/>
      <c r="DK398"/>
      <c r="DL398"/>
      <c r="DM398"/>
      <c r="DN398"/>
    </row>
    <row r="399" spans="27:118">
      <c r="AA399" s="30"/>
      <c r="AB399" s="30"/>
      <c r="AC399" s="30"/>
      <c r="DK399"/>
      <c r="DL399"/>
      <c r="DM399"/>
      <c r="DN399"/>
    </row>
    <row r="400" spans="27:118">
      <c r="AA400" s="30"/>
      <c r="AB400" s="30"/>
      <c r="AC400" s="30"/>
      <c r="DK400"/>
      <c r="DL400"/>
      <c r="DM400"/>
      <c r="DN400"/>
    </row>
    <row r="401" spans="27:118">
      <c r="AA401" s="30"/>
      <c r="AB401" s="30"/>
      <c r="AC401" s="30"/>
      <c r="DK401"/>
      <c r="DL401"/>
      <c r="DM401"/>
      <c r="DN401"/>
    </row>
    <row r="402" spans="27:118">
      <c r="AA402" s="30"/>
      <c r="AB402" s="30"/>
      <c r="AC402" s="30"/>
      <c r="DK402"/>
      <c r="DL402"/>
      <c r="DM402"/>
      <c r="DN402"/>
    </row>
    <row r="403" spans="27:118">
      <c r="AA403" s="30"/>
      <c r="AB403" s="30"/>
      <c r="AC403" s="30"/>
      <c r="DK403"/>
      <c r="DL403"/>
      <c r="DM403"/>
      <c r="DN403"/>
    </row>
    <row r="404" spans="27:118">
      <c r="AA404" s="30"/>
      <c r="AB404" s="30"/>
      <c r="AC404" s="30"/>
      <c r="DK404"/>
      <c r="DL404"/>
      <c r="DM404"/>
      <c r="DN404"/>
    </row>
    <row r="405" spans="27:118">
      <c r="AA405" s="30"/>
      <c r="AB405" s="30"/>
      <c r="AC405" s="30"/>
      <c r="DK405"/>
      <c r="DL405"/>
      <c r="DM405"/>
      <c r="DN405"/>
    </row>
    <row r="406" spans="27:118">
      <c r="AA406" s="30"/>
      <c r="AB406" s="30"/>
      <c r="AC406" s="30"/>
      <c r="DK406"/>
      <c r="DL406"/>
      <c r="DM406"/>
      <c r="DN406"/>
    </row>
    <row r="407" spans="27:118">
      <c r="AA407" s="30"/>
      <c r="AB407" s="30"/>
      <c r="AC407" s="30"/>
      <c r="DK407"/>
      <c r="DL407"/>
      <c r="DM407"/>
      <c r="DN407"/>
    </row>
    <row r="408" spans="27:118">
      <c r="AA408" s="30"/>
      <c r="AB408" s="30"/>
      <c r="AC408" s="30"/>
      <c r="DK408"/>
      <c r="DL408"/>
      <c r="DM408"/>
      <c r="DN408"/>
    </row>
    <row r="409" spans="27:118">
      <c r="AA409" s="30"/>
      <c r="AB409" s="30"/>
      <c r="AC409" s="30"/>
      <c r="DK409"/>
      <c r="DL409"/>
      <c r="DM409"/>
      <c r="DN409"/>
    </row>
    <row r="410" spans="27:118">
      <c r="AA410" s="30"/>
      <c r="AB410" s="30"/>
      <c r="AC410" s="30"/>
      <c r="DK410"/>
      <c r="DL410"/>
      <c r="DM410"/>
      <c r="DN410"/>
    </row>
    <row r="411" spans="27:118">
      <c r="AA411" s="30"/>
      <c r="AB411" s="30"/>
      <c r="AC411" s="30"/>
      <c r="DK411"/>
      <c r="DL411"/>
      <c r="DM411"/>
      <c r="DN411"/>
    </row>
    <row r="412" spans="27:118">
      <c r="AA412" s="30"/>
      <c r="AB412" s="30"/>
      <c r="AC412" s="30"/>
      <c r="DK412"/>
      <c r="DL412"/>
      <c r="DM412"/>
      <c r="DN412"/>
    </row>
    <row r="413" spans="27:118">
      <c r="AA413" s="30"/>
      <c r="AB413" s="30"/>
      <c r="AC413" s="30"/>
      <c r="DK413"/>
      <c r="DL413"/>
      <c r="DM413"/>
      <c r="DN413"/>
    </row>
    <row r="414" spans="27:118">
      <c r="AA414" s="30"/>
      <c r="AB414" s="30"/>
      <c r="AC414" s="30"/>
      <c r="DK414"/>
      <c r="DL414"/>
      <c r="DM414"/>
      <c r="DN414"/>
    </row>
    <row r="415" spans="27:118">
      <c r="AA415" s="30"/>
      <c r="AB415" s="30"/>
      <c r="AC415" s="30"/>
      <c r="DK415"/>
      <c r="DL415"/>
      <c r="DM415"/>
      <c r="DN415"/>
    </row>
    <row r="416" spans="27:118">
      <c r="AA416" s="30"/>
      <c r="AB416" s="30"/>
      <c r="AC416" s="30"/>
      <c r="DK416"/>
      <c r="DL416"/>
      <c r="DM416"/>
      <c r="DN416"/>
    </row>
    <row r="417" spans="27:118">
      <c r="AA417" s="30"/>
      <c r="AB417" s="30"/>
      <c r="AC417" s="30"/>
      <c r="DK417"/>
      <c r="DL417"/>
      <c r="DM417"/>
      <c r="DN417"/>
    </row>
    <row r="418" spans="27:118">
      <c r="AA418" s="30"/>
      <c r="AB418" s="30"/>
      <c r="AC418" s="30"/>
      <c r="DK418"/>
      <c r="DL418"/>
      <c r="DM418"/>
      <c r="DN418"/>
    </row>
    <row r="419" spans="27:118">
      <c r="AA419" s="30"/>
      <c r="AB419" s="30"/>
      <c r="AC419" s="30"/>
      <c r="DK419"/>
      <c r="DL419"/>
      <c r="DM419"/>
      <c r="DN419"/>
    </row>
    <row r="420" spans="27:118">
      <c r="AA420" s="30"/>
      <c r="AB420" s="30"/>
      <c r="AC420" s="30"/>
      <c r="DK420"/>
      <c r="DL420"/>
      <c r="DM420"/>
      <c r="DN420"/>
    </row>
    <row r="421" spans="27:118">
      <c r="AA421" s="30"/>
      <c r="AB421" s="30"/>
      <c r="AC421" s="30"/>
      <c r="DK421"/>
      <c r="DL421"/>
      <c r="DM421"/>
      <c r="DN421"/>
    </row>
    <row r="422" spans="27:118">
      <c r="AA422" s="30"/>
      <c r="AB422" s="30"/>
      <c r="AC422" s="30"/>
      <c r="DK422"/>
      <c r="DL422"/>
      <c r="DM422"/>
      <c r="DN422"/>
    </row>
    <row r="423" spans="27:118">
      <c r="AA423" s="30"/>
      <c r="AB423" s="30"/>
      <c r="AC423" s="30"/>
      <c r="DK423"/>
      <c r="DL423"/>
      <c r="DM423"/>
      <c r="DN423"/>
    </row>
    <row r="424" spans="27:118">
      <c r="AA424" s="30"/>
      <c r="AB424" s="30"/>
      <c r="AC424" s="30"/>
      <c r="DK424"/>
      <c r="DL424"/>
      <c r="DM424"/>
      <c r="DN424"/>
    </row>
    <row r="425" spans="27:118">
      <c r="AA425" s="30"/>
      <c r="AB425" s="30"/>
      <c r="AC425" s="30"/>
      <c r="DK425"/>
      <c r="DL425"/>
      <c r="DM425"/>
      <c r="DN425"/>
    </row>
    <row r="426" spans="27:118">
      <c r="AA426" s="30"/>
      <c r="AB426" s="30"/>
      <c r="AC426" s="30"/>
      <c r="DK426"/>
      <c r="DL426"/>
      <c r="DM426"/>
      <c r="DN426"/>
    </row>
    <row r="427" spans="27:118">
      <c r="AA427" s="30"/>
      <c r="AB427" s="30"/>
      <c r="AC427" s="30"/>
      <c r="DK427"/>
      <c r="DL427"/>
      <c r="DM427"/>
      <c r="DN427"/>
    </row>
    <row r="428" spans="27:118">
      <c r="AA428" s="30"/>
      <c r="AB428" s="30"/>
      <c r="AC428" s="30"/>
      <c r="DK428"/>
      <c r="DL428"/>
      <c r="DM428"/>
      <c r="DN428"/>
    </row>
    <row r="429" spans="27:118">
      <c r="AA429" s="30"/>
      <c r="AB429" s="30"/>
      <c r="AC429" s="30"/>
      <c r="DK429"/>
      <c r="DL429"/>
      <c r="DM429"/>
      <c r="DN429"/>
    </row>
    <row r="430" spans="27:118">
      <c r="AA430" s="30"/>
      <c r="AB430" s="30"/>
      <c r="AC430" s="30"/>
      <c r="DK430"/>
      <c r="DL430"/>
      <c r="DM430"/>
      <c r="DN430"/>
    </row>
    <row r="431" spans="27:118">
      <c r="AA431" s="30"/>
      <c r="AB431" s="30"/>
      <c r="AC431" s="30"/>
      <c r="DK431"/>
      <c r="DL431"/>
      <c r="DM431"/>
      <c r="DN431"/>
    </row>
    <row r="432" spans="27:118">
      <c r="AA432" s="30"/>
      <c r="AB432" s="30"/>
      <c r="AC432" s="30"/>
      <c r="DK432"/>
      <c r="DL432"/>
      <c r="DM432"/>
      <c r="DN432"/>
    </row>
    <row r="433" spans="27:118">
      <c r="AA433" s="30"/>
      <c r="AB433" s="30"/>
      <c r="AC433" s="30"/>
      <c r="DK433"/>
      <c r="DL433"/>
      <c r="DM433"/>
      <c r="DN433"/>
    </row>
    <row r="434" spans="27:118">
      <c r="AA434" s="30"/>
      <c r="AB434" s="30"/>
      <c r="AC434" s="30"/>
      <c r="DK434"/>
      <c r="DL434"/>
      <c r="DM434"/>
      <c r="DN434"/>
    </row>
    <row r="435" spans="27:118">
      <c r="AA435" s="30"/>
      <c r="AB435" s="30"/>
      <c r="AC435" s="30"/>
      <c r="DK435"/>
      <c r="DL435"/>
      <c r="DM435"/>
      <c r="DN435"/>
    </row>
    <row r="436" spans="27:118">
      <c r="AA436" s="30"/>
      <c r="AB436" s="30"/>
      <c r="AC436" s="30"/>
      <c r="DK436"/>
      <c r="DL436"/>
      <c r="DM436"/>
      <c r="DN436"/>
    </row>
    <row r="437" spans="27:118">
      <c r="AA437" s="30"/>
      <c r="AB437" s="30"/>
      <c r="AC437" s="30"/>
      <c r="DK437"/>
      <c r="DL437"/>
      <c r="DM437"/>
      <c r="DN437"/>
    </row>
    <row r="438" spans="27:118">
      <c r="AA438" s="30"/>
      <c r="AB438" s="30"/>
      <c r="AC438" s="30"/>
      <c r="DK438"/>
      <c r="DL438"/>
      <c r="DM438"/>
      <c r="DN438"/>
    </row>
    <row r="439" spans="27:118">
      <c r="AA439" s="30"/>
      <c r="AB439" s="30"/>
      <c r="AC439" s="30"/>
      <c r="DK439"/>
      <c r="DL439"/>
      <c r="DM439"/>
      <c r="DN439"/>
    </row>
    <row r="440" spans="27:118">
      <c r="AA440" s="30"/>
      <c r="AB440" s="30"/>
      <c r="AC440" s="30"/>
      <c r="DK440"/>
      <c r="DL440"/>
      <c r="DM440"/>
      <c r="DN440"/>
    </row>
    <row r="441" spans="27:118">
      <c r="AA441" s="30"/>
      <c r="AB441" s="30"/>
      <c r="AC441" s="30"/>
      <c r="DK441"/>
      <c r="DL441"/>
      <c r="DM441"/>
      <c r="DN441"/>
    </row>
    <row r="442" spans="27:118">
      <c r="AA442" s="30"/>
      <c r="AB442" s="30"/>
      <c r="AC442" s="30"/>
      <c r="DK442"/>
      <c r="DL442"/>
      <c r="DM442"/>
      <c r="DN442"/>
    </row>
    <row r="443" spans="27:118">
      <c r="AA443" s="30"/>
      <c r="AB443" s="30"/>
      <c r="AC443" s="30"/>
      <c r="DK443"/>
      <c r="DL443"/>
      <c r="DM443"/>
      <c r="DN443"/>
    </row>
    <row r="444" spans="27:118">
      <c r="AA444" s="30"/>
      <c r="AB444" s="30"/>
      <c r="AC444" s="30"/>
      <c r="DK444"/>
      <c r="DL444"/>
      <c r="DM444"/>
      <c r="DN444"/>
    </row>
    <row r="445" spans="27:118">
      <c r="AA445" s="30"/>
      <c r="AB445" s="30"/>
      <c r="AC445" s="30"/>
      <c r="DK445"/>
      <c r="DL445"/>
      <c r="DM445"/>
      <c r="DN445"/>
    </row>
    <row r="446" spans="27:118">
      <c r="AA446" s="30"/>
      <c r="AB446" s="30"/>
      <c r="AC446" s="30"/>
      <c r="DK446"/>
      <c r="DL446"/>
      <c r="DM446"/>
      <c r="DN446"/>
    </row>
    <row r="447" spans="27:118">
      <c r="AA447" s="30"/>
      <c r="AB447" s="30"/>
      <c r="AC447" s="30"/>
      <c r="DK447"/>
      <c r="DL447"/>
      <c r="DM447"/>
      <c r="DN447"/>
    </row>
    <row r="448" spans="27:118">
      <c r="AA448" s="30"/>
      <c r="AB448" s="30"/>
      <c r="AC448" s="30"/>
      <c r="DK448"/>
      <c r="DL448"/>
      <c r="DM448"/>
      <c r="DN448"/>
    </row>
    <row r="449" spans="27:118">
      <c r="AA449" s="30"/>
      <c r="AB449" s="30"/>
      <c r="AC449" s="30"/>
      <c r="DK449"/>
      <c r="DL449"/>
      <c r="DM449"/>
      <c r="DN449"/>
    </row>
    <row r="450" spans="27:118">
      <c r="AA450" s="30"/>
      <c r="AB450" s="30"/>
      <c r="AC450" s="30"/>
      <c r="DK450"/>
      <c r="DL450"/>
      <c r="DM450"/>
      <c r="DN450"/>
    </row>
    <row r="451" spans="27:118">
      <c r="AA451" s="30"/>
      <c r="AB451" s="30"/>
      <c r="AC451" s="30"/>
      <c r="DK451"/>
      <c r="DL451"/>
      <c r="DM451"/>
      <c r="DN451"/>
    </row>
    <row r="452" spans="27:118">
      <c r="AA452" s="30"/>
      <c r="AB452" s="30"/>
      <c r="AC452" s="30"/>
      <c r="DK452"/>
      <c r="DL452"/>
      <c r="DM452"/>
      <c r="DN452"/>
    </row>
    <row r="453" spans="27:118">
      <c r="AA453" s="30"/>
      <c r="AB453" s="30"/>
      <c r="AC453" s="30"/>
      <c r="DK453"/>
      <c r="DL453"/>
      <c r="DM453"/>
      <c r="DN453"/>
    </row>
    <row r="454" spans="27:118">
      <c r="AA454" s="30"/>
      <c r="AB454" s="30"/>
      <c r="AC454" s="30"/>
      <c r="DK454"/>
      <c r="DL454"/>
      <c r="DM454"/>
      <c r="DN454"/>
    </row>
    <row r="455" spans="27:118">
      <c r="AA455" s="30"/>
      <c r="AB455" s="30"/>
      <c r="AC455" s="30"/>
      <c r="DK455"/>
      <c r="DL455"/>
      <c r="DM455"/>
      <c r="DN455"/>
    </row>
    <row r="456" spans="27:118">
      <c r="AA456" s="30"/>
      <c r="AB456" s="30"/>
      <c r="AC456" s="30"/>
      <c r="DK456"/>
      <c r="DL456"/>
      <c r="DM456"/>
      <c r="DN456"/>
    </row>
    <row r="457" spans="27:118">
      <c r="AA457" s="30"/>
      <c r="AB457" s="30"/>
      <c r="AC457" s="30"/>
      <c r="DK457"/>
      <c r="DL457"/>
      <c r="DM457"/>
      <c r="DN457"/>
    </row>
    <row r="458" spans="27:118">
      <c r="AA458" s="30"/>
      <c r="AB458" s="30"/>
      <c r="AC458" s="30"/>
      <c r="DK458"/>
      <c r="DL458"/>
      <c r="DM458"/>
      <c r="DN458"/>
    </row>
    <row r="459" spans="27:118">
      <c r="AA459" s="30"/>
      <c r="AB459" s="30"/>
      <c r="AC459" s="30"/>
      <c r="DK459"/>
      <c r="DL459"/>
      <c r="DM459"/>
      <c r="DN459"/>
    </row>
    <row r="460" spans="27:118">
      <c r="AA460" s="30"/>
      <c r="AB460" s="30"/>
      <c r="AC460" s="30"/>
      <c r="DK460"/>
      <c r="DL460"/>
      <c r="DM460"/>
      <c r="DN460"/>
    </row>
    <row r="461" spans="27:118">
      <c r="AA461" s="30"/>
      <c r="AB461" s="30"/>
      <c r="AC461" s="30"/>
      <c r="DK461"/>
      <c r="DL461"/>
      <c r="DM461"/>
      <c r="DN461"/>
    </row>
    <row r="462" spans="27:118">
      <c r="AA462" s="30"/>
      <c r="AB462" s="30"/>
      <c r="AC462" s="30"/>
      <c r="DK462"/>
      <c r="DL462"/>
      <c r="DM462"/>
      <c r="DN462"/>
    </row>
    <row r="463" spans="27:118">
      <c r="AA463" s="30"/>
      <c r="AB463" s="30"/>
      <c r="AC463" s="30"/>
      <c r="DK463"/>
      <c r="DL463"/>
      <c r="DM463"/>
      <c r="DN463"/>
    </row>
    <row r="464" spans="27:118">
      <c r="AA464" s="30"/>
      <c r="AB464" s="30"/>
      <c r="AC464" s="30"/>
      <c r="DK464"/>
      <c r="DL464"/>
      <c r="DM464"/>
      <c r="DN464"/>
    </row>
    <row r="465" spans="27:118">
      <c r="AA465" s="30"/>
      <c r="AB465" s="30"/>
      <c r="AC465" s="30"/>
      <c r="DK465"/>
      <c r="DL465"/>
      <c r="DM465"/>
      <c r="DN465"/>
    </row>
    <row r="466" spans="27:118">
      <c r="AA466" s="30"/>
      <c r="AB466" s="30"/>
      <c r="AC466" s="30"/>
      <c r="DK466"/>
      <c r="DL466"/>
      <c r="DM466"/>
      <c r="DN466"/>
    </row>
    <row r="467" spans="27:118">
      <c r="AA467" s="30"/>
      <c r="AB467" s="30"/>
      <c r="AC467" s="30"/>
      <c r="DK467"/>
      <c r="DL467"/>
      <c r="DM467"/>
      <c r="DN467"/>
    </row>
    <row r="468" spans="27:118">
      <c r="AA468" s="30"/>
      <c r="AB468" s="30"/>
      <c r="AC468" s="30"/>
      <c r="DK468"/>
      <c r="DL468"/>
      <c r="DM468"/>
      <c r="DN468"/>
    </row>
    <row r="469" spans="27:118">
      <c r="AA469" s="30"/>
      <c r="AB469" s="30"/>
      <c r="AC469" s="30"/>
      <c r="DK469"/>
      <c r="DL469"/>
      <c r="DM469"/>
      <c r="DN469"/>
    </row>
    <row r="470" spans="27:118">
      <c r="AA470" s="30"/>
      <c r="AB470" s="30"/>
      <c r="AC470" s="30"/>
      <c r="DK470"/>
      <c r="DL470"/>
      <c r="DM470"/>
      <c r="DN470"/>
    </row>
    <row r="471" spans="27:118">
      <c r="AA471" s="30"/>
      <c r="AB471" s="30"/>
      <c r="AC471" s="30"/>
      <c r="DK471"/>
      <c r="DL471"/>
      <c r="DM471"/>
      <c r="DN471"/>
    </row>
    <row r="472" spans="27:118">
      <c r="AA472" s="30"/>
      <c r="AB472" s="30"/>
      <c r="AC472" s="30"/>
      <c r="DK472"/>
      <c r="DL472"/>
      <c r="DM472"/>
      <c r="DN472"/>
    </row>
    <row r="473" spans="27:118">
      <c r="AA473" s="30"/>
      <c r="AB473" s="30"/>
      <c r="AC473" s="30"/>
      <c r="DK473"/>
      <c r="DL473"/>
      <c r="DM473"/>
      <c r="DN473"/>
    </row>
    <row r="474" spans="27:118">
      <c r="AA474" s="30"/>
      <c r="AB474" s="30"/>
      <c r="AC474" s="30"/>
      <c r="DK474"/>
      <c r="DL474"/>
      <c r="DM474"/>
      <c r="DN474"/>
    </row>
    <row r="475" spans="27:118">
      <c r="AA475" s="30"/>
      <c r="AB475" s="30"/>
      <c r="AC475" s="30"/>
      <c r="DK475"/>
      <c r="DL475"/>
      <c r="DM475"/>
      <c r="DN475"/>
    </row>
    <row r="476" spans="27:118">
      <c r="AA476" s="30"/>
      <c r="AB476" s="30"/>
      <c r="AC476" s="30"/>
      <c r="DK476"/>
      <c r="DL476"/>
      <c r="DM476"/>
      <c r="DN476"/>
    </row>
    <row r="477" spans="27:118">
      <c r="AA477" s="30"/>
      <c r="AB477" s="30"/>
      <c r="AC477" s="30"/>
      <c r="DK477"/>
      <c r="DL477"/>
      <c r="DM477"/>
      <c r="DN477"/>
    </row>
    <row r="478" spans="27:118">
      <c r="AA478" s="30"/>
      <c r="AB478" s="30"/>
      <c r="AC478" s="30"/>
      <c r="DK478"/>
      <c r="DL478"/>
      <c r="DM478"/>
      <c r="DN478"/>
    </row>
    <row r="479" spans="27:118">
      <c r="AA479" s="30"/>
      <c r="AB479" s="30"/>
      <c r="AC479" s="30"/>
      <c r="DK479"/>
      <c r="DL479"/>
      <c r="DM479"/>
      <c r="DN479"/>
    </row>
    <row r="480" spans="27:118">
      <c r="AA480" s="30"/>
      <c r="AB480" s="30"/>
      <c r="AC480" s="30"/>
      <c r="DK480"/>
      <c r="DL480"/>
      <c r="DM480"/>
      <c r="DN480"/>
    </row>
    <row r="481" spans="27:118">
      <c r="AA481" s="30"/>
      <c r="AB481" s="30"/>
      <c r="AC481" s="30"/>
      <c r="DK481"/>
      <c r="DL481"/>
      <c r="DM481"/>
      <c r="DN481"/>
    </row>
    <row r="482" spans="27:118">
      <c r="AA482" s="30"/>
      <c r="AB482" s="30"/>
      <c r="AC482" s="30"/>
      <c r="DK482"/>
      <c r="DL482"/>
      <c r="DM482"/>
      <c r="DN482"/>
    </row>
    <row r="483" spans="27:118">
      <c r="AA483" s="30"/>
      <c r="AB483" s="30"/>
      <c r="AC483" s="30"/>
      <c r="DK483"/>
      <c r="DL483"/>
      <c r="DM483"/>
      <c r="DN483"/>
    </row>
    <row r="484" spans="27:118">
      <c r="AA484" s="30"/>
      <c r="AB484" s="30"/>
      <c r="AC484" s="30"/>
      <c r="DK484"/>
      <c r="DL484"/>
      <c r="DM484"/>
      <c r="DN484"/>
    </row>
    <row r="485" spans="27:118">
      <c r="AA485" s="30"/>
      <c r="AB485" s="30"/>
      <c r="AC485" s="30"/>
      <c r="DK485"/>
      <c r="DL485"/>
      <c r="DM485"/>
      <c r="DN485"/>
    </row>
    <row r="486" spans="27:118">
      <c r="AA486" s="30"/>
      <c r="AB486" s="30"/>
      <c r="AC486" s="30"/>
      <c r="DK486"/>
      <c r="DL486"/>
      <c r="DM486"/>
      <c r="DN486"/>
    </row>
    <row r="487" spans="27:118">
      <c r="AA487" s="30"/>
      <c r="AB487" s="30"/>
      <c r="AC487" s="30"/>
      <c r="DK487"/>
      <c r="DL487"/>
      <c r="DM487"/>
      <c r="DN487"/>
    </row>
    <row r="488" spans="27:118">
      <c r="AA488" s="30"/>
      <c r="AB488" s="30"/>
      <c r="AC488" s="30"/>
      <c r="DK488"/>
      <c r="DL488"/>
      <c r="DM488"/>
      <c r="DN488"/>
    </row>
    <row r="489" spans="27:118">
      <c r="AA489" s="30"/>
      <c r="AB489" s="30"/>
      <c r="AC489" s="30"/>
      <c r="DK489"/>
      <c r="DL489"/>
      <c r="DM489"/>
      <c r="DN489"/>
    </row>
    <row r="490" spans="27:118">
      <c r="AA490" s="30"/>
      <c r="AB490" s="30"/>
      <c r="AC490" s="30"/>
      <c r="DK490"/>
      <c r="DL490"/>
      <c r="DM490"/>
      <c r="DN490"/>
    </row>
    <row r="491" spans="27:118">
      <c r="AA491" s="30"/>
      <c r="AB491" s="30"/>
      <c r="AC491" s="30"/>
      <c r="DK491"/>
      <c r="DL491"/>
      <c r="DM491"/>
      <c r="DN491"/>
    </row>
    <row r="492" spans="27:118">
      <c r="AA492" s="30"/>
      <c r="AB492" s="30"/>
      <c r="AC492" s="30"/>
      <c r="DK492"/>
      <c r="DL492"/>
      <c r="DM492"/>
      <c r="DN492"/>
    </row>
    <row r="493" spans="27:118">
      <c r="AA493" s="30"/>
      <c r="AB493" s="30"/>
      <c r="AC493" s="30"/>
      <c r="DK493"/>
      <c r="DL493"/>
      <c r="DM493"/>
      <c r="DN493"/>
    </row>
    <row r="494" spans="27:118">
      <c r="AA494" s="30"/>
      <c r="AB494" s="30"/>
      <c r="AC494" s="30"/>
      <c r="DK494"/>
      <c r="DL494"/>
      <c r="DM494"/>
      <c r="DN494"/>
    </row>
    <row r="495" spans="27:118">
      <c r="AA495" s="30"/>
      <c r="AB495" s="30"/>
      <c r="AC495" s="30"/>
      <c r="DK495"/>
      <c r="DL495"/>
      <c r="DM495"/>
      <c r="DN495"/>
    </row>
    <row r="496" spans="27:118">
      <c r="AA496" s="30"/>
      <c r="AB496" s="30"/>
      <c r="AC496" s="30"/>
      <c r="DK496"/>
      <c r="DL496"/>
      <c r="DM496"/>
      <c r="DN496"/>
    </row>
    <row r="497" spans="27:118">
      <c r="AA497" s="30"/>
      <c r="AB497" s="30"/>
      <c r="AC497" s="30"/>
      <c r="DK497"/>
      <c r="DL497"/>
      <c r="DM497"/>
      <c r="DN497"/>
    </row>
    <row r="498" spans="27:118">
      <c r="AA498" s="30"/>
      <c r="AB498" s="30"/>
      <c r="AC498" s="30"/>
      <c r="DK498"/>
      <c r="DL498"/>
      <c r="DM498"/>
      <c r="DN498"/>
    </row>
    <row r="499" spans="27:118">
      <c r="AA499" s="30"/>
      <c r="AB499" s="30"/>
      <c r="AC499" s="30"/>
      <c r="DK499"/>
      <c r="DL499"/>
      <c r="DM499"/>
      <c r="DN499"/>
    </row>
    <row r="500" spans="27:118">
      <c r="AA500" s="30"/>
      <c r="AB500" s="30"/>
      <c r="AC500" s="30"/>
      <c r="DK500"/>
      <c r="DL500"/>
      <c r="DM500"/>
      <c r="DN500"/>
    </row>
    <row r="501" spans="27:118">
      <c r="AA501" s="30"/>
      <c r="AB501" s="30"/>
      <c r="AC501" s="30"/>
      <c r="DK501"/>
      <c r="DL501"/>
      <c r="DM501"/>
      <c r="DN501"/>
    </row>
    <row r="502" spans="27:118">
      <c r="AA502" s="30"/>
      <c r="AB502" s="30"/>
      <c r="AC502" s="30"/>
      <c r="DK502"/>
      <c r="DL502"/>
      <c r="DM502"/>
      <c r="DN502"/>
    </row>
    <row r="503" spans="27:118">
      <c r="AA503" s="30"/>
      <c r="AB503" s="30"/>
      <c r="AC503" s="30"/>
      <c r="DK503"/>
      <c r="DL503"/>
      <c r="DM503"/>
      <c r="DN503"/>
    </row>
    <row r="504" spans="27:118">
      <c r="AA504" s="30"/>
      <c r="AB504" s="30"/>
      <c r="AC504" s="30"/>
      <c r="DK504"/>
      <c r="DL504"/>
      <c r="DM504"/>
      <c r="DN504"/>
    </row>
    <row r="505" spans="27:118">
      <c r="AA505" s="30"/>
      <c r="AB505" s="30"/>
      <c r="AC505" s="30"/>
      <c r="DK505"/>
      <c r="DL505"/>
      <c r="DM505"/>
      <c r="DN505"/>
    </row>
    <row r="506" spans="27:118">
      <c r="AA506" s="30"/>
      <c r="AB506" s="30"/>
      <c r="AC506" s="30"/>
      <c r="DK506"/>
      <c r="DL506"/>
      <c r="DM506"/>
      <c r="DN506"/>
    </row>
    <row r="507" spans="27:118">
      <c r="AA507" s="30"/>
      <c r="AB507" s="30"/>
      <c r="AC507" s="30"/>
      <c r="DK507"/>
      <c r="DL507"/>
      <c r="DM507"/>
      <c r="DN507"/>
    </row>
    <row r="508" spans="27:118">
      <c r="AA508" s="30"/>
      <c r="AB508" s="30"/>
      <c r="AC508" s="30"/>
      <c r="DK508"/>
      <c r="DL508"/>
      <c r="DM508"/>
      <c r="DN508"/>
    </row>
    <row r="509" spans="27:118">
      <c r="AA509" s="30"/>
      <c r="AB509" s="30"/>
      <c r="AC509" s="30"/>
      <c r="DK509"/>
      <c r="DL509"/>
      <c r="DM509"/>
      <c r="DN509"/>
    </row>
    <row r="510" spans="27:118">
      <c r="AA510" s="30"/>
      <c r="AB510" s="30"/>
      <c r="AC510" s="30"/>
      <c r="DK510"/>
      <c r="DL510"/>
      <c r="DM510"/>
      <c r="DN510"/>
    </row>
    <row r="511" spans="27:118">
      <c r="AA511" s="30"/>
      <c r="AB511" s="30"/>
      <c r="AC511" s="30"/>
      <c r="DK511"/>
      <c r="DL511"/>
      <c r="DM511"/>
      <c r="DN511"/>
    </row>
    <row r="512" spans="27:118">
      <c r="AA512" s="30"/>
      <c r="AB512" s="30"/>
      <c r="AC512" s="30"/>
      <c r="DK512"/>
      <c r="DL512"/>
      <c r="DM512"/>
      <c r="DN512"/>
    </row>
    <row r="513" spans="27:118">
      <c r="AA513" s="30"/>
      <c r="AB513" s="30"/>
      <c r="AC513" s="30"/>
      <c r="DK513"/>
      <c r="DL513"/>
      <c r="DM513"/>
      <c r="DN513"/>
    </row>
    <row r="514" spans="27:118">
      <c r="AA514" s="30"/>
      <c r="AB514" s="30"/>
      <c r="AC514" s="30"/>
      <c r="DK514"/>
      <c r="DL514"/>
      <c r="DM514"/>
      <c r="DN514"/>
    </row>
    <row r="515" spans="27:118">
      <c r="AA515" s="30"/>
      <c r="AB515" s="30"/>
      <c r="AC515" s="30"/>
      <c r="DK515"/>
      <c r="DL515"/>
      <c r="DM515"/>
      <c r="DN515"/>
    </row>
    <row r="516" spans="27:118">
      <c r="AA516" s="30"/>
      <c r="AB516" s="30"/>
      <c r="AC516" s="30"/>
      <c r="DK516"/>
      <c r="DL516"/>
      <c r="DM516"/>
      <c r="DN516"/>
    </row>
    <row r="517" spans="27:118">
      <c r="AA517" s="30"/>
      <c r="AB517" s="30"/>
      <c r="AC517" s="30"/>
      <c r="DK517"/>
      <c r="DL517"/>
      <c r="DM517"/>
      <c r="DN517"/>
    </row>
    <row r="518" spans="27:118">
      <c r="AA518" s="30"/>
      <c r="AB518" s="30"/>
      <c r="AC518" s="30"/>
      <c r="DK518"/>
      <c r="DL518"/>
      <c r="DM518"/>
      <c r="DN518"/>
    </row>
    <row r="519" spans="27:118">
      <c r="AA519" s="30"/>
      <c r="AB519" s="30"/>
      <c r="AC519" s="30"/>
      <c r="DK519"/>
      <c r="DL519"/>
      <c r="DM519"/>
      <c r="DN519"/>
    </row>
    <row r="520" spans="27:118">
      <c r="AA520" s="30"/>
      <c r="AB520" s="30"/>
      <c r="AC520" s="30"/>
      <c r="DK520"/>
      <c r="DL520"/>
      <c r="DM520"/>
      <c r="DN520"/>
    </row>
    <row r="521" spans="27:118">
      <c r="AA521" s="30"/>
      <c r="AB521" s="30"/>
      <c r="AC521" s="30"/>
      <c r="DK521"/>
      <c r="DL521"/>
      <c r="DM521"/>
      <c r="DN521"/>
    </row>
    <row r="522" spans="27:118">
      <c r="AA522" s="30"/>
      <c r="AB522" s="30"/>
      <c r="AC522" s="30"/>
      <c r="DK522"/>
      <c r="DL522"/>
      <c r="DM522"/>
      <c r="DN522"/>
    </row>
    <row r="523" spans="27:118">
      <c r="AA523" s="30"/>
      <c r="AB523" s="30"/>
      <c r="AC523" s="30"/>
      <c r="DK523"/>
      <c r="DL523"/>
      <c r="DM523"/>
      <c r="DN523"/>
    </row>
    <row r="524" spans="27:118">
      <c r="AA524" s="30"/>
      <c r="AB524" s="30"/>
      <c r="AC524" s="30"/>
      <c r="DK524"/>
      <c r="DL524"/>
      <c r="DM524"/>
      <c r="DN524"/>
    </row>
    <row r="525" spans="27:118">
      <c r="AA525" s="30"/>
      <c r="AB525" s="30"/>
      <c r="AC525" s="30"/>
      <c r="DK525"/>
      <c r="DL525"/>
      <c r="DM525"/>
      <c r="DN525"/>
    </row>
    <row r="526" spans="27:118">
      <c r="AA526" s="30"/>
      <c r="AB526" s="30"/>
      <c r="AC526" s="30"/>
      <c r="DK526"/>
      <c r="DL526"/>
      <c r="DM526"/>
      <c r="DN526"/>
    </row>
    <row r="527" spans="27:118">
      <c r="AA527" s="30"/>
      <c r="AB527" s="30"/>
      <c r="AC527" s="30"/>
      <c r="DK527"/>
      <c r="DL527"/>
      <c r="DM527"/>
      <c r="DN527"/>
    </row>
    <row r="528" spans="27:118">
      <c r="AA528" s="30"/>
      <c r="AB528" s="30"/>
      <c r="AC528" s="30"/>
      <c r="DK528"/>
      <c r="DL528"/>
      <c r="DM528"/>
      <c r="DN528"/>
    </row>
    <row r="529" spans="27:118">
      <c r="AA529" s="30"/>
      <c r="AB529" s="30"/>
      <c r="AC529" s="30"/>
      <c r="DK529"/>
      <c r="DL529"/>
      <c r="DM529"/>
      <c r="DN529"/>
    </row>
    <row r="530" spans="27:118">
      <c r="AA530" s="30"/>
      <c r="AB530" s="30"/>
      <c r="AC530" s="30"/>
      <c r="DK530"/>
      <c r="DL530"/>
      <c r="DM530"/>
      <c r="DN530"/>
    </row>
    <row r="531" spans="27:118">
      <c r="AA531" s="30"/>
      <c r="AB531" s="30"/>
      <c r="AC531" s="30"/>
      <c r="DK531"/>
      <c r="DL531"/>
      <c r="DM531"/>
      <c r="DN531"/>
    </row>
    <row r="532" spans="27:118">
      <c r="AA532" s="30"/>
      <c r="AB532" s="30"/>
      <c r="AC532" s="30"/>
      <c r="DK532"/>
      <c r="DL532"/>
      <c r="DM532"/>
      <c r="DN532"/>
    </row>
    <row r="533" spans="27:118">
      <c r="AA533" s="30"/>
      <c r="AB533" s="30"/>
      <c r="AC533" s="30"/>
      <c r="DK533"/>
      <c r="DL533"/>
      <c r="DM533"/>
      <c r="DN533"/>
    </row>
    <row r="534" spans="27:118">
      <c r="AA534" s="30"/>
      <c r="AB534" s="30"/>
      <c r="AC534" s="30"/>
      <c r="DK534"/>
      <c r="DL534"/>
      <c r="DM534"/>
      <c r="DN534"/>
    </row>
    <row r="535" spans="27:118">
      <c r="AA535" s="30"/>
      <c r="AB535" s="30"/>
      <c r="AC535" s="30"/>
      <c r="DK535"/>
      <c r="DL535"/>
      <c r="DM535"/>
      <c r="DN535"/>
    </row>
    <row r="536" spans="27:118">
      <c r="AA536" s="30"/>
      <c r="AB536" s="30"/>
      <c r="AC536" s="30"/>
      <c r="DK536"/>
      <c r="DL536"/>
      <c r="DM536"/>
      <c r="DN536"/>
    </row>
    <row r="537" spans="27:118">
      <c r="AA537" s="30"/>
      <c r="AB537" s="30"/>
      <c r="AC537" s="30"/>
      <c r="DK537"/>
      <c r="DL537"/>
      <c r="DM537"/>
      <c r="DN537"/>
    </row>
    <row r="538" spans="27:118">
      <c r="AA538" s="30"/>
      <c r="AB538" s="30"/>
      <c r="AC538" s="30"/>
      <c r="DK538"/>
      <c r="DL538"/>
      <c r="DM538"/>
      <c r="DN538"/>
    </row>
    <row r="539" spans="27:118">
      <c r="AA539" s="30"/>
      <c r="AB539" s="30"/>
      <c r="AC539" s="30"/>
      <c r="DK539"/>
      <c r="DL539"/>
      <c r="DM539"/>
      <c r="DN539"/>
    </row>
    <row r="540" spans="27:118">
      <c r="AA540" s="30"/>
      <c r="AB540" s="30"/>
      <c r="AC540" s="30"/>
      <c r="DK540"/>
      <c r="DL540"/>
      <c r="DM540"/>
      <c r="DN540"/>
    </row>
    <row r="541" spans="27:118">
      <c r="AA541" s="30"/>
      <c r="AB541" s="30"/>
      <c r="AC541" s="30"/>
      <c r="DK541"/>
      <c r="DL541"/>
      <c r="DM541"/>
      <c r="DN541"/>
    </row>
    <row r="542" spans="27:118">
      <c r="AA542" s="30"/>
      <c r="AB542" s="30"/>
      <c r="AC542" s="30"/>
      <c r="DK542"/>
      <c r="DL542"/>
      <c r="DM542"/>
      <c r="DN542"/>
    </row>
    <row r="543" spans="27:118">
      <c r="AA543" s="30"/>
      <c r="AB543" s="30"/>
      <c r="AC543" s="30"/>
      <c r="DK543"/>
      <c r="DL543"/>
      <c r="DM543"/>
      <c r="DN543"/>
    </row>
    <row r="544" spans="27:118">
      <c r="AA544" s="30"/>
      <c r="AB544" s="30"/>
      <c r="AC544" s="30"/>
      <c r="DK544"/>
      <c r="DL544"/>
      <c r="DM544"/>
      <c r="DN544"/>
    </row>
    <row r="545" spans="27:118">
      <c r="AA545" s="30"/>
      <c r="AB545" s="30"/>
      <c r="AC545" s="30"/>
      <c r="DK545"/>
      <c r="DL545"/>
      <c r="DM545"/>
      <c r="DN545"/>
    </row>
    <row r="546" spans="27:118">
      <c r="AA546" s="30"/>
      <c r="AB546" s="30"/>
      <c r="AC546" s="30"/>
      <c r="DK546"/>
      <c r="DL546"/>
      <c r="DM546"/>
      <c r="DN546"/>
    </row>
    <row r="547" spans="27:118">
      <c r="AA547" s="30"/>
      <c r="AB547" s="30"/>
      <c r="AC547" s="30"/>
      <c r="DK547"/>
      <c r="DL547"/>
      <c r="DM547"/>
      <c r="DN547"/>
    </row>
    <row r="548" spans="27:118">
      <c r="AA548" s="30"/>
      <c r="AB548" s="30"/>
      <c r="AC548" s="30"/>
      <c r="DK548"/>
      <c r="DL548"/>
      <c r="DM548"/>
      <c r="DN548"/>
    </row>
    <row r="549" spans="27:118">
      <c r="AA549" s="30"/>
      <c r="AB549" s="30"/>
      <c r="AC549" s="30"/>
      <c r="DK549"/>
      <c r="DL549"/>
      <c r="DM549"/>
      <c r="DN549"/>
    </row>
    <row r="550" spans="27:118">
      <c r="AA550" s="30"/>
      <c r="AB550" s="30"/>
      <c r="AC550" s="30"/>
      <c r="DK550"/>
      <c r="DL550"/>
      <c r="DM550"/>
      <c r="DN550"/>
    </row>
    <row r="551" spans="27:118">
      <c r="AA551" s="30"/>
      <c r="AB551" s="30"/>
      <c r="AC551" s="30"/>
      <c r="DK551"/>
      <c r="DL551"/>
      <c r="DM551"/>
      <c r="DN551"/>
    </row>
    <row r="552" spans="27:118">
      <c r="AA552" s="30"/>
      <c r="AB552" s="30"/>
      <c r="AC552" s="30"/>
      <c r="DK552"/>
      <c r="DL552"/>
      <c r="DM552"/>
      <c r="DN552"/>
    </row>
    <row r="553" spans="27:118">
      <c r="AA553" s="30"/>
      <c r="AB553" s="30"/>
      <c r="AC553" s="30"/>
      <c r="DK553"/>
      <c r="DL553"/>
      <c r="DM553"/>
      <c r="DN553"/>
    </row>
    <row r="554" spans="27:118">
      <c r="AA554" s="30"/>
      <c r="AB554" s="30"/>
      <c r="AC554" s="30"/>
      <c r="DK554"/>
      <c r="DL554"/>
      <c r="DM554"/>
      <c r="DN554"/>
    </row>
    <row r="555" spans="27:118">
      <c r="AA555" s="30"/>
      <c r="AB555" s="30"/>
      <c r="AC555" s="30"/>
      <c r="DK555"/>
      <c r="DL555"/>
      <c r="DM555"/>
      <c r="DN555"/>
    </row>
    <row r="556" spans="27:118">
      <c r="AA556" s="30"/>
      <c r="AB556" s="30"/>
      <c r="AC556" s="30"/>
      <c r="DK556"/>
      <c r="DL556"/>
      <c r="DM556"/>
      <c r="DN556"/>
    </row>
    <row r="557" spans="27:118">
      <c r="AA557" s="30"/>
      <c r="AB557" s="30"/>
      <c r="AC557" s="30"/>
      <c r="DK557"/>
      <c r="DL557"/>
      <c r="DM557"/>
      <c r="DN557"/>
    </row>
    <row r="558" spans="27:118">
      <c r="AA558" s="30"/>
      <c r="AB558" s="30"/>
      <c r="AC558" s="30"/>
      <c r="DK558"/>
      <c r="DL558"/>
      <c r="DM558"/>
      <c r="DN558"/>
    </row>
    <row r="559" spans="27:118">
      <c r="AA559" s="30"/>
      <c r="AB559" s="30"/>
      <c r="AC559" s="30"/>
      <c r="DK559"/>
      <c r="DL559"/>
      <c r="DM559"/>
      <c r="DN559"/>
    </row>
    <row r="560" spans="27:118">
      <c r="AA560" s="30"/>
      <c r="AB560" s="30"/>
      <c r="AC560" s="30"/>
      <c r="DK560"/>
      <c r="DL560"/>
      <c r="DM560"/>
      <c r="DN560"/>
    </row>
    <row r="561" spans="27:118">
      <c r="AA561" s="30"/>
      <c r="AB561" s="30"/>
      <c r="AC561" s="30"/>
      <c r="DK561"/>
      <c r="DL561"/>
      <c r="DM561"/>
      <c r="DN561"/>
    </row>
    <row r="562" spans="27:118">
      <c r="AA562" s="30"/>
      <c r="AB562" s="30"/>
      <c r="AC562" s="30"/>
      <c r="DK562"/>
      <c r="DL562"/>
      <c r="DM562"/>
      <c r="DN562"/>
    </row>
    <row r="563" spans="27:118">
      <c r="AA563" s="30"/>
      <c r="AB563" s="30"/>
      <c r="AC563" s="30"/>
      <c r="DK563"/>
      <c r="DL563"/>
      <c r="DM563"/>
      <c r="DN563"/>
    </row>
    <row r="564" spans="27:118">
      <c r="AA564" s="30"/>
      <c r="AB564" s="30"/>
      <c r="AC564" s="30"/>
      <c r="DK564"/>
      <c r="DL564"/>
      <c r="DM564"/>
      <c r="DN564"/>
    </row>
    <row r="565" spans="27:118">
      <c r="AA565" s="30"/>
      <c r="AB565" s="30"/>
      <c r="AC565" s="30"/>
      <c r="DK565"/>
      <c r="DL565"/>
      <c r="DM565"/>
      <c r="DN565"/>
    </row>
    <row r="566" spans="27:118">
      <c r="AA566" s="30"/>
      <c r="AB566" s="30"/>
      <c r="AC566" s="30"/>
      <c r="DK566"/>
      <c r="DL566"/>
      <c r="DM566"/>
      <c r="DN566"/>
    </row>
    <row r="567" spans="27:118">
      <c r="AA567" s="30"/>
      <c r="AB567" s="30"/>
      <c r="AC567" s="30"/>
      <c r="DK567"/>
      <c r="DL567"/>
      <c r="DM567"/>
      <c r="DN567"/>
    </row>
    <row r="568" spans="27:118">
      <c r="AA568" s="30"/>
      <c r="AB568" s="30"/>
      <c r="AC568" s="30"/>
      <c r="DK568"/>
      <c r="DL568"/>
      <c r="DM568"/>
      <c r="DN568"/>
    </row>
    <row r="569" spans="27:118">
      <c r="AA569" s="30"/>
      <c r="AB569" s="30"/>
      <c r="AC569" s="30"/>
      <c r="DK569"/>
      <c r="DL569"/>
      <c r="DM569"/>
      <c r="DN569"/>
    </row>
    <row r="570" spans="27:118">
      <c r="AA570" s="30"/>
      <c r="AB570" s="30"/>
      <c r="AC570" s="30"/>
      <c r="DK570"/>
      <c r="DL570"/>
      <c r="DM570"/>
      <c r="DN570"/>
    </row>
    <row r="571" spans="27:118">
      <c r="AA571" s="30"/>
      <c r="AB571" s="30"/>
      <c r="AC571" s="30"/>
      <c r="DK571"/>
      <c r="DL571"/>
      <c r="DM571"/>
      <c r="DN571"/>
    </row>
    <row r="572" spans="27:118">
      <c r="AA572" s="30"/>
      <c r="AB572" s="30"/>
      <c r="AC572" s="30"/>
      <c r="DK572"/>
      <c r="DL572"/>
      <c r="DM572"/>
      <c r="DN572"/>
    </row>
    <row r="573" spans="27:118">
      <c r="AA573" s="30"/>
      <c r="AB573" s="30"/>
      <c r="AC573" s="30"/>
      <c r="DK573"/>
      <c r="DL573"/>
      <c r="DM573"/>
      <c r="DN573"/>
    </row>
    <row r="574" spans="27:118">
      <c r="AA574" s="30"/>
      <c r="AB574" s="30"/>
      <c r="AC574" s="30"/>
      <c r="DK574"/>
      <c r="DL574"/>
      <c r="DM574"/>
      <c r="DN574"/>
    </row>
    <row r="575" spans="27:118">
      <c r="AA575" s="30"/>
      <c r="AB575" s="30"/>
      <c r="AC575" s="30"/>
      <c r="DK575"/>
      <c r="DL575"/>
      <c r="DM575"/>
      <c r="DN575"/>
    </row>
    <row r="576" spans="27:118">
      <c r="AA576" s="30"/>
      <c r="AB576" s="30"/>
      <c r="AC576" s="30"/>
      <c r="DK576"/>
      <c r="DL576"/>
      <c r="DM576"/>
      <c r="DN576"/>
    </row>
    <row r="577" spans="27:118">
      <c r="AA577" s="30"/>
      <c r="AB577" s="30"/>
      <c r="AC577" s="30"/>
      <c r="DK577"/>
      <c r="DL577"/>
      <c r="DM577"/>
      <c r="DN577"/>
    </row>
    <row r="578" spans="27:118">
      <c r="AA578" s="30"/>
      <c r="AB578" s="30"/>
      <c r="AC578" s="30"/>
      <c r="DK578"/>
      <c r="DL578"/>
      <c r="DM578"/>
      <c r="DN578"/>
    </row>
    <row r="579" spans="27:118">
      <c r="AA579" s="30"/>
      <c r="AB579" s="30"/>
      <c r="AC579" s="30"/>
      <c r="DK579"/>
      <c r="DL579"/>
      <c r="DM579"/>
      <c r="DN579"/>
    </row>
    <row r="580" spans="27:118">
      <c r="AA580" s="30"/>
      <c r="AB580" s="30"/>
      <c r="AC580" s="30"/>
      <c r="DK580"/>
      <c r="DL580"/>
      <c r="DM580"/>
      <c r="DN580"/>
    </row>
    <row r="581" spans="27:118">
      <c r="AA581" s="30"/>
      <c r="AB581" s="30"/>
      <c r="AC581" s="30"/>
      <c r="DK581"/>
      <c r="DL581"/>
      <c r="DM581"/>
      <c r="DN581"/>
    </row>
    <row r="582" spans="27:118">
      <c r="AA582" s="30"/>
      <c r="AB582" s="30"/>
      <c r="AC582" s="30"/>
      <c r="DK582"/>
      <c r="DL582"/>
      <c r="DM582"/>
      <c r="DN582"/>
    </row>
    <row r="583" spans="27:118">
      <c r="AA583" s="30"/>
      <c r="AB583" s="30"/>
      <c r="AC583" s="30"/>
      <c r="DK583"/>
      <c r="DL583"/>
      <c r="DM583"/>
      <c r="DN583"/>
    </row>
    <row r="584" spans="27:118">
      <c r="AA584" s="30"/>
      <c r="AB584" s="30"/>
      <c r="AC584" s="30"/>
      <c r="DK584"/>
      <c r="DL584"/>
      <c r="DM584"/>
      <c r="DN584"/>
    </row>
    <row r="585" spans="27:118">
      <c r="AA585" s="30"/>
      <c r="AB585" s="30"/>
      <c r="AC585" s="30"/>
      <c r="DK585"/>
      <c r="DL585"/>
      <c r="DM585"/>
      <c r="DN585"/>
    </row>
    <row r="586" spans="27:118">
      <c r="AA586" s="30"/>
      <c r="AB586" s="30"/>
      <c r="AC586" s="30"/>
      <c r="DK586"/>
      <c r="DL586"/>
      <c r="DM586"/>
      <c r="DN586"/>
    </row>
    <row r="587" spans="27:118">
      <c r="AA587" s="30"/>
      <c r="AB587" s="30"/>
      <c r="AC587" s="30"/>
      <c r="DK587"/>
      <c r="DL587"/>
      <c r="DM587"/>
      <c r="DN587"/>
    </row>
    <row r="588" spans="27:118">
      <c r="AA588" s="30"/>
      <c r="AB588" s="30"/>
      <c r="AC588" s="30"/>
      <c r="DK588"/>
      <c r="DL588"/>
      <c r="DM588"/>
      <c r="DN588"/>
    </row>
    <row r="589" spans="27:118">
      <c r="AA589" s="30"/>
      <c r="AB589" s="30"/>
      <c r="AC589" s="30"/>
      <c r="DK589"/>
      <c r="DL589"/>
      <c r="DM589"/>
      <c r="DN589"/>
    </row>
    <row r="590" spans="27:118">
      <c r="AA590" s="30"/>
      <c r="AB590" s="30"/>
      <c r="AC590" s="30"/>
      <c r="DK590"/>
      <c r="DL590"/>
      <c r="DM590"/>
      <c r="DN590"/>
    </row>
    <row r="591" spans="27:118">
      <c r="AA591" s="30"/>
      <c r="AB591" s="30"/>
      <c r="AC591" s="30"/>
      <c r="DK591"/>
      <c r="DL591"/>
      <c r="DM591"/>
      <c r="DN591"/>
    </row>
    <row r="592" spans="27:118">
      <c r="AA592" s="30"/>
      <c r="AB592" s="30"/>
      <c r="AC592" s="30"/>
      <c r="DK592"/>
      <c r="DL592"/>
      <c r="DM592"/>
      <c r="DN592"/>
    </row>
    <row r="593" spans="27:118">
      <c r="AA593" s="30"/>
      <c r="AB593" s="30"/>
      <c r="AC593" s="30"/>
      <c r="DK593"/>
      <c r="DL593"/>
      <c r="DM593"/>
      <c r="DN593"/>
    </row>
    <row r="594" spans="27:118">
      <c r="AA594" s="30"/>
      <c r="AB594" s="30"/>
      <c r="AC594" s="30"/>
      <c r="DK594"/>
      <c r="DL594"/>
      <c r="DM594"/>
      <c r="DN594"/>
    </row>
    <row r="595" spans="27:118">
      <c r="AA595" s="30"/>
      <c r="AB595" s="30"/>
      <c r="AC595" s="30"/>
      <c r="DK595"/>
      <c r="DL595"/>
      <c r="DM595"/>
      <c r="DN595"/>
    </row>
    <row r="596" spans="27:118">
      <c r="AA596" s="30"/>
      <c r="AB596" s="30"/>
      <c r="AC596" s="30"/>
      <c r="DK596"/>
      <c r="DL596"/>
      <c r="DM596"/>
      <c r="DN596"/>
    </row>
    <row r="597" spans="27:118">
      <c r="AA597" s="30"/>
      <c r="AB597" s="30"/>
      <c r="AC597" s="30"/>
      <c r="DK597"/>
      <c r="DL597"/>
      <c r="DM597"/>
      <c r="DN597"/>
    </row>
    <row r="598" spans="27:118">
      <c r="AA598" s="30"/>
      <c r="AB598" s="30"/>
      <c r="AC598" s="30"/>
      <c r="DK598"/>
      <c r="DL598"/>
      <c r="DM598"/>
      <c r="DN598"/>
    </row>
    <row r="599" spans="27:118">
      <c r="AA599" s="30"/>
      <c r="AB599" s="30"/>
      <c r="AC599" s="30"/>
      <c r="DK599"/>
      <c r="DL599"/>
      <c r="DM599"/>
      <c r="DN599"/>
    </row>
    <row r="600" spans="27:118">
      <c r="AA600" s="30"/>
      <c r="AB600" s="30"/>
      <c r="AC600" s="30"/>
      <c r="DK600"/>
      <c r="DL600"/>
      <c r="DM600"/>
      <c r="DN600"/>
    </row>
    <row r="601" spans="27:118">
      <c r="AA601" s="30"/>
      <c r="AB601" s="30"/>
      <c r="AC601" s="30"/>
      <c r="DK601"/>
      <c r="DL601"/>
      <c r="DM601"/>
      <c r="DN601"/>
    </row>
    <row r="602" spans="27:118">
      <c r="AA602" s="30"/>
      <c r="AB602" s="30"/>
      <c r="AC602" s="30"/>
      <c r="DK602"/>
      <c r="DL602"/>
      <c r="DM602"/>
      <c r="DN602"/>
    </row>
    <row r="603" spans="27:118">
      <c r="AA603" s="30"/>
      <c r="AB603" s="30"/>
      <c r="AC603" s="30"/>
      <c r="DK603"/>
      <c r="DL603"/>
      <c r="DM603"/>
      <c r="DN603"/>
    </row>
    <row r="604" spans="27:118">
      <c r="AA604" s="30"/>
      <c r="AB604" s="30"/>
      <c r="AC604" s="30"/>
      <c r="DK604"/>
      <c r="DL604"/>
      <c r="DM604"/>
      <c r="DN604"/>
    </row>
    <row r="605" spans="27:118">
      <c r="AA605" s="30"/>
      <c r="AB605" s="30"/>
      <c r="AC605" s="30"/>
      <c r="DK605"/>
      <c r="DL605"/>
      <c r="DM605"/>
      <c r="DN605"/>
    </row>
    <row r="606" spans="27:118">
      <c r="AA606" s="30"/>
      <c r="AB606" s="30"/>
      <c r="AC606" s="30"/>
      <c r="DK606"/>
      <c r="DL606"/>
      <c r="DM606"/>
      <c r="DN606"/>
    </row>
    <row r="607" spans="27:118">
      <c r="AA607" s="30"/>
      <c r="AB607" s="30"/>
      <c r="AC607" s="30"/>
      <c r="DK607"/>
      <c r="DL607"/>
      <c r="DM607"/>
      <c r="DN607"/>
    </row>
    <row r="608" spans="27:118">
      <c r="AA608" s="30"/>
      <c r="AB608" s="30"/>
      <c r="AC608" s="30"/>
      <c r="DK608"/>
      <c r="DL608"/>
      <c r="DM608"/>
      <c r="DN608"/>
    </row>
    <row r="609" spans="27:118">
      <c r="AA609" s="30"/>
      <c r="AB609" s="30"/>
      <c r="AC609" s="30"/>
      <c r="DK609"/>
      <c r="DL609"/>
      <c r="DM609"/>
      <c r="DN609"/>
    </row>
    <row r="610" spans="27:118">
      <c r="AA610" s="30"/>
      <c r="AB610" s="30"/>
      <c r="AC610" s="30"/>
      <c r="DK610"/>
      <c r="DL610"/>
      <c r="DM610"/>
      <c r="DN610"/>
    </row>
    <row r="611" spans="27:118">
      <c r="AA611" s="30"/>
      <c r="AB611" s="30"/>
      <c r="AC611" s="30"/>
      <c r="DK611"/>
      <c r="DL611"/>
      <c r="DM611"/>
      <c r="DN611"/>
    </row>
    <row r="612" spans="27:118">
      <c r="AA612" s="30"/>
      <c r="AB612" s="30"/>
      <c r="AC612" s="30"/>
      <c r="DK612"/>
      <c r="DL612"/>
      <c r="DM612"/>
      <c r="DN612"/>
    </row>
    <row r="613" spans="27:118">
      <c r="AA613" s="30"/>
      <c r="AB613" s="30"/>
      <c r="AC613" s="30"/>
      <c r="DK613"/>
      <c r="DL613"/>
      <c r="DM613"/>
      <c r="DN613"/>
    </row>
    <row r="614" spans="27:118">
      <c r="AA614" s="30"/>
      <c r="AB614" s="30"/>
      <c r="AC614" s="30"/>
      <c r="DK614"/>
      <c r="DL614"/>
      <c r="DM614"/>
      <c r="DN614"/>
    </row>
    <row r="615" spans="27:118">
      <c r="AA615" s="30"/>
      <c r="AB615" s="30"/>
      <c r="AC615" s="30"/>
      <c r="DK615"/>
      <c r="DL615"/>
      <c r="DM615"/>
      <c r="DN615"/>
    </row>
    <row r="616" spans="27:118">
      <c r="AA616" s="30"/>
      <c r="AB616" s="30"/>
      <c r="AC616" s="30"/>
      <c r="DK616"/>
      <c r="DL616"/>
      <c r="DM616"/>
      <c r="DN616"/>
    </row>
    <row r="617" spans="27:118">
      <c r="AA617" s="30"/>
      <c r="AB617" s="30"/>
      <c r="AC617" s="30"/>
      <c r="DK617"/>
      <c r="DL617"/>
      <c r="DM617"/>
      <c r="DN617"/>
    </row>
    <row r="618" spans="27:118">
      <c r="AA618" s="30"/>
      <c r="AB618" s="30"/>
      <c r="AC618" s="30"/>
      <c r="DK618"/>
      <c r="DL618"/>
      <c r="DM618"/>
      <c r="DN618"/>
    </row>
    <row r="619" spans="27:118">
      <c r="AA619" s="30"/>
      <c r="AB619" s="30"/>
      <c r="AC619" s="30"/>
      <c r="DK619"/>
      <c r="DL619"/>
      <c r="DM619"/>
      <c r="DN619"/>
    </row>
    <row r="620" spans="27:118">
      <c r="AA620" s="30"/>
      <c r="AB620" s="30"/>
      <c r="AC620" s="30"/>
      <c r="DK620"/>
      <c r="DL620"/>
      <c r="DM620"/>
      <c r="DN620"/>
    </row>
    <row r="621" spans="27:118">
      <c r="AA621" s="30"/>
      <c r="AB621" s="30"/>
      <c r="AC621" s="30"/>
      <c r="DK621"/>
      <c r="DL621"/>
      <c r="DM621"/>
      <c r="DN621"/>
    </row>
    <row r="622" spans="27:118">
      <c r="AA622" s="30"/>
      <c r="AB622" s="30"/>
      <c r="AC622" s="30"/>
      <c r="DK622"/>
      <c r="DL622"/>
      <c r="DM622"/>
      <c r="DN622"/>
    </row>
    <row r="623" spans="27:118">
      <c r="AA623" s="30"/>
      <c r="AB623" s="30"/>
      <c r="AC623" s="30"/>
      <c r="DK623"/>
      <c r="DL623"/>
      <c r="DM623"/>
      <c r="DN623"/>
    </row>
    <row r="624" spans="27:118">
      <c r="AA624" s="30"/>
      <c r="AB624" s="30"/>
      <c r="AC624" s="30"/>
      <c r="DK624"/>
      <c r="DL624"/>
      <c r="DM624"/>
      <c r="DN624"/>
    </row>
    <row r="625" spans="27:118">
      <c r="AA625" s="30"/>
      <c r="AB625" s="30"/>
      <c r="AC625" s="30"/>
      <c r="DK625"/>
      <c r="DL625"/>
      <c r="DM625"/>
      <c r="DN625"/>
    </row>
    <row r="626" spans="27:118">
      <c r="AA626" s="30"/>
      <c r="AB626" s="30"/>
      <c r="AC626" s="30"/>
      <c r="DK626"/>
      <c r="DL626"/>
      <c r="DM626"/>
      <c r="DN626"/>
    </row>
    <row r="627" spans="27:118">
      <c r="AA627" s="30"/>
      <c r="AB627" s="30"/>
      <c r="AC627" s="30"/>
      <c r="DK627"/>
      <c r="DL627"/>
      <c r="DM627"/>
      <c r="DN627"/>
    </row>
    <row r="628" spans="27:118">
      <c r="AA628" s="30"/>
      <c r="AB628" s="30"/>
      <c r="AC628" s="30"/>
      <c r="DK628"/>
      <c r="DL628"/>
      <c r="DM628"/>
      <c r="DN628"/>
    </row>
    <row r="629" spans="27:118">
      <c r="AA629" s="30"/>
      <c r="AB629" s="30"/>
      <c r="AC629" s="30"/>
      <c r="DK629"/>
      <c r="DL629"/>
      <c r="DM629"/>
      <c r="DN629"/>
    </row>
    <row r="630" spans="27:118">
      <c r="AA630" s="30"/>
      <c r="AB630" s="30"/>
      <c r="AC630" s="30"/>
      <c r="DK630"/>
      <c r="DL630"/>
      <c r="DM630"/>
      <c r="DN630"/>
    </row>
    <row r="631" spans="27:118">
      <c r="AA631" s="30"/>
      <c r="AB631" s="30"/>
      <c r="AC631" s="30"/>
      <c r="DK631"/>
      <c r="DL631"/>
      <c r="DM631"/>
      <c r="DN631"/>
    </row>
    <row r="632" spans="27:118">
      <c r="AA632" s="30"/>
      <c r="AB632" s="30"/>
      <c r="AC632" s="30"/>
      <c r="DK632"/>
      <c r="DL632"/>
      <c r="DM632"/>
      <c r="DN632"/>
    </row>
    <row r="633" spans="27:118">
      <c r="AA633" s="30"/>
      <c r="AB633" s="30"/>
      <c r="AC633" s="30"/>
      <c r="DK633"/>
      <c r="DL633"/>
      <c r="DM633"/>
      <c r="DN633"/>
    </row>
    <row r="634" spans="27:118">
      <c r="AA634" s="30"/>
      <c r="AB634" s="30"/>
      <c r="AC634" s="30"/>
      <c r="DK634"/>
      <c r="DL634"/>
      <c r="DM634"/>
      <c r="DN634"/>
    </row>
    <row r="635" spans="27:118">
      <c r="AA635" s="30"/>
      <c r="AB635" s="30"/>
      <c r="AC635" s="30"/>
      <c r="DK635"/>
      <c r="DL635"/>
      <c r="DM635"/>
      <c r="DN635"/>
    </row>
    <row r="636" spans="27:118">
      <c r="AA636" s="30"/>
      <c r="AB636" s="30"/>
      <c r="AC636" s="30"/>
      <c r="DK636"/>
      <c r="DL636"/>
      <c r="DM636"/>
      <c r="DN636"/>
    </row>
    <row r="637" spans="27:118">
      <c r="AA637" s="30"/>
      <c r="AB637" s="30"/>
      <c r="AC637" s="30"/>
      <c r="DK637"/>
      <c r="DL637"/>
      <c r="DM637"/>
      <c r="DN637"/>
    </row>
    <row r="638" spans="27:118">
      <c r="AA638" s="30"/>
      <c r="AB638" s="30"/>
      <c r="AC638" s="30"/>
      <c r="DK638"/>
      <c r="DL638"/>
      <c r="DM638"/>
      <c r="DN638"/>
    </row>
    <row r="639" spans="27:118">
      <c r="AA639" s="30"/>
      <c r="AB639" s="30"/>
      <c r="AC639" s="30"/>
      <c r="DK639"/>
      <c r="DL639"/>
      <c r="DM639"/>
      <c r="DN639"/>
    </row>
    <row r="640" spans="27:118">
      <c r="AA640" s="30"/>
      <c r="AB640" s="30"/>
      <c r="AC640" s="30"/>
      <c r="DK640"/>
      <c r="DL640"/>
      <c r="DM640"/>
      <c r="DN640"/>
    </row>
    <row r="641" spans="27:118">
      <c r="AA641" s="30"/>
      <c r="AB641" s="30"/>
      <c r="AC641" s="30"/>
      <c r="DK641"/>
      <c r="DL641"/>
      <c r="DM641"/>
      <c r="DN641"/>
    </row>
    <row r="642" spans="27:118">
      <c r="AA642" s="30"/>
      <c r="AB642" s="30"/>
      <c r="AC642" s="30"/>
      <c r="DK642"/>
      <c r="DL642"/>
      <c r="DM642"/>
      <c r="DN642"/>
    </row>
    <row r="643" spans="27:118">
      <c r="AA643" s="30"/>
      <c r="AB643" s="30"/>
      <c r="AC643" s="30"/>
      <c r="DK643"/>
      <c r="DL643"/>
      <c r="DM643"/>
      <c r="DN643"/>
    </row>
    <row r="644" spans="27:118">
      <c r="AA644" s="30"/>
      <c r="AB644" s="30"/>
      <c r="AC644" s="30"/>
      <c r="DK644"/>
      <c r="DL644"/>
      <c r="DM644"/>
      <c r="DN644"/>
    </row>
    <row r="645" spans="27:118">
      <c r="AA645" s="30"/>
      <c r="AB645" s="30"/>
      <c r="AC645" s="30"/>
      <c r="DK645"/>
      <c r="DL645"/>
      <c r="DM645"/>
      <c r="DN645"/>
    </row>
    <row r="646" spans="27:118">
      <c r="AA646" s="30"/>
      <c r="AB646" s="30"/>
      <c r="AC646" s="30"/>
      <c r="DK646"/>
      <c r="DL646"/>
      <c r="DM646"/>
      <c r="DN646"/>
    </row>
    <row r="647" spans="27:118">
      <c r="AA647" s="30"/>
      <c r="AB647" s="30"/>
      <c r="AC647" s="30"/>
      <c r="DK647"/>
      <c r="DL647"/>
      <c r="DM647"/>
      <c r="DN647"/>
    </row>
    <row r="648" spans="27:118">
      <c r="AA648" s="30"/>
      <c r="AB648" s="30"/>
      <c r="AC648" s="30"/>
      <c r="DK648"/>
      <c r="DL648"/>
      <c r="DM648"/>
      <c r="DN648"/>
    </row>
    <row r="649" spans="27:118">
      <c r="AA649" s="30"/>
      <c r="AB649" s="30"/>
      <c r="AC649" s="30"/>
      <c r="DK649"/>
      <c r="DL649"/>
      <c r="DM649"/>
      <c r="DN649"/>
    </row>
    <row r="650" spans="27:118">
      <c r="AA650" s="30"/>
      <c r="AB650" s="30"/>
      <c r="AC650" s="30"/>
      <c r="DK650"/>
      <c r="DL650"/>
      <c r="DM650"/>
      <c r="DN650"/>
    </row>
    <row r="651" spans="27:118">
      <c r="AA651" s="30"/>
      <c r="AB651" s="30"/>
      <c r="AC651" s="30"/>
      <c r="DK651"/>
      <c r="DL651"/>
      <c r="DM651"/>
      <c r="DN651"/>
    </row>
    <row r="652" spans="27:118">
      <c r="AA652" s="30"/>
      <c r="AB652" s="30"/>
      <c r="AC652" s="30"/>
      <c r="DK652"/>
      <c r="DL652"/>
      <c r="DM652"/>
      <c r="DN652"/>
    </row>
    <row r="653" spans="27:118">
      <c r="AA653" s="30"/>
      <c r="AB653" s="30"/>
      <c r="AC653" s="30"/>
      <c r="DK653"/>
      <c r="DL653"/>
      <c r="DM653"/>
      <c r="DN653"/>
    </row>
    <row r="654" spans="27:118">
      <c r="AA654" s="30"/>
      <c r="AB654" s="30"/>
      <c r="AC654" s="30"/>
      <c r="DK654"/>
      <c r="DL654"/>
      <c r="DM654"/>
      <c r="DN654"/>
    </row>
    <row r="655" spans="27:118">
      <c r="AA655" s="30"/>
      <c r="AB655" s="30"/>
      <c r="AC655" s="30"/>
      <c r="DK655"/>
      <c r="DL655"/>
      <c r="DM655"/>
      <c r="DN655"/>
    </row>
    <row r="656" spans="27:118">
      <c r="AA656" s="30"/>
      <c r="AB656" s="30"/>
      <c r="AC656" s="30"/>
      <c r="DK656"/>
      <c r="DL656"/>
      <c r="DM656"/>
      <c r="DN656"/>
    </row>
    <row r="657" spans="27:118">
      <c r="AA657" s="30"/>
      <c r="AB657" s="30"/>
      <c r="AC657" s="30"/>
      <c r="DK657"/>
      <c r="DL657"/>
      <c r="DM657"/>
      <c r="DN657"/>
    </row>
    <row r="658" spans="27:118">
      <c r="AA658" s="30"/>
      <c r="AB658" s="30"/>
      <c r="AC658" s="30"/>
      <c r="DK658"/>
      <c r="DL658"/>
      <c r="DM658"/>
      <c r="DN658"/>
    </row>
    <row r="659" spans="27:118">
      <c r="AA659" s="30"/>
      <c r="AB659" s="30"/>
      <c r="AC659" s="30"/>
      <c r="DK659"/>
      <c r="DL659"/>
      <c r="DM659"/>
      <c r="DN659"/>
    </row>
    <row r="660" spans="27:118">
      <c r="AA660" s="30"/>
      <c r="AB660" s="30"/>
      <c r="AC660" s="30"/>
      <c r="DK660"/>
      <c r="DL660"/>
      <c r="DM660"/>
      <c r="DN660"/>
    </row>
    <row r="661" spans="27:118">
      <c r="AA661" s="30"/>
      <c r="AB661" s="30"/>
      <c r="AC661" s="30"/>
      <c r="DK661"/>
      <c r="DL661"/>
      <c r="DM661"/>
      <c r="DN661"/>
    </row>
    <row r="662" spans="27:118">
      <c r="AA662" s="30"/>
      <c r="AB662" s="30"/>
      <c r="AC662" s="30"/>
      <c r="DK662"/>
      <c r="DL662"/>
      <c r="DM662"/>
      <c r="DN662"/>
    </row>
    <row r="663" spans="27:118">
      <c r="AA663" s="30"/>
      <c r="AB663" s="30"/>
      <c r="AC663" s="30"/>
      <c r="DK663"/>
      <c r="DL663"/>
      <c r="DM663"/>
      <c r="DN663"/>
    </row>
    <row r="664" spans="27:118">
      <c r="AA664" s="30"/>
      <c r="AB664" s="30"/>
      <c r="AC664" s="30"/>
      <c r="DK664"/>
      <c r="DL664"/>
      <c r="DM664"/>
      <c r="DN664"/>
    </row>
    <row r="665" spans="27:118">
      <c r="AA665" s="30"/>
      <c r="AB665" s="30"/>
      <c r="AC665" s="30"/>
      <c r="DK665"/>
      <c r="DL665"/>
      <c r="DM665"/>
      <c r="DN665"/>
    </row>
    <row r="666" spans="27:118">
      <c r="AA666" s="30"/>
      <c r="AB666" s="30"/>
      <c r="AC666" s="30"/>
      <c r="DK666"/>
      <c r="DL666"/>
      <c r="DM666"/>
      <c r="DN666"/>
    </row>
    <row r="667" spans="27:118">
      <c r="AA667" s="30"/>
      <c r="AB667" s="30"/>
      <c r="AC667" s="30"/>
      <c r="DK667"/>
      <c r="DL667"/>
      <c r="DM667"/>
      <c r="DN667"/>
    </row>
    <row r="668" spans="27:118">
      <c r="AA668" s="30"/>
      <c r="AB668" s="30"/>
      <c r="AC668" s="30"/>
      <c r="DK668"/>
      <c r="DL668"/>
      <c r="DM668"/>
      <c r="DN668"/>
    </row>
    <row r="669" spans="27:118">
      <c r="AA669" s="30"/>
      <c r="AB669" s="30"/>
      <c r="AC669" s="30"/>
      <c r="DK669"/>
      <c r="DL669"/>
      <c r="DM669"/>
      <c r="DN669"/>
    </row>
    <row r="670" spans="27:118">
      <c r="AA670" s="30"/>
      <c r="AB670" s="30"/>
      <c r="AC670" s="30"/>
      <c r="DK670"/>
      <c r="DL670"/>
      <c r="DM670"/>
      <c r="DN670"/>
    </row>
    <row r="671" spans="27:118">
      <c r="AA671" s="30"/>
      <c r="AB671" s="30"/>
      <c r="AC671" s="30"/>
      <c r="DK671"/>
      <c r="DL671"/>
      <c r="DM671"/>
      <c r="DN671"/>
    </row>
    <row r="672" spans="27:118">
      <c r="AA672" s="30"/>
      <c r="AB672" s="30"/>
      <c r="AC672" s="30"/>
      <c r="DK672"/>
      <c r="DL672"/>
      <c r="DM672"/>
      <c r="DN672"/>
    </row>
    <row r="673" spans="27:118">
      <c r="AA673" s="30"/>
      <c r="AB673" s="30"/>
      <c r="AC673" s="30"/>
      <c r="DK673"/>
      <c r="DL673"/>
      <c r="DM673"/>
      <c r="DN673"/>
    </row>
    <row r="674" spans="27:118">
      <c r="AA674" s="30"/>
      <c r="AB674" s="30"/>
      <c r="AC674" s="30"/>
      <c r="DK674"/>
      <c r="DL674"/>
      <c r="DM674"/>
      <c r="DN674"/>
    </row>
    <row r="675" spans="27:118">
      <c r="AA675" s="30"/>
      <c r="AB675" s="30"/>
      <c r="AC675" s="30"/>
      <c r="DK675"/>
      <c r="DL675"/>
      <c r="DM675"/>
      <c r="DN675"/>
    </row>
    <row r="676" spans="27:118">
      <c r="AA676" s="30"/>
      <c r="AB676" s="30"/>
      <c r="AC676" s="30"/>
      <c r="DK676"/>
      <c r="DL676"/>
      <c r="DM676"/>
      <c r="DN676"/>
    </row>
    <row r="677" spans="27:118">
      <c r="AA677" s="30"/>
      <c r="AB677" s="30"/>
      <c r="AC677" s="30"/>
      <c r="DK677"/>
      <c r="DL677"/>
      <c r="DM677"/>
      <c r="DN677"/>
    </row>
    <row r="678" spans="27:118">
      <c r="AA678" s="30"/>
      <c r="AB678" s="30"/>
      <c r="AC678" s="30"/>
      <c r="DK678"/>
      <c r="DL678"/>
      <c r="DM678"/>
      <c r="DN678"/>
    </row>
    <row r="679" spans="27:118">
      <c r="AA679" s="30"/>
      <c r="AB679" s="30"/>
      <c r="AC679" s="30"/>
      <c r="DK679"/>
      <c r="DL679"/>
      <c r="DM679"/>
      <c r="DN679"/>
    </row>
    <row r="680" spans="27:118">
      <c r="AA680" s="30"/>
      <c r="AB680" s="30"/>
      <c r="AC680" s="30"/>
      <c r="DK680"/>
      <c r="DL680"/>
      <c r="DM680"/>
      <c r="DN680"/>
    </row>
    <row r="681" spans="27:118">
      <c r="AA681" s="30"/>
      <c r="AB681" s="30"/>
      <c r="AC681" s="30"/>
      <c r="DK681"/>
      <c r="DL681"/>
      <c r="DM681"/>
      <c r="DN681"/>
    </row>
    <row r="682" spans="27:118">
      <c r="AA682" s="30"/>
      <c r="AB682" s="30"/>
      <c r="AC682" s="30"/>
      <c r="DK682"/>
      <c r="DL682"/>
      <c r="DM682"/>
      <c r="DN682"/>
    </row>
    <row r="683" spans="27:118">
      <c r="AA683" s="30"/>
      <c r="AB683" s="30"/>
      <c r="AC683" s="30"/>
      <c r="DK683"/>
      <c r="DL683"/>
      <c r="DM683"/>
      <c r="DN683"/>
    </row>
    <row r="684" spans="27:118">
      <c r="AA684" s="30"/>
      <c r="AB684" s="30"/>
      <c r="AC684" s="30"/>
      <c r="DK684"/>
      <c r="DL684"/>
      <c r="DM684"/>
      <c r="DN684"/>
    </row>
    <row r="685" spans="27:118">
      <c r="AA685" s="30"/>
      <c r="AB685" s="30"/>
      <c r="AC685" s="30"/>
      <c r="DK685"/>
      <c r="DL685"/>
      <c r="DM685"/>
      <c r="DN685"/>
    </row>
    <row r="686" spans="27:118">
      <c r="AA686" s="30"/>
      <c r="AB686" s="30"/>
      <c r="AC686" s="30"/>
      <c r="DK686"/>
      <c r="DL686"/>
      <c r="DM686"/>
      <c r="DN686"/>
    </row>
    <row r="687" spans="27:118">
      <c r="AA687" s="30"/>
      <c r="AB687" s="30"/>
      <c r="AC687" s="30"/>
      <c r="DK687"/>
      <c r="DL687"/>
      <c r="DM687"/>
      <c r="DN687"/>
    </row>
    <row r="688" spans="27:118">
      <c r="AA688" s="30"/>
      <c r="AB688" s="30"/>
      <c r="AC688" s="30"/>
      <c r="DK688"/>
      <c r="DL688"/>
      <c r="DM688"/>
      <c r="DN688"/>
    </row>
    <row r="689" spans="27:118">
      <c r="AA689" s="30"/>
      <c r="AB689" s="30"/>
      <c r="AC689" s="30"/>
      <c r="DK689"/>
      <c r="DL689"/>
      <c r="DM689"/>
      <c r="DN689"/>
    </row>
    <row r="690" spans="27:118">
      <c r="AA690" s="30"/>
      <c r="AB690" s="30"/>
      <c r="AC690" s="30"/>
      <c r="DK690"/>
      <c r="DL690"/>
      <c r="DM690"/>
      <c r="DN690"/>
    </row>
    <row r="691" spans="27:118">
      <c r="AA691" s="30"/>
      <c r="AB691" s="30"/>
      <c r="AC691" s="30"/>
      <c r="DK691"/>
      <c r="DL691"/>
      <c r="DM691"/>
      <c r="DN691"/>
    </row>
    <row r="692" spans="27:118">
      <c r="AA692" s="30"/>
      <c r="AB692" s="30"/>
      <c r="AC692" s="30"/>
      <c r="DK692"/>
      <c r="DL692"/>
      <c r="DM692"/>
      <c r="DN692"/>
    </row>
    <row r="693" spans="27:118">
      <c r="AA693" s="30"/>
      <c r="AB693" s="30"/>
      <c r="AC693" s="30"/>
      <c r="DK693"/>
      <c r="DL693"/>
      <c r="DM693"/>
      <c r="DN693"/>
    </row>
    <row r="694" spans="27:118">
      <c r="AA694" s="30"/>
      <c r="AB694" s="30"/>
      <c r="AC694" s="30"/>
      <c r="DK694"/>
      <c r="DL694"/>
      <c r="DM694"/>
      <c r="DN694"/>
    </row>
    <row r="695" spans="27:118">
      <c r="AA695" s="30"/>
      <c r="AB695" s="30"/>
      <c r="AC695" s="30"/>
      <c r="DK695"/>
      <c r="DL695"/>
      <c r="DM695"/>
      <c r="DN695"/>
    </row>
    <row r="696" spans="27:118">
      <c r="AA696" s="30"/>
      <c r="AB696" s="30"/>
      <c r="AC696" s="30"/>
      <c r="DK696"/>
      <c r="DL696"/>
      <c r="DM696"/>
      <c r="DN696"/>
    </row>
    <row r="697" spans="27:118">
      <c r="AA697" s="30"/>
      <c r="AB697" s="30"/>
      <c r="AC697" s="30"/>
      <c r="DK697"/>
      <c r="DL697"/>
      <c r="DM697"/>
      <c r="DN697"/>
    </row>
    <row r="698" spans="27:118">
      <c r="AA698" s="30"/>
      <c r="AB698" s="30"/>
      <c r="AC698" s="30"/>
      <c r="DK698"/>
      <c r="DL698"/>
      <c r="DM698"/>
      <c r="DN698"/>
    </row>
    <row r="699" spans="27:118">
      <c r="AA699" s="30"/>
      <c r="AB699" s="30"/>
      <c r="AC699" s="30"/>
      <c r="DK699"/>
      <c r="DL699"/>
      <c r="DM699"/>
      <c r="DN699"/>
    </row>
    <row r="700" spans="27:118">
      <c r="AA700" s="30"/>
      <c r="AB700" s="30"/>
      <c r="AC700" s="30"/>
      <c r="DK700"/>
      <c r="DL700"/>
      <c r="DM700"/>
      <c r="DN700"/>
    </row>
    <row r="701" spans="27:118">
      <c r="AA701" s="30"/>
      <c r="AB701" s="30"/>
      <c r="AC701" s="30"/>
      <c r="DK701"/>
      <c r="DL701"/>
      <c r="DM701"/>
      <c r="DN701"/>
    </row>
    <row r="702" spans="27:118">
      <c r="AA702" s="30"/>
      <c r="AB702" s="30"/>
      <c r="AC702" s="30"/>
      <c r="DK702"/>
      <c r="DL702"/>
      <c r="DM702"/>
      <c r="DN702"/>
    </row>
    <row r="703" spans="27:118">
      <c r="AA703" s="30"/>
      <c r="AB703" s="30"/>
      <c r="AC703" s="30"/>
      <c r="DK703"/>
      <c r="DL703"/>
      <c r="DM703"/>
      <c r="DN703"/>
    </row>
    <row r="704" spans="27:118">
      <c r="AA704" s="30"/>
      <c r="AB704" s="30"/>
      <c r="AC704" s="30"/>
      <c r="DK704"/>
      <c r="DL704"/>
      <c r="DM704"/>
      <c r="DN704"/>
    </row>
    <row r="705" spans="27:118">
      <c r="AA705" s="30"/>
      <c r="AB705" s="30"/>
      <c r="AC705" s="30"/>
      <c r="DK705"/>
      <c r="DL705"/>
      <c r="DM705"/>
      <c r="DN705"/>
    </row>
    <row r="706" spans="27:118">
      <c r="AA706" s="30"/>
      <c r="AB706" s="30"/>
      <c r="AC706" s="30"/>
      <c r="DK706"/>
      <c r="DL706"/>
      <c r="DM706"/>
      <c r="DN706"/>
    </row>
    <row r="707" spans="27:118">
      <c r="AA707" s="30"/>
      <c r="AB707" s="30"/>
      <c r="AC707" s="30"/>
      <c r="DK707"/>
      <c r="DL707"/>
      <c r="DM707"/>
      <c r="DN707"/>
    </row>
    <row r="708" spans="27:118">
      <c r="AA708" s="30"/>
      <c r="AB708" s="30"/>
      <c r="AC708" s="30"/>
      <c r="DK708"/>
      <c r="DL708"/>
      <c r="DM708"/>
      <c r="DN708"/>
    </row>
    <row r="709" spans="27:118">
      <c r="AA709" s="30"/>
      <c r="AB709" s="30"/>
      <c r="AC709" s="30"/>
      <c r="DK709"/>
      <c r="DL709"/>
      <c r="DM709"/>
      <c r="DN709"/>
    </row>
    <row r="710" spans="27:118">
      <c r="AA710" s="30"/>
      <c r="AB710" s="30"/>
      <c r="AC710" s="30"/>
      <c r="DK710"/>
      <c r="DL710"/>
      <c r="DM710"/>
      <c r="DN710"/>
    </row>
    <row r="711" spans="27:118">
      <c r="AA711" s="30"/>
      <c r="AB711" s="30"/>
      <c r="AC711" s="30"/>
      <c r="DK711"/>
      <c r="DL711"/>
      <c r="DM711"/>
      <c r="DN711"/>
    </row>
    <row r="712" spans="27:118">
      <c r="AA712" s="30"/>
      <c r="AB712" s="30"/>
      <c r="AC712" s="30"/>
      <c r="DK712"/>
      <c r="DL712"/>
      <c r="DM712"/>
      <c r="DN712"/>
    </row>
    <row r="713" spans="27:118">
      <c r="AA713" s="30"/>
      <c r="AB713" s="30"/>
      <c r="AC713" s="30"/>
      <c r="DK713"/>
      <c r="DL713"/>
      <c r="DM713"/>
      <c r="DN713"/>
    </row>
    <row r="714" spans="27:118">
      <c r="AA714" s="30"/>
      <c r="AB714" s="30"/>
      <c r="AC714" s="30"/>
      <c r="DK714"/>
      <c r="DL714"/>
      <c r="DM714"/>
      <c r="DN714"/>
    </row>
    <row r="715" spans="27:118">
      <c r="AA715" s="30"/>
      <c r="AB715" s="30"/>
      <c r="AC715" s="30"/>
      <c r="DK715"/>
      <c r="DL715"/>
      <c r="DM715"/>
      <c r="DN715"/>
    </row>
    <row r="716" spans="27:118">
      <c r="AA716" s="30"/>
      <c r="AB716" s="30"/>
      <c r="AC716" s="30"/>
      <c r="DK716"/>
      <c r="DL716"/>
      <c r="DM716"/>
      <c r="DN716"/>
    </row>
    <row r="717" spans="27:118">
      <c r="AA717" s="30"/>
      <c r="AB717" s="30"/>
      <c r="AC717" s="30"/>
      <c r="DK717"/>
      <c r="DL717"/>
      <c r="DM717"/>
      <c r="DN717"/>
    </row>
    <row r="718" spans="27:118">
      <c r="AA718" s="30"/>
      <c r="AB718" s="30"/>
      <c r="AC718" s="30"/>
      <c r="DK718"/>
      <c r="DL718"/>
      <c r="DM718"/>
      <c r="DN718"/>
    </row>
    <row r="719" spans="27:118">
      <c r="AA719" s="30"/>
      <c r="AB719" s="30"/>
      <c r="AC719" s="30"/>
      <c r="DK719"/>
      <c r="DL719"/>
      <c r="DM719"/>
      <c r="DN719"/>
    </row>
    <row r="720" spans="27:118">
      <c r="AA720" s="30"/>
      <c r="AB720" s="30"/>
      <c r="AC720" s="30"/>
      <c r="DK720"/>
      <c r="DL720"/>
      <c r="DM720"/>
      <c r="DN720"/>
    </row>
    <row r="721" spans="27:118">
      <c r="AA721" s="30"/>
      <c r="AB721" s="30"/>
      <c r="AC721" s="30"/>
      <c r="DK721"/>
      <c r="DL721"/>
      <c r="DM721"/>
      <c r="DN721"/>
    </row>
    <row r="722" spans="27:118">
      <c r="AA722" s="30"/>
      <c r="AB722" s="30"/>
      <c r="AC722" s="30"/>
      <c r="DK722"/>
      <c r="DL722"/>
      <c r="DM722"/>
      <c r="DN722"/>
    </row>
    <row r="723" spans="27:118">
      <c r="AA723" s="30"/>
      <c r="AB723" s="30"/>
      <c r="AC723" s="30"/>
      <c r="DK723"/>
      <c r="DL723"/>
      <c r="DM723"/>
      <c r="DN723"/>
    </row>
    <row r="724" spans="27:118">
      <c r="AA724" s="30"/>
      <c r="AB724" s="30"/>
      <c r="AC724" s="30"/>
      <c r="DK724"/>
      <c r="DL724"/>
      <c r="DM724"/>
      <c r="DN724"/>
    </row>
    <row r="725" spans="27:118">
      <c r="AA725" s="30"/>
      <c r="AB725" s="30"/>
      <c r="AC725" s="30"/>
      <c r="DK725"/>
      <c r="DL725"/>
      <c r="DM725"/>
      <c r="DN725"/>
    </row>
    <row r="726" spans="27:118">
      <c r="AA726" s="30"/>
      <c r="AB726" s="30"/>
      <c r="AC726" s="30"/>
      <c r="DK726"/>
      <c r="DL726"/>
      <c r="DM726"/>
      <c r="DN726"/>
    </row>
    <row r="727" spans="27:118">
      <c r="AA727" s="30"/>
      <c r="AB727" s="30"/>
      <c r="AC727" s="30"/>
      <c r="DK727"/>
      <c r="DL727"/>
      <c r="DM727"/>
      <c r="DN727"/>
    </row>
    <row r="728" spans="27:118">
      <c r="AA728" s="30"/>
      <c r="AB728" s="30"/>
      <c r="AC728" s="30"/>
      <c r="DK728"/>
      <c r="DL728"/>
      <c r="DM728"/>
      <c r="DN728"/>
    </row>
    <row r="729" spans="27:118">
      <c r="AA729" s="30"/>
      <c r="AB729" s="30"/>
      <c r="AC729" s="30"/>
      <c r="DK729"/>
      <c r="DL729"/>
      <c r="DM729"/>
      <c r="DN729"/>
    </row>
    <row r="730" spans="27:118">
      <c r="AA730" s="30"/>
      <c r="AB730" s="30"/>
      <c r="AC730" s="30"/>
      <c r="DK730"/>
      <c r="DL730"/>
      <c r="DM730"/>
      <c r="DN730"/>
    </row>
    <row r="731" spans="27:118">
      <c r="AA731" s="30"/>
      <c r="AB731" s="30"/>
      <c r="AC731" s="30"/>
      <c r="DK731"/>
      <c r="DL731"/>
      <c r="DM731"/>
      <c r="DN731"/>
    </row>
    <row r="732" spans="27:118">
      <c r="AA732" s="30"/>
      <c r="AB732" s="30"/>
      <c r="AC732" s="30"/>
      <c r="DK732"/>
      <c r="DL732"/>
      <c r="DM732"/>
      <c r="DN732"/>
    </row>
    <row r="733" spans="27:118">
      <c r="AA733" s="30"/>
      <c r="AB733" s="30"/>
      <c r="AC733" s="30"/>
      <c r="DK733"/>
      <c r="DL733"/>
      <c r="DM733"/>
      <c r="DN733"/>
    </row>
    <row r="734" spans="27:118">
      <c r="AA734" s="30"/>
      <c r="AB734" s="30"/>
      <c r="AC734" s="30"/>
      <c r="DK734"/>
      <c r="DL734"/>
      <c r="DM734"/>
      <c r="DN734"/>
    </row>
    <row r="735" spans="27:118">
      <c r="AA735" s="30"/>
      <c r="AB735" s="30"/>
      <c r="AC735" s="30"/>
      <c r="DK735"/>
      <c r="DL735"/>
      <c r="DM735"/>
      <c r="DN735"/>
    </row>
    <row r="736" spans="27:118">
      <c r="AA736" s="30"/>
      <c r="AB736" s="30"/>
      <c r="AC736" s="30"/>
      <c r="DK736"/>
      <c r="DL736"/>
      <c r="DM736"/>
      <c r="DN736"/>
    </row>
    <row r="737" spans="27:118">
      <c r="AA737" s="30"/>
      <c r="AB737" s="30"/>
      <c r="AC737" s="30"/>
      <c r="DK737"/>
      <c r="DL737"/>
      <c r="DM737"/>
      <c r="DN737"/>
    </row>
    <row r="738" spans="27:118">
      <c r="AA738" s="30"/>
      <c r="AB738" s="30"/>
      <c r="AC738" s="30"/>
      <c r="DK738"/>
      <c r="DL738"/>
      <c r="DM738"/>
      <c r="DN738"/>
    </row>
  </sheetData>
  <autoFilter ref="A16:DV99" xr:uid="{2DA75240-15AF-4E5C-BEB9-992C7AD75F4D}">
    <filterColumn colId="2">
      <filters>
        <filter val="Hnida Soufiane"/>
      </filters>
    </filterColumn>
  </autoFilter>
  <mergeCells count="115">
    <mergeCell ref="C126:F126"/>
    <mergeCell ref="C127:F127"/>
    <mergeCell ref="C105:E106"/>
    <mergeCell ref="F105:AC106"/>
    <mergeCell ref="AD105:BJ106"/>
    <mergeCell ref="C107:E116"/>
    <mergeCell ref="F107:AC116"/>
    <mergeCell ref="AD107:BJ116"/>
    <mergeCell ref="DO13:DO14"/>
    <mergeCell ref="BP13:BP14"/>
    <mergeCell ref="BQ13:BQ14"/>
    <mergeCell ref="BR13:BS14"/>
    <mergeCell ref="BT13:BV14"/>
    <mergeCell ref="BW13:BX14"/>
    <mergeCell ref="BI13:BI14"/>
    <mergeCell ref="BJ13:BJ14"/>
    <mergeCell ref="BK13:BK14"/>
    <mergeCell ref="BL13:BL14"/>
    <mergeCell ref="BM13:BM14"/>
    <mergeCell ref="BN13:BN14"/>
    <mergeCell ref="AU13:AW14"/>
    <mergeCell ref="AX13:AZ14"/>
    <mergeCell ref="BA13:BC14"/>
    <mergeCell ref="BD13:BF14"/>
    <mergeCell ref="DU98:DV99"/>
    <mergeCell ref="C99:E99"/>
    <mergeCell ref="CZ13:CZ14"/>
    <mergeCell ref="DA13:DB14"/>
    <mergeCell ref="DC13:DD14"/>
    <mergeCell ref="DE13:DE14"/>
    <mergeCell ref="DF13:DF14"/>
    <mergeCell ref="DG13:DH14"/>
    <mergeCell ref="CI13:CJ14"/>
    <mergeCell ref="CK13:CL14"/>
    <mergeCell ref="CM13:CQ14"/>
    <mergeCell ref="CR13:CU14"/>
    <mergeCell ref="CV13:CW14"/>
    <mergeCell ref="CX13:CY14"/>
    <mergeCell ref="BY13:BY14"/>
    <mergeCell ref="BZ13:BZ14"/>
    <mergeCell ref="CA13:CC14"/>
    <mergeCell ref="CD13:CD14"/>
    <mergeCell ref="CE13:CF14"/>
    <mergeCell ref="CG13:CH14"/>
    <mergeCell ref="BO13:BO14"/>
    <mergeCell ref="S13:U14"/>
    <mergeCell ref="V13:W14"/>
    <mergeCell ref="X13:Z14"/>
    <mergeCell ref="DP13:DQ14"/>
    <mergeCell ref="A98:A99"/>
    <mergeCell ref="B98:B99"/>
    <mergeCell ref="AD12:AK12"/>
    <mergeCell ref="AL12:AQ12"/>
    <mergeCell ref="AR12:BF12"/>
    <mergeCell ref="BG12:BI12"/>
    <mergeCell ref="BL12:BN12"/>
    <mergeCell ref="BG13:BG14"/>
    <mergeCell ref="BH13:BH14"/>
    <mergeCell ref="AH13:AI14"/>
    <mergeCell ref="AJ13:AK14"/>
    <mergeCell ref="AL13:AM14"/>
    <mergeCell ref="AN13:AO14"/>
    <mergeCell ref="AP13:AQ14"/>
    <mergeCell ref="AR13:AT14"/>
    <mergeCell ref="DK13:DM14"/>
    <mergeCell ref="DN13:DN14"/>
    <mergeCell ref="CK12:CL12"/>
    <mergeCell ref="CM12:CQ12"/>
    <mergeCell ref="CR12:CU12"/>
    <mergeCell ref="F13:G14"/>
    <mergeCell ref="H13:J14"/>
    <mergeCell ref="K13:L14"/>
    <mergeCell ref="M13:N14"/>
    <mergeCell ref="O13:P14"/>
    <mergeCell ref="Q13:R14"/>
    <mergeCell ref="S12:AC12"/>
    <mergeCell ref="AA13:AC14"/>
    <mergeCell ref="AD13:AE14"/>
    <mergeCell ref="DG12:DH12"/>
    <mergeCell ref="DK12:DM12"/>
    <mergeCell ref="AF13:AG14"/>
    <mergeCell ref="DN12:DQ12"/>
    <mergeCell ref="BO12:BQ12"/>
    <mergeCell ref="BR12:BS12"/>
    <mergeCell ref="BT12:BX12"/>
    <mergeCell ref="CA12:CC12"/>
    <mergeCell ref="CE12:CH12"/>
    <mergeCell ref="CI12:CJ12"/>
    <mergeCell ref="CV12:CW12"/>
    <mergeCell ref="CX12:CY12"/>
    <mergeCell ref="DA12:DF12"/>
    <mergeCell ref="A1:D2"/>
    <mergeCell ref="E1:DS1"/>
    <mergeCell ref="DU1:DV1"/>
    <mergeCell ref="E2:DS2"/>
    <mergeCell ref="DU2:DV2"/>
    <mergeCell ref="DR3:DT10"/>
    <mergeCell ref="DU3:DU10"/>
    <mergeCell ref="DV3:DV10"/>
    <mergeCell ref="D12:D15"/>
    <mergeCell ref="U11:AC11"/>
    <mergeCell ref="DB11:DF11"/>
    <mergeCell ref="DR11:DT11"/>
    <mergeCell ref="DU11:DU15"/>
    <mergeCell ref="DV11:DV15"/>
    <mergeCell ref="A12:A15"/>
    <mergeCell ref="B12:B15"/>
    <mergeCell ref="C12:C15"/>
    <mergeCell ref="E12:E15"/>
    <mergeCell ref="F12:R12"/>
    <mergeCell ref="DR12:DR15"/>
    <mergeCell ref="DS12:DS15"/>
    <mergeCell ref="DT12:DT15"/>
    <mergeCell ref="DI13:DI14"/>
    <mergeCell ref="DJ13:DJ14"/>
  </mergeCells>
  <conditionalFormatting sqref="C104 C117">
    <cfRule type="duplicateValues" dxfId="6819" priority="2595" stopIfTrue="1"/>
  </conditionalFormatting>
  <conditionalFormatting sqref="AF100:DQ103 BL16 F100:AB103 F34:I36 F37:R38 AP19:BY19 BP16:BT16 CA16:DT16 V62:CL81 F16:G16 G29:I33 V82:DT88 CV63:DT81 J16:U16 F89:DT96 F98:DT99 CV37:DT61 CM37:CU58 AC19:AK61 AP20:CL61 CM60:CU81 F39:U88 F19:F31 G19:G28 S19:U38 J19:R36 CM19:DT36 CA19:CL19 DT17:DT18">
    <cfRule type="cellIs" dxfId="6818" priority="2594" operator="equal">
      <formula>1</formula>
    </cfRule>
  </conditionalFormatting>
  <conditionalFormatting sqref="J41:S41 BJ47:BL47 BK48:BL49 BJ41:BL41 AF100:DQ103 BR16 F100:AB103 F34:H36 F37:R37 K40:S40 K42:S48 BS78:CL81 V78:BQ81 K38:R39 F16:AB16 BZ16:DT16 J49:S61 V82:DT88 CV63:DT81 V62:CL77 S19:S39 F89:DT96 F98:DT99 F62:S88 CV37:DT61 F38:H61 CM37:CU58 V19:AO61 CM60:CU81 T19:U88 F19:I33 CM19:DT36 J19:R35 BX19:CL61 BR19:BR29 DT17:DT18">
    <cfRule type="cellIs" dxfId="6817" priority="2592" operator="equal">
      <formula>4</formula>
    </cfRule>
    <cfRule type="cellIs" dxfId="6816" priority="2593" operator="equal">
      <formula>3</formula>
    </cfRule>
  </conditionalFormatting>
  <conditionalFormatting sqref="CV98:DT99 Y104:AB104 F100:AB103 AF100:CQ103 AC100:AE104 F98:CQ99 CV100:DQ103 CR98:CU103">
    <cfRule type="top10" dxfId="6815" priority="2591" rank="10"/>
  </conditionalFormatting>
  <conditionalFormatting sqref="AC100:AE104 Y104:AB104">
    <cfRule type="cellIs" dxfId="6814" priority="2590" operator="equal">
      <formula>1</formula>
    </cfRule>
  </conditionalFormatting>
  <conditionalFormatting sqref="AC100:AE104 Y104:AB104">
    <cfRule type="cellIs" dxfId="6813" priority="2588" operator="equal">
      <formula>4</formula>
    </cfRule>
    <cfRule type="cellIs" dxfId="6812" priority="2589" operator="equal">
      <formula>3</formula>
    </cfRule>
  </conditionalFormatting>
  <conditionalFormatting sqref="AF100:DQ103 F100:AB103 F16:BL16 V62:CL81 V82:DT88 CV63:DT81 F89:DT96 F98:DT99 CV37:DT61 BX19:BX61 BZ16:DT16 V19:BV61 CM37:CU81 F19:U88 BZ19:CL61 CM19:DT36 DT17:DT18">
    <cfRule type="cellIs" dxfId="6811" priority="2587" operator="equal">
      <formula>2</formula>
    </cfRule>
  </conditionalFormatting>
  <conditionalFormatting sqref="AC100:AE104 Y104:AB104">
    <cfRule type="cellIs" dxfId="6810" priority="2586" operator="equal">
      <formula>2</formula>
    </cfRule>
  </conditionalFormatting>
  <conditionalFormatting sqref="DU16:DU96">
    <cfRule type="cellIs" dxfId="6809" priority="2582" operator="equal">
      <formula>4</formula>
    </cfRule>
    <cfRule type="cellIs" dxfId="6808" priority="2583" operator="equal">
      <formula>2</formula>
    </cfRule>
    <cfRule type="cellIs" dxfId="6807" priority="2584" operator="equal">
      <formula>3</formula>
    </cfRule>
    <cfRule type="cellIs" dxfId="6806" priority="2585" operator="equal">
      <formula>1</formula>
    </cfRule>
  </conditionalFormatting>
  <conditionalFormatting sqref="C16">
    <cfRule type="duplicateValues" dxfId="6805" priority="2579"/>
    <cfRule type="duplicateValues" dxfId="6804" priority="2580"/>
    <cfRule type="duplicateValues" dxfId="6803" priority="2581"/>
  </conditionalFormatting>
  <conditionalFormatting sqref="C27">
    <cfRule type="duplicateValues" dxfId="6802" priority="2576"/>
    <cfRule type="duplicateValues" dxfId="6801" priority="2577"/>
    <cfRule type="duplicateValues" dxfId="6800" priority="2578"/>
  </conditionalFormatting>
  <conditionalFormatting sqref="C64">
    <cfRule type="duplicateValues" dxfId="6799" priority="2573"/>
    <cfRule type="duplicateValues" dxfId="6798" priority="2574"/>
    <cfRule type="duplicateValues" dxfId="6797" priority="2575"/>
  </conditionalFormatting>
  <conditionalFormatting sqref="C24">
    <cfRule type="duplicateValues" dxfId="6796" priority="2570"/>
    <cfRule type="duplicateValues" dxfId="6795" priority="2571"/>
    <cfRule type="duplicateValues" dxfId="6794" priority="2572"/>
  </conditionalFormatting>
  <conditionalFormatting sqref="F16">
    <cfRule type="top10" dxfId="6793" priority="2569" rank="10"/>
  </conditionalFormatting>
  <conditionalFormatting sqref="I36:R36">
    <cfRule type="cellIs" dxfId="6792" priority="2567" operator="equal">
      <formula>4</formula>
    </cfRule>
    <cfRule type="cellIs" dxfId="6791" priority="2568" operator="equal">
      <formula>3</formula>
    </cfRule>
  </conditionalFormatting>
  <conditionalFormatting sqref="G71:S71">
    <cfRule type="cellIs" dxfId="6790" priority="2565" operator="equal">
      <formula>4</formula>
    </cfRule>
    <cfRule type="cellIs" dxfId="6789" priority="2566" operator="equal">
      <formula>3</formula>
    </cfRule>
  </conditionalFormatting>
  <conditionalFormatting sqref="G71:S71">
    <cfRule type="cellIs" dxfId="6788" priority="2564" operator="equal">
      <formula>1</formula>
    </cfRule>
  </conditionalFormatting>
  <conditionalFormatting sqref="CV62:DT62">
    <cfRule type="cellIs" dxfId="6787" priority="2563" operator="equal">
      <formula>1</formula>
    </cfRule>
  </conditionalFormatting>
  <conditionalFormatting sqref="J27">
    <cfRule type="cellIs" dxfId="6786" priority="2562" operator="equal">
      <formula>1</formula>
    </cfRule>
  </conditionalFormatting>
  <conditionalFormatting sqref="J21 G20:G21">
    <cfRule type="top10" dxfId="6785" priority="2560" rank="10"/>
    <cfRule type="cellIs" dxfId="6784" priority="2561" operator="equal">
      <formula>1</formula>
    </cfRule>
  </conditionalFormatting>
  <conditionalFormatting sqref="G27 J27">
    <cfRule type="top10" dxfId="6783" priority="2559" rank="10"/>
  </conditionalFormatting>
  <conditionalFormatting sqref="G41 J41">
    <cfRule type="top10" dxfId="6782" priority="2558" rank="10"/>
  </conditionalFormatting>
  <conditionalFormatting sqref="G23:H23">
    <cfRule type="cellIs" dxfId="6781" priority="2557" operator="equal">
      <formula>1</formula>
    </cfRule>
  </conditionalFormatting>
  <conditionalFormatting sqref="G77:H77">
    <cfRule type="top10" dxfId="6780" priority="2550" rank="10"/>
    <cfRule type="cellIs" dxfId="6779" priority="2551" operator="equal">
      <formula>1</formula>
    </cfRule>
    <cfRule type="top10" dxfId="6778" priority="2552" rank="10"/>
    <cfRule type="cellIs" dxfId="6777" priority="2553" operator="equal">
      <formula>1</formula>
    </cfRule>
    <cfRule type="top10" dxfId="6776" priority="2554" rank="10"/>
    <cfRule type="cellIs" dxfId="6775" priority="2555" operator="equal">
      <formula>3</formula>
    </cfRule>
    <cfRule type="cellIs" dxfId="6774" priority="2556" operator="equal">
      <formula>4</formula>
    </cfRule>
  </conditionalFormatting>
  <conditionalFormatting sqref="G29:I29">
    <cfRule type="top10" dxfId="6773" priority="2540" rank="10"/>
    <cfRule type="cellIs" dxfId="6772" priority="2541" operator="equal">
      <formula>1</formula>
    </cfRule>
    <cfRule type="top10" dxfId="6771" priority="2542" rank="10"/>
    <cfRule type="cellIs" dxfId="6770" priority="2543" operator="equal">
      <formula>1</formula>
    </cfRule>
    <cfRule type="top10" dxfId="6769" priority="2544" rank="10"/>
    <cfRule type="cellIs" dxfId="6768" priority="2545" operator="equal">
      <formula>3</formula>
    </cfRule>
    <cfRule type="cellIs" dxfId="6767" priority="2546" operator="equal">
      <formula>4</formula>
    </cfRule>
    <cfRule type="top10" dxfId="6766" priority="2547" rank="10"/>
    <cfRule type="top10" dxfId="6765" priority="2548" rank="10"/>
    <cfRule type="cellIs" dxfId="6764" priority="2549" operator="equal">
      <formula>1</formula>
    </cfRule>
  </conditionalFormatting>
  <conditionalFormatting sqref="G34:I34">
    <cfRule type="top10" dxfId="6763" priority="2530" rank="10"/>
    <cfRule type="cellIs" dxfId="6762" priority="2531" operator="equal">
      <formula>1</formula>
    </cfRule>
    <cfRule type="top10" dxfId="6761" priority="2532" rank="10"/>
    <cfRule type="cellIs" dxfId="6760" priority="2533" operator="equal">
      <formula>1</formula>
    </cfRule>
    <cfRule type="top10" dxfId="6759" priority="2534" rank="10"/>
    <cfRule type="cellIs" dxfId="6758" priority="2535" operator="equal">
      <formula>3</formula>
    </cfRule>
    <cfRule type="cellIs" dxfId="6757" priority="2536" operator="equal">
      <formula>4</formula>
    </cfRule>
    <cfRule type="top10" dxfId="6756" priority="2537" rank="10"/>
    <cfRule type="top10" dxfId="6755" priority="2538" rank="10"/>
    <cfRule type="cellIs" dxfId="6754" priority="2539" operator="equal">
      <formula>1</formula>
    </cfRule>
  </conditionalFormatting>
  <conditionalFormatting sqref="H81 H78:H79 H35:H36 I36 H38:H40 H42 H45:H48 H69:H70">
    <cfRule type="top10" dxfId="6753" priority="2529" rank="10"/>
  </conditionalFormatting>
  <conditionalFormatting sqref="H70">
    <cfRule type="cellIs" dxfId="6752" priority="2526" operator="equal">
      <formula>4</formula>
    </cfRule>
    <cfRule type="cellIs" dxfId="6751" priority="2527" operator="equal">
      <formula>3</formula>
    </cfRule>
    <cfRule type="top10" dxfId="6750" priority="2528" rank="10"/>
  </conditionalFormatting>
  <conditionalFormatting sqref="H41">
    <cfRule type="cellIs" dxfId="6749" priority="2517" operator="equal">
      <formula>1</formula>
    </cfRule>
    <cfRule type="top10" dxfId="6748" priority="2518" rank="10"/>
    <cfRule type="top10" dxfId="6747" priority="2519" rank="10"/>
    <cfRule type="cellIs" dxfId="6746" priority="2520" operator="equal">
      <formula>4</formula>
    </cfRule>
    <cfRule type="cellIs" dxfId="6745" priority="2521" operator="equal">
      <formula>3</formula>
    </cfRule>
    <cfRule type="top10" dxfId="6744" priority="2522" rank="10"/>
    <cfRule type="cellIs" dxfId="6743" priority="2523" operator="equal">
      <formula>1</formula>
    </cfRule>
    <cfRule type="top10" dxfId="6742" priority="2524" rank="10"/>
    <cfRule type="top10" dxfId="6741" priority="2525" rank="10"/>
  </conditionalFormatting>
  <conditionalFormatting sqref="G80:H80 H52:H54">
    <cfRule type="top10" dxfId="6740" priority="2510" rank="10"/>
    <cfRule type="cellIs" dxfId="6739" priority="2511" operator="equal">
      <formula>1</formula>
    </cfRule>
    <cfRule type="top10" dxfId="6738" priority="2512" rank="10"/>
    <cfRule type="cellIs" dxfId="6737" priority="2513" operator="equal">
      <formula>1</formula>
    </cfRule>
    <cfRule type="top10" dxfId="6736" priority="2514" rank="10"/>
    <cfRule type="cellIs" dxfId="6735" priority="2515" operator="equal">
      <formula>3</formula>
    </cfRule>
    <cfRule type="cellIs" dxfId="6734" priority="2516" operator="equal">
      <formula>4</formula>
    </cfRule>
  </conditionalFormatting>
  <conditionalFormatting sqref="H29:I29 I69:J70 J42:J49 BS78:BS81 J77:J81 I71:I81 I38:J41 G30:I33 I42:I61 BR16:BS16 BR19:BS46">
    <cfRule type="cellIs" dxfId="6733" priority="2508" operator="equal">
      <formula>3</formula>
    </cfRule>
    <cfRule type="cellIs" dxfId="6732" priority="2509" operator="equal">
      <formula>4</formula>
    </cfRule>
  </conditionalFormatting>
  <conditionalFormatting sqref="H29:I29">
    <cfRule type="top10" dxfId="6731" priority="2506" rank="10"/>
    <cfRule type="cellIs" dxfId="6730" priority="2507" operator="equal">
      <formula>1</formula>
    </cfRule>
  </conditionalFormatting>
  <conditionalFormatting sqref="H34:I34">
    <cfRule type="top10" dxfId="6729" priority="2505" rank="10"/>
  </conditionalFormatting>
  <conditionalFormatting sqref="H35:H36 H42">
    <cfRule type="cellIs" dxfId="6728" priority="2504" operator="equal">
      <formula>1</formula>
    </cfRule>
  </conditionalFormatting>
  <conditionalFormatting sqref="J16">
    <cfRule type="top10" dxfId="6727" priority="2501" rank="10"/>
    <cfRule type="cellIs" dxfId="6726" priority="2502" operator="equal">
      <formula>1</formula>
    </cfRule>
  </conditionalFormatting>
  <conditionalFormatting sqref="J22:J24">
    <cfRule type="top10" dxfId="6725" priority="2499" rank="10"/>
    <cfRule type="cellIs" dxfId="6724" priority="2500" operator="equal">
      <formula>1</formula>
    </cfRule>
  </conditionalFormatting>
  <conditionalFormatting sqref="J23 G23:H23">
    <cfRule type="top10" dxfId="6723" priority="2495" rank="10"/>
    <cfRule type="top10" dxfId="6722" priority="2496" rank="10"/>
    <cfRule type="cellIs" dxfId="6721" priority="2497" operator="equal">
      <formula>4</formula>
    </cfRule>
    <cfRule type="cellIs" dxfId="6720" priority="2498" operator="equal">
      <formula>3</formula>
    </cfRule>
  </conditionalFormatting>
  <conditionalFormatting sqref="J25 J38 J48:J49 J72">
    <cfRule type="cellIs" dxfId="6719" priority="2494" operator="equal">
      <formula>1</formula>
    </cfRule>
  </conditionalFormatting>
  <conditionalFormatting sqref="J32">
    <cfRule type="top10" dxfId="6718" priority="2492" rank="10"/>
    <cfRule type="cellIs" dxfId="6717" priority="2493" operator="equal">
      <formula>1</formula>
    </cfRule>
  </conditionalFormatting>
  <conditionalFormatting sqref="J80:K80 J52:K55">
    <cfRule type="top10" dxfId="6716" priority="2485" rank="10"/>
    <cfRule type="cellIs" dxfId="6715" priority="2486" operator="equal">
      <formula>1</formula>
    </cfRule>
    <cfRule type="top10" dxfId="6714" priority="2487" rank="10"/>
    <cfRule type="cellIs" dxfId="6713" priority="2488" operator="equal">
      <formula>1</formula>
    </cfRule>
    <cfRule type="top10" dxfId="6712" priority="2489" rank="10"/>
    <cfRule type="cellIs" dxfId="6711" priority="2490" operator="equal">
      <formula>3</formula>
    </cfRule>
    <cfRule type="cellIs" dxfId="6710" priority="2491" operator="equal">
      <formula>4</formula>
    </cfRule>
  </conditionalFormatting>
  <conditionalFormatting sqref="K22">
    <cfRule type="top10" dxfId="6709" priority="2483" rank="10"/>
    <cfRule type="cellIs" dxfId="6708" priority="2484" operator="equal">
      <formula>1</formula>
    </cfRule>
  </conditionalFormatting>
  <conditionalFormatting sqref="F32:F33 J42:K42 K45">
    <cfRule type="cellIs" dxfId="6707" priority="2482" operator="equal">
      <formula>1</formula>
    </cfRule>
  </conditionalFormatting>
  <conditionalFormatting sqref="R22">
    <cfRule type="top10" dxfId="6706" priority="2480" rank="10"/>
    <cfRule type="cellIs" dxfId="6705" priority="2481" operator="equal">
      <formula>1</formula>
    </cfRule>
  </conditionalFormatting>
  <conditionalFormatting sqref="S16">
    <cfRule type="top10" dxfId="6704" priority="2479" rank="10"/>
  </conditionalFormatting>
  <conditionalFormatting sqref="S23">
    <cfRule type="cellIs" dxfId="6703" priority="2473" operator="equal">
      <formula>4</formula>
    </cfRule>
    <cfRule type="cellIs" dxfId="6702" priority="2474" operator="equal">
      <formula>3</formula>
    </cfRule>
    <cfRule type="top10" dxfId="6701" priority="2475" rank="10"/>
    <cfRule type="cellIs" dxfId="6700" priority="2476" operator="equal">
      <formula>1</formula>
    </cfRule>
    <cfRule type="top10" dxfId="6699" priority="2477" rank="10"/>
    <cfRule type="cellIs" dxfId="6698" priority="2478" operator="equal">
      <formula>1</formula>
    </cfRule>
  </conditionalFormatting>
  <conditionalFormatting sqref="S47">
    <cfRule type="top10" dxfId="6697" priority="2468" rank="10"/>
    <cfRule type="cellIs" dxfId="6696" priority="2469" operator="equal">
      <formula>1</formula>
    </cfRule>
    <cfRule type="top10" dxfId="6695" priority="2470" rank="10"/>
    <cfRule type="cellIs" dxfId="6694" priority="2471" operator="equal">
      <formula>4</formula>
    </cfRule>
    <cfRule type="cellIs" dxfId="6693" priority="2472" operator="equal">
      <formula>3</formula>
    </cfRule>
  </conditionalFormatting>
  <conditionalFormatting sqref="S48">
    <cfRule type="top10" dxfId="6692" priority="2464" rank="10"/>
    <cfRule type="cellIs" dxfId="6691" priority="2465" operator="equal">
      <formula>1</formula>
    </cfRule>
    <cfRule type="top10" dxfId="6690" priority="2466" rank="10"/>
    <cfRule type="cellIs" dxfId="6689" priority="2467" operator="equal">
      <formula>1</formula>
    </cfRule>
  </conditionalFormatting>
  <conditionalFormatting sqref="S41">
    <cfRule type="top10" dxfId="6688" priority="2457" rank="10"/>
    <cfRule type="cellIs" dxfId="6687" priority="2458" operator="equal">
      <formula>1</formula>
    </cfRule>
    <cfRule type="top10" dxfId="6686" priority="2459" rank="10"/>
    <cfRule type="cellIs" dxfId="6685" priority="2460" operator="equal">
      <formula>1</formula>
    </cfRule>
    <cfRule type="top10" dxfId="6684" priority="2461" rank="10"/>
    <cfRule type="cellIs" dxfId="6683" priority="2462" operator="equal">
      <formula>4</formula>
    </cfRule>
    <cfRule type="cellIs" dxfId="6682" priority="2463" operator="equal">
      <formula>3</formula>
    </cfRule>
  </conditionalFormatting>
  <conditionalFormatting sqref="AC19:AE19 BJ16:BK16 H23 BD19:BK19">
    <cfRule type="cellIs" dxfId="6681" priority="2456" operator="equal">
      <formula>1</formula>
    </cfRule>
  </conditionalFormatting>
  <conditionalFormatting sqref="S76">
    <cfRule type="top10" dxfId="6680" priority="2452" rank="10"/>
    <cfRule type="cellIs" dxfId="6679" priority="2453" operator="equal">
      <formula>1</formula>
    </cfRule>
    <cfRule type="top10" dxfId="6678" priority="2454" rank="10"/>
    <cfRule type="cellIs" dxfId="6677" priority="2455" operator="equal">
      <formula>1</formula>
    </cfRule>
  </conditionalFormatting>
  <conditionalFormatting sqref="S41 CV62:DT62">
    <cfRule type="cellIs" dxfId="6676" priority="2450" operator="equal">
      <formula>4</formula>
    </cfRule>
    <cfRule type="cellIs" dxfId="6675" priority="2451" operator="equal">
      <formula>3</formula>
    </cfRule>
  </conditionalFormatting>
  <conditionalFormatting sqref="S20 AC20">
    <cfRule type="top10" dxfId="6674" priority="2448" rank="10"/>
    <cfRule type="cellIs" dxfId="6673" priority="2449" operator="equal">
      <formula>1</formula>
    </cfRule>
  </conditionalFormatting>
  <conditionalFormatting sqref="S27:S29 AC27:AC29 V27 CX37:CX38 CX41 CG47:CG49 CG41 CX78:CX81">
    <cfRule type="cellIs" dxfId="6672" priority="2445" operator="equal">
      <formula>1</formula>
    </cfRule>
    <cfRule type="cellIs" dxfId="6671" priority="2446" operator="equal">
      <formula>4</formula>
    </cfRule>
    <cfRule type="cellIs" dxfId="6670" priority="2447" operator="equal">
      <formula>3</formula>
    </cfRule>
  </conditionalFormatting>
  <conditionalFormatting sqref="S29 AC29">
    <cfRule type="cellIs" dxfId="6669" priority="2440" operator="equal">
      <formula>4</formula>
    </cfRule>
    <cfRule type="cellIs" dxfId="6668" priority="2441" operator="equal">
      <formula>3</formula>
    </cfRule>
    <cfRule type="top10" dxfId="6667" priority="2442" rank="10"/>
    <cfRule type="cellIs" dxfId="6666" priority="2443" operator="equal">
      <formula>1</formula>
    </cfRule>
    <cfRule type="top10" dxfId="6665" priority="2444" rank="10"/>
  </conditionalFormatting>
  <conditionalFormatting sqref="S48:S49 AC48:AC49">
    <cfRule type="cellIs" dxfId="6664" priority="2438" operator="equal">
      <formula>4</formula>
    </cfRule>
    <cfRule type="cellIs" dxfId="6663" priority="2439" operator="equal">
      <formula>3</formula>
    </cfRule>
  </conditionalFormatting>
  <conditionalFormatting sqref="S41 F41 AC41:AE41 AP41:AQ41">
    <cfRule type="top10" dxfId="6662" priority="2437" rank="10"/>
  </conditionalFormatting>
  <conditionalFormatting sqref="S27 V27">
    <cfRule type="top10" dxfId="6661" priority="2435" rank="10"/>
    <cfRule type="top10" dxfId="6660" priority="2436" rank="10"/>
  </conditionalFormatting>
  <conditionalFormatting sqref="AC48">
    <cfRule type="top10" dxfId="6659" priority="2431" rank="10"/>
    <cfRule type="cellIs" dxfId="6658" priority="2432" operator="equal">
      <formula>1</formula>
    </cfRule>
    <cfRule type="top10" dxfId="6657" priority="2433" rank="10"/>
    <cfRule type="cellIs" dxfId="6656" priority="2434" operator="equal">
      <formula>1</formula>
    </cfRule>
  </conditionalFormatting>
  <conditionalFormatting sqref="AC16">
    <cfRule type="top10" dxfId="6655" priority="2430" rank="10"/>
  </conditionalFormatting>
  <conditionalFormatting sqref="AC27:AC28 S27:S28 V27">
    <cfRule type="top10" dxfId="6654" priority="2428" rank="10"/>
    <cfRule type="top10" dxfId="6653" priority="2429" rank="10"/>
  </conditionalFormatting>
  <conditionalFormatting sqref="AC48:AC49">
    <cfRule type="cellIs" dxfId="6652" priority="2426" operator="equal">
      <formula>4</formula>
    </cfRule>
    <cfRule type="cellIs" dxfId="6651" priority="2427" operator="equal">
      <formula>3</formula>
    </cfRule>
  </conditionalFormatting>
  <conditionalFormatting sqref="AC45:AE47">
    <cfRule type="top10" dxfId="6650" priority="2424" rank="10"/>
    <cfRule type="top10" dxfId="6649" priority="2425" rank="10"/>
  </conditionalFormatting>
  <conditionalFormatting sqref="AC75:AE75">
    <cfRule type="cellIs" dxfId="6648" priority="2423" operator="equal">
      <formula>1</formula>
    </cfRule>
  </conditionalFormatting>
  <conditionalFormatting sqref="AC77:AE77 AC50:AE50">
    <cfRule type="top10" dxfId="6647" priority="2421" rank="10"/>
    <cfRule type="top10" dxfId="6646" priority="2422" rank="10"/>
  </conditionalFormatting>
  <conditionalFormatting sqref="AC16:BK16 DC42:DD46 DC78:DD78 CX41 CV16:CX16 AP69:BW81 CX71:CX81 DJ69:DM81 DE69:DH81 DC22:DD38 CX49:CX61 DE16:DH16 DJ16:DQ16 AP19:BW61 DJ19:DM61 DE19:DH61 DN19:DQ21 CV19:CX19">
    <cfRule type="cellIs" dxfId="6645" priority="2420" operator="equal">
      <formula>4</formula>
    </cfRule>
  </conditionalFormatting>
  <conditionalFormatting sqref="AC16:BK16 DC42:DD46 DC78:DD78 CX49 BD19:BF20 CX16 CX71 DC22:DD38 CX19:CX25">
    <cfRule type="cellIs" dxfId="6644" priority="2418" operator="equal">
      <formula>1</formula>
    </cfRule>
    <cfRule type="cellIs" dxfId="6643" priority="2419" operator="equal">
      <formula>3</formula>
    </cfRule>
  </conditionalFormatting>
  <conditionalFormatting sqref="AD23:AD24">
    <cfRule type="cellIs" dxfId="6642" priority="2410" operator="equal">
      <formula>4</formula>
    </cfRule>
    <cfRule type="cellIs" dxfId="6641" priority="2411" operator="equal">
      <formula>3</formula>
    </cfRule>
    <cfRule type="top10" dxfId="6640" priority="2412" rank="10"/>
    <cfRule type="cellIs" dxfId="6639" priority="2413" operator="equal">
      <formula>1</formula>
    </cfRule>
    <cfRule type="top10" dxfId="6638" priority="2414" rank="10"/>
    <cfRule type="cellIs" dxfId="6637" priority="2415" operator="equal">
      <formula>1</formula>
    </cfRule>
    <cfRule type="cellIs" dxfId="6636" priority="2416" operator="equal">
      <formula>4</formula>
    </cfRule>
    <cfRule type="cellIs" dxfId="6635" priority="2417" operator="equal">
      <formula>3</formula>
    </cfRule>
  </conditionalFormatting>
  <conditionalFormatting sqref="AD25">
    <cfRule type="top10" dxfId="6634" priority="2408" rank="10"/>
    <cfRule type="top10" dxfId="6633" priority="2409" rank="10"/>
  </conditionalFormatting>
  <conditionalFormatting sqref="AD29">
    <cfRule type="top10" dxfId="6632" priority="2406" rank="10"/>
    <cfRule type="top10" dxfId="6631" priority="2407" rank="10"/>
  </conditionalFormatting>
  <conditionalFormatting sqref="AD81 AD39">
    <cfRule type="top10" dxfId="6630" priority="2404" rank="10"/>
    <cfRule type="top10" dxfId="6629" priority="2405" rank="10"/>
  </conditionalFormatting>
  <conditionalFormatting sqref="AD49">
    <cfRule type="top10" dxfId="6628" priority="2402" rank="10"/>
    <cfRule type="top10" dxfId="6627" priority="2403" rank="10"/>
  </conditionalFormatting>
  <conditionalFormatting sqref="AD75:AD76">
    <cfRule type="top10" dxfId="6626" priority="2400" rank="10"/>
    <cfRule type="top10" dxfId="6625" priority="2401" rank="10"/>
  </conditionalFormatting>
  <conditionalFormatting sqref="AD41">
    <cfRule type="cellIs" dxfId="6624" priority="2391" operator="equal">
      <formula>4</formula>
    </cfRule>
    <cfRule type="cellIs" dxfId="6623" priority="2392" operator="equal">
      <formula>3</formula>
    </cfRule>
    <cfRule type="top10" dxfId="6622" priority="2393" rank="10"/>
    <cfRule type="cellIs" dxfId="6621" priority="2394" operator="equal">
      <formula>1</formula>
    </cfRule>
    <cfRule type="top10" dxfId="6620" priority="2395" rank="10"/>
    <cfRule type="cellIs" dxfId="6619" priority="2396" operator="equal">
      <formula>4</formula>
    </cfRule>
    <cfRule type="cellIs" dxfId="6618" priority="2397" operator="equal">
      <formula>3</formula>
    </cfRule>
    <cfRule type="cellIs" dxfId="6617" priority="2398" operator="equal">
      <formula>1</formula>
    </cfRule>
    <cfRule type="top10" dxfId="6616" priority="2399" rank="10"/>
  </conditionalFormatting>
  <conditionalFormatting sqref="AD20:AE21">
    <cfRule type="top10" dxfId="6615" priority="2389" rank="10"/>
    <cfRule type="cellIs" dxfId="6614" priority="2390" operator="equal">
      <formula>1</formula>
    </cfRule>
  </conditionalFormatting>
  <conditionalFormatting sqref="AD21:AE21">
    <cfRule type="top10" dxfId="6613" priority="2383" rank="10"/>
    <cfRule type="cellIs" dxfId="6612" priority="2384" operator="equal">
      <formula>1</formula>
    </cfRule>
    <cfRule type="top10" dxfId="6611" priority="2385" rank="10"/>
    <cfRule type="cellIs" dxfId="6610" priority="2386" operator="equal">
      <formula>1</formula>
    </cfRule>
    <cfRule type="cellIs" dxfId="6609" priority="2387" operator="equal">
      <formula>4</formula>
    </cfRule>
    <cfRule type="cellIs" dxfId="6608" priority="2388" operator="equal">
      <formula>3</formula>
    </cfRule>
  </conditionalFormatting>
  <conditionalFormatting sqref="AD22:AE22">
    <cfRule type="cellIs" dxfId="6607" priority="2377" operator="equal">
      <formula>4</formula>
    </cfRule>
    <cfRule type="cellIs" dxfId="6606" priority="2378" operator="equal">
      <formula>3</formula>
    </cfRule>
    <cfRule type="top10" dxfId="6605" priority="2379" rank="10"/>
    <cfRule type="cellIs" dxfId="6604" priority="2380" operator="equal">
      <formula>1</formula>
    </cfRule>
    <cfRule type="top10" dxfId="6603" priority="2381" rank="10"/>
    <cfRule type="cellIs" dxfId="6602" priority="2382" operator="equal">
      <formula>1</formula>
    </cfRule>
  </conditionalFormatting>
  <conditionalFormatting sqref="AD34:AE35">
    <cfRule type="top10" dxfId="6601" priority="2375" rank="10"/>
    <cfRule type="top10" dxfId="6600" priority="2376" rank="10"/>
  </conditionalFormatting>
  <conditionalFormatting sqref="AD69:AE70 AD48:AE48">
    <cfRule type="top10" dxfId="6599" priority="2373" rank="10"/>
    <cfRule type="top10" dxfId="6598" priority="2374" rank="10"/>
  </conditionalFormatting>
  <conditionalFormatting sqref="AD70:AE70 AP70">
    <cfRule type="top10" dxfId="6597" priority="2371" rank="10"/>
    <cfRule type="cellIs" dxfId="6596" priority="2372" operator="equal">
      <formula>1</formula>
    </cfRule>
  </conditionalFormatting>
  <conditionalFormatting sqref="AE16">
    <cfRule type="top10" dxfId="6595" priority="2370" rank="10"/>
  </conditionalFormatting>
  <conditionalFormatting sqref="AE23:AE24">
    <cfRule type="top10" dxfId="6594" priority="2368" rank="10"/>
    <cfRule type="top10" dxfId="6593" priority="2369" rank="10"/>
  </conditionalFormatting>
  <conditionalFormatting sqref="AE24 AE48:AE49">
    <cfRule type="cellIs" dxfId="6592" priority="2367" operator="equal">
      <formula>1</formula>
    </cfRule>
  </conditionalFormatting>
  <conditionalFormatting sqref="AE24">
    <cfRule type="cellIs" dxfId="6591" priority="2365" operator="equal">
      <formula>4</formula>
    </cfRule>
    <cfRule type="cellIs" dxfId="6590" priority="2366" operator="equal">
      <formula>3</formula>
    </cfRule>
  </conditionalFormatting>
  <conditionalFormatting sqref="AE48 AE24">
    <cfRule type="top10" dxfId="6589" priority="2363" rank="10"/>
    <cfRule type="top10" dxfId="6588" priority="2364" rank="10"/>
  </conditionalFormatting>
  <conditionalFormatting sqref="AE48:AE49">
    <cfRule type="cellIs" dxfId="6587" priority="2361" operator="equal">
      <formula>4</formula>
    </cfRule>
    <cfRule type="cellIs" dxfId="6586" priority="2362" operator="equal">
      <formula>3</formula>
    </cfRule>
  </conditionalFormatting>
  <conditionalFormatting sqref="AM16:AO16 CX41:DB41 AP69:BW81 CX72:DB81 DJ69:DM81 DE69:DH81 CX50:DB61 DE16:DH16 DJ16:DQ16 AP19:BW61 DJ19:DM61 DE19:DH61 DN19:DQ21">
    <cfRule type="cellIs" dxfId="6585" priority="2360" operator="equal">
      <formula>3</formula>
    </cfRule>
  </conditionalFormatting>
  <conditionalFormatting sqref="AP16">
    <cfRule type="top10" dxfId="6584" priority="2359" rank="10"/>
  </conditionalFormatting>
  <conditionalFormatting sqref="AP27">
    <cfRule type="top10" dxfId="6583" priority="2357" rank="10"/>
    <cfRule type="cellIs" dxfId="6582" priority="2358" operator="equal">
      <formula>1</formula>
    </cfRule>
  </conditionalFormatting>
  <conditionalFormatting sqref="AP27:AP28">
    <cfRule type="cellIs" dxfId="6581" priority="2355" operator="equal">
      <formula>4</formula>
    </cfRule>
    <cfRule type="cellIs" dxfId="6580" priority="2356" operator="equal">
      <formula>3</formula>
    </cfRule>
  </conditionalFormatting>
  <conditionalFormatting sqref="AP28">
    <cfRule type="top10" dxfId="6579" priority="2353" rank="10"/>
    <cfRule type="cellIs" dxfId="6578" priority="2354" operator="equal">
      <formula>1</formula>
    </cfRule>
  </conditionalFormatting>
  <conditionalFormatting sqref="AP70">
    <cfRule type="cellIs" dxfId="6577" priority="2351" operator="equal">
      <formula>4</formula>
    </cfRule>
    <cfRule type="cellIs" dxfId="6576" priority="2352" operator="equal">
      <formula>3</formula>
    </cfRule>
  </conditionalFormatting>
  <conditionalFormatting sqref="AP75">
    <cfRule type="cellIs" dxfId="6575" priority="2348" operator="equal">
      <formula>4</formula>
    </cfRule>
    <cfRule type="cellIs" dxfId="6574" priority="2349" operator="equal">
      <formula>3</formula>
    </cfRule>
    <cfRule type="top10" dxfId="6573" priority="2350" rank="10"/>
  </conditionalFormatting>
  <conditionalFormatting sqref="AP58:AP59">
    <cfRule type="top10" dxfId="6572" priority="2344" rank="10"/>
    <cfRule type="top10" dxfId="6571" priority="2345" rank="10"/>
    <cfRule type="cellIs" dxfId="6570" priority="2346" operator="equal">
      <formula>4</formula>
    </cfRule>
    <cfRule type="cellIs" dxfId="6569" priority="2347" operator="equal">
      <formula>3</formula>
    </cfRule>
  </conditionalFormatting>
  <conditionalFormatting sqref="AP19:AQ19">
    <cfRule type="top10" dxfId="6568" priority="2342" rank="10"/>
    <cfRule type="cellIs" dxfId="6567" priority="2343" operator="equal">
      <formula>1</formula>
    </cfRule>
  </conditionalFormatting>
  <conditionalFormatting sqref="AP20:AQ20">
    <cfRule type="top10" dxfId="6566" priority="2341" rank="10"/>
  </conditionalFormatting>
  <conditionalFormatting sqref="AP32:AQ32">
    <cfRule type="cellIs" dxfId="6565" priority="2337" operator="equal">
      <formula>4</formula>
    </cfRule>
    <cfRule type="cellIs" dxfId="6564" priority="2338" operator="equal">
      <formula>3</formula>
    </cfRule>
    <cfRule type="top10" dxfId="6563" priority="2339" rank="10"/>
    <cfRule type="cellIs" dxfId="6562" priority="2340" operator="equal">
      <formula>1</formula>
    </cfRule>
  </conditionalFormatting>
  <conditionalFormatting sqref="AP43:AQ43">
    <cfRule type="cellIs" dxfId="6561" priority="2333" operator="equal">
      <formula>4</formula>
    </cfRule>
    <cfRule type="cellIs" dxfId="6560" priority="2334" operator="equal">
      <formula>3</formula>
    </cfRule>
    <cfRule type="top10" dxfId="6559" priority="2335" rank="10"/>
    <cfRule type="cellIs" dxfId="6558" priority="2336" operator="equal">
      <formula>1</formula>
    </cfRule>
  </conditionalFormatting>
  <conditionalFormatting sqref="AP46:AQ46">
    <cfRule type="cellIs" dxfId="6557" priority="2329" operator="equal">
      <formula>4</formula>
    </cfRule>
    <cfRule type="cellIs" dxfId="6556" priority="2330" operator="equal">
      <formula>3</formula>
    </cfRule>
    <cfRule type="top10" dxfId="6555" priority="2331" rank="10"/>
    <cfRule type="cellIs" dxfId="6554" priority="2332" operator="equal">
      <formula>1</formula>
    </cfRule>
  </conditionalFormatting>
  <conditionalFormatting sqref="BD48:BH49">
    <cfRule type="cellIs" dxfId="6553" priority="2328" operator="equal">
      <formula>1</formula>
    </cfRule>
  </conditionalFormatting>
  <conditionalFormatting sqref="AP48:AQ48 BD48:BH48">
    <cfRule type="cellIs" dxfId="6552" priority="2323" operator="equal">
      <formula>4</formula>
    </cfRule>
    <cfRule type="cellIs" dxfId="6551" priority="2324" operator="equal">
      <formula>3</formula>
    </cfRule>
    <cfRule type="top10" dxfId="6550" priority="2325" rank="10"/>
    <cfRule type="cellIs" dxfId="6549" priority="2326" operator="equal">
      <formula>4</formula>
    </cfRule>
    <cfRule type="cellIs" dxfId="6548" priority="2327" operator="equal">
      <formula>3</formula>
    </cfRule>
  </conditionalFormatting>
  <conditionalFormatting sqref="AP75:AQ75">
    <cfRule type="cellIs" dxfId="6547" priority="2322" operator="equal">
      <formula>1</formula>
    </cfRule>
  </conditionalFormatting>
  <conditionalFormatting sqref="AP16:BD16">
    <cfRule type="cellIs" dxfId="6546" priority="2321" operator="equal">
      <formula>1</formula>
    </cfRule>
  </conditionalFormatting>
  <conditionalFormatting sqref="BJ16 DI27:DI29 AD70:AE70 AC75:AE75">
    <cfRule type="cellIs" dxfId="6545" priority="2320" operator="equal">
      <formula>3</formula>
    </cfRule>
  </conditionalFormatting>
  <conditionalFormatting sqref="AQ24:AQ25">
    <cfRule type="top10" dxfId="6544" priority="2314" rank="10"/>
    <cfRule type="cellIs" dxfId="6543" priority="2315" operator="equal">
      <formula>1</formula>
    </cfRule>
    <cfRule type="top10" dxfId="6542" priority="2316" rank="10"/>
    <cfRule type="cellIs" dxfId="6541" priority="2317" operator="equal">
      <formula>1</formula>
    </cfRule>
    <cfRule type="cellIs" dxfId="6540" priority="2318" operator="equal">
      <formula>4</formula>
    </cfRule>
    <cfRule type="cellIs" dxfId="6539" priority="2319" operator="equal">
      <formula>3</formula>
    </cfRule>
  </conditionalFormatting>
  <conditionalFormatting sqref="AR28:AS28">
    <cfRule type="top10" dxfId="6538" priority="2308" rank="10"/>
    <cfRule type="cellIs" dxfId="6537" priority="2309" operator="equal">
      <formula>1</formula>
    </cfRule>
    <cfRule type="top10" dxfId="6536" priority="2310" rank="10"/>
    <cfRule type="cellIs" dxfId="6535" priority="2311" operator="equal">
      <formula>1</formula>
    </cfRule>
    <cfRule type="cellIs" dxfId="6534" priority="2312" operator="equal">
      <formula>4</formula>
    </cfRule>
    <cfRule type="cellIs" dxfId="6533" priority="2313" operator="equal">
      <formula>3</formula>
    </cfRule>
  </conditionalFormatting>
  <conditionalFormatting sqref="AS16">
    <cfRule type="cellIs" dxfId="6532" priority="2306" operator="equal">
      <formula>3</formula>
    </cfRule>
    <cfRule type="top10" dxfId="6531" priority="2307" rank="10"/>
  </conditionalFormatting>
  <conditionalFormatting sqref="AU28:AV28">
    <cfRule type="top10" dxfId="6530" priority="2300" rank="10"/>
    <cfRule type="cellIs" dxfId="6529" priority="2301" operator="equal">
      <formula>1</formula>
    </cfRule>
    <cfRule type="top10" dxfId="6528" priority="2302" rank="10"/>
    <cfRule type="cellIs" dxfId="6527" priority="2303" operator="equal">
      <formula>1</formula>
    </cfRule>
    <cfRule type="cellIs" dxfId="6526" priority="2304" operator="equal">
      <formula>4</formula>
    </cfRule>
    <cfRule type="cellIs" dxfId="6525" priority="2305" operator="equal">
      <formula>3</formula>
    </cfRule>
  </conditionalFormatting>
  <conditionalFormatting sqref="AU16:AW16">
    <cfRule type="cellIs" dxfId="6524" priority="2297" operator="equal">
      <formula>3</formula>
    </cfRule>
    <cfRule type="top10" dxfId="6523" priority="2298" rank="10"/>
    <cfRule type="cellIs" dxfId="6522" priority="2299" operator="equal">
      <formula>1</formula>
    </cfRule>
  </conditionalFormatting>
  <conditionalFormatting sqref="AX27:AX29">
    <cfRule type="top10" dxfId="6521" priority="2291" rank="10"/>
    <cfRule type="cellIs" dxfId="6520" priority="2292" operator="equal">
      <formula>1</formula>
    </cfRule>
    <cfRule type="top10" dxfId="6519" priority="2293" rank="10"/>
    <cfRule type="cellIs" dxfId="6518" priority="2294" operator="equal">
      <formula>1</formula>
    </cfRule>
    <cfRule type="cellIs" dxfId="6517" priority="2295" operator="equal">
      <formula>4</formula>
    </cfRule>
    <cfRule type="cellIs" dxfId="6516" priority="2296" operator="equal">
      <formula>3</formula>
    </cfRule>
  </conditionalFormatting>
  <conditionalFormatting sqref="AY16">
    <cfRule type="cellIs" dxfId="6515" priority="2289" operator="equal">
      <formula>3</formula>
    </cfRule>
    <cfRule type="cellIs" dxfId="6514" priority="2290" operator="equal">
      <formula>1</formula>
    </cfRule>
  </conditionalFormatting>
  <conditionalFormatting sqref="AY28">
    <cfRule type="top10" dxfId="6513" priority="2283" rank="10"/>
    <cfRule type="cellIs" dxfId="6512" priority="2284" operator="equal">
      <formula>1</formula>
    </cfRule>
    <cfRule type="top10" dxfId="6511" priority="2285" rank="10"/>
    <cfRule type="cellIs" dxfId="6510" priority="2286" operator="equal">
      <formula>1</formula>
    </cfRule>
    <cfRule type="cellIs" dxfId="6509" priority="2287" operator="equal">
      <formula>4</formula>
    </cfRule>
    <cfRule type="cellIs" dxfId="6508" priority="2288" operator="equal">
      <formula>3</formula>
    </cfRule>
  </conditionalFormatting>
  <conditionalFormatting sqref="BD16">
    <cfRule type="cellIs" dxfId="6507" priority="2275" operator="equal">
      <formula>4</formula>
    </cfRule>
    <cfRule type="cellIs" dxfId="6506" priority="2276" operator="equal">
      <formula>3</formula>
    </cfRule>
    <cfRule type="top10" dxfId="6505" priority="2277" rank="10"/>
    <cfRule type="cellIs" dxfId="6504" priority="2278" operator="equal">
      <formula>1</formula>
    </cfRule>
    <cfRule type="top10" dxfId="6503" priority="2279" rank="10"/>
    <cfRule type="cellIs" dxfId="6502" priority="2280" operator="equal">
      <formula>4</formula>
    </cfRule>
    <cfRule type="cellIs" dxfId="6501" priority="2281" operator="equal">
      <formula>3</formula>
    </cfRule>
    <cfRule type="top10" dxfId="6500" priority="2282" rank="10"/>
  </conditionalFormatting>
  <conditionalFormatting sqref="BD22:BD23">
    <cfRule type="cellIs" dxfId="6499" priority="2267" operator="equal">
      <formula>4</formula>
    </cfRule>
    <cfRule type="cellIs" dxfId="6498" priority="2268" operator="equal">
      <formula>3</formula>
    </cfRule>
    <cfRule type="top10" dxfId="6497" priority="2269" rank="10"/>
    <cfRule type="cellIs" dxfId="6496" priority="2270" operator="equal">
      <formula>1</formula>
    </cfRule>
    <cfRule type="top10" dxfId="6495" priority="2271" rank="10"/>
    <cfRule type="cellIs" dxfId="6494" priority="2272" operator="equal">
      <formula>1</formula>
    </cfRule>
    <cfRule type="cellIs" dxfId="6493" priority="2273" operator="equal">
      <formula>4</formula>
    </cfRule>
    <cfRule type="cellIs" dxfId="6492" priority="2274" operator="equal">
      <formula>3</formula>
    </cfRule>
  </conditionalFormatting>
  <conditionalFormatting sqref="BD25">
    <cfRule type="top10" dxfId="6491" priority="2261" rank="10"/>
    <cfRule type="cellIs" dxfId="6490" priority="2262" operator="equal">
      <formula>1</formula>
    </cfRule>
    <cfRule type="top10" dxfId="6489" priority="2263" rank="10"/>
    <cfRule type="cellIs" dxfId="6488" priority="2264" operator="equal">
      <formula>1</formula>
    </cfRule>
    <cfRule type="cellIs" dxfId="6487" priority="2265" operator="equal">
      <formula>4</formula>
    </cfRule>
    <cfRule type="cellIs" dxfId="6486" priority="2266" operator="equal">
      <formula>3</formula>
    </cfRule>
  </conditionalFormatting>
  <conditionalFormatting sqref="BD27">
    <cfRule type="cellIs" dxfId="6485" priority="2253" operator="equal">
      <formula>4</formula>
    </cfRule>
    <cfRule type="cellIs" dxfId="6484" priority="2254" operator="equal">
      <formula>3</formula>
    </cfRule>
    <cfRule type="top10" dxfId="6483" priority="2255" rank="10"/>
    <cfRule type="cellIs" dxfId="6482" priority="2256" operator="equal">
      <formula>1</formula>
    </cfRule>
    <cfRule type="top10" dxfId="6481" priority="2257" rank="10"/>
    <cfRule type="cellIs" dxfId="6480" priority="2258" operator="equal">
      <formula>1</formula>
    </cfRule>
    <cfRule type="cellIs" dxfId="6479" priority="2259" operator="equal">
      <formula>4</formula>
    </cfRule>
    <cfRule type="cellIs" dxfId="6478" priority="2260" operator="equal">
      <formula>3</formula>
    </cfRule>
  </conditionalFormatting>
  <conditionalFormatting sqref="BD27:BD28">
    <cfRule type="top10" dxfId="6477" priority="2247" rank="10"/>
    <cfRule type="cellIs" dxfId="6476" priority="2248" operator="equal">
      <formula>1</formula>
    </cfRule>
    <cfRule type="top10" dxfId="6475" priority="2249" rank="10"/>
    <cfRule type="cellIs" dxfId="6474" priority="2250" operator="equal">
      <formula>1</formula>
    </cfRule>
    <cfRule type="cellIs" dxfId="6473" priority="2251" operator="equal">
      <formula>4</formula>
    </cfRule>
    <cfRule type="cellIs" dxfId="6472" priority="2252" operator="equal">
      <formula>3</formula>
    </cfRule>
  </conditionalFormatting>
  <conditionalFormatting sqref="BD20:BH20">
    <cfRule type="top10" dxfId="6471" priority="2245" rank="10"/>
    <cfRule type="cellIs" dxfId="6470" priority="2246" operator="equal">
      <formula>1</formula>
    </cfRule>
  </conditionalFormatting>
  <conditionalFormatting sqref="BD25:BH25">
    <cfRule type="cellIs" dxfId="6469" priority="2243" operator="equal">
      <formula>4</formula>
    </cfRule>
    <cfRule type="cellIs" dxfId="6468" priority="2244" operator="equal">
      <formula>3</formula>
    </cfRule>
  </conditionalFormatting>
  <conditionalFormatting sqref="BD75:BL75">
    <cfRule type="cellIs" dxfId="6467" priority="2242" operator="equal">
      <formula>1</formula>
    </cfRule>
  </conditionalFormatting>
  <conditionalFormatting sqref="BP41:BQ41 BD41:BL41">
    <cfRule type="top10" dxfId="6466" priority="2241" rank="10"/>
  </conditionalFormatting>
  <conditionalFormatting sqref="BE22:BE23">
    <cfRule type="cellIs" dxfId="6465" priority="2233" operator="equal">
      <formula>4</formula>
    </cfRule>
    <cfRule type="cellIs" dxfId="6464" priority="2234" operator="equal">
      <formula>3</formula>
    </cfRule>
    <cfRule type="top10" dxfId="6463" priority="2235" rank="10"/>
    <cfRule type="cellIs" dxfId="6462" priority="2236" operator="equal">
      <formula>1</formula>
    </cfRule>
    <cfRule type="top10" dxfId="6461" priority="2237" rank="10"/>
    <cfRule type="cellIs" dxfId="6460" priority="2238" operator="equal">
      <formula>1</formula>
    </cfRule>
    <cfRule type="cellIs" dxfId="6459" priority="2239" operator="equal">
      <formula>4</formula>
    </cfRule>
    <cfRule type="cellIs" dxfId="6458" priority="2240" operator="equal">
      <formula>3</formula>
    </cfRule>
  </conditionalFormatting>
  <conditionalFormatting sqref="BE28">
    <cfRule type="top10" dxfId="6457" priority="2227" rank="10"/>
    <cfRule type="cellIs" dxfId="6456" priority="2228" operator="equal">
      <formula>1</formula>
    </cfRule>
    <cfRule type="top10" dxfId="6455" priority="2229" rank="10"/>
    <cfRule type="cellIs" dxfId="6454" priority="2230" operator="equal">
      <formula>1</formula>
    </cfRule>
    <cfRule type="cellIs" dxfId="6453" priority="2231" operator="equal">
      <formula>4</formula>
    </cfRule>
    <cfRule type="cellIs" dxfId="6452" priority="2232" operator="equal">
      <formula>3</formula>
    </cfRule>
  </conditionalFormatting>
  <conditionalFormatting sqref="BE46">
    <cfRule type="cellIs" dxfId="6451" priority="2226" operator="equal">
      <formula>1</formula>
    </cfRule>
  </conditionalFormatting>
  <conditionalFormatting sqref="BE69">
    <cfRule type="cellIs" dxfId="6450" priority="2219" operator="equal">
      <formula>4</formula>
    </cfRule>
    <cfRule type="cellIs" dxfId="6449" priority="2220" operator="equal">
      <formula>3</formula>
    </cfRule>
    <cfRule type="top10" dxfId="6448" priority="2221" rank="10"/>
    <cfRule type="cellIs" dxfId="6447" priority="2222" operator="equal">
      <formula>1</formula>
    </cfRule>
    <cfRule type="top10" dxfId="6446" priority="2223" rank="10"/>
    <cfRule type="cellIs" dxfId="6445" priority="2224" operator="equal">
      <formula>4</formula>
    </cfRule>
    <cfRule type="cellIs" dxfId="6444" priority="2225" operator="equal">
      <formula>3</formula>
    </cfRule>
  </conditionalFormatting>
  <conditionalFormatting sqref="BE69:BE70">
    <cfRule type="cellIs" dxfId="6443" priority="2218" operator="equal">
      <formula>1</formula>
    </cfRule>
  </conditionalFormatting>
  <conditionalFormatting sqref="BE70 BE46">
    <cfRule type="top10" dxfId="6442" priority="2212" rank="10"/>
    <cfRule type="top10" dxfId="6441" priority="2213" rank="10"/>
    <cfRule type="top10" dxfId="6440" priority="2214" rank="10"/>
    <cfRule type="top10" dxfId="6439" priority="2215" rank="10"/>
    <cfRule type="top10" dxfId="6438" priority="2216" rank="10"/>
    <cfRule type="top10" dxfId="6437" priority="2217" rank="10"/>
  </conditionalFormatting>
  <conditionalFormatting sqref="BE41">
    <cfRule type="cellIs" dxfId="6436" priority="2198" operator="equal">
      <formula>4</formula>
    </cfRule>
    <cfRule type="cellIs" dxfId="6435" priority="2199" operator="equal">
      <formula>3</formula>
    </cfRule>
    <cfRule type="top10" dxfId="6434" priority="2200" rank="10"/>
    <cfRule type="cellIs" dxfId="6433" priority="2201" operator="equal">
      <formula>1</formula>
    </cfRule>
    <cfRule type="top10" dxfId="6432" priority="2202" rank="10"/>
    <cfRule type="cellIs" dxfId="6431" priority="2203" operator="equal">
      <formula>4</formula>
    </cfRule>
    <cfRule type="cellIs" dxfId="6430" priority="2204" operator="equal">
      <formula>3</formula>
    </cfRule>
    <cfRule type="cellIs" dxfId="6429" priority="2205" operator="equal">
      <formula>1</formula>
    </cfRule>
    <cfRule type="top10" dxfId="6428" priority="2206" rank="10"/>
    <cfRule type="cellIs" dxfId="6427" priority="2207" operator="equal">
      <formula>4</formula>
    </cfRule>
    <cfRule type="cellIs" dxfId="6426" priority="2208" operator="equal">
      <formula>3</formula>
    </cfRule>
    <cfRule type="cellIs" dxfId="6425" priority="2209" operator="equal">
      <formula>1</formula>
    </cfRule>
    <cfRule type="top10" dxfId="6424" priority="2210" rank="10"/>
    <cfRule type="cellIs" dxfId="6423" priority="2211" operator="equal">
      <formula>1</formula>
    </cfRule>
  </conditionalFormatting>
  <conditionalFormatting sqref="BE25:BF25">
    <cfRule type="top10" dxfId="6422" priority="2194" rank="10"/>
    <cfRule type="cellIs" dxfId="6421" priority="2195" operator="equal">
      <formula>1</formula>
    </cfRule>
    <cfRule type="top10" dxfId="6420" priority="2196" rank="10"/>
    <cfRule type="cellIs" dxfId="6419" priority="2197" operator="equal">
      <formula>1</formula>
    </cfRule>
  </conditionalFormatting>
  <conditionalFormatting sqref="BE25:BH25">
    <cfRule type="cellIs" dxfId="6418" priority="2192" operator="equal">
      <formula>4</formula>
    </cfRule>
    <cfRule type="cellIs" dxfId="6417" priority="2193" operator="equal">
      <formula>3</formula>
    </cfRule>
  </conditionalFormatting>
  <conditionalFormatting sqref="BF16:BH16 BF19:BH19">
    <cfRule type="cellIs" dxfId="6416" priority="2190" operator="equal">
      <formula>4</formula>
    </cfRule>
    <cfRule type="cellIs" dxfId="6415" priority="2191" operator="equal">
      <formula>3</formula>
    </cfRule>
  </conditionalFormatting>
  <conditionalFormatting sqref="BF19:BH19">
    <cfRule type="top10" dxfId="6414" priority="2186" rank="10"/>
    <cfRule type="cellIs" dxfId="6413" priority="2187" operator="equal">
      <formula>1</formula>
    </cfRule>
    <cfRule type="top10" dxfId="6412" priority="2188" rank="10"/>
    <cfRule type="cellIs" dxfId="6411" priority="2189" operator="equal">
      <formula>1</formula>
    </cfRule>
  </conditionalFormatting>
  <conditionalFormatting sqref="BF23:BH23">
    <cfRule type="cellIs" dxfId="6410" priority="2178" operator="equal">
      <formula>4</formula>
    </cfRule>
    <cfRule type="cellIs" dxfId="6409" priority="2179" operator="equal">
      <formula>3</formula>
    </cfRule>
    <cfRule type="top10" dxfId="6408" priority="2180" rank="10"/>
    <cfRule type="cellIs" dxfId="6407" priority="2181" operator="equal">
      <formula>1</formula>
    </cfRule>
    <cfRule type="top10" dxfId="6406" priority="2182" rank="10"/>
    <cfRule type="cellIs" dxfId="6405" priority="2183" operator="equal">
      <formula>1</formula>
    </cfRule>
    <cfRule type="cellIs" dxfId="6404" priority="2184" operator="equal">
      <formula>4</formula>
    </cfRule>
    <cfRule type="cellIs" dxfId="6403" priority="2185" operator="equal">
      <formula>3</formula>
    </cfRule>
  </conditionalFormatting>
  <conditionalFormatting sqref="BF25:BH25">
    <cfRule type="top10" dxfId="6402" priority="2174" rank="10"/>
    <cfRule type="cellIs" dxfId="6401" priority="2175" operator="equal">
      <formula>1</formula>
    </cfRule>
    <cfRule type="top10" dxfId="6400" priority="2176" rank="10"/>
    <cfRule type="cellIs" dxfId="6399" priority="2177" operator="equal">
      <formula>1</formula>
    </cfRule>
  </conditionalFormatting>
  <conditionalFormatting sqref="BF27:BH28">
    <cfRule type="cellIs" dxfId="6398" priority="2166" operator="equal">
      <formula>4</formula>
    </cfRule>
    <cfRule type="cellIs" dxfId="6397" priority="2167" operator="equal">
      <formula>3</formula>
    </cfRule>
    <cfRule type="top10" dxfId="6396" priority="2168" rank="10"/>
    <cfRule type="cellIs" dxfId="6395" priority="2169" operator="equal">
      <formula>1</formula>
    </cfRule>
    <cfRule type="top10" dxfId="6394" priority="2170" rank="10"/>
    <cfRule type="cellIs" dxfId="6393" priority="2171" operator="equal">
      <formula>1</formula>
    </cfRule>
    <cfRule type="cellIs" dxfId="6392" priority="2172" operator="equal">
      <formula>4</formula>
    </cfRule>
    <cfRule type="cellIs" dxfId="6391" priority="2173" operator="equal">
      <formula>3</formula>
    </cfRule>
  </conditionalFormatting>
  <conditionalFormatting sqref="BF72:BH72">
    <cfRule type="top10" dxfId="6390" priority="2160" rank="10"/>
    <cfRule type="cellIs" dxfId="6389" priority="2161" operator="equal">
      <formula>1</formula>
    </cfRule>
    <cfRule type="top10" dxfId="6388" priority="2162" rank="10"/>
    <cfRule type="cellIs" dxfId="6387" priority="2163" operator="equal">
      <formula>1</formula>
    </cfRule>
    <cfRule type="cellIs" dxfId="6386" priority="2164" operator="equal">
      <formula>4</formula>
    </cfRule>
    <cfRule type="cellIs" dxfId="6385" priority="2165" operator="equal">
      <formula>3</formula>
    </cfRule>
  </conditionalFormatting>
  <conditionalFormatting sqref="BI16">
    <cfRule type="top10" dxfId="6384" priority="2158" rank="10"/>
    <cfRule type="cellIs" dxfId="6383" priority="2159" operator="equal">
      <formula>1</formula>
    </cfRule>
  </conditionalFormatting>
  <conditionalFormatting sqref="BI20">
    <cfRule type="top10" dxfId="6382" priority="2156" rank="10"/>
    <cfRule type="cellIs" dxfId="6381" priority="2157" operator="equal">
      <formula>1</formula>
    </cfRule>
  </conditionalFormatting>
  <conditionalFormatting sqref="BI69">
    <cfRule type="cellIs" dxfId="6380" priority="2148" operator="equal">
      <formula>4</formula>
    </cfRule>
    <cfRule type="cellIs" dxfId="6379" priority="2149" operator="equal">
      <formula>3</formula>
    </cfRule>
    <cfRule type="top10" dxfId="6378" priority="2150" rank="10"/>
    <cfRule type="cellIs" dxfId="6377" priority="2151" operator="equal">
      <formula>1</formula>
    </cfRule>
    <cfRule type="top10" dxfId="6376" priority="2152" rank="10"/>
    <cfRule type="cellIs" dxfId="6375" priority="2153" operator="equal">
      <formula>1</formula>
    </cfRule>
    <cfRule type="cellIs" dxfId="6374" priority="2154" operator="equal">
      <formula>4</formula>
    </cfRule>
    <cfRule type="cellIs" dxfId="6373" priority="2155" operator="equal">
      <formula>3</formula>
    </cfRule>
  </conditionalFormatting>
  <conditionalFormatting sqref="BJ16 DI27:DI29 AD70:AE70 AC75:AE75">
    <cfRule type="cellIs" dxfId="6372" priority="2147" operator="equal">
      <formula>4</formula>
    </cfRule>
  </conditionalFormatting>
  <conditionalFormatting sqref="BJ16">
    <cfRule type="top10" dxfId="6371" priority="2139" rank="10"/>
    <cfRule type="top10" dxfId="6370" priority="2140" rank="10"/>
    <cfRule type="cellIs" dxfId="6369" priority="2141" operator="equal">
      <formula>1</formula>
    </cfRule>
    <cfRule type="top10" dxfId="6368" priority="2142" rank="10"/>
    <cfRule type="cellIs" dxfId="6367" priority="2143" operator="equal">
      <formula>1</formula>
    </cfRule>
    <cfRule type="cellIs" dxfId="6366" priority="2144" operator="equal">
      <formula>4</formula>
    </cfRule>
    <cfRule type="cellIs" dxfId="6365" priority="2145" operator="equal">
      <formula>3</formula>
    </cfRule>
    <cfRule type="top10" dxfId="6364" priority="2146" rank="10"/>
  </conditionalFormatting>
  <conditionalFormatting sqref="BJ20">
    <cfRule type="top10" dxfId="6363" priority="2138" rank="10"/>
  </conditionalFormatting>
  <conditionalFormatting sqref="BJ29">
    <cfRule type="top10" dxfId="6362" priority="2137" rank="10"/>
  </conditionalFormatting>
  <conditionalFormatting sqref="BJ30:BJ31 BJ35">
    <cfRule type="cellIs" dxfId="6361" priority="2131" operator="equal">
      <formula>4</formula>
    </cfRule>
    <cfRule type="cellIs" dxfId="6360" priority="2132" operator="equal">
      <formula>3</formula>
    </cfRule>
    <cfRule type="cellIs" dxfId="6359" priority="2133" operator="equal">
      <formula>1</formula>
    </cfRule>
    <cfRule type="cellIs" dxfId="6358" priority="2134" operator="equal">
      <formula>1</formula>
    </cfRule>
    <cfRule type="cellIs" dxfId="6357" priority="2135" operator="equal">
      <formula>4</formula>
    </cfRule>
    <cfRule type="cellIs" dxfId="6356" priority="2136" operator="equal">
      <formula>3</formula>
    </cfRule>
  </conditionalFormatting>
  <conditionalFormatting sqref="BJ35 BJ30:BJ31">
    <cfRule type="top10" dxfId="6355" priority="2129" rank="10"/>
    <cfRule type="top10" dxfId="6354" priority="2130" rank="10"/>
  </conditionalFormatting>
  <conditionalFormatting sqref="BJ47">
    <cfRule type="top10" dxfId="6353" priority="2127" rank="10"/>
    <cfRule type="top10" dxfId="6352" priority="2128" rank="10"/>
  </conditionalFormatting>
  <conditionalFormatting sqref="BJ48">
    <cfRule type="top10" dxfId="6351" priority="2126" rank="10"/>
  </conditionalFormatting>
  <conditionalFormatting sqref="BJ48:BK48">
    <cfRule type="cellIs" dxfId="6350" priority="2118" operator="equal">
      <formula>4</formula>
    </cfRule>
    <cfRule type="cellIs" dxfId="6349" priority="2119" operator="equal">
      <formula>3</formula>
    </cfRule>
    <cfRule type="top10" dxfId="6348" priority="2120" rank="10"/>
    <cfRule type="cellIs" dxfId="6347" priority="2121" operator="equal">
      <formula>1</formula>
    </cfRule>
    <cfRule type="top10" dxfId="6346" priority="2122" rank="10"/>
    <cfRule type="cellIs" dxfId="6345" priority="2123" operator="equal">
      <formula>1</formula>
    </cfRule>
    <cfRule type="cellIs" dxfId="6344" priority="2124" operator="equal">
      <formula>4</formula>
    </cfRule>
    <cfRule type="cellIs" dxfId="6343" priority="2125" operator="equal">
      <formula>3</formula>
    </cfRule>
  </conditionalFormatting>
  <conditionalFormatting sqref="BK20">
    <cfRule type="top10" dxfId="6342" priority="2116" rank="10"/>
    <cfRule type="cellIs" dxfId="6341" priority="2117" operator="equal">
      <formula>1</formula>
    </cfRule>
  </conditionalFormatting>
  <conditionalFormatting sqref="BK26">
    <cfRule type="top10" dxfId="6340" priority="2112" rank="10"/>
    <cfRule type="cellIs" dxfId="6339" priority="2113" operator="equal">
      <formula>1</formula>
    </cfRule>
    <cfRule type="top10" dxfId="6338" priority="2114" rank="10"/>
    <cfRule type="cellIs" dxfId="6337" priority="2115" operator="equal">
      <formula>1</formula>
    </cfRule>
  </conditionalFormatting>
  <conditionalFormatting sqref="BK28">
    <cfRule type="cellIs" dxfId="6336" priority="2104" operator="equal">
      <formula>4</formula>
    </cfRule>
    <cfRule type="cellIs" dxfId="6335" priority="2105" operator="equal">
      <formula>3</formula>
    </cfRule>
    <cfRule type="top10" dxfId="6334" priority="2106" rank="10"/>
    <cfRule type="cellIs" dxfId="6333" priority="2107" operator="equal">
      <formula>1</formula>
    </cfRule>
    <cfRule type="top10" dxfId="6332" priority="2108" rank="10"/>
    <cfRule type="cellIs" dxfId="6331" priority="2109" operator="equal">
      <formula>1</formula>
    </cfRule>
    <cfRule type="cellIs" dxfId="6330" priority="2110" operator="equal">
      <formula>4</formula>
    </cfRule>
    <cfRule type="cellIs" dxfId="6329" priority="2111" operator="equal">
      <formula>3</formula>
    </cfRule>
  </conditionalFormatting>
  <conditionalFormatting sqref="BK45">
    <cfRule type="top10" dxfId="6328" priority="2103" rank="10"/>
  </conditionalFormatting>
  <conditionalFormatting sqref="BK72">
    <cfRule type="top10" dxfId="6327" priority="2102" rank="10"/>
  </conditionalFormatting>
  <conditionalFormatting sqref="BK16:BL16">
    <cfRule type="top10" dxfId="6326" priority="2101" rank="10"/>
  </conditionalFormatting>
  <conditionalFormatting sqref="BK26:BL26 BJ16:BY16">
    <cfRule type="cellIs" dxfId="6325" priority="2099" operator="equal">
      <formula>4</formula>
    </cfRule>
    <cfRule type="cellIs" dxfId="6324" priority="2100" operator="equal">
      <formula>3</formula>
    </cfRule>
  </conditionalFormatting>
  <conditionalFormatting sqref="BK16:BY16">
    <cfRule type="cellIs" dxfId="6323" priority="2098" operator="equal">
      <formula>1</formula>
    </cfRule>
  </conditionalFormatting>
  <conditionalFormatting sqref="BL20">
    <cfRule type="cellIs" dxfId="6322" priority="2089" operator="equal">
      <formula>4</formula>
    </cfRule>
    <cfRule type="cellIs" dxfId="6321" priority="2090" operator="equal">
      <formula>3</formula>
    </cfRule>
    <cfRule type="top10" dxfId="6320" priority="2091" rank="10"/>
    <cfRule type="cellIs" dxfId="6319" priority="2092" operator="equal">
      <formula>1</formula>
    </cfRule>
    <cfRule type="top10" dxfId="6318" priority="2093" rank="10"/>
    <cfRule type="cellIs" dxfId="6317" priority="2094" operator="equal">
      <formula>1</formula>
    </cfRule>
    <cfRule type="cellIs" dxfId="6316" priority="2095" operator="equal">
      <formula>4</formula>
    </cfRule>
    <cfRule type="cellIs" dxfId="6315" priority="2096" operator="equal">
      <formula>3</formula>
    </cfRule>
    <cfRule type="top10" dxfId="6314" priority="2097" rank="10"/>
  </conditionalFormatting>
  <conditionalFormatting sqref="BL26">
    <cfRule type="top10" dxfId="6313" priority="2085" rank="10"/>
    <cfRule type="cellIs" dxfId="6312" priority="2086" operator="equal">
      <formula>1</formula>
    </cfRule>
    <cfRule type="top10" dxfId="6311" priority="2087" rank="10"/>
    <cfRule type="cellIs" dxfId="6310" priority="2088" operator="equal">
      <formula>1</formula>
    </cfRule>
  </conditionalFormatting>
  <conditionalFormatting sqref="BM16:BY16 CV62:DT62">
    <cfRule type="cellIs" dxfId="6309" priority="2084" operator="equal">
      <formula>2</formula>
    </cfRule>
  </conditionalFormatting>
  <conditionalFormatting sqref="BO48">
    <cfRule type="top10" dxfId="6308" priority="2083" rank="10"/>
  </conditionalFormatting>
  <conditionalFormatting sqref="BP16">
    <cfRule type="top10" dxfId="6307" priority="2082" rank="10"/>
  </conditionalFormatting>
  <conditionalFormatting sqref="BP20">
    <cfRule type="top10" dxfId="6306" priority="2081" rank="10"/>
  </conditionalFormatting>
  <conditionalFormatting sqref="BP22">
    <cfRule type="top10" dxfId="6305" priority="2079" rank="10"/>
    <cfRule type="top10" dxfId="6304" priority="2080" rank="10"/>
  </conditionalFormatting>
  <conditionalFormatting sqref="BP25">
    <cfRule type="top10" dxfId="6303" priority="2077" rank="10"/>
    <cfRule type="top10" dxfId="6302" priority="2078" rank="10"/>
  </conditionalFormatting>
  <conditionalFormatting sqref="BP26">
    <cfRule type="top10" dxfId="6301" priority="2073" rank="10"/>
    <cfRule type="cellIs" dxfId="6300" priority="2074" operator="equal">
      <formula>1</formula>
    </cfRule>
    <cfRule type="top10" dxfId="6299" priority="2075" rank="10"/>
    <cfRule type="cellIs" dxfId="6298" priority="2076" operator="equal">
      <formula>1</formula>
    </cfRule>
  </conditionalFormatting>
  <conditionalFormatting sqref="BP44">
    <cfRule type="top10" dxfId="6297" priority="2069" rank="10"/>
    <cfRule type="top10" dxfId="6296" priority="2070" rank="10"/>
  </conditionalFormatting>
  <conditionalFormatting sqref="BP41">
    <cfRule type="top10" dxfId="6295" priority="2058" rank="10"/>
    <cfRule type="top10" dxfId="6294" priority="2059" rank="10"/>
    <cfRule type="cellIs" dxfId="6293" priority="2060" operator="equal">
      <formula>1</formula>
    </cfRule>
    <cfRule type="top10" dxfId="6292" priority="2061" rank="10"/>
    <cfRule type="cellIs" dxfId="6291" priority="2062" operator="equal">
      <formula>4</formula>
    </cfRule>
    <cfRule type="cellIs" dxfId="6290" priority="2063" operator="equal">
      <formula>3</formula>
    </cfRule>
    <cfRule type="cellIs" dxfId="6289" priority="2064" operator="equal">
      <formula>1</formula>
    </cfRule>
    <cfRule type="top10" dxfId="6288" priority="2065" rank="10"/>
    <cfRule type="cellIs" dxfId="6287" priority="2066" operator="equal">
      <formula>1</formula>
    </cfRule>
    <cfRule type="top10" dxfId="6286" priority="2067" rank="10"/>
    <cfRule type="cellIs" dxfId="6285" priority="2068" operator="equal">
      <formula>1</formula>
    </cfRule>
  </conditionalFormatting>
  <conditionalFormatting sqref="BP41:BQ41">
    <cfRule type="cellIs" dxfId="6284" priority="2056" operator="equal">
      <formula>4</formula>
    </cfRule>
    <cfRule type="cellIs" dxfId="6283" priority="2057" operator="equal">
      <formula>3</formula>
    </cfRule>
  </conditionalFormatting>
  <conditionalFormatting sqref="BQ75:BS75">
    <cfRule type="cellIs" dxfId="6282" priority="2055" operator="equal">
      <formula>1</formula>
    </cfRule>
  </conditionalFormatting>
  <conditionalFormatting sqref="BQ22">
    <cfRule type="cellIs" dxfId="6281" priority="2047" operator="equal">
      <formula>4</formula>
    </cfRule>
    <cfRule type="cellIs" dxfId="6280" priority="2048" operator="equal">
      <formula>3</formula>
    </cfRule>
    <cfRule type="top10" dxfId="6279" priority="2049" rank="10"/>
    <cfRule type="cellIs" dxfId="6278" priority="2050" operator="equal">
      <formula>1</formula>
    </cfRule>
    <cfRule type="top10" dxfId="6277" priority="2051" rank="10"/>
    <cfRule type="cellIs" dxfId="6276" priority="2052" operator="equal">
      <formula>1</formula>
    </cfRule>
    <cfRule type="cellIs" dxfId="6275" priority="2053" operator="equal">
      <formula>4</formula>
    </cfRule>
    <cfRule type="cellIs" dxfId="6274" priority="2054" operator="equal">
      <formula>3</formula>
    </cfRule>
  </conditionalFormatting>
  <conditionalFormatting sqref="BQ28">
    <cfRule type="cellIs" dxfId="6273" priority="2039" operator="equal">
      <formula>4</formula>
    </cfRule>
    <cfRule type="cellIs" dxfId="6272" priority="2040" operator="equal">
      <formula>3</formula>
    </cfRule>
    <cfRule type="top10" dxfId="6271" priority="2041" rank="10"/>
    <cfRule type="cellIs" dxfId="6270" priority="2042" operator="equal">
      <formula>1</formula>
    </cfRule>
    <cfRule type="top10" dxfId="6269" priority="2043" rank="10"/>
    <cfRule type="cellIs" dxfId="6268" priority="2044" operator="equal">
      <formula>1</formula>
    </cfRule>
    <cfRule type="cellIs" dxfId="6267" priority="2045" operator="equal">
      <formula>4</formula>
    </cfRule>
    <cfRule type="cellIs" dxfId="6266" priority="2046" operator="equal">
      <formula>3</formula>
    </cfRule>
  </conditionalFormatting>
  <conditionalFormatting sqref="BQ75 BQ47 BQ16:BR16 BQ19:BQ20">
    <cfRule type="top10" dxfId="6265" priority="2038" rank="10"/>
  </conditionalFormatting>
  <conditionalFormatting sqref="BQ41">
    <cfRule type="top10" dxfId="6264" priority="2028" rank="10"/>
    <cfRule type="cellIs" dxfId="6263" priority="2029" operator="equal">
      <formula>1</formula>
    </cfRule>
    <cfRule type="top10" dxfId="6262" priority="2030" rank="10"/>
    <cfRule type="cellIs" dxfId="6261" priority="2031" operator="equal">
      <formula>4</formula>
    </cfRule>
    <cfRule type="cellIs" dxfId="6260" priority="2032" operator="equal">
      <formula>3</formula>
    </cfRule>
    <cfRule type="cellIs" dxfId="6259" priority="2033" operator="equal">
      <formula>1</formula>
    </cfRule>
    <cfRule type="top10" dxfId="6258" priority="2034" rank="10"/>
    <cfRule type="cellIs" dxfId="6257" priority="2035" operator="equal">
      <formula>1</formula>
    </cfRule>
    <cfRule type="top10" dxfId="6256" priority="2036" rank="10"/>
    <cfRule type="cellIs" dxfId="6255" priority="2037" operator="equal">
      <formula>1</formula>
    </cfRule>
  </conditionalFormatting>
  <conditionalFormatting sqref="BQ81 BQ76:BQ79 BQ21:BQ40 BQ42:BQ46 BQ48:BQ49 BQ69:BQ74">
    <cfRule type="top10" dxfId="6254" priority="2026" rank="10"/>
    <cfRule type="top10" dxfId="6253" priority="2027" rank="10"/>
  </conditionalFormatting>
  <conditionalFormatting sqref="BR44:BR45">
    <cfRule type="cellIs" dxfId="6252" priority="2018" operator="equal">
      <formula>4</formula>
    </cfRule>
    <cfRule type="cellIs" dxfId="6251" priority="2019" operator="equal">
      <formula>3</formula>
    </cfRule>
    <cfRule type="top10" dxfId="6250" priority="2020" rank="10"/>
    <cfRule type="cellIs" dxfId="6249" priority="2021" operator="equal">
      <formula>1</formula>
    </cfRule>
    <cfRule type="top10" dxfId="6248" priority="2022" rank="10"/>
    <cfRule type="cellIs" dxfId="6247" priority="2023" operator="equal">
      <formula>1</formula>
    </cfRule>
    <cfRule type="cellIs" dxfId="6246" priority="2024" operator="equal">
      <formula>4</formula>
    </cfRule>
    <cfRule type="cellIs" dxfId="6245" priority="2025" operator="equal">
      <formula>3</formula>
    </cfRule>
  </conditionalFormatting>
  <conditionalFormatting sqref="BR72 BR26:BR29">
    <cfRule type="top10" dxfId="6244" priority="2016" rank="10"/>
    <cfRule type="top10" dxfId="6243" priority="2017" rank="10"/>
  </conditionalFormatting>
  <conditionalFormatting sqref="BR75 BR47:BR48 BR16 BR19:BR25">
    <cfRule type="top10" dxfId="6242" priority="2014" rank="10"/>
    <cfRule type="top10" dxfId="6241" priority="2015" rank="10"/>
  </conditionalFormatting>
  <conditionalFormatting sqref="BR75 BR72">
    <cfRule type="cellIs" dxfId="6240" priority="2013" operator="equal">
      <formula>1</formula>
    </cfRule>
  </conditionalFormatting>
  <conditionalFormatting sqref="J25 I34:I35 K42 J72">
    <cfRule type="cellIs" dxfId="6239" priority="2011" operator="equal">
      <formula>3</formula>
    </cfRule>
    <cfRule type="cellIs" dxfId="6238" priority="2012" operator="equal">
      <formula>4</formula>
    </cfRule>
  </conditionalFormatting>
  <conditionalFormatting sqref="BU20:BV20">
    <cfRule type="cellIs" dxfId="6237" priority="2010" operator="equal">
      <formula>1</formula>
    </cfRule>
  </conditionalFormatting>
  <conditionalFormatting sqref="BR41:BV41">
    <cfRule type="top10" dxfId="6236" priority="2009" rank="10"/>
  </conditionalFormatting>
  <conditionalFormatting sqref="BS20">
    <cfRule type="top10" dxfId="6235" priority="2008" rank="10"/>
  </conditionalFormatting>
  <conditionalFormatting sqref="BS28">
    <cfRule type="cellIs" dxfId="6234" priority="2000" operator="equal">
      <formula>4</formula>
    </cfRule>
    <cfRule type="cellIs" dxfId="6233" priority="2001" operator="equal">
      <formula>3</formula>
    </cfRule>
    <cfRule type="top10" dxfId="6232" priority="2002" rank="10"/>
    <cfRule type="cellIs" dxfId="6231" priority="2003" operator="equal">
      <formula>1</formula>
    </cfRule>
    <cfRule type="top10" dxfId="6230" priority="2004" rank="10"/>
    <cfRule type="cellIs" dxfId="6229" priority="2005" operator="equal">
      <formula>1</formula>
    </cfRule>
    <cfRule type="cellIs" dxfId="6228" priority="2006" operator="equal">
      <formula>4</formula>
    </cfRule>
    <cfRule type="cellIs" dxfId="6227" priority="2007" operator="equal">
      <formula>3</formula>
    </cfRule>
  </conditionalFormatting>
  <conditionalFormatting sqref="BT20:BV20">
    <cfRule type="top10" dxfId="6226" priority="1999" rank="10"/>
  </conditionalFormatting>
  <conditionalFormatting sqref="BU16">
    <cfRule type="top10" dxfId="6225" priority="1998" rank="10"/>
  </conditionalFormatting>
  <conditionalFormatting sqref="BU19:BV19">
    <cfRule type="cellIs" dxfId="6224" priority="1997" operator="equal">
      <formula>1</formula>
    </cfRule>
  </conditionalFormatting>
  <conditionalFormatting sqref="BU20:BV20">
    <cfRule type="top10" dxfId="6223" priority="1995" rank="10"/>
    <cfRule type="cellIs" dxfId="6222" priority="1996" operator="equal">
      <formula>1</formula>
    </cfRule>
  </conditionalFormatting>
  <conditionalFormatting sqref="BU21:BV21 BX21">
    <cfRule type="top10" dxfId="6221" priority="1992" rank="10"/>
    <cfRule type="cellIs" dxfId="6220" priority="1993" operator="equal">
      <formula>1</formula>
    </cfRule>
    <cfRule type="top10" dxfId="6219" priority="1994" rank="10"/>
  </conditionalFormatting>
  <conditionalFormatting sqref="BU21:BV21">
    <cfRule type="cellIs" dxfId="6218" priority="1991" operator="equal">
      <formula>1</formula>
    </cfRule>
  </conditionalFormatting>
  <conditionalFormatting sqref="BU48:BV48">
    <cfRule type="cellIs" dxfId="6217" priority="1983" operator="equal">
      <formula>4</formula>
    </cfRule>
    <cfRule type="cellIs" dxfId="6216" priority="1984" operator="equal">
      <formula>3</formula>
    </cfRule>
    <cfRule type="top10" dxfId="6215" priority="1985" rank="10"/>
    <cfRule type="cellIs" dxfId="6214" priority="1986" operator="equal">
      <formula>1</formula>
    </cfRule>
    <cfRule type="top10" dxfId="6213" priority="1987" rank="10"/>
    <cfRule type="cellIs" dxfId="6212" priority="1988" operator="equal">
      <formula>1</formula>
    </cfRule>
    <cfRule type="cellIs" dxfId="6211" priority="1989" operator="equal">
      <formula>4</formula>
    </cfRule>
    <cfRule type="cellIs" dxfId="6210" priority="1990" operator="equal">
      <formula>3</formula>
    </cfRule>
  </conditionalFormatting>
  <conditionalFormatting sqref="BX21 BU21:BV21">
    <cfRule type="cellIs" dxfId="6209" priority="1981" operator="equal">
      <formula>4</formula>
    </cfRule>
    <cfRule type="cellIs" dxfId="6208" priority="1982" operator="equal">
      <formula>3</formula>
    </cfRule>
  </conditionalFormatting>
  <conditionalFormatting sqref="BX21">
    <cfRule type="cellIs" dxfId="6207" priority="1977" operator="equal">
      <formula>4</formula>
    </cfRule>
    <cfRule type="cellIs" dxfId="6206" priority="1978" operator="equal">
      <formula>3</formula>
    </cfRule>
    <cfRule type="top10" dxfId="6205" priority="1979" rank="10"/>
    <cfRule type="top10" dxfId="6204" priority="1980" rank="10"/>
  </conditionalFormatting>
  <conditionalFormatting sqref="BX41">
    <cfRule type="cellIs" dxfId="6203" priority="1974" operator="equal">
      <formula>4</formula>
    </cfRule>
    <cfRule type="cellIs" dxfId="6202" priority="1975" operator="equal">
      <formula>4</formula>
    </cfRule>
    <cfRule type="cellIs" dxfId="6201" priority="1976" operator="equal">
      <formula>1</formula>
    </cfRule>
  </conditionalFormatting>
  <conditionalFormatting sqref="BX81 BX76:BX79 BX22:BX40 BX42:BX46 BX48:BX49 BX69:BX74">
    <cfRule type="top10" dxfId="6200" priority="1973" rank="10"/>
  </conditionalFormatting>
  <conditionalFormatting sqref="BZ16 BZ19">
    <cfRule type="cellIs" dxfId="6199" priority="1972" operator="equal">
      <formula>1</formula>
    </cfRule>
  </conditionalFormatting>
  <conditionalFormatting sqref="BZ20">
    <cfRule type="top10" dxfId="6198" priority="1971" rank="10"/>
  </conditionalFormatting>
  <conditionalFormatting sqref="BZ21 BZ26 BZ31">
    <cfRule type="cellIs" dxfId="6197" priority="1970" operator="equal">
      <formula>1</formula>
    </cfRule>
  </conditionalFormatting>
  <conditionalFormatting sqref="BZ28:BZ29">
    <cfRule type="cellIs" dxfId="6196" priority="1969" operator="equal">
      <formula>1</formula>
    </cfRule>
  </conditionalFormatting>
  <conditionalFormatting sqref="BZ44">
    <cfRule type="cellIs" dxfId="6195" priority="1961" operator="equal">
      <formula>4</formula>
    </cfRule>
    <cfRule type="cellIs" dxfId="6194" priority="1962" operator="equal">
      <formula>3</formula>
    </cfRule>
    <cfRule type="top10" dxfId="6193" priority="1963" rank="10"/>
    <cfRule type="cellIs" dxfId="6192" priority="1964" operator="equal">
      <formula>1</formula>
    </cfRule>
    <cfRule type="top10" dxfId="6191" priority="1965" rank="10"/>
    <cfRule type="cellIs" dxfId="6190" priority="1966" operator="equal">
      <formula>1</formula>
    </cfRule>
    <cfRule type="cellIs" dxfId="6189" priority="1967" operator="equal">
      <formula>4</formula>
    </cfRule>
    <cfRule type="cellIs" dxfId="6188" priority="1968" operator="equal">
      <formula>3</formula>
    </cfRule>
  </conditionalFormatting>
  <conditionalFormatting sqref="BZ44:BZ47">
    <cfRule type="top10" dxfId="6187" priority="1960" rank="10"/>
  </conditionalFormatting>
  <conditionalFormatting sqref="BZ72">
    <cfRule type="cellIs" dxfId="6186" priority="1954" operator="equal">
      <formula>4</formula>
    </cfRule>
    <cfRule type="cellIs" dxfId="6185" priority="1955" operator="equal">
      <formula>3</formula>
    </cfRule>
    <cfRule type="top10" dxfId="6184" priority="1956" rank="10"/>
    <cfRule type="cellIs" dxfId="6183" priority="1957" operator="equal">
      <formula>1</formula>
    </cfRule>
    <cfRule type="top10" dxfId="6182" priority="1958" rank="10"/>
    <cfRule type="cellIs" dxfId="6181" priority="1959" operator="equal">
      <formula>1</formula>
    </cfRule>
  </conditionalFormatting>
  <conditionalFormatting sqref="BZ74:BZ76">
    <cfRule type="top10" dxfId="6180" priority="1951" rank="10"/>
    <cfRule type="cellIs" dxfId="6179" priority="1952" operator="equal">
      <formula>3</formula>
    </cfRule>
    <cfRule type="cellIs" dxfId="6178" priority="1953" operator="equal">
      <formula>4</formula>
    </cfRule>
  </conditionalFormatting>
  <conditionalFormatting sqref="BZ77">
    <cfRule type="top10" dxfId="6177" priority="1948" rank="10"/>
    <cfRule type="cellIs" dxfId="6176" priority="1949" operator="equal">
      <formula>3</formula>
    </cfRule>
    <cfRule type="cellIs" dxfId="6175" priority="1950" operator="equal">
      <formula>4</formula>
    </cfRule>
  </conditionalFormatting>
  <conditionalFormatting sqref="BZ41:CC41">
    <cfRule type="top10" dxfId="6174" priority="1943" rank="10"/>
    <cfRule type="cellIs" dxfId="6173" priority="1944" operator="equal">
      <formula>2</formula>
    </cfRule>
    <cfRule type="cellIs" dxfId="6172" priority="1945" operator="equal">
      <formula>4</formula>
    </cfRule>
    <cfRule type="cellIs" dxfId="6171" priority="1946" operator="equal">
      <formula>3</formula>
    </cfRule>
    <cfRule type="cellIs" dxfId="6170" priority="1947" operator="equal">
      <formula>1</formula>
    </cfRule>
  </conditionalFormatting>
  <conditionalFormatting sqref="CA23">
    <cfRule type="cellIs" dxfId="6169" priority="1935" operator="equal">
      <formula>4</formula>
    </cfRule>
    <cfRule type="cellIs" dxfId="6168" priority="1936" operator="equal">
      <formula>3</formula>
    </cfRule>
    <cfRule type="top10" dxfId="6167" priority="1937" rank="10"/>
    <cfRule type="cellIs" dxfId="6166" priority="1938" operator="equal">
      <formula>1</formula>
    </cfRule>
    <cfRule type="top10" dxfId="6165" priority="1939" rank="10"/>
    <cfRule type="cellIs" dxfId="6164" priority="1940" operator="equal">
      <formula>1</formula>
    </cfRule>
    <cfRule type="cellIs" dxfId="6163" priority="1941" operator="equal">
      <formula>4</formula>
    </cfRule>
    <cfRule type="cellIs" dxfId="6162" priority="1942" operator="equal">
      <formula>3</formula>
    </cfRule>
  </conditionalFormatting>
  <conditionalFormatting sqref="CA27">
    <cfRule type="cellIs" dxfId="6161" priority="1927" operator="equal">
      <formula>4</formula>
    </cfRule>
    <cfRule type="cellIs" dxfId="6160" priority="1928" operator="equal">
      <formula>3</formula>
    </cfRule>
    <cfRule type="top10" dxfId="6159" priority="1929" rank="10"/>
    <cfRule type="cellIs" dxfId="6158" priority="1930" operator="equal">
      <formula>1</formula>
    </cfRule>
    <cfRule type="top10" dxfId="6157" priority="1931" rank="10"/>
    <cfRule type="cellIs" dxfId="6156" priority="1932" operator="equal">
      <formula>1</formula>
    </cfRule>
    <cfRule type="cellIs" dxfId="6155" priority="1933" operator="equal">
      <formula>4</formula>
    </cfRule>
    <cfRule type="cellIs" dxfId="6154" priority="1934" operator="equal">
      <formula>3</formula>
    </cfRule>
  </conditionalFormatting>
  <conditionalFormatting sqref="CA75">
    <cfRule type="cellIs" dxfId="6153" priority="1919" operator="equal">
      <formula>4</formula>
    </cfRule>
    <cfRule type="cellIs" dxfId="6152" priority="1920" operator="equal">
      <formula>3</formula>
    </cfRule>
    <cfRule type="top10" dxfId="6151" priority="1921" rank="10"/>
    <cfRule type="cellIs" dxfId="6150" priority="1922" operator="equal">
      <formula>1</formula>
    </cfRule>
    <cfRule type="top10" dxfId="6149" priority="1923" rank="10"/>
    <cfRule type="cellIs" dxfId="6148" priority="1924" operator="equal">
      <formula>1</formula>
    </cfRule>
    <cfRule type="cellIs" dxfId="6147" priority="1925" operator="equal">
      <formula>4</formula>
    </cfRule>
    <cfRule type="cellIs" dxfId="6146" priority="1926" operator="equal">
      <formula>3</formula>
    </cfRule>
  </conditionalFormatting>
  <conditionalFormatting sqref="CA16:CC16">
    <cfRule type="top10" dxfId="6145" priority="1918" rank="10"/>
  </conditionalFormatting>
  <conditionalFormatting sqref="CA20:CC20">
    <cfRule type="top10" dxfId="6144" priority="1917" rank="10"/>
  </conditionalFormatting>
  <conditionalFormatting sqref="CA47:CC47 CA19:CC19">
    <cfRule type="top10" dxfId="6143" priority="1916" rank="10"/>
  </conditionalFormatting>
  <conditionalFormatting sqref="CB20">
    <cfRule type="top10" dxfId="6142" priority="1911" rank="10"/>
    <cfRule type="cellIs" dxfId="6141" priority="1912" operator="equal">
      <formula>1</formula>
    </cfRule>
    <cfRule type="top10" dxfId="6140" priority="1913" rank="10"/>
    <cfRule type="cellIs" dxfId="6139" priority="1914" operator="equal">
      <formula>1</formula>
    </cfRule>
    <cfRule type="top10" dxfId="6138" priority="1915" rank="10"/>
  </conditionalFormatting>
  <conditionalFormatting sqref="CB20:CB21">
    <cfRule type="cellIs" dxfId="6137" priority="1909" operator="equal">
      <formula>4</formula>
    </cfRule>
    <cfRule type="cellIs" dxfId="6136" priority="1910" operator="equal">
      <formula>3</formula>
    </cfRule>
  </conditionalFormatting>
  <conditionalFormatting sqref="CB21">
    <cfRule type="top10" dxfId="6135" priority="1905" rank="10"/>
    <cfRule type="cellIs" dxfId="6134" priority="1906" operator="equal">
      <formula>1</formula>
    </cfRule>
    <cfRule type="top10" dxfId="6133" priority="1907" rank="10"/>
    <cfRule type="cellIs" dxfId="6132" priority="1908" operator="equal">
      <formula>1</formula>
    </cfRule>
  </conditionalFormatting>
  <conditionalFormatting sqref="CB20:CC20">
    <cfRule type="cellIs" dxfId="6131" priority="1903" operator="equal">
      <formula>4</formula>
    </cfRule>
    <cfRule type="cellIs" dxfId="6130" priority="1904" operator="equal">
      <formula>3</formula>
    </cfRule>
  </conditionalFormatting>
  <conditionalFormatting sqref="CB28:CC28">
    <cfRule type="cellIs" dxfId="6129" priority="1895" operator="equal">
      <formula>4</formula>
    </cfRule>
    <cfRule type="cellIs" dxfId="6128" priority="1896" operator="equal">
      <formula>3</formula>
    </cfRule>
    <cfRule type="top10" dxfId="6127" priority="1897" rank="10"/>
    <cfRule type="cellIs" dxfId="6126" priority="1898" operator="equal">
      <formula>1</formula>
    </cfRule>
    <cfRule type="top10" dxfId="6125" priority="1899" rank="10"/>
    <cfRule type="cellIs" dxfId="6124" priority="1900" operator="equal">
      <formula>1</formula>
    </cfRule>
    <cfRule type="cellIs" dxfId="6123" priority="1901" operator="equal">
      <formula>4</formula>
    </cfRule>
    <cfRule type="cellIs" dxfId="6122" priority="1902" operator="equal">
      <formula>3</formula>
    </cfRule>
  </conditionalFormatting>
  <conditionalFormatting sqref="CC20">
    <cfRule type="cellIs" dxfId="6121" priority="1888" operator="equal">
      <formula>4</formula>
    </cfRule>
    <cfRule type="cellIs" dxfId="6120" priority="1889" operator="equal">
      <formula>3</formula>
    </cfRule>
    <cfRule type="top10" dxfId="6119" priority="1890" rank="10"/>
    <cfRule type="cellIs" dxfId="6118" priority="1891" operator="equal">
      <formula>1</formula>
    </cfRule>
    <cfRule type="top10" dxfId="6117" priority="1892" rank="10"/>
    <cfRule type="cellIs" dxfId="6116" priority="1893" operator="equal">
      <formula>1</formula>
    </cfRule>
    <cfRule type="top10" dxfId="6115" priority="1894" rank="10"/>
  </conditionalFormatting>
  <conditionalFormatting sqref="CC69:CC70">
    <cfRule type="top10" dxfId="6114" priority="1885" rank="10"/>
    <cfRule type="cellIs" dxfId="6113" priority="1886" operator="equal">
      <formula>3</formula>
    </cfRule>
    <cfRule type="cellIs" dxfId="6112" priority="1887" operator="equal">
      <formula>4</formula>
    </cfRule>
  </conditionalFormatting>
  <conditionalFormatting sqref="CD41:CF41">
    <cfRule type="cellIs" dxfId="6111" priority="1882" operator="equal">
      <formula>4</formula>
    </cfRule>
    <cfRule type="cellIs" dxfId="6110" priority="1883" operator="equal">
      <formula>4</formula>
    </cfRule>
    <cfRule type="cellIs" dxfId="6109" priority="1884" operator="equal">
      <formula>1</formula>
    </cfRule>
  </conditionalFormatting>
  <conditionalFormatting sqref="CG27:CG29">
    <cfRule type="top10" dxfId="6108" priority="1879" rank="10"/>
    <cfRule type="cellIs" dxfId="6107" priority="1880" operator="equal">
      <formula>1</formula>
    </cfRule>
    <cfRule type="top10" dxfId="6106" priority="1881" rank="10"/>
  </conditionalFormatting>
  <conditionalFormatting sqref="CG44:CG45">
    <cfRule type="cellIs" dxfId="6105" priority="1871" operator="equal">
      <formula>4</formula>
    </cfRule>
    <cfRule type="cellIs" dxfId="6104" priority="1872" operator="equal">
      <formula>3</formula>
    </cfRule>
    <cfRule type="top10" dxfId="6103" priority="1873" rank="10"/>
    <cfRule type="cellIs" dxfId="6102" priority="1874" operator="equal">
      <formula>1</formula>
    </cfRule>
    <cfRule type="top10" dxfId="6101" priority="1875" rank="10"/>
    <cfRule type="cellIs" dxfId="6100" priority="1876" operator="equal">
      <formula>1</formula>
    </cfRule>
    <cfRule type="cellIs" dxfId="6099" priority="1877" operator="equal">
      <formula>4</formula>
    </cfRule>
    <cfRule type="cellIs" dxfId="6098" priority="1878" operator="equal">
      <formula>3</formula>
    </cfRule>
  </conditionalFormatting>
  <conditionalFormatting sqref="CG72 CG75">
    <cfRule type="cellIs" dxfId="6097" priority="1868" operator="equal">
      <formula>1</formula>
    </cfRule>
    <cfRule type="cellIs" dxfId="6096" priority="1869" operator="equal">
      <formula>4</formula>
    </cfRule>
    <cfRule type="cellIs" dxfId="6095" priority="1870" operator="equal">
      <formula>3</formula>
    </cfRule>
  </conditionalFormatting>
  <conditionalFormatting sqref="CG75 CG47:CG48 CG16 CG72 CG19:CG26">
    <cfRule type="top10" dxfId="6094" priority="1866" rank="10"/>
    <cfRule type="top10" dxfId="6093" priority="1867" rank="10"/>
  </conditionalFormatting>
  <conditionalFormatting sqref="CG16:CH16">
    <cfRule type="cellIs" dxfId="6092" priority="1865" operator="equal">
      <formula>1</formula>
    </cfRule>
  </conditionalFormatting>
  <conditionalFormatting sqref="CG41:CH41">
    <cfRule type="top10" dxfId="6091" priority="1864" rank="10"/>
  </conditionalFormatting>
  <conditionalFormatting sqref="CG41:CL41 CG16 CV41:DT41 CP42:CP43 CG19:CG29">
    <cfRule type="cellIs" dxfId="6090" priority="1861" operator="equal">
      <formula>4</formula>
    </cfRule>
    <cfRule type="cellIs" dxfId="6089" priority="1862" operator="equal">
      <formula>3</formula>
    </cfRule>
    <cfRule type="cellIs" dxfId="6088" priority="1863" operator="equal">
      <formula>1</formula>
    </cfRule>
  </conditionalFormatting>
  <conditionalFormatting sqref="CH20">
    <cfRule type="top10" dxfId="6087" priority="1860" rank="10"/>
  </conditionalFormatting>
  <conditionalFormatting sqref="CH27">
    <cfRule type="cellIs" dxfId="6086" priority="1856" operator="equal">
      <formula>1</formula>
    </cfRule>
    <cfRule type="cellIs" dxfId="6085" priority="1857" operator="equal">
      <formula>4</formula>
    </cfRule>
    <cfRule type="cellIs" dxfId="6084" priority="1858" operator="equal">
      <formula>3</formula>
    </cfRule>
    <cfRule type="cellIs" dxfId="6083" priority="1859" operator="equal">
      <formula>2</formula>
    </cfRule>
  </conditionalFormatting>
  <conditionalFormatting sqref="CH34">
    <cfRule type="top10" dxfId="6082" priority="1852" rank="10"/>
    <cfRule type="cellIs" dxfId="6081" priority="1853" operator="equal">
      <formula>1</formula>
    </cfRule>
    <cfRule type="cellIs" dxfId="6080" priority="1854" operator="equal">
      <formula>4</formula>
    </cfRule>
    <cfRule type="cellIs" dxfId="6079" priority="1855" operator="equal">
      <formula>3</formula>
    </cfRule>
  </conditionalFormatting>
  <conditionalFormatting sqref="CH47 CH19">
    <cfRule type="top10" dxfId="6078" priority="1851" rank="10"/>
  </conditionalFormatting>
  <conditionalFormatting sqref="CI41:CJ41">
    <cfRule type="top10" dxfId="6077" priority="1850" rank="10"/>
  </conditionalFormatting>
  <conditionalFormatting sqref="CK46">
    <cfRule type="top10" dxfId="6076" priority="1847" rank="10"/>
    <cfRule type="cellIs" dxfId="6075" priority="1848" operator="equal">
      <formula>3</formula>
    </cfRule>
    <cfRule type="cellIs" dxfId="6074" priority="1849" operator="equal">
      <formula>4</formula>
    </cfRule>
  </conditionalFormatting>
  <conditionalFormatting sqref="CK41:CL41">
    <cfRule type="top10" dxfId="6073" priority="1846" rank="10"/>
  </conditionalFormatting>
  <conditionalFormatting sqref="CV25">
    <cfRule type="top10" dxfId="6072" priority="1843" rank="10"/>
    <cfRule type="top10" dxfId="6071" priority="1844" rank="10"/>
    <cfRule type="top10" dxfId="6070" priority="1845" rank="10"/>
  </conditionalFormatting>
  <conditionalFormatting sqref="CV35">
    <cfRule type="top10" dxfId="6069" priority="1839" rank="10"/>
    <cfRule type="top10" dxfId="6068" priority="1840" rank="10"/>
    <cfRule type="cellIs" dxfId="6067" priority="1841" operator="equal">
      <formula>4</formula>
    </cfRule>
    <cfRule type="cellIs" dxfId="6066" priority="1842" operator="equal">
      <formula>3</formula>
    </cfRule>
  </conditionalFormatting>
  <conditionalFormatting sqref="CV35 CM50:CQ50">
    <cfRule type="cellIs" dxfId="6065" priority="1837" operator="equal">
      <formula>1</formula>
    </cfRule>
    <cfRule type="cellIs" dxfId="6064" priority="1838" operator="equal">
      <formula>4</formula>
    </cfRule>
  </conditionalFormatting>
  <conditionalFormatting sqref="CV39">
    <cfRule type="cellIs" dxfId="6063" priority="1831" operator="equal">
      <formula>1</formula>
    </cfRule>
    <cfRule type="cellIs" dxfId="6062" priority="1832" operator="equal">
      <formula>4</formula>
    </cfRule>
    <cfRule type="top10" dxfId="6061" priority="1833" rank="10"/>
    <cfRule type="top10" dxfId="6060" priority="1834" rank="10"/>
    <cfRule type="cellIs" dxfId="6059" priority="1835" operator="equal">
      <formula>4</formula>
    </cfRule>
    <cfRule type="cellIs" dxfId="6058" priority="1836" operator="equal">
      <formula>3</formula>
    </cfRule>
  </conditionalFormatting>
  <conditionalFormatting sqref="CV44">
    <cfRule type="top10" dxfId="6057" priority="1829" rank="10"/>
    <cfRule type="cellIs" dxfId="6056" priority="1830" operator="equal">
      <formula>1</formula>
    </cfRule>
  </conditionalFormatting>
  <conditionalFormatting sqref="CV44:CV47">
    <cfRule type="top10" dxfId="6055" priority="1826" rank="10"/>
    <cfRule type="cellIs" dxfId="6054" priority="1827" operator="equal">
      <formula>3</formula>
    </cfRule>
    <cfRule type="cellIs" dxfId="6053" priority="1828" operator="equal">
      <formula>4</formula>
    </cfRule>
  </conditionalFormatting>
  <conditionalFormatting sqref="CV19:CW19">
    <cfRule type="top10" dxfId="6052" priority="1824" rank="10"/>
    <cfRule type="top10" dxfId="6051" priority="1825" rank="10"/>
  </conditionalFormatting>
  <conditionalFormatting sqref="CV26:CW26">
    <cfRule type="cellIs" dxfId="6050" priority="1816" operator="equal">
      <formula>1</formula>
    </cfRule>
    <cfRule type="cellIs" dxfId="6049" priority="1817" operator="equal">
      <formula>4</formula>
    </cfRule>
    <cfRule type="top10" dxfId="6048" priority="1818" rank="10"/>
    <cfRule type="top10" dxfId="6047" priority="1819" rank="10"/>
    <cfRule type="cellIs" dxfId="6046" priority="1820" operator="equal">
      <formula>4</formula>
    </cfRule>
    <cfRule type="cellIs" dxfId="6045" priority="1821" operator="equal">
      <formula>3</formula>
    </cfRule>
    <cfRule type="top10" dxfId="6044" priority="1822" rank="10"/>
    <cfRule type="cellIs" dxfId="6043" priority="1823" operator="equal">
      <formula>1</formula>
    </cfRule>
  </conditionalFormatting>
  <conditionalFormatting sqref="CV29:CW29">
    <cfRule type="cellIs" dxfId="6042" priority="1808" operator="equal">
      <formula>1</formula>
    </cfRule>
    <cfRule type="cellIs" dxfId="6041" priority="1809" operator="equal">
      <formula>4</formula>
    </cfRule>
    <cfRule type="top10" dxfId="6040" priority="1810" rank="10"/>
    <cfRule type="top10" dxfId="6039" priority="1811" rank="10"/>
    <cfRule type="cellIs" dxfId="6038" priority="1812" operator="equal">
      <formula>4</formula>
    </cfRule>
    <cfRule type="cellIs" dxfId="6037" priority="1813" operator="equal">
      <formula>3</formula>
    </cfRule>
    <cfRule type="top10" dxfId="6036" priority="1814" rank="10"/>
    <cfRule type="cellIs" dxfId="6035" priority="1815" operator="equal">
      <formula>1</formula>
    </cfRule>
  </conditionalFormatting>
  <conditionalFormatting sqref="CV31:CW31">
    <cfRule type="cellIs" dxfId="6034" priority="1802" operator="equal">
      <formula>1</formula>
    </cfRule>
    <cfRule type="cellIs" dxfId="6033" priority="1803" operator="equal">
      <formula>4</formula>
    </cfRule>
    <cfRule type="top10" dxfId="6032" priority="1804" rank="10"/>
    <cfRule type="top10" dxfId="6031" priority="1805" rank="10"/>
    <cfRule type="cellIs" dxfId="6030" priority="1806" operator="equal">
      <formula>4</formula>
    </cfRule>
    <cfRule type="cellIs" dxfId="6029" priority="1807" operator="equal">
      <formula>3</formula>
    </cfRule>
  </conditionalFormatting>
  <conditionalFormatting sqref="CV76:CW76">
    <cfRule type="cellIs" dxfId="6028" priority="1797" operator="equal">
      <formula>4</formula>
    </cfRule>
    <cfRule type="top10" dxfId="6027" priority="1798" rank="10"/>
    <cfRule type="top10" dxfId="6026" priority="1799" rank="10"/>
    <cfRule type="cellIs" dxfId="6025" priority="1800" operator="equal">
      <formula>4</formula>
    </cfRule>
    <cfRule type="cellIs" dxfId="6024" priority="1801" operator="equal">
      <formula>3</formula>
    </cfRule>
  </conditionalFormatting>
  <conditionalFormatting sqref="CV19:CX19">
    <cfRule type="cellIs" dxfId="6023" priority="1789" operator="equal">
      <formula>4</formula>
    </cfRule>
    <cfRule type="cellIs" dxfId="6022" priority="1790" operator="equal">
      <formula>3</formula>
    </cfRule>
    <cfRule type="top10" dxfId="6021" priority="1791" rank="10"/>
    <cfRule type="cellIs" dxfId="6020" priority="1792" operator="equal">
      <formula>1</formula>
    </cfRule>
    <cfRule type="top10" dxfId="6019" priority="1793" rank="10"/>
    <cfRule type="cellIs" dxfId="6018" priority="1794" operator="equal">
      <formula>1</formula>
    </cfRule>
    <cfRule type="cellIs" dxfId="6017" priority="1795" operator="equal">
      <formula>4</formula>
    </cfRule>
    <cfRule type="cellIs" dxfId="6016" priority="1796" operator="equal">
      <formula>3</formula>
    </cfRule>
  </conditionalFormatting>
  <conditionalFormatting sqref="CV30:CX32">
    <cfRule type="cellIs" dxfId="6015" priority="1785" operator="equal">
      <formula>4</formula>
    </cfRule>
    <cfRule type="cellIs" dxfId="6014" priority="1786" operator="equal">
      <formula>3</formula>
    </cfRule>
    <cfRule type="top10" dxfId="6013" priority="1787" rank="10"/>
    <cfRule type="cellIs" dxfId="6012" priority="1788" operator="equal">
      <formula>1</formula>
    </cfRule>
  </conditionalFormatting>
  <conditionalFormatting sqref="CV41:CY41">
    <cfRule type="top10" dxfId="6011" priority="1784" rank="10"/>
  </conditionalFormatting>
  <conditionalFormatting sqref="CW24">
    <cfRule type="top10" dxfId="6010" priority="1782" rank="10"/>
    <cfRule type="top10" dxfId="6009" priority="1783" rank="10"/>
  </conditionalFormatting>
  <conditionalFormatting sqref="CW33:CX33">
    <cfRule type="cellIs" dxfId="6008" priority="1778" operator="equal">
      <formula>4</formula>
    </cfRule>
    <cfRule type="cellIs" dxfId="6007" priority="1779" operator="equal">
      <formula>3</formula>
    </cfRule>
    <cfRule type="top10" dxfId="6006" priority="1780" rank="10"/>
    <cfRule type="cellIs" dxfId="6005" priority="1781" operator="equal">
      <formula>1</formula>
    </cfRule>
  </conditionalFormatting>
  <conditionalFormatting sqref="CW70:CY70">
    <cfRule type="top10" dxfId="6004" priority="1775" rank="10"/>
    <cfRule type="cellIs" dxfId="6003" priority="1776" operator="equal">
      <formula>3</formula>
    </cfRule>
    <cfRule type="cellIs" dxfId="6002" priority="1777" operator="equal">
      <formula>4</formula>
    </cfRule>
  </conditionalFormatting>
  <conditionalFormatting sqref="CX36">
    <cfRule type="top10" dxfId="6001" priority="1774" rank="10"/>
  </conditionalFormatting>
  <conditionalFormatting sqref="CX48 CX23:CX25">
    <cfRule type="top10" dxfId="6000" priority="1773" rank="10"/>
  </conditionalFormatting>
  <conditionalFormatting sqref="CX49">
    <cfRule type="top10" dxfId="5999" priority="1772" rank="10"/>
  </conditionalFormatting>
  <conditionalFormatting sqref="CX72 CX27:CX28">
    <cfRule type="top10" dxfId="5998" priority="1771" rank="10"/>
  </conditionalFormatting>
  <conditionalFormatting sqref="CX81 CX78:CX79 CX73 CX37:CX38 CX71">
    <cfRule type="top10" dxfId="5997" priority="1770" rank="10"/>
  </conditionalFormatting>
  <conditionalFormatting sqref="CX74">
    <cfRule type="cellIs" dxfId="5996" priority="1769" operator="equal">
      <formula>4</formula>
    </cfRule>
  </conditionalFormatting>
  <conditionalFormatting sqref="CX75 CX20:CX22">
    <cfRule type="top10" dxfId="5995" priority="1768" rank="10"/>
  </conditionalFormatting>
  <conditionalFormatting sqref="CX76:CX77 CX41 CX69 CX29">
    <cfRule type="top10" dxfId="5994" priority="1767" rank="10"/>
  </conditionalFormatting>
  <conditionalFormatting sqref="CY16">
    <cfRule type="top10" dxfId="5993" priority="1766" rank="10"/>
  </conditionalFormatting>
  <conditionalFormatting sqref="CY35">
    <cfRule type="top10" dxfId="5992" priority="1763" rank="10"/>
    <cfRule type="top10" dxfId="5991" priority="1764" rank="10"/>
    <cfRule type="top10" dxfId="5990" priority="1765" rank="10"/>
  </conditionalFormatting>
  <conditionalFormatting sqref="CY38">
    <cfRule type="cellIs" dxfId="5989" priority="1759" operator="equal">
      <formula>4</formula>
    </cfRule>
    <cfRule type="cellIs" dxfId="5988" priority="1760" operator="equal">
      <formula>3</formula>
    </cfRule>
    <cfRule type="top10" dxfId="5987" priority="1761" rank="10"/>
    <cfRule type="cellIs" dxfId="5986" priority="1762" operator="equal">
      <formula>1</formula>
    </cfRule>
  </conditionalFormatting>
  <conditionalFormatting sqref="CY39">
    <cfRule type="top10" dxfId="5985" priority="1756" rank="10"/>
    <cfRule type="top10" dxfId="5984" priority="1757" rank="10"/>
    <cfRule type="top10" dxfId="5983" priority="1758" rank="10"/>
  </conditionalFormatting>
  <conditionalFormatting sqref="CZ74:DB76">
    <cfRule type="top10" dxfId="5982" priority="1750" rank="10"/>
    <cfRule type="top10" dxfId="5981" priority="1751" rank="10"/>
  </conditionalFormatting>
  <conditionalFormatting sqref="DA35:DA36">
    <cfRule type="top10" dxfId="5980" priority="1747" rank="10"/>
    <cfRule type="top10" dxfId="5979" priority="1748" rank="10"/>
    <cfRule type="top10" dxfId="5978" priority="1749" rank="10"/>
  </conditionalFormatting>
  <conditionalFormatting sqref="DA74:DB74 DA48:DB48 DA43:DB46 DA27:DB28 DA72:DB72 DA22:DB23 DA16:DB16">
    <cfRule type="top10" dxfId="5977" priority="1746" rank="10"/>
  </conditionalFormatting>
  <conditionalFormatting sqref="DA16:DD16">
    <cfRule type="cellIs" dxfId="5976" priority="1745" operator="equal">
      <formula>4</formula>
    </cfRule>
  </conditionalFormatting>
  <conditionalFormatting sqref="DC32">
    <cfRule type="top10" dxfId="5975" priority="1742" rank="10"/>
    <cfRule type="top10" dxfId="5974" priority="1743" rank="10"/>
    <cfRule type="top10" dxfId="5973" priority="1744" rank="10"/>
  </conditionalFormatting>
  <conditionalFormatting sqref="DC48">
    <cfRule type="cellIs" dxfId="5972" priority="1734" operator="equal">
      <formula>4</formula>
    </cfRule>
    <cfRule type="cellIs" dxfId="5971" priority="1735" operator="equal">
      <formula>3</formula>
    </cfRule>
    <cfRule type="top10" dxfId="5970" priority="1736" rank="10"/>
    <cfRule type="cellIs" dxfId="5969" priority="1737" operator="equal">
      <formula>1</formula>
    </cfRule>
    <cfRule type="top10" dxfId="5968" priority="1738" rank="10"/>
    <cfRule type="cellIs" dxfId="5967" priority="1739" operator="equal">
      <formula>1</formula>
    </cfRule>
    <cfRule type="cellIs" dxfId="5966" priority="1740" operator="equal">
      <formula>4</formula>
    </cfRule>
    <cfRule type="cellIs" dxfId="5965" priority="1741" operator="equal">
      <formula>3</formula>
    </cfRule>
  </conditionalFormatting>
  <conditionalFormatting sqref="DC75:DC76">
    <cfRule type="top10" dxfId="5964" priority="1732" rank="10"/>
    <cfRule type="top10" dxfId="5963" priority="1733" rank="10"/>
  </conditionalFormatting>
  <conditionalFormatting sqref="DC16:DD16">
    <cfRule type="cellIs" dxfId="5962" priority="1725" operator="equal">
      <formula>4</formula>
    </cfRule>
    <cfRule type="cellIs" dxfId="5961" priority="1726" operator="equal">
      <formula>3</formula>
    </cfRule>
    <cfRule type="top10" dxfId="5960" priority="1727" rank="10"/>
    <cfRule type="cellIs" dxfId="5959" priority="1728" operator="equal">
      <formula>1</formula>
    </cfRule>
    <cfRule type="top10" dxfId="5958" priority="1729" rank="10"/>
    <cfRule type="cellIs" dxfId="5957" priority="1730" operator="equal">
      <formula>1</formula>
    </cfRule>
    <cfRule type="cellIs" dxfId="5956" priority="1731" operator="equal">
      <formula>3</formula>
    </cfRule>
  </conditionalFormatting>
  <conditionalFormatting sqref="DC44:DD44">
    <cfRule type="top10" dxfId="5955" priority="1722" rank="10"/>
    <cfRule type="cellIs" dxfId="5954" priority="1723" operator="equal">
      <formula>1</formula>
    </cfRule>
    <cfRule type="top10" dxfId="5953" priority="1724" rank="10"/>
  </conditionalFormatting>
  <conditionalFormatting sqref="DC76:DD76">
    <cfRule type="cellIs" dxfId="5952" priority="1719" operator="equal">
      <formula>4</formula>
    </cfRule>
    <cfRule type="cellIs" dxfId="5951" priority="1720" operator="equal">
      <formula>3</formula>
    </cfRule>
    <cfRule type="cellIs" dxfId="5950" priority="1721" operator="equal">
      <formula>1</formula>
    </cfRule>
  </conditionalFormatting>
  <conditionalFormatting sqref="DC41:DD41">
    <cfRule type="top10" dxfId="5949" priority="1718" rank="10"/>
  </conditionalFormatting>
  <conditionalFormatting sqref="DD22:DD23">
    <cfRule type="cellIs" dxfId="5948" priority="1710" operator="equal">
      <formula>4</formula>
    </cfRule>
    <cfRule type="cellIs" dxfId="5947" priority="1711" operator="equal">
      <formula>3</formula>
    </cfRule>
    <cfRule type="top10" dxfId="5946" priority="1712" rank="10"/>
    <cfRule type="cellIs" dxfId="5945" priority="1713" operator="equal">
      <formula>1</formula>
    </cfRule>
    <cfRule type="top10" dxfId="5944" priority="1714" rank="10"/>
    <cfRule type="cellIs" dxfId="5943" priority="1715" operator="equal">
      <formula>1</formula>
    </cfRule>
    <cfRule type="cellIs" dxfId="5942" priority="1716" operator="equal">
      <formula>4</formula>
    </cfRule>
    <cfRule type="cellIs" dxfId="5941" priority="1717" operator="equal">
      <formula>3</formula>
    </cfRule>
  </conditionalFormatting>
  <conditionalFormatting sqref="DD70">
    <cfRule type="top10" dxfId="5940" priority="1706" rank="10"/>
    <cfRule type="cellIs" dxfId="5939" priority="1707" operator="equal">
      <formula>1</formula>
    </cfRule>
    <cfRule type="top10" dxfId="5938" priority="1708" rank="10"/>
    <cfRule type="cellIs" dxfId="5937" priority="1709" operator="equal">
      <formula>1</formula>
    </cfRule>
  </conditionalFormatting>
  <conditionalFormatting sqref="DD70:DE70">
    <cfRule type="cellIs" dxfId="5936" priority="1704" operator="equal">
      <formula>4</formula>
    </cfRule>
    <cfRule type="cellIs" dxfId="5935" priority="1705" operator="equal">
      <formula>3</formula>
    </cfRule>
  </conditionalFormatting>
  <conditionalFormatting sqref="DE16">
    <cfRule type="top10" dxfId="5934" priority="1703" rank="10"/>
  </conditionalFormatting>
  <conditionalFormatting sqref="DE46:DE47">
    <cfRule type="top10" dxfId="5933" priority="1701" rank="10"/>
    <cfRule type="top10" dxfId="5932" priority="1702" rank="10"/>
  </conditionalFormatting>
  <conditionalFormatting sqref="DE41:DM41 BJ16 CV76 V27">
    <cfRule type="cellIs" dxfId="5931" priority="1700" operator="equal">
      <formula>1</formula>
    </cfRule>
  </conditionalFormatting>
  <conditionalFormatting sqref="DG16:DH16">
    <cfRule type="cellIs" dxfId="5930" priority="1699" operator="equal">
      <formula>2</formula>
    </cfRule>
  </conditionalFormatting>
  <conditionalFormatting sqref="DK20">
    <cfRule type="top10" dxfId="5929" priority="1698" rank="10"/>
  </conditionalFormatting>
  <conditionalFormatting sqref="DM27">
    <cfRule type="top10" dxfId="5928" priority="1697" rank="10"/>
  </conditionalFormatting>
  <conditionalFormatting sqref="DS41">
    <cfRule type="cellIs" dxfId="5927" priority="1693" operator="equal">
      <formula>1</formula>
    </cfRule>
    <cfRule type="cellIs" dxfId="5926" priority="1694" operator="equal">
      <formula>3</formula>
    </cfRule>
    <cfRule type="cellIs" dxfId="5925" priority="1695" operator="equal">
      <formula>4</formula>
    </cfRule>
    <cfRule type="top10" dxfId="5924" priority="1696" rank="10"/>
  </conditionalFormatting>
  <conditionalFormatting sqref="CZ28:DB29">
    <cfRule type="top10" dxfId="5923" priority="1690" rank="10"/>
    <cfRule type="cellIs" dxfId="5922" priority="1691" operator="equal">
      <formula>3</formula>
    </cfRule>
    <cfRule type="cellIs" dxfId="5921" priority="1692" operator="equal">
      <formula>4</formula>
    </cfRule>
  </conditionalFormatting>
  <conditionalFormatting sqref="S81 S78:S79 S39:S40">
    <cfRule type="top10" dxfId="5920" priority="1688" rank="10"/>
    <cfRule type="top10" dxfId="5919" priority="1689" rank="10"/>
  </conditionalFormatting>
  <conditionalFormatting sqref="CZ81:DD81 CZ79:DD79 CZ39:DD40">
    <cfRule type="top10" dxfId="5918" priority="1686" rank="10"/>
    <cfRule type="top10" dxfId="5917" priority="1687" rank="10"/>
  </conditionalFormatting>
  <conditionalFormatting sqref="T42:U42 S40 S42:S45">
    <cfRule type="top10" dxfId="5916" priority="1684" rank="10"/>
    <cfRule type="top10" dxfId="5915" priority="1685" rank="10"/>
  </conditionalFormatting>
  <conditionalFormatting sqref="AD42:AE43">
    <cfRule type="top10" dxfId="5914" priority="1682" rank="10"/>
    <cfRule type="top10" dxfId="5913" priority="1683" rank="10"/>
  </conditionalFormatting>
  <conditionalFormatting sqref="BJ81 BJ35 BJ30:BJ31">
    <cfRule type="top10" dxfId="5912" priority="1681" rank="10"/>
  </conditionalFormatting>
  <conditionalFormatting sqref="BZ31 BZ28:BZ29 BZ26 BZ21 BZ16 BZ19">
    <cfRule type="top10" dxfId="5911" priority="1673" rank="10"/>
    <cfRule type="top10" dxfId="5910" priority="1674" rank="10"/>
    <cfRule type="top10" dxfId="5909" priority="1675" rank="10"/>
    <cfRule type="top10" dxfId="5908" priority="1676" rank="10"/>
    <cfRule type="top10" dxfId="5907" priority="1677" rank="10"/>
    <cfRule type="top10" dxfId="5906" priority="1678" rank="10"/>
    <cfRule type="top10" dxfId="5905" priority="1679" rank="10"/>
    <cfRule type="top10" dxfId="5904" priority="1680" rank="10"/>
  </conditionalFormatting>
  <conditionalFormatting sqref="AF80 AF51:AF61">
    <cfRule type="top10" dxfId="5903" priority="1669" rank="10"/>
    <cfRule type="top10" dxfId="5902" priority="1670" rank="10"/>
    <cfRule type="cellIs" dxfId="5901" priority="1671" operator="equal">
      <formula>1</formula>
    </cfRule>
    <cfRule type="top10" dxfId="5900" priority="1672" rank="10"/>
  </conditionalFormatting>
  <conditionalFormatting sqref="AH80 AH51:AH61">
    <cfRule type="top10" dxfId="5899" priority="1665" rank="10"/>
    <cfRule type="top10" dxfId="5898" priority="1666" rank="10"/>
    <cfRule type="cellIs" dxfId="5897" priority="1667" operator="equal">
      <formula>1</formula>
    </cfRule>
    <cfRule type="top10" dxfId="5896" priority="1668" rank="10"/>
  </conditionalFormatting>
  <conditionalFormatting sqref="AP80 AP77 AP50:AP61">
    <cfRule type="top10" dxfId="5895" priority="1664" rank="10"/>
  </conditionalFormatting>
  <conditionalFormatting sqref="BQ80 BQ77 BQ50:BQ61">
    <cfRule type="top10" dxfId="5894" priority="1662" rank="10"/>
    <cfRule type="cellIs" dxfId="5893" priority="1663" operator="equal">
      <formula>1</formula>
    </cfRule>
  </conditionalFormatting>
  <conditionalFormatting sqref="BR77 BR50:BR61">
    <cfRule type="top10" dxfId="5892" priority="1658" rank="10"/>
    <cfRule type="cellIs" dxfId="5891" priority="1659" operator="equal">
      <formula>1</formula>
    </cfRule>
    <cfRule type="top10" dxfId="5890" priority="1660" rank="10"/>
    <cfRule type="cellIs" dxfId="5889" priority="1661" operator="equal">
      <formula>1</formula>
    </cfRule>
  </conditionalFormatting>
  <conditionalFormatting sqref="BX80 BX77 BX50:BX61 BY50">
    <cfRule type="top10" dxfId="5888" priority="1657" rank="10"/>
  </conditionalFormatting>
  <conditionalFormatting sqref="CA80 CA77 CA50:CA61">
    <cfRule type="top10" dxfId="5887" priority="1651" rank="10"/>
    <cfRule type="cellIs" dxfId="5886" priority="1652" operator="equal">
      <formula>1</formula>
    </cfRule>
    <cfRule type="top10" dxfId="5885" priority="1653" rank="10"/>
    <cfRule type="cellIs" dxfId="5884" priority="1654" operator="equal">
      <formula>1</formula>
    </cfRule>
    <cfRule type="cellIs" dxfId="5883" priority="1655" operator="equal">
      <formula>4</formula>
    </cfRule>
    <cfRule type="cellIs" dxfId="5882" priority="1656" operator="equal">
      <formula>3</formula>
    </cfRule>
  </conditionalFormatting>
  <conditionalFormatting sqref="CG80 CG77 CG50:CG61">
    <cfRule type="top10" dxfId="5881" priority="1645" rank="10"/>
    <cfRule type="cellIs" dxfId="5880" priority="1646" operator="equal">
      <formula>1</formula>
    </cfRule>
    <cfRule type="top10" dxfId="5879" priority="1647" rank="10"/>
    <cfRule type="cellIs" dxfId="5878" priority="1648" operator="equal">
      <formula>1</formula>
    </cfRule>
    <cfRule type="cellIs" dxfId="5877" priority="1649" operator="equal">
      <formula>4</formula>
    </cfRule>
    <cfRule type="cellIs" dxfId="5876" priority="1650" operator="equal">
      <formula>3</formula>
    </cfRule>
  </conditionalFormatting>
  <conditionalFormatting sqref="CX80 CX77 CX50:CX61">
    <cfRule type="top10" dxfId="5875" priority="1644" rank="10"/>
  </conditionalFormatting>
  <conditionalFormatting sqref="DR80:DT80 DR50:DT61">
    <cfRule type="top10" dxfId="5874" priority="1641" rank="10"/>
    <cfRule type="cellIs" dxfId="5873" priority="1642" operator="equal">
      <formula>1</formula>
    </cfRule>
    <cfRule type="top10" dxfId="5872" priority="1643" rank="10"/>
  </conditionalFormatting>
  <conditionalFormatting sqref="AC80:AE80 K52:K55 AC50:AE61 AP50:AQ61 AP80:AQ80 BP50:BV61 BP80:BQ80 BX50:BX61 BX80 S50:S61 S80 BD50:BL61 BD80:BL80 J50:J61 J80:K80 F50:H61 BY50 CV50:DQ61 CV62:DT68 BZ80:CL80 CV80:DQ80 F80:H80 BS80:BV80 V62:CL68 F62:S68 BZ50:CL61">
    <cfRule type="top10" dxfId="5871" priority="1640" rank="10"/>
  </conditionalFormatting>
  <conditionalFormatting sqref="DC76:DD78 DC48:DD49 DC69:DD74 DC22:DD38 DC42:DD46">
    <cfRule type="top10" dxfId="5870" priority="1635" rank="10"/>
    <cfRule type="top10" dxfId="5869" priority="1636" rank="10"/>
    <cfRule type="top10" dxfId="5868" priority="1637" rank="10"/>
    <cfRule type="top10" dxfId="5867" priority="1638" rank="10"/>
    <cfRule type="top10" dxfId="5866" priority="1639" rank="10"/>
  </conditionalFormatting>
  <conditionalFormatting sqref="DA80:DB80 DA75:DB78 DA73:DB73 DA19:DB21 DA24:DB26 DA69:DB71 DA29:DB38 DA49:DB61 DA47:DB47 DA41:DB42">
    <cfRule type="top10" dxfId="5865" priority="1634" rank="10"/>
  </conditionalFormatting>
  <conditionalFormatting sqref="AC81 K52:K55 AC21:AC40 AC42:AC49 AC69:AC79 AC19 AC50:AE61 AC80:AE80 AP50:AQ61 AP80:AQ80 BP50:BV61 BP80:BQ80 BX50:BX61 BX80 BD50:BL61 BD80:BL80 J50:J61 J80:K80 AD36 BY50 V27 S19:S40 S42:S61 S69:S81 CV50:DQ61 CV62:DT68 BZ80:CL80 CV80:DQ80 F80:H80 BS80:BV80 V62:CL68 F62:S68 T42:U42 F50:H61 BZ50:CL61">
    <cfRule type="top10" dxfId="5864" priority="1633" rank="10"/>
  </conditionalFormatting>
  <conditionalFormatting sqref="CZ80 CZ69:CZ78 DA47 CZ16 CZ41:CZ61 CZ19:CZ38">
    <cfRule type="top10" dxfId="5863" priority="1632" rank="10"/>
  </conditionalFormatting>
  <conditionalFormatting sqref="DC80:DD80 CH27 DC16:DD16 DC42:DD61 DC69:DD78 DC19:DD38">
    <cfRule type="top10" dxfId="5862" priority="1631" rank="10"/>
  </conditionalFormatting>
  <conditionalFormatting sqref="DA80:DB80 DA69:DB78 DA16:DB16 DA41:DB61 DA19:DB38">
    <cfRule type="top10" dxfId="5861" priority="1629" rank="10"/>
    <cfRule type="top10" dxfId="5860" priority="1630" rank="10"/>
  </conditionalFormatting>
  <conditionalFormatting sqref="CM16:CQ16 CM19:CQ19">
    <cfRule type="cellIs" dxfId="5859" priority="1625" operator="equal">
      <formula>4</formula>
    </cfRule>
  </conditionalFormatting>
  <conditionalFormatting sqref="CM59:CQ59">
    <cfRule type="cellIs" dxfId="5858" priority="1622" operator="equal">
      <formula>4</formula>
    </cfRule>
    <cfRule type="cellIs" dxfId="5857" priority="1623" operator="equal">
      <formula>3</formula>
    </cfRule>
    <cfRule type="cellIs" dxfId="5856" priority="1624" operator="equal">
      <formula>1</formula>
    </cfRule>
  </conditionalFormatting>
  <conditionalFormatting sqref="CM25">
    <cfRule type="top10" dxfId="5855" priority="1621" rank="10"/>
  </conditionalFormatting>
  <conditionalFormatting sqref="CM59">
    <cfRule type="cellIs" dxfId="5854" priority="1608" operator="equal">
      <formula>1</formula>
    </cfRule>
    <cfRule type="cellIs" dxfId="5853" priority="1609" operator="equal">
      <formula>4</formula>
    </cfRule>
    <cfRule type="top10" dxfId="5852" priority="1610" rank="10"/>
    <cfRule type="top10" dxfId="5851" priority="1611" rank="10"/>
    <cfRule type="cellIs" dxfId="5850" priority="1612" operator="equal">
      <formula>4</formula>
    </cfRule>
    <cfRule type="cellIs" dxfId="5849" priority="1613" operator="equal">
      <formula>3</formula>
    </cfRule>
    <cfRule type="top10" dxfId="5848" priority="1614" rank="10"/>
    <cfRule type="cellIs" dxfId="5847" priority="1615" operator="equal">
      <formula>1</formula>
    </cfRule>
    <cfRule type="cellIs" dxfId="5846" priority="1616" operator="equal">
      <formula>4</formula>
    </cfRule>
    <cfRule type="cellIs" dxfId="5845" priority="1617" operator="equal">
      <formula>3</formula>
    </cfRule>
    <cfRule type="top10" dxfId="5844" priority="1618" rank="10"/>
    <cfRule type="top10" dxfId="5843" priority="1619" rank="10"/>
    <cfRule type="top10" dxfId="5842" priority="1620" rank="10"/>
  </conditionalFormatting>
  <conditionalFormatting sqref="CM48:CQ48">
    <cfRule type="top10" dxfId="5841" priority="1604" rank="10"/>
    <cfRule type="cellIs" dxfId="5840" priority="1605" operator="equal">
      <formula>1</formula>
    </cfRule>
    <cfRule type="top10" dxfId="5839" priority="1606" rank="10"/>
    <cfRule type="cellIs" dxfId="5838" priority="1607" operator="equal">
      <formula>1</formula>
    </cfRule>
  </conditionalFormatting>
  <conditionalFormatting sqref="CM50:CQ50">
    <cfRule type="cellIs" dxfId="5837" priority="1592" operator="equal">
      <formula>4</formula>
    </cfRule>
    <cfRule type="top10" dxfId="5836" priority="1593" rank="10"/>
    <cfRule type="top10" dxfId="5835" priority="1594" rank="10"/>
    <cfRule type="cellIs" dxfId="5834" priority="1595" operator="equal">
      <formula>3</formula>
    </cfRule>
    <cfRule type="top10" dxfId="5833" priority="1596" rank="10"/>
  </conditionalFormatting>
  <conditionalFormatting sqref="CM29:CQ29">
    <cfRule type="top10" dxfId="5832" priority="1590" rank="10"/>
    <cfRule type="top10" dxfId="5831" priority="1591" rank="10"/>
  </conditionalFormatting>
  <conditionalFormatting sqref="CM59:CQ59">
    <cfRule type="top10" dxfId="5830" priority="1588" rank="10"/>
    <cfRule type="top10" dxfId="5829" priority="1589" rank="10"/>
  </conditionalFormatting>
  <conditionalFormatting sqref="CN49:CP49">
    <cfRule type="top10" dxfId="5828" priority="1584" rank="10"/>
    <cfRule type="cellIs" dxfId="5827" priority="1585" operator="equal">
      <formula>1</formula>
    </cfRule>
    <cfRule type="top10" dxfId="5826" priority="1586" rank="10"/>
    <cfRule type="cellIs" dxfId="5825" priority="1587" operator="equal">
      <formula>1</formula>
    </cfRule>
  </conditionalFormatting>
  <conditionalFormatting sqref="CO28">
    <cfRule type="top10" dxfId="5824" priority="1582" rank="10"/>
    <cfRule type="top10" dxfId="5823" priority="1583" rank="10"/>
  </conditionalFormatting>
  <conditionalFormatting sqref="CO32">
    <cfRule type="top10" dxfId="5822" priority="1580" rank="10"/>
    <cfRule type="cellIs" dxfId="5821" priority="1581" operator="equal">
      <formula>1</formula>
    </cfRule>
  </conditionalFormatting>
  <conditionalFormatting sqref="CO42:CO43 CM43:CN43">
    <cfRule type="top10" dxfId="5820" priority="1578" rank="10"/>
    <cfRule type="cellIs" dxfId="5819" priority="1579" operator="equal">
      <formula>1</formula>
    </cfRule>
  </conditionalFormatting>
  <conditionalFormatting sqref="CO32:CP32">
    <cfRule type="cellIs" dxfId="5818" priority="1576" operator="equal">
      <formula>4</formula>
    </cfRule>
    <cfRule type="cellIs" dxfId="5817" priority="1577" operator="equal">
      <formula>3</formula>
    </cfRule>
  </conditionalFormatting>
  <conditionalFormatting sqref="CO38:CP38">
    <cfRule type="cellIs" dxfId="5816" priority="1572" operator="equal">
      <formula>4</formula>
    </cfRule>
    <cfRule type="cellIs" dxfId="5815" priority="1573" operator="equal">
      <formula>3</formula>
    </cfRule>
    <cfRule type="top10" dxfId="5814" priority="1574" rank="10"/>
    <cfRule type="cellIs" dxfId="5813" priority="1575" operator="equal">
      <formula>1</formula>
    </cfRule>
  </conditionalFormatting>
  <conditionalFormatting sqref="CO41:CQ41">
    <cfRule type="cellIs" dxfId="5812" priority="1567" operator="equal">
      <formula>4</formula>
    </cfRule>
    <cfRule type="cellIs" dxfId="5811" priority="1568" operator="equal">
      <formula>3</formula>
    </cfRule>
    <cfRule type="cellIs" dxfId="5810" priority="1569" operator="equal">
      <formula>1</formula>
    </cfRule>
  </conditionalFormatting>
  <conditionalFormatting sqref="CP32">
    <cfRule type="top10" dxfId="5809" priority="1565" rank="10"/>
    <cfRule type="cellIs" dxfId="5808" priority="1566" operator="equal">
      <formula>1</formula>
    </cfRule>
  </conditionalFormatting>
  <conditionalFormatting sqref="CP52">
    <cfRule type="cellIs" dxfId="5807" priority="1562" operator="equal">
      <formula>4</formula>
    </cfRule>
    <cfRule type="cellIs" dxfId="5806" priority="1563" operator="equal">
      <formula>3</formula>
    </cfRule>
    <cfRule type="cellIs" dxfId="5805" priority="1564" operator="equal">
      <formula>1</formula>
    </cfRule>
  </conditionalFormatting>
  <conditionalFormatting sqref="CP52 CP42:CP43">
    <cfRule type="top10" dxfId="5804" priority="1561" rank="10"/>
  </conditionalFormatting>
  <conditionalFormatting sqref="CP54 CP45 CP57">
    <cfRule type="cellIs" dxfId="5803" priority="1559" operator="equal">
      <formula>4</formula>
    </cfRule>
    <cfRule type="cellIs" dxfId="5802" priority="1560" operator="equal">
      <formula>3</formula>
    </cfRule>
  </conditionalFormatting>
  <conditionalFormatting sqref="CP54">
    <cfRule type="top10" dxfId="5801" priority="1557" rank="10"/>
    <cfRule type="cellIs" dxfId="5800" priority="1558" operator="equal">
      <formula>1</formula>
    </cfRule>
  </conditionalFormatting>
  <conditionalFormatting sqref="CP64">
    <cfRule type="cellIs" dxfId="5799" priority="1556" operator="equal">
      <formula>1</formula>
    </cfRule>
  </conditionalFormatting>
  <conditionalFormatting sqref="CQ42">
    <cfRule type="cellIs" dxfId="5798" priority="1553" operator="equal">
      <formula>4</formula>
    </cfRule>
    <cfRule type="cellIs" dxfId="5797" priority="1554" operator="equal">
      <formula>3</formula>
    </cfRule>
    <cfRule type="cellIs" dxfId="5796" priority="1555" operator="equal">
      <formula>1</formula>
    </cfRule>
  </conditionalFormatting>
  <conditionalFormatting sqref="CQ48">
    <cfRule type="cellIs" dxfId="5795" priority="1551" operator="equal">
      <formula>1</formula>
    </cfRule>
    <cfRule type="cellIs" dxfId="5794" priority="1552" operator="equal">
      <formula>1</formula>
    </cfRule>
  </conditionalFormatting>
  <conditionalFormatting sqref="CQ52">
    <cfRule type="cellIs" dxfId="5793" priority="1549" operator="equal">
      <formula>3</formula>
    </cfRule>
    <cfRule type="cellIs" dxfId="5792" priority="1550" operator="equal">
      <formula>4</formula>
    </cfRule>
  </conditionalFormatting>
  <conditionalFormatting sqref="CO41:CQ41">
    <cfRule type="top10" dxfId="5791" priority="1548" rank="10"/>
  </conditionalFormatting>
  <conditionalFormatting sqref="CQ42">
    <cfRule type="top10" dxfId="5790" priority="1547" rank="10"/>
  </conditionalFormatting>
  <conditionalFormatting sqref="CQ48">
    <cfRule type="top10" dxfId="5789" priority="1545" rank="10"/>
    <cfRule type="top10" dxfId="5788" priority="1546" rank="10"/>
  </conditionalFormatting>
  <conditionalFormatting sqref="CQ52">
    <cfRule type="top10" dxfId="5787" priority="1544" rank="10"/>
  </conditionalFormatting>
  <conditionalFormatting sqref="CR16:CU16 CR19:CU19">
    <cfRule type="cellIs" dxfId="5786" priority="1542" operator="equal">
      <formula>4</formula>
    </cfRule>
  </conditionalFormatting>
  <conditionalFormatting sqref="CR59:CU59">
    <cfRule type="cellIs" dxfId="5785" priority="1539" operator="equal">
      <formula>4</formula>
    </cfRule>
    <cfRule type="cellIs" dxfId="5784" priority="1540" operator="equal">
      <formula>3</formula>
    </cfRule>
    <cfRule type="cellIs" dxfId="5783" priority="1541" operator="equal">
      <formula>1</formula>
    </cfRule>
  </conditionalFormatting>
  <conditionalFormatting sqref="CR29:CU29">
    <cfRule type="top10" dxfId="5782" priority="1537" rank="10"/>
    <cfRule type="top10" dxfId="5781" priority="1538" rank="10"/>
  </conditionalFormatting>
  <conditionalFormatting sqref="CR59:CU59">
    <cfRule type="top10" dxfId="5780" priority="1535" rank="10"/>
    <cfRule type="top10" dxfId="5779" priority="1536" rank="10"/>
  </conditionalFormatting>
  <conditionalFormatting sqref="CU41">
    <cfRule type="cellIs" dxfId="5778" priority="1532" operator="equal">
      <formula>4</formula>
    </cfRule>
    <cfRule type="cellIs" dxfId="5777" priority="1533" operator="equal">
      <formula>3</formula>
    </cfRule>
    <cfRule type="cellIs" dxfId="5776" priority="1534" operator="equal">
      <formula>1</formula>
    </cfRule>
  </conditionalFormatting>
  <conditionalFormatting sqref="CU42">
    <cfRule type="cellIs" dxfId="5775" priority="1529" operator="equal">
      <formula>4</formula>
    </cfRule>
    <cfRule type="cellIs" dxfId="5774" priority="1530" operator="equal">
      <formula>3</formula>
    </cfRule>
    <cfRule type="cellIs" dxfId="5773" priority="1531" operator="equal">
      <formula>1</formula>
    </cfRule>
  </conditionalFormatting>
  <conditionalFormatting sqref="CU48">
    <cfRule type="cellIs" dxfId="5772" priority="1527" operator="equal">
      <formula>1</formula>
    </cfRule>
    <cfRule type="cellIs" dxfId="5771" priority="1528" operator="equal">
      <formula>1</formula>
    </cfRule>
  </conditionalFormatting>
  <conditionalFormatting sqref="CU52">
    <cfRule type="cellIs" dxfId="5770" priority="1525" operator="equal">
      <formula>3</formula>
    </cfRule>
    <cfRule type="cellIs" dxfId="5769" priority="1526" operator="equal">
      <formula>4</formula>
    </cfRule>
  </conditionalFormatting>
  <conditionalFormatting sqref="CR25">
    <cfRule type="top10" dxfId="5768" priority="1524" rank="10"/>
  </conditionalFormatting>
  <conditionalFormatting sqref="CR43:CT43">
    <cfRule type="top10" dxfId="5767" priority="1522" rank="10"/>
    <cfRule type="cellIs" dxfId="5766" priority="1523" operator="equal">
      <formula>1</formula>
    </cfRule>
  </conditionalFormatting>
  <conditionalFormatting sqref="CR48:CT48">
    <cfRule type="top10" dxfId="5765" priority="1518" rank="10"/>
    <cfRule type="cellIs" dxfId="5764" priority="1519" operator="equal">
      <formula>1</formula>
    </cfRule>
    <cfRule type="top10" dxfId="5763" priority="1520" rank="10"/>
    <cfRule type="cellIs" dxfId="5762" priority="1521" operator="equal">
      <formula>1</formula>
    </cfRule>
  </conditionalFormatting>
  <conditionalFormatting sqref="CS36">
    <cfRule type="top10" dxfId="5761" priority="1517" rank="10"/>
  </conditionalFormatting>
  <conditionalFormatting sqref="CS42">
    <cfRule type="top10" dxfId="5760" priority="1513" rank="10"/>
    <cfRule type="cellIs" dxfId="5759" priority="1514" operator="equal">
      <formula>1</formula>
    </cfRule>
  </conditionalFormatting>
  <conditionalFormatting sqref="CS43">
    <cfRule type="top10" dxfId="5758" priority="1511" rank="10"/>
    <cfRule type="cellIs" dxfId="5757" priority="1512" operator="equal">
      <formula>1</formula>
    </cfRule>
  </conditionalFormatting>
  <conditionalFormatting sqref="CS48">
    <cfRule type="top10" dxfId="5756" priority="1510" rank="10"/>
  </conditionalFormatting>
  <conditionalFormatting sqref="CS52">
    <cfRule type="top10" dxfId="5755" priority="1508" rank="10"/>
    <cfRule type="cellIs" dxfId="5754" priority="1509" operator="equal">
      <formula>1</formula>
    </cfRule>
  </conditionalFormatting>
  <conditionalFormatting sqref="CS38:CT38">
    <cfRule type="cellIs" dxfId="5753" priority="1504" operator="equal">
      <formula>4</formula>
    </cfRule>
    <cfRule type="cellIs" dxfId="5752" priority="1505" operator="equal">
      <formula>3</formula>
    </cfRule>
    <cfRule type="top10" dxfId="5751" priority="1506" rank="10"/>
    <cfRule type="cellIs" dxfId="5750" priority="1507" operator="equal">
      <formula>1</formula>
    </cfRule>
  </conditionalFormatting>
  <conditionalFormatting sqref="CS40:CT41">
    <cfRule type="cellIs" dxfId="5749" priority="1502" operator="equal">
      <formula>4</formula>
    </cfRule>
    <cfRule type="cellIs" dxfId="5748" priority="1503" operator="equal">
      <formula>3</formula>
    </cfRule>
  </conditionalFormatting>
  <conditionalFormatting sqref="CS48:CT48">
    <cfRule type="top10" dxfId="5747" priority="1501" rank="10"/>
  </conditionalFormatting>
  <conditionalFormatting sqref="CS49:CT49">
    <cfRule type="top10" dxfId="5746" priority="1497" rank="10"/>
    <cfRule type="cellIs" dxfId="5745" priority="1498" operator="equal">
      <formula>1</formula>
    </cfRule>
    <cfRule type="top10" dxfId="5744" priority="1499" rank="10"/>
    <cfRule type="cellIs" dxfId="5743" priority="1500" operator="equal">
      <formula>1</formula>
    </cfRule>
  </conditionalFormatting>
  <conditionalFormatting sqref="CT38">
    <cfRule type="top10" dxfId="5742" priority="1496" rank="10"/>
  </conditionalFormatting>
  <conditionalFormatting sqref="CT42">
    <cfRule type="top10" dxfId="5741" priority="1492" rank="10"/>
    <cfRule type="cellIs" dxfId="5740" priority="1493" operator="equal">
      <formula>1</formula>
    </cfRule>
  </conditionalFormatting>
  <conditionalFormatting sqref="CT43">
    <cfRule type="top10" dxfId="5739" priority="1490" rank="10"/>
    <cfRule type="cellIs" dxfId="5738" priority="1491" operator="equal">
      <formula>1</formula>
    </cfRule>
  </conditionalFormatting>
  <conditionalFormatting sqref="CT52">
    <cfRule type="top10" dxfId="5737" priority="1488" rank="10"/>
    <cfRule type="cellIs" dxfId="5736" priority="1489" operator="equal">
      <formula>1</formula>
    </cfRule>
  </conditionalFormatting>
  <conditionalFormatting sqref="CU41">
    <cfRule type="top10" dxfId="5735" priority="1487" rank="10"/>
  </conditionalFormatting>
  <conditionalFormatting sqref="CU42">
    <cfRule type="top10" dxfId="5734" priority="1486" rank="10"/>
  </conditionalFormatting>
  <conditionalFormatting sqref="CU48">
    <cfRule type="top10" dxfId="5733" priority="1484" rank="10"/>
    <cfRule type="top10" dxfId="5732" priority="1485" rank="10"/>
  </conditionalFormatting>
  <conditionalFormatting sqref="CU52">
    <cfRule type="top10" dxfId="5731" priority="1483" rank="10"/>
  </conditionalFormatting>
  <conditionalFormatting sqref="CV49">
    <cfRule type="top10" dxfId="5730" priority="1480" rank="10"/>
    <cfRule type="cellIs" dxfId="5729" priority="1481" operator="equal">
      <formula>3</formula>
    </cfRule>
    <cfRule type="cellIs" dxfId="5728" priority="1482" operator="equal">
      <formula>4</formula>
    </cfRule>
  </conditionalFormatting>
  <conditionalFormatting sqref="BP41">
    <cfRule type="top10" dxfId="5727" priority="1478" rank="10"/>
    <cfRule type="top10" dxfId="5726" priority="1479" rank="10"/>
  </conditionalFormatting>
  <conditionalFormatting sqref="H16:I16 H19:I28">
    <cfRule type="top10" dxfId="5725" priority="1476" rank="10"/>
    <cfRule type="cellIs" dxfId="5724" priority="1477" operator="equal">
      <formula>1</formula>
    </cfRule>
  </conditionalFormatting>
  <conditionalFormatting sqref="J16 J19:J20">
    <cfRule type="top10" dxfId="5723" priority="1474" rank="10"/>
    <cfRule type="cellIs" dxfId="5722" priority="1475" operator="equal">
      <formula>1</formula>
    </cfRule>
  </conditionalFormatting>
  <conditionalFormatting sqref="BD16:BF16 BD19:BF20">
    <cfRule type="top10" dxfId="5721" priority="1472" rank="10"/>
    <cfRule type="cellIs" dxfId="5720" priority="1473" operator="equal">
      <formula>1</formula>
    </cfRule>
  </conditionalFormatting>
  <conditionalFormatting sqref="CX16 CX19">
    <cfRule type="top10" dxfId="5719" priority="1471" rank="10"/>
  </conditionalFormatting>
  <conditionalFormatting sqref="DM16:DQ16 DM19:DQ21">
    <cfRule type="top10" dxfId="5718" priority="1470" rank="10"/>
  </conditionalFormatting>
  <conditionalFormatting sqref="C33">
    <cfRule type="duplicateValues" dxfId="5717" priority="1467"/>
    <cfRule type="duplicateValues" dxfId="5716" priority="1468"/>
    <cfRule type="duplicateValues" dxfId="5715" priority="1469"/>
  </conditionalFormatting>
  <conditionalFormatting sqref="C36">
    <cfRule type="duplicateValues" dxfId="5714" priority="1464"/>
    <cfRule type="duplicateValues" dxfId="5713" priority="1465"/>
    <cfRule type="duplicateValues" dxfId="5712" priority="1466"/>
  </conditionalFormatting>
  <conditionalFormatting sqref="C37">
    <cfRule type="duplicateValues" dxfId="5711" priority="1461"/>
    <cfRule type="duplicateValues" dxfId="5710" priority="1462"/>
    <cfRule type="duplicateValues" dxfId="5709" priority="1463"/>
  </conditionalFormatting>
  <conditionalFormatting sqref="C59">
    <cfRule type="duplicateValues" dxfId="5708" priority="1458"/>
    <cfRule type="duplicateValues" dxfId="5707" priority="1459"/>
    <cfRule type="duplicateValues" dxfId="5706" priority="1460"/>
  </conditionalFormatting>
  <conditionalFormatting sqref="C32">
    <cfRule type="duplicateValues" dxfId="5705" priority="1455"/>
    <cfRule type="duplicateValues" dxfId="5704" priority="1456"/>
    <cfRule type="duplicateValues" dxfId="5703" priority="1457"/>
  </conditionalFormatting>
  <conditionalFormatting sqref="CM59">
    <cfRule type="cellIs" dxfId="5702" priority="1454" operator="equal">
      <formula>1</formula>
    </cfRule>
  </conditionalFormatting>
  <conditionalFormatting sqref="CM59">
    <cfRule type="cellIs" dxfId="5701" priority="1452" operator="equal">
      <formula>4</formula>
    </cfRule>
    <cfRule type="cellIs" dxfId="5700" priority="1453" operator="equal">
      <formula>3</formula>
    </cfRule>
  </conditionalFormatting>
  <conditionalFormatting sqref="CM59">
    <cfRule type="top10" dxfId="5699" priority="1451" rank="10"/>
  </conditionalFormatting>
  <conditionalFormatting sqref="CM59">
    <cfRule type="top10" dxfId="5698" priority="1450" rank="10"/>
  </conditionalFormatting>
  <conditionalFormatting sqref="CM59">
    <cfRule type="top10" dxfId="5697" priority="1449" rank="10"/>
  </conditionalFormatting>
  <conditionalFormatting sqref="CT57">
    <cfRule type="top10" dxfId="5696" priority="1447" rank="10"/>
    <cfRule type="top10" dxfId="5695" priority="1448" rank="10"/>
  </conditionalFormatting>
  <conditionalFormatting sqref="CT57">
    <cfRule type="top10" dxfId="5694" priority="1446" rank="10"/>
  </conditionalFormatting>
  <conditionalFormatting sqref="CQ59:CU59">
    <cfRule type="cellIs" dxfId="5693" priority="1445" operator="equal">
      <formula>1</formula>
    </cfRule>
  </conditionalFormatting>
  <conditionalFormatting sqref="CQ59:CU59">
    <cfRule type="cellIs" dxfId="5692" priority="1443" operator="equal">
      <formula>4</formula>
    </cfRule>
    <cfRule type="cellIs" dxfId="5691" priority="1444" operator="equal">
      <formula>3</formula>
    </cfRule>
  </conditionalFormatting>
  <conditionalFormatting sqref="CQ59:CU59">
    <cfRule type="top10" dxfId="5690" priority="1441" rank="10"/>
    <cfRule type="top10" dxfId="5689" priority="1442" rank="10"/>
  </conditionalFormatting>
  <conditionalFormatting sqref="CQ59:CU59">
    <cfRule type="top10" dxfId="5688" priority="1440" rank="10"/>
  </conditionalFormatting>
  <conditionalFormatting sqref="CS62:CT62">
    <cfRule type="cellIs" dxfId="5687" priority="1439" operator="equal">
      <formula>1</formula>
    </cfRule>
  </conditionalFormatting>
  <conditionalFormatting sqref="CS62:CT62">
    <cfRule type="cellIs" dxfId="5686" priority="1437" operator="equal">
      <formula>4</formula>
    </cfRule>
    <cfRule type="cellIs" dxfId="5685" priority="1438" operator="equal">
      <formula>3</formula>
    </cfRule>
  </conditionalFormatting>
  <conditionalFormatting sqref="CS62:CT62">
    <cfRule type="top10" dxfId="5684" priority="1435" rank="10"/>
    <cfRule type="top10" dxfId="5683" priority="1436" rank="10"/>
  </conditionalFormatting>
  <conditionalFormatting sqref="CS62:CT62">
    <cfRule type="top10" dxfId="5682" priority="1434" rank="10"/>
  </conditionalFormatting>
  <conditionalFormatting sqref="CU63">
    <cfRule type="cellIs" dxfId="5681" priority="1433" operator="equal">
      <formula>1</formula>
    </cfRule>
  </conditionalFormatting>
  <conditionalFormatting sqref="CU63">
    <cfRule type="cellIs" dxfId="5680" priority="1431" operator="equal">
      <formula>4</formula>
    </cfRule>
    <cfRule type="cellIs" dxfId="5679" priority="1432" operator="equal">
      <formula>3</formula>
    </cfRule>
  </conditionalFormatting>
  <conditionalFormatting sqref="CR44:CU44">
    <cfRule type="top10" dxfId="5678" priority="1429" rank="10"/>
    <cfRule type="top10" dxfId="5677" priority="1430" rank="10"/>
  </conditionalFormatting>
  <conditionalFormatting sqref="CR44:CU44">
    <cfRule type="top10" dxfId="5676" priority="1428" rank="10"/>
  </conditionalFormatting>
  <conditionalFormatting sqref="CT45">
    <cfRule type="top10" dxfId="5675" priority="1426" rank="10"/>
    <cfRule type="top10" dxfId="5674" priority="1427" rank="10"/>
  </conditionalFormatting>
  <conditionalFormatting sqref="CT45">
    <cfRule type="top10" dxfId="5673" priority="1425" rank="10"/>
  </conditionalFormatting>
  <conditionalFormatting sqref="CU47:CU48">
    <cfRule type="top10" dxfId="5672" priority="1423" rank="10"/>
    <cfRule type="top10" dxfId="5671" priority="1424" rank="10"/>
  </conditionalFormatting>
  <conditionalFormatting sqref="CU47:CU48">
    <cfRule type="top10" dxfId="5670" priority="1422" rank="10"/>
  </conditionalFormatting>
  <conditionalFormatting sqref="CT41:CU41">
    <cfRule type="top10" dxfId="5669" priority="1420" rank="10"/>
    <cfRule type="top10" dxfId="5668" priority="1421" rank="10"/>
  </conditionalFormatting>
  <conditionalFormatting sqref="CT41:CU41">
    <cfRule type="top10" dxfId="5667" priority="1419" rank="10"/>
  </conditionalFormatting>
  <conditionalFormatting sqref="CS40">
    <cfRule type="top10" dxfId="5666" priority="1417" rank="10"/>
    <cfRule type="top10" dxfId="5665" priority="1418" rank="10"/>
  </conditionalFormatting>
  <conditionalFormatting sqref="CS40">
    <cfRule type="top10" dxfId="5664" priority="1416" rank="10"/>
  </conditionalFormatting>
  <conditionalFormatting sqref="CN61">
    <cfRule type="cellIs" dxfId="5663" priority="1405" operator="equal">
      <formula>1</formula>
    </cfRule>
  </conditionalFormatting>
  <conditionalFormatting sqref="CN61">
    <cfRule type="cellIs" dxfId="5662" priority="1403" operator="equal">
      <formula>4</formula>
    </cfRule>
    <cfRule type="cellIs" dxfId="5661" priority="1404" operator="equal">
      <formula>3</formula>
    </cfRule>
  </conditionalFormatting>
  <conditionalFormatting sqref="CN61">
    <cfRule type="top10" dxfId="5660" priority="1402" rank="10"/>
  </conditionalFormatting>
  <conditionalFormatting sqref="CN61">
    <cfRule type="top10" dxfId="5659" priority="1401" rank="10"/>
  </conditionalFormatting>
  <conditionalFormatting sqref="CN59">
    <cfRule type="cellIs" dxfId="5658" priority="1400" operator="equal">
      <formula>1</formula>
    </cfRule>
  </conditionalFormatting>
  <conditionalFormatting sqref="CN59">
    <cfRule type="cellIs" dxfId="5657" priority="1398" operator="equal">
      <formula>4</formula>
    </cfRule>
    <cfRule type="cellIs" dxfId="5656" priority="1399" operator="equal">
      <formula>3</formula>
    </cfRule>
  </conditionalFormatting>
  <conditionalFormatting sqref="CN59">
    <cfRule type="top10" dxfId="5655" priority="1397" rank="10"/>
  </conditionalFormatting>
  <conditionalFormatting sqref="CN59">
    <cfRule type="top10" dxfId="5654" priority="1396" rank="10"/>
  </conditionalFormatting>
  <conditionalFormatting sqref="CN48">
    <cfRule type="top10" dxfId="5653" priority="1395" rank="10"/>
  </conditionalFormatting>
  <conditionalFormatting sqref="CN48">
    <cfRule type="top10" dxfId="5652" priority="1394" rank="10"/>
  </conditionalFormatting>
  <conditionalFormatting sqref="CN40">
    <cfRule type="top10" dxfId="5651" priority="1393" rank="10"/>
  </conditionalFormatting>
  <conditionalFormatting sqref="CN40">
    <cfRule type="top10" dxfId="5650" priority="1392" rank="10"/>
  </conditionalFormatting>
  <conditionalFormatting sqref="CN24:CO25">
    <cfRule type="top10" dxfId="5649" priority="1391" rank="10"/>
  </conditionalFormatting>
  <conditionalFormatting sqref="CN24:CO25">
    <cfRule type="top10" dxfId="5648" priority="1390" rank="10"/>
  </conditionalFormatting>
  <conditionalFormatting sqref="CP31">
    <cfRule type="top10" dxfId="5647" priority="1389" rank="10"/>
  </conditionalFormatting>
  <conditionalFormatting sqref="CP31">
    <cfRule type="top10" dxfId="5646" priority="1388" rank="10"/>
  </conditionalFormatting>
  <conditionalFormatting sqref="CP25">
    <cfRule type="top10" dxfId="5645" priority="1387" rank="10"/>
  </conditionalFormatting>
  <conditionalFormatting sqref="CP25">
    <cfRule type="top10" dxfId="5644" priority="1386" rank="10"/>
  </conditionalFormatting>
  <conditionalFormatting sqref="CQ27">
    <cfRule type="top10" dxfId="5643" priority="1385" rank="10"/>
  </conditionalFormatting>
  <conditionalFormatting sqref="CQ27">
    <cfRule type="top10" dxfId="5642" priority="1384" rank="10"/>
  </conditionalFormatting>
  <conditionalFormatting sqref="CS27:CU29">
    <cfRule type="top10" dxfId="5641" priority="1383" rank="10"/>
  </conditionalFormatting>
  <conditionalFormatting sqref="CS27:CU29">
    <cfRule type="top10" dxfId="5640" priority="1382" rank="10"/>
  </conditionalFormatting>
  <conditionalFormatting sqref="CS32:CU32">
    <cfRule type="top10" dxfId="5639" priority="1381" rank="10"/>
  </conditionalFormatting>
  <conditionalFormatting sqref="CS32:CU32">
    <cfRule type="top10" dxfId="5638" priority="1380" rank="10"/>
  </conditionalFormatting>
  <conditionalFormatting sqref="C152:C172">
    <cfRule type="duplicateValues" dxfId="5637" priority="1377"/>
    <cfRule type="duplicateValues" dxfId="5636" priority="1378"/>
    <cfRule type="duplicateValues" dxfId="5635" priority="1379"/>
  </conditionalFormatting>
  <conditionalFormatting sqref="CP44">
    <cfRule type="cellIs" dxfId="5634" priority="1376" operator="equal">
      <formula>1</formula>
    </cfRule>
  </conditionalFormatting>
  <conditionalFormatting sqref="CP44">
    <cfRule type="cellIs" dxfId="5633" priority="1374" operator="equal">
      <formula>4</formula>
    </cfRule>
    <cfRule type="cellIs" dxfId="5632" priority="1375" operator="equal">
      <formula>3</formula>
    </cfRule>
  </conditionalFormatting>
  <conditionalFormatting sqref="CP44">
    <cfRule type="top10" dxfId="5631" priority="1373" rank="10"/>
  </conditionalFormatting>
  <conditionalFormatting sqref="CP44">
    <cfRule type="top10" dxfId="5630" priority="1372" rank="10"/>
  </conditionalFormatting>
  <conditionalFormatting sqref="CO48:CQ48">
    <cfRule type="cellIs" dxfId="5629" priority="1371" operator="equal">
      <formula>1</formula>
    </cfRule>
  </conditionalFormatting>
  <conditionalFormatting sqref="CO48:CQ48">
    <cfRule type="cellIs" dxfId="5628" priority="1369" operator="equal">
      <formula>4</formula>
    </cfRule>
    <cfRule type="cellIs" dxfId="5627" priority="1370" operator="equal">
      <formula>3</formula>
    </cfRule>
  </conditionalFormatting>
  <conditionalFormatting sqref="CO48:CQ48">
    <cfRule type="top10" dxfId="5626" priority="1368" rank="10"/>
  </conditionalFormatting>
  <conditionalFormatting sqref="CO48:CQ48">
    <cfRule type="top10" dxfId="5625" priority="1367" rank="10"/>
  </conditionalFormatting>
  <conditionalFormatting sqref="CP54">
    <cfRule type="cellIs" dxfId="5624" priority="1366" operator="equal">
      <formula>1</formula>
    </cfRule>
  </conditionalFormatting>
  <conditionalFormatting sqref="CP54">
    <cfRule type="cellIs" dxfId="5623" priority="1364" operator="equal">
      <formula>4</formula>
    </cfRule>
    <cfRule type="cellIs" dxfId="5622" priority="1365" operator="equal">
      <formula>3</formula>
    </cfRule>
  </conditionalFormatting>
  <conditionalFormatting sqref="CP54">
    <cfRule type="top10" dxfId="5621" priority="1363" rank="10"/>
  </conditionalFormatting>
  <conditionalFormatting sqref="CP54">
    <cfRule type="top10" dxfId="5620" priority="1362" rank="10"/>
  </conditionalFormatting>
  <conditionalFormatting sqref="CP57">
    <cfRule type="cellIs" dxfId="5619" priority="1361" operator="equal">
      <formula>1</formula>
    </cfRule>
  </conditionalFormatting>
  <conditionalFormatting sqref="CP57">
    <cfRule type="cellIs" dxfId="5618" priority="1359" operator="equal">
      <formula>4</formula>
    </cfRule>
    <cfRule type="cellIs" dxfId="5617" priority="1360" operator="equal">
      <formula>3</formula>
    </cfRule>
  </conditionalFormatting>
  <conditionalFormatting sqref="CP57">
    <cfRule type="top10" dxfId="5616" priority="1358" rank="10"/>
  </conditionalFormatting>
  <conditionalFormatting sqref="CP57">
    <cfRule type="top10" dxfId="5615" priority="1357" rank="10"/>
  </conditionalFormatting>
  <conditionalFormatting sqref="CT49">
    <cfRule type="cellIs" dxfId="5614" priority="1356" operator="equal">
      <formula>1</formula>
    </cfRule>
  </conditionalFormatting>
  <conditionalFormatting sqref="CT49">
    <cfRule type="cellIs" dxfId="5613" priority="1354" operator="equal">
      <formula>4</formula>
    </cfRule>
    <cfRule type="cellIs" dxfId="5612" priority="1355" operator="equal">
      <formula>3</formula>
    </cfRule>
  </conditionalFormatting>
  <conditionalFormatting sqref="CT49">
    <cfRule type="top10" dxfId="5611" priority="1353" rank="10"/>
  </conditionalFormatting>
  <conditionalFormatting sqref="CT49">
    <cfRule type="top10" dxfId="5610" priority="1352" rank="10"/>
  </conditionalFormatting>
  <conditionalFormatting sqref="CT49">
    <cfRule type="top10" dxfId="5609" priority="1351" rank="10"/>
  </conditionalFormatting>
  <conditionalFormatting sqref="CT54">
    <cfRule type="cellIs" dxfId="5608" priority="1350" operator="equal">
      <formula>1</formula>
    </cfRule>
  </conditionalFormatting>
  <conditionalFormatting sqref="CT54">
    <cfRule type="cellIs" dxfId="5607" priority="1348" operator="equal">
      <formula>4</formula>
    </cfRule>
    <cfRule type="cellIs" dxfId="5606" priority="1349" operator="equal">
      <formula>3</formula>
    </cfRule>
  </conditionalFormatting>
  <conditionalFormatting sqref="CT54">
    <cfRule type="top10" dxfId="5605" priority="1347" rank="10"/>
  </conditionalFormatting>
  <conditionalFormatting sqref="CT54">
    <cfRule type="top10" dxfId="5604" priority="1346" rank="10"/>
  </conditionalFormatting>
  <conditionalFormatting sqref="CT54">
    <cfRule type="top10" dxfId="5603" priority="1345" rank="10"/>
  </conditionalFormatting>
  <conditionalFormatting sqref="CX46:CY46">
    <cfRule type="cellIs" dxfId="5602" priority="1344" operator="equal">
      <formula>1</formula>
    </cfRule>
  </conditionalFormatting>
  <conditionalFormatting sqref="CX46:CY46">
    <cfRule type="cellIs" dxfId="5601" priority="1342" operator="equal">
      <formula>4</formula>
    </cfRule>
    <cfRule type="cellIs" dxfId="5600" priority="1343" operator="equal">
      <formula>3</formula>
    </cfRule>
  </conditionalFormatting>
  <conditionalFormatting sqref="CX46:CY46">
    <cfRule type="top10" dxfId="5599" priority="1341" rank="10"/>
  </conditionalFormatting>
  <conditionalFormatting sqref="CX46:CY46">
    <cfRule type="top10" dxfId="5598" priority="1340" rank="10"/>
  </conditionalFormatting>
  <conditionalFormatting sqref="CX46:CY46">
    <cfRule type="top10" dxfId="5597" priority="1339" rank="10"/>
  </conditionalFormatting>
  <conditionalFormatting sqref="CY47">
    <cfRule type="cellIs" dxfId="5596" priority="1338" operator="equal">
      <formula>1</formula>
    </cfRule>
  </conditionalFormatting>
  <conditionalFormatting sqref="CY47">
    <cfRule type="cellIs" dxfId="5595" priority="1336" operator="equal">
      <formula>4</formula>
    </cfRule>
    <cfRule type="cellIs" dxfId="5594" priority="1337" operator="equal">
      <formula>3</formula>
    </cfRule>
  </conditionalFormatting>
  <conditionalFormatting sqref="CY47">
    <cfRule type="top10" dxfId="5593" priority="1335" rank="10"/>
  </conditionalFormatting>
  <conditionalFormatting sqref="CY47">
    <cfRule type="top10" dxfId="5592" priority="1334" rank="10"/>
  </conditionalFormatting>
  <conditionalFormatting sqref="CY47">
    <cfRule type="top10" dxfId="5591" priority="1333" rank="10"/>
  </conditionalFormatting>
  <conditionalFormatting sqref="F70">
    <cfRule type="cellIs" dxfId="5590" priority="1329" operator="equal">
      <formula>4</formula>
    </cfRule>
    <cfRule type="cellIs" dxfId="5589" priority="1330" operator="equal">
      <formula>3</formula>
    </cfRule>
    <cfRule type="top10" dxfId="5588" priority="1331" rank="10"/>
    <cfRule type="cellIs" dxfId="5587" priority="1332" operator="equal">
      <formula>1</formula>
    </cfRule>
  </conditionalFormatting>
  <conditionalFormatting sqref="F41">
    <cfRule type="cellIs" dxfId="5586" priority="1319" operator="equal">
      <formula>4</formula>
    </cfRule>
    <cfRule type="cellIs" dxfId="5585" priority="1320" operator="equal">
      <formula>3</formula>
    </cfRule>
    <cfRule type="cellIs" dxfId="5584" priority="1321" operator="equal">
      <formula>1</formula>
    </cfRule>
    <cfRule type="top10" dxfId="5583" priority="1322" rank="10"/>
    <cfRule type="top10" dxfId="5582" priority="1323" rank="10"/>
    <cfRule type="cellIs" dxfId="5581" priority="1324" operator="equal">
      <formula>4</formula>
    </cfRule>
    <cfRule type="cellIs" dxfId="5580" priority="1325" operator="equal">
      <formula>3</formula>
    </cfRule>
    <cfRule type="top10" dxfId="5579" priority="1326" rank="10"/>
    <cfRule type="cellIs" dxfId="5578" priority="1327" operator="equal">
      <formula>1</formula>
    </cfRule>
    <cfRule type="top10" dxfId="5577" priority="1328" rank="10"/>
  </conditionalFormatting>
  <conditionalFormatting sqref="F38:G38">
    <cfRule type="cellIs" dxfId="5576" priority="1316" operator="equal">
      <formula>1</formula>
    </cfRule>
    <cfRule type="top10" dxfId="5575" priority="1317" rank="10"/>
    <cfRule type="cellIs" dxfId="5574" priority="1318" operator="equal">
      <formula>1</formula>
    </cfRule>
  </conditionalFormatting>
  <conditionalFormatting sqref="F98:DT98">
    <cfRule type="containsText" dxfId="5573" priority="1308" operator="containsText" text="3">
      <formula>NOT(ISERROR(SEARCH("3",F98)))</formula>
    </cfRule>
    <cfRule type="containsText" dxfId="5572" priority="1309" operator="containsText" text="2">
      <formula>NOT(ISERROR(SEARCH("2",F98)))</formula>
    </cfRule>
    <cfRule type="containsText" dxfId="5571" priority="1310" operator="containsText" text="1">
      <formula>NOT(ISERROR(SEARCH("1",F98)))</formula>
    </cfRule>
    <cfRule type="containsText" dxfId="5570" priority="1311" operator="containsText" text="4">
      <formula>NOT(ISERROR(SEARCH("4",F98)))</formula>
    </cfRule>
    <cfRule type="top10" dxfId="5569" priority="1312" rank="10"/>
    <cfRule type="top10" dxfId="5568" priority="1313" rank="10"/>
    <cfRule type="cellIs" dxfId="5567" priority="1314" operator="equal">
      <formula>1</formula>
    </cfRule>
    <cfRule type="top10" dxfId="5566" priority="1315" rank="10"/>
  </conditionalFormatting>
  <conditionalFormatting sqref="D131:AD131 C117:C1048576 C1:C3 C11:C12 C16:C104">
    <cfRule type="duplicateValues" dxfId="5565" priority="1307"/>
  </conditionalFormatting>
  <conditionalFormatting sqref="D131:AD131">
    <cfRule type="duplicateValues" dxfId="5564" priority="1306"/>
  </conditionalFormatting>
  <conditionalFormatting sqref="F78:F79 F75 F46 F27">
    <cfRule type="cellIs" dxfId="5563" priority="1303" operator="equal">
      <formula>1</formula>
    </cfRule>
    <cfRule type="top10" dxfId="5562" priority="1304" rank="10"/>
    <cfRule type="cellIs" dxfId="5561" priority="1305" operator="equal">
      <formula>1</formula>
    </cfRule>
  </conditionalFormatting>
  <conditionalFormatting sqref="J75">
    <cfRule type="top10" dxfId="5560" priority="1298" rank="10"/>
  </conditionalFormatting>
  <conditionalFormatting sqref="BR20">
    <cfRule type="top10" dxfId="5559" priority="1297" rank="10"/>
  </conditionalFormatting>
  <conditionalFormatting sqref="BR20">
    <cfRule type="top10" dxfId="5558" priority="1279" rank="10"/>
    <cfRule type="cellIs" dxfId="5557" priority="1280" operator="equal">
      <formula>1</formula>
    </cfRule>
    <cfRule type="top10" dxfId="5556" priority="1281" rank="10"/>
    <cfRule type="cellIs" dxfId="5555" priority="1282" operator="equal">
      <formula>1</formula>
    </cfRule>
    <cfRule type="top10" dxfId="5554" priority="1283" rank="10"/>
    <cfRule type="cellIs" dxfId="5553" priority="1284" operator="equal">
      <formula>1</formula>
    </cfRule>
    <cfRule type="cellIs" dxfId="5552" priority="1285" operator="equal">
      <formula>4</formula>
    </cfRule>
    <cfRule type="cellIs" dxfId="5551" priority="1286" operator="equal">
      <formula>3</formula>
    </cfRule>
    <cfRule type="top10" dxfId="5550" priority="1287" rank="10"/>
    <cfRule type="cellIs" dxfId="5549" priority="1288" operator="equal">
      <formula>1</formula>
    </cfRule>
    <cfRule type="top10" dxfId="5548" priority="1289" rank="10"/>
    <cfRule type="cellIs" dxfId="5547" priority="1290" operator="equal">
      <formula>1</formula>
    </cfRule>
    <cfRule type="cellIs" dxfId="5546" priority="1291" operator="equal">
      <formula>4</formula>
    </cfRule>
    <cfRule type="cellIs" dxfId="5545" priority="1292" operator="equal">
      <formula>3</formula>
    </cfRule>
    <cfRule type="top10" dxfId="5544" priority="1293" rank="10"/>
    <cfRule type="cellIs" dxfId="5543" priority="1294" operator="equal">
      <formula>1</formula>
    </cfRule>
    <cfRule type="cellIs" dxfId="5542" priority="1295" operator="equal">
      <formula>4</formula>
    </cfRule>
    <cfRule type="cellIs" dxfId="5541" priority="1296" operator="equal">
      <formula>3</formula>
    </cfRule>
  </conditionalFormatting>
  <conditionalFormatting sqref="BR20">
    <cfRule type="top10" dxfId="5540" priority="1278" rank="10"/>
  </conditionalFormatting>
  <conditionalFormatting sqref="BR20">
    <cfRule type="top10" dxfId="5539" priority="1260" rank="10"/>
    <cfRule type="cellIs" dxfId="5538" priority="1261" operator="equal">
      <formula>1</formula>
    </cfRule>
    <cfRule type="top10" dxfId="5537" priority="1262" rank="10"/>
    <cfRule type="cellIs" dxfId="5536" priority="1263" operator="equal">
      <formula>1</formula>
    </cfRule>
    <cfRule type="top10" dxfId="5535" priority="1264" rank="10"/>
    <cfRule type="cellIs" dxfId="5534" priority="1265" operator="equal">
      <formula>1</formula>
    </cfRule>
    <cfRule type="cellIs" dxfId="5533" priority="1266" operator="equal">
      <formula>4</formula>
    </cfRule>
    <cfRule type="cellIs" dxfId="5532" priority="1267" operator="equal">
      <formula>3</formula>
    </cfRule>
    <cfRule type="top10" dxfId="5531" priority="1268" rank="10"/>
    <cfRule type="cellIs" dxfId="5530" priority="1269" operator="equal">
      <formula>1</formula>
    </cfRule>
    <cfRule type="top10" dxfId="5529" priority="1270" rank="10"/>
    <cfRule type="cellIs" dxfId="5528" priority="1271" operator="equal">
      <formula>1</formula>
    </cfRule>
    <cfRule type="cellIs" dxfId="5527" priority="1272" operator="equal">
      <formula>4</formula>
    </cfRule>
    <cfRule type="cellIs" dxfId="5526" priority="1273" operator="equal">
      <formula>3</formula>
    </cfRule>
    <cfRule type="top10" dxfId="5525" priority="1274" rank="10"/>
    <cfRule type="cellIs" dxfId="5524" priority="1275" operator="equal">
      <formula>1</formula>
    </cfRule>
    <cfRule type="cellIs" dxfId="5523" priority="1276" operator="equal">
      <formula>4</formula>
    </cfRule>
    <cfRule type="cellIs" dxfId="5522" priority="1277" operator="equal">
      <formula>3</formula>
    </cfRule>
  </conditionalFormatting>
  <conditionalFormatting sqref="DR41">
    <cfRule type="top10" dxfId="5521" priority="1259" rank="10"/>
  </conditionalFormatting>
  <conditionalFormatting sqref="CR69 CM67:CU67 CM42:CR43 CM60:CQ66 CM68:CQ70 CM16:CQ16 CM44:CQ58 CM19:CQ41">
    <cfRule type="top10" dxfId="5520" priority="1257" rank="10"/>
    <cfRule type="top10" dxfId="5519" priority="1258" rank="10"/>
  </conditionalFormatting>
  <conditionalFormatting sqref="CO79 CO76 CO73 CO70">
    <cfRule type="cellIs" dxfId="5518" priority="1252" operator="equal">
      <formula>1</formula>
    </cfRule>
  </conditionalFormatting>
  <conditionalFormatting sqref="CO79 CO76 CO73 CO70">
    <cfRule type="cellIs" dxfId="5517" priority="1250" operator="equal">
      <formula>4</formula>
    </cfRule>
    <cfRule type="cellIs" dxfId="5516" priority="1251" operator="equal">
      <formula>3</formula>
    </cfRule>
  </conditionalFormatting>
  <conditionalFormatting sqref="CO79 CO76 CO73 CO70">
    <cfRule type="top10" dxfId="5515" priority="1249" rank="10"/>
  </conditionalFormatting>
  <conditionalFormatting sqref="CO79 CO76 CO73">
    <cfRule type="top10" dxfId="5514" priority="1247" rank="10"/>
    <cfRule type="top10" dxfId="5513" priority="1248" rank="10"/>
  </conditionalFormatting>
  <conditionalFormatting sqref="CQ63">
    <cfRule type="cellIs" dxfId="5512" priority="1242" operator="equal">
      <formula>1</formula>
    </cfRule>
  </conditionalFormatting>
  <conditionalFormatting sqref="CQ63">
    <cfRule type="cellIs" dxfId="5511" priority="1240" operator="equal">
      <formula>4</formula>
    </cfRule>
    <cfRule type="cellIs" dxfId="5510" priority="1241" operator="equal">
      <formula>3</formula>
    </cfRule>
  </conditionalFormatting>
  <conditionalFormatting sqref="CQ63">
    <cfRule type="top10" dxfId="5509" priority="1239" rank="10"/>
  </conditionalFormatting>
  <conditionalFormatting sqref="CQ67:CU67">
    <cfRule type="cellIs" dxfId="5508" priority="1238" operator="equal">
      <formula>1</formula>
    </cfRule>
  </conditionalFormatting>
  <conditionalFormatting sqref="CQ67:CU67">
    <cfRule type="cellIs" dxfId="5507" priority="1236" operator="equal">
      <formula>4</formula>
    </cfRule>
    <cfRule type="cellIs" dxfId="5506" priority="1237" operator="equal">
      <formula>3</formula>
    </cfRule>
  </conditionalFormatting>
  <conditionalFormatting sqref="CQ67:CU67">
    <cfRule type="top10" dxfId="5505" priority="1235" rank="10"/>
  </conditionalFormatting>
  <conditionalFormatting sqref="CR45 CR40:CR41">
    <cfRule type="top10" dxfId="5504" priority="1234" rank="10"/>
  </conditionalFormatting>
  <conditionalFormatting sqref="CR45">
    <cfRule type="top10" dxfId="5503" priority="1233" rank="10"/>
  </conditionalFormatting>
  <conditionalFormatting sqref="CR49">
    <cfRule type="top10" dxfId="5502" priority="1232" rank="10"/>
  </conditionalFormatting>
  <conditionalFormatting sqref="CR49">
    <cfRule type="top10" dxfId="5501" priority="1231" rank="10"/>
  </conditionalFormatting>
  <conditionalFormatting sqref="DA24:DB25">
    <cfRule type="top10" dxfId="5500" priority="1230" rank="10"/>
  </conditionalFormatting>
  <conditionalFormatting sqref="CX24">
    <cfRule type="top10" dxfId="5499" priority="1229" rank="10"/>
  </conditionalFormatting>
  <conditionalFormatting sqref="CU25">
    <cfRule type="top10" dxfId="5498" priority="1228" rank="10"/>
  </conditionalFormatting>
  <conditionalFormatting sqref="CU25">
    <cfRule type="top10" dxfId="5497" priority="1227" rank="10"/>
  </conditionalFormatting>
  <conditionalFormatting sqref="CU22">
    <cfRule type="top10" dxfId="5496" priority="1226" rank="10"/>
  </conditionalFormatting>
  <conditionalFormatting sqref="CU22">
    <cfRule type="top10" dxfId="5495" priority="1225" rank="10"/>
  </conditionalFormatting>
  <conditionalFormatting sqref="DE23:DF23">
    <cfRule type="top10" dxfId="5494" priority="1224" rank="10"/>
  </conditionalFormatting>
  <conditionalFormatting sqref="S46">
    <cfRule type="top10" dxfId="5493" priority="1223" rank="10"/>
  </conditionalFormatting>
  <conditionalFormatting sqref="BI33">
    <cfRule type="top10" dxfId="5492" priority="1222" rank="10"/>
  </conditionalFormatting>
  <conditionalFormatting sqref="BI36:BI37">
    <cfRule type="top10" dxfId="5491" priority="1221" rank="10"/>
  </conditionalFormatting>
  <conditionalFormatting sqref="BQ27">
    <cfRule type="top10" dxfId="5490" priority="1220" rank="10"/>
  </conditionalFormatting>
  <conditionalFormatting sqref="BQ29">
    <cfRule type="top10" dxfId="5489" priority="1219" rank="10"/>
  </conditionalFormatting>
  <conditionalFormatting sqref="BR38">
    <cfRule type="top10" dxfId="5488" priority="1218" rank="10"/>
  </conditionalFormatting>
  <conditionalFormatting sqref="BR30">
    <cfRule type="top10" dxfId="5487" priority="1217" rank="10"/>
  </conditionalFormatting>
  <conditionalFormatting sqref="BL44">
    <cfRule type="top10" dxfId="5486" priority="1216" rank="10"/>
  </conditionalFormatting>
  <conditionalFormatting sqref="BI46">
    <cfRule type="top10" dxfId="5485" priority="1215" rank="10"/>
  </conditionalFormatting>
  <conditionalFormatting sqref="BL47">
    <cfRule type="top10" dxfId="5484" priority="1213" rank="10"/>
  </conditionalFormatting>
  <conditionalFormatting sqref="BR76">
    <cfRule type="top10" dxfId="5483" priority="1212" rank="10"/>
  </conditionalFormatting>
  <conditionalFormatting sqref="BR69">
    <cfRule type="top10" dxfId="5482" priority="1211" rank="10"/>
  </conditionalFormatting>
  <conditionalFormatting sqref="DH69">
    <cfRule type="top10" dxfId="5481" priority="1210" rank="10"/>
  </conditionalFormatting>
  <conditionalFormatting sqref="CR72">
    <cfRule type="cellIs" dxfId="5480" priority="1209" operator="equal">
      <formula>4</formula>
    </cfRule>
  </conditionalFormatting>
  <conditionalFormatting sqref="CR72">
    <cfRule type="cellIs" dxfId="5479" priority="1208" operator="equal">
      <formula>3</formula>
    </cfRule>
  </conditionalFormatting>
  <conditionalFormatting sqref="CR72">
    <cfRule type="top10" dxfId="5478" priority="1207" rank="10"/>
  </conditionalFormatting>
  <conditionalFormatting sqref="CR72">
    <cfRule type="top10" dxfId="5477" priority="1206" rank="10"/>
  </conditionalFormatting>
  <conditionalFormatting sqref="CQ70">
    <cfRule type="cellIs" dxfId="5476" priority="1205" operator="equal">
      <formula>4</formula>
    </cfRule>
  </conditionalFormatting>
  <conditionalFormatting sqref="CQ70">
    <cfRule type="cellIs" dxfId="5475" priority="1204" operator="equal">
      <formula>3</formula>
    </cfRule>
  </conditionalFormatting>
  <conditionalFormatting sqref="CQ70">
    <cfRule type="top10" dxfId="5474" priority="1203" rank="10"/>
  </conditionalFormatting>
  <conditionalFormatting sqref="CQ70">
    <cfRule type="top10" dxfId="5473" priority="1202" rank="10"/>
  </conditionalFormatting>
  <conditionalFormatting sqref="CM70">
    <cfRule type="cellIs" dxfId="5472" priority="1201" operator="equal">
      <formula>4</formula>
    </cfRule>
  </conditionalFormatting>
  <conditionalFormatting sqref="CM70">
    <cfRule type="cellIs" dxfId="5471" priority="1200" operator="equal">
      <formula>3</formula>
    </cfRule>
  </conditionalFormatting>
  <conditionalFormatting sqref="CM70">
    <cfRule type="top10" dxfId="5470" priority="1199" rank="10"/>
  </conditionalFormatting>
  <conditionalFormatting sqref="CM70">
    <cfRule type="top10" dxfId="5469" priority="1198" rank="10"/>
  </conditionalFormatting>
  <conditionalFormatting sqref="DG62">
    <cfRule type="cellIs" dxfId="5468" priority="1197" operator="equal">
      <formula>1</formula>
    </cfRule>
  </conditionalFormatting>
  <conditionalFormatting sqref="DG62">
    <cfRule type="cellIs" dxfId="5467" priority="1196" operator="equal">
      <formula>2</formula>
    </cfRule>
  </conditionalFormatting>
  <conditionalFormatting sqref="DG62">
    <cfRule type="cellIs" dxfId="5466" priority="1195" operator="equal">
      <formula>4</formula>
    </cfRule>
  </conditionalFormatting>
  <conditionalFormatting sqref="DG62">
    <cfRule type="cellIs" dxfId="5465" priority="1194" operator="equal">
      <formula>3</formula>
    </cfRule>
  </conditionalFormatting>
  <conditionalFormatting sqref="DG62">
    <cfRule type="top10" dxfId="5464" priority="1193" rank="10"/>
  </conditionalFormatting>
  <conditionalFormatting sqref="CQ47">
    <cfRule type="cellIs" dxfId="5463" priority="1187" operator="equal">
      <formula>4</formula>
    </cfRule>
  </conditionalFormatting>
  <conditionalFormatting sqref="CQ47">
    <cfRule type="cellIs" dxfId="5462" priority="1186" operator="equal">
      <formula>3</formula>
    </cfRule>
  </conditionalFormatting>
  <conditionalFormatting sqref="CQ47">
    <cfRule type="top10" dxfId="5461" priority="1185" rank="10"/>
  </conditionalFormatting>
  <conditionalFormatting sqref="CQ47">
    <cfRule type="top10" dxfId="5460" priority="1184" rank="10"/>
  </conditionalFormatting>
  <conditionalFormatting sqref="CI46:CJ46">
    <cfRule type="cellIs" dxfId="5459" priority="1183" operator="equal">
      <formula>4</formula>
    </cfRule>
  </conditionalFormatting>
  <conditionalFormatting sqref="CI46:CJ46">
    <cfRule type="cellIs" dxfId="5458" priority="1182" operator="equal">
      <formula>3</formula>
    </cfRule>
  </conditionalFormatting>
  <conditionalFormatting sqref="CI46:CJ46">
    <cfRule type="top10" dxfId="5457" priority="1181" rank="10"/>
  </conditionalFormatting>
  <conditionalFormatting sqref="CM45">
    <cfRule type="cellIs" dxfId="5456" priority="1180" operator="equal">
      <formula>4</formula>
    </cfRule>
  </conditionalFormatting>
  <conditionalFormatting sqref="CM45">
    <cfRule type="cellIs" dxfId="5455" priority="1179" operator="equal">
      <formula>3</formula>
    </cfRule>
  </conditionalFormatting>
  <conditionalFormatting sqref="CM45">
    <cfRule type="top10" dxfId="5454" priority="1178" rank="10"/>
  </conditionalFormatting>
  <conditionalFormatting sqref="CM45">
    <cfRule type="top10" dxfId="5453" priority="1177" rank="10"/>
  </conditionalFormatting>
  <conditionalFormatting sqref="CG43">
    <cfRule type="cellIs" dxfId="5452" priority="1176" operator="equal">
      <formula>4</formula>
    </cfRule>
  </conditionalFormatting>
  <conditionalFormatting sqref="CG43">
    <cfRule type="cellIs" dxfId="5451" priority="1175" operator="equal">
      <formula>3</formula>
    </cfRule>
  </conditionalFormatting>
  <conditionalFormatting sqref="CG43">
    <cfRule type="top10" dxfId="5450" priority="1174" rank="10"/>
  </conditionalFormatting>
  <conditionalFormatting sqref="CG38:CH38">
    <cfRule type="cellIs" dxfId="5449" priority="1173" operator="equal">
      <formula>4</formula>
    </cfRule>
  </conditionalFormatting>
  <conditionalFormatting sqref="CG38:CH38">
    <cfRule type="cellIs" dxfId="5448" priority="1172" operator="equal">
      <formula>3</formula>
    </cfRule>
  </conditionalFormatting>
  <conditionalFormatting sqref="CG38:CH38">
    <cfRule type="top10" dxfId="5447" priority="1171" rank="10"/>
  </conditionalFormatting>
  <conditionalFormatting sqref="CH34">
    <cfRule type="cellIs" dxfId="5446" priority="1170" operator="equal">
      <formula>4</formula>
    </cfRule>
  </conditionalFormatting>
  <conditionalFormatting sqref="CH34">
    <cfRule type="cellIs" dxfId="5445" priority="1169" operator="equal">
      <formula>3</formula>
    </cfRule>
  </conditionalFormatting>
  <conditionalFormatting sqref="CH34">
    <cfRule type="top10" dxfId="5444" priority="1168" rank="10"/>
  </conditionalFormatting>
  <conditionalFormatting sqref="CM31">
    <cfRule type="cellIs" dxfId="5443" priority="1167" operator="equal">
      <formula>4</formula>
    </cfRule>
  </conditionalFormatting>
  <conditionalFormatting sqref="CM31">
    <cfRule type="cellIs" dxfId="5442" priority="1166" operator="equal">
      <formula>3</formula>
    </cfRule>
  </conditionalFormatting>
  <conditionalFormatting sqref="CM31">
    <cfRule type="top10" dxfId="5441" priority="1165" rank="10"/>
  </conditionalFormatting>
  <conditionalFormatting sqref="CM31">
    <cfRule type="top10" dxfId="5440" priority="1164" rank="10"/>
  </conditionalFormatting>
  <conditionalFormatting sqref="CQ32">
    <cfRule type="cellIs" dxfId="5439" priority="1163" operator="equal">
      <formula>4</formula>
    </cfRule>
  </conditionalFormatting>
  <conditionalFormatting sqref="CQ32">
    <cfRule type="cellIs" dxfId="5438" priority="1162" operator="equal">
      <formula>3</formula>
    </cfRule>
  </conditionalFormatting>
  <conditionalFormatting sqref="CQ32">
    <cfRule type="top10" dxfId="5437" priority="1161" rank="10"/>
  </conditionalFormatting>
  <conditionalFormatting sqref="CQ32">
    <cfRule type="top10" dxfId="5436" priority="1160" rank="10"/>
  </conditionalFormatting>
  <conditionalFormatting sqref="CR31">
    <cfRule type="cellIs" dxfId="5435" priority="1159" operator="equal">
      <formula>4</formula>
    </cfRule>
  </conditionalFormatting>
  <conditionalFormatting sqref="CR31">
    <cfRule type="cellIs" dxfId="5434" priority="1158" operator="equal">
      <formula>3</formula>
    </cfRule>
  </conditionalFormatting>
  <conditionalFormatting sqref="CR31">
    <cfRule type="top10" dxfId="5433" priority="1157" rank="10"/>
  </conditionalFormatting>
  <conditionalFormatting sqref="CR31">
    <cfRule type="top10" dxfId="5432" priority="1156" rank="10"/>
  </conditionalFormatting>
  <conditionalFormatting sqref="CR38">
    <cfRule type="cellIs" dxfId="5431" priority="1155" operator="equal">
      <formula>4</formula>
    </cfRule>
  </conditionalFormatting>
  <conditionalFormatting sqref="CR38">
    <cfRule type="cellIs" dxfId="5430" priority="1154" operator="equal">
      <formula>3</formula>
    </cfRule>
  </conditionalFormatting>
  <conditionalFormatting sqref="CR38">
    <cfRule type="top10" dxfId="5429" priority="1153" rank="10"/>
  </conditionalFormatting>
  <conditionalFormatting sqref="CR38">
    <cfRule type="top10" dxfId="5428" priority="1152" rank="10"/>
  </conditionalFormatting>
  <conditionalFormatting sqref="CR35">
    <cfRule type="cellIs" dxfId="5427" priority="1151" operator="equal">
      <formula>4</formula>
    </cfRule>
  </conditionalFormatting>
  <conditionalFormatting sqref="CR35">
    <cfRule type="cellIs" dxfId="5426" priority="1150" operator="equal">
      <formula>3</formula>
    </cfRule>
  </conditionalFormatting>
  <conditionalFormatting sqref="CR35">
    <cfRule type="top10" dxfId="5425" priority="1149" rank="10"/>
  </conditionalFormatting>
  <conditionalFormatting sqref="CR35">
    <cfRule type="top10" dxfId="5424" priority="1148" rank="10"/>
  </conditionalFormatting>
  <conditionalFormatting sqref="CQ41">
    <cfRule type="cellIs" dxfId="5423" priority="1147" operator="equal">
      <formula>4</formula>
    </cfRule>
  </conditionalFormatting>
  <conditionalFormatting sqref="CQ41">
    <cfRule type="cellIs" dxfId="5422" priority="1146" operator="equal">
      <formula>3</formula>
    </cfRule>
  </conditionalFormatting>
  <conditionalFormatting sqref="CQ41">
    <cfRule type="top10" dxfId="5421" priority="1145" rank="10"/>
  </conditionalFormatting>
  <conditionalFormatting sqref="CQ41">
    <cfRule type="top10" dxfId="5420" priority="1144" rank="10"/>
  </conditionalFormatting>
  <conditionalFormatting sqref="CU42">
    <cfRule type="cellIs" dxfId="5419" priority="1143" operator="equal">
      <formula>4</formula>
    </cfRule>
  </conditionalFormatting>
  <conditionalFormatting sqref="CU42">
    <cfRule type="cellIs" dxfId="5418" priority="1142" operator="equal">
      <formula>3</formula>
    </cfRule>
  </conditionalFormatting>
  <conditionalFormatting sqref="CU42">
    <cfRule type="top10" dxfId="5417" priority="1141" rank="10"/>
  </conditionalFormatting>
  <conditionalFormatting sqref="CU42">
    <cfRule type="top10" dxfId="5416" priority="1140" rank="10"/>
  </conditionalFormatting>
  <conditionalFormatting sqref="CY38">
    <cfRule type="top10" dxfId="5415" priority="1138" rank="10"/>
    <cfRule type="top10" dxfId="5414" priority="1139" rank="10"/>
  </conditionalFormatting>
  <conditionalFormatting sqref="CY38">
    <cfRule type="top10" dxfId="5413" priority="1137" rank="10"/>
  </conditionalFormatting>
  <conditionalFormatting sqref="CY38">
    <cfRule type="top10" dxfId="5412" priority="1136" rank="10"/>
  </conditionalFormatting>
  <conditionalFormatting sqref="CY38">
    <cfRule type="top10" dxfId="5411" priority="1135" rank="10"/>
  </conditionalFormatting>
  <conditionalFormatting sqref="CV34:CX35">
    <cfRule type="top10" dxfId="5410" priority="1133" rank="10"/>
    <cfRule type="top10" dxfId="5409" priority="1134" rank="10"/>
  </conditionalFormatting>
  <conditionalFormatting sqref="CV34:CX35">
    <cfRule type="top10" dxfId="5408" priority="1132" rank="10"/>
  </conditionalFormatting>
  <conditionalFormatting sqref="CV34:CX35">
    <cfRule type="top10" dxfId="5407" priority="1131" rank="10"/>
  </conditionalFormatting>
  <conditionalFormatting sqref="CV34:CX35">
    <cfRule type="top10" dxfId="5406" priority="1130" rank="10"/>
  </conditionalFormatting>
  <conditionalFormatting sqref="CW33">
    <cfRule type="top10" dxfId="5405" priority="1128" rank="10"/>
    <cfRule type="top10" dxfId="5404" priority="1129" rank="10"/>
  </conditionalFormatting>
  <conditionalFormatting sqref="CW33">
    <cfRule type="top10" dxfId="5403" priority="1127" rank="10"/>
  </conditionalFormatting>
  <conditionalFormatting sqref="CW33">
    <cfRule type="top10" dxfId="5402" priority="1126" rank="10"/>
  </conditionalFormatting>
  <conditionalFormatting sqref="CW33">
    <cfRule type="top10" dxfId="5401" priority="1125" rank="10"/>
  </conditionalFormatting>
  <conditionalFormatting sqref="DO25">
    <cfRule type="top10" dxfId="5400" priority="1123" rank="10"/>
    <cfRule type="top10" dxfId="5399" priority="1124" rank="10"/>
  </conditionalFormatting>
  <conditionalFormatting sqref="DO25">
    <cfRule type="top10" dxfId="5398" priority="1122" rank="10"/>
  </conditionalFormatting>
  <conditionalFormatting sqref="DO25">
    <cfRule type="top10" dxfId="5397" priority="1121" rank="10"/>
  </conditionalFormatting>
  <conditionalFormatting sqref="DO25">
    <cfRule type="top10" dxfId="5396" priority="1120" rank="10"/>
  </conditionalFormatting>
  <conditionalFormatting sqref="DN23">
    <cfRule type="top10" dxfId="5395" priority="1118" rank="10"/>
    <cfRule type="top10" dxfId="5394" priority="1119" rank="10"/>
  </conditionalFormatting>
  <conditionalFormatting sqref="DN23">
    <cfRule type="top10" dxfId="5393" priority="1117" rank="10"/>
  </conditionalFormatting>
  <conditionalFormatting sqref="DN23">
    <cfRule type="top10" dxfId="5392" priority="1116" rank="10"/>
  </conditionalFormatting>
  <conditionalFormatting sqref="DN23">
    <cfRule type="top10" dxfId="5391" priority="1115" rank="10"/>
  </conditionalFormatting>
  <conditionalFormatting sqref="DN26">
    <cfRule type="top10" dxfId="5390" priority="1113" rank="10"/>
    <cfRule type="top10" dxfId="5389" priority="1114" rank="10"/>
  </conditionalFormatting>
  <conditionalFormatting sqref="DN26">
    <cfRule type="top10" dxfId="5388" priority="1112" rank="10"/>
  </conditionalFormatting>
  <conditionalFormatting sqref="DN26">
    <cfRule type="top10" dxfId="5387" priority="1111" rank="10"/>
  </conditionalFormatting>
  <conditionalFormatting sqref="DN26">
    <cfRule type="top10" dxfId="5386" priority="1110" rank="10"/>
  </conditionalFormatting>
  <conditionalFormatting sqref="DR24">
    <cfRule type="top10" dxfId="5385" priority="1108" rank="10"/>
    <cfRule type="top10" dxfId="5384" priority="1109" rank="10"/>
  </conditionalFormatting>
  <conditionalFormatting sqref="DR24">
    <cfRule type="top10" dxfId="5383" priority="1107" rank="10"/>
  </conditionalFormatting>
  <conditionalFormatting sqref="DR24">
    <cfRule type="top10" dxfId="5382" priority="1106" rank="10"/>
  </conditionalFormatting>
  <conditionalFormatting sqref="DR24">
    <cfRule type="top10" dxfId="5381" priority="1105" rank="10"/>
  </conditionalFormatting>
  <conditionalFormatting sqref="CK23:CL23">
    <cfRule type="top10" dxfId="5380" priority="1103" rank="10"/>
    <cfRule type="top10" dxfId="5379" priority="1104" rank="10"/>
  </conditionalFormatting>
  <conditionalFormatting sqref="CK23:CL23">
    <cfRule type="top10" dxfId="5378" priority="1102" rank="10"/>
  </conditionalFormatting>
  <conditionalFormatting sqref="CK23:CL23">
    <cfRule type="top10" dxfId="5377" priority="1101" rank="10"/>
  </conditionalFormatting>
  <conditionalFormatting sqref="CK23:CL23">
    <cfRule type="top10" dxfId="5376" priority="1100" rank="10"/>
  </conditionalFormatting>
  <conditionalFormatting sqref="CG75">
    <cfRule type="top10" dxfId="5375" priority="1098" rank="10"/>
    <cfRule type="top10" dxfId="5374" priority="1099" rank="10"/>
  </conditionalFormatting>
  <conditionalFormatting sqref="CG75">
    <cfRule type="top10" dxfId="5373" priority="1097" rank="10"/>
  </conditionalFormatting>
  <conditionalFormatting sqref="CG75">
    <cfRule type="top10" dxfId="5372" priority="1096" rank="10"/>
  </conditionalFormatting>
  <conditionalFormatting sqref="CG75">
    <cfRule type="top10" dxfId="5371" priority="1095" rank="10"/>
  </conditionalFormatting>
  <conditionalFormatting sqref="BI72">
    <cfRule type="top10" dxfId="5370" priority="1093" rank="10"/>
    <cfRule type="top10" dxfId="5369" priority="1094" rank="10"/>
  </conditionalFormatting>
  <conditionalFormatting sqref="BI72">
    <cfRule type="top10" dxfId="5368" priority="1092" rank="10"/>
  </conditionalFormatting>
  <conditionalFormatting sqref="BI72">
    <cfRule type="top10" dxfId="5367" priority="1091" rank="10"/>
  </conditionalFormatting>
  <conditionalFormatting sqref="BI72">
    <cfRule type="top10" dxfId="5366" priority="1090" rank="10"/>
  </conditionalFormatting>
  <conditionalFormatting sqref="BI73">
    <cfRule type="top10" dxfId="5365" priority="1088" rank="10"/>
    <cfRule type="top10" dxfId="5364" priority="1089" rank="10"/>
  </conditionalFormatting>
  <conditionalFormatting sqref="BI73">
    <cfRule type="top10" dxfId="5363" priority="1087" rank="10"/>
  </conditionalFormatting>
  <conditionalFormatting sqref="BI73">
    <cfRule type="top10" dxfId="5362" priority="1086" rank="10"/>
  </conditionalFormatting>
  <conditionalFormatting sqref="BI73">
    <cfRule type="top10" dxfId="5361" priority="1085" rank="10"/>
  </conditionalFormatting>
  <conditionalFormatting sqref="AC27:AD27">
    <cfRule type="top10" dxfId="5360" priority="1083" rank="10"/>
    <cfRule type="top10" dxfId="5359" priority="1084" rank="10"/>
  </conditionalFormatting>
  <conditionalFormatting sqref="AC27:AD27">
    <cfRule type="top10" dxfId="5358" priority="1082" rank="10"/>
  </conditionalFormatting>
  <conditionalFormatting sqref="AC27:AD27">
    <cfRule type="top10" dxfId="5357" priority="1081" rank="10"/>
  </conditionalFormatting>
  <conditionalFormatting sqref="AC27:AD27">
    <cfRule type="top10" dxfId="5356" priority="1080" rank="10"/>
  </conditionalFormatting>
  <conditionalFormatting sqref="AC29">
    <cfRule type="top10" dxfId="5355" priority="1078" rank="10"/>
    <cfRule type="top10" dxfId="5354" priority="1079" rank="10"/>
  </conditionalFormatting>
  <conditionalFormatting sqref="AC29">
    <cfRule type="top10" dxfId="5353" priority="1077" rank="10"/>
  </conditionalFormatting>
  <conditionalFormatting sqref="AC29">
    <cfRule type="top10" dxfId="5352" priority="1076" rank="10"/>
  </conditionalFormatting>
  <conditionalFormatting sqref="AC29">
    <cfRule type="top10" dxfId="5351" priority="1075" rank="10"/>
  </conditionalFormatting>
  <conditionalFormatting sqref="AC30">
    <cfRule type="top10" dxfId="5350" priority="1073" rank="10"/>
    <cfRule type="top10" dxfId="5349" priority="1074" rank="10"/>
  </conditionalFormatting>
  <conditionalFormatting sqref="AC30">
    <cfRule type="top10" dxfId="5348" priority="1072" rank="10"/>
  </conditionalFormatting>
  <conditionalFormatting sqref="AC30">
    <cfRule type="top10" dxfId="5347" priority="1071" rank="10"/>
  </conditionalFormatting>
  <conditionalFormatting sqref="AC30">
    <cfRule type="top10" dxfId="5346" priority="1070" rank="10"/>
  </conditionalFormatting>
  <conditionalFormatting sqref="Q25:R25">
    <cfRule type="top10" dxfId="5345" priority="1068" rank="10"/>
    <cfRule type="top10" dxfId="5344" priority="1069" rank="10"/>
  </conditionalFormatting>
  <conditionalFormatting sqref="Q25:R25">
    <cfRule type="top10" dxfId="5343" priority="1067" rank="10"/>
  </conditionalFormatting>
  <conditionalFormatting sqref="Q25:R25">
    <cfRule type="top10" dxfId="5342" priority="1066" rank="10"/>
  </conditionalFormatting>
  <conditionalFormatting sqref="Q25:R25">
    <cfRule type="top10" dxfId="5341" priority="1065" rank="10"/>
  </conditionalFormatting>
  <conditionalFormatting sqref="CU63">
    <cfRule type="top10" dxfId="5340" priority="1063" rank="10"/>
    <cfRule type="top10" dxfId="5339" priority="1064" rank="10"/>
  </conditionalFormatting>
  <conditionalFormatting sqref="CU63">
    <cfRule type="top10" dxfId="5338" priority="1062" rank="10"/>
  </conditionalFormatting>
  <conditionalFormatting sqref="H57:H61">
    <cfRule type="top10" dxfId="5337" priority="1055" rank="10"/>
    <cfRule type="cellIs" dxfId="5336" priority="1056" operator="equal">
      <formula>1</formula>
    </cfRule>
    <cfRule type="top10" dxfId="5335" priority="1057" rank="10"/>
    <cfRule type="cellIs" dxfId="5334" priority="1058" operator="equal">
      <formula>1</formula>
    </cfRule>
    <cfRule type="top10" dxfId="5333" priority="1059" rank="10"/>
    <cfRule type="cellIs" dxfId="5332" priority="1060" operator="equal">
      <formula>3</formula>
    </cfRule>
    <cfRule type="cellIs" dxfId="5331" priority="1061" operator="equal">
      <formula>4</formula>
    </cfRule>
  </conditionalFormatting>
  <conditionalFormatting sqref="BQ48:BR48">
    <cfRule type="cellIs" dxfId="5330" priority="1043" operator="equal">
      <formula>4</formula>
    </cfRule>
    <cfRule type="cellIs" dxfId="5329" priority="1044" operator="equal">
      <formula>3</formula>
    </cfRule>
    <cfRule type="top10" dxfId="5328" priority="1045" rank="10"/>
    <cfRule type="cellIs" dxfId="5327" priority="1046" operator="equal">
      <formula>1</formula>
    </cfRule>
    <cfRule type="top10" dxfId="5326" priority="1047" rank="10"/>
    <cfRule type="cellIs" dxfId="5325" priority="1048" operator="equal">
      <formula>1</formula>
    </cfRule>
    <cfRule type="cellIs" dxfId="5324" priority="1049" operator="equal">
      <formula>4</formula>
    </cfRule>
    <cfRule type="cellIs" dxfId="5323" priority="1050" operator="equal">
      <formula>3</formula>
    </cfRule>
  </conditionalFormatting>
  <conditionalFormatting sqref="BQ48:BR48">
    <cfRule type="top10" dxfId="5322" priority="1042" rank="10"/>
  </conditionalFormatting>
  <conditionalFormatting sqref="BQ48:BR48">
    <cfRule type="cellIs" dxfId="5321" priority="1034" operator="equal">
      <formula>4</formula>
    </cfRule>
    <cfRule type="cellIs" dxfId="5320" priority="1035" operator="equal">
      <formula>3</formula>
    </cfRule>
    <cfRule type="top10" dxfId="5319" priority="1036" rank="10"/>
    <cfRule type="cellIs" dxfId="5318" priority="1037" operator="equal">
      <formula>1</formula>
    </cfRule>
    <cfRule type="top10" dxfId="5317" priority="1038" rank="10"/>
    <cfRule type="cellIs" dxfId="5316" priority="1039" operator="equal">
      <formula>1</formula>
    </cfRule>
    <cfRule type="cellIs" dxfId="5315" priority="1040" operator="equal">
      <formula>4</formula>
    </cfRule>
    <cfRule type="cellIs" dxfId="5314" priority="1041" operator="equal">
      <formula>3</formula>
    </cfRule>
  </conditionalFormatting>
  <conditionalFormatting sqref="BQ48:BR48">
    <cfRule type="top10" dxfId="5313" priority="1033" rank="10"/>
  </conditionalFormatting>
  <conditionalFormatting sqref="F16:DT16 F19:DT96 DT17:DT18">
    <cfRule type="containsText" dxfId="5312" priority="1026" operator="containsText" text="1">
      <formula>NOT(ISERROR(SEARCH("1",F16)))</formula>
    </cfRule>
    <cfRule type="containsText" dxfId="5311" priority="1027" operator="containsText" text="1">
      <formula>NOT(ISERROR(SEARCH("1",F16)))</formula>
    </cfRule>
    <cfRule type="containsText" dxfId="5310" priority="1028" operator="containsText" text="3">
      <formula>NOT(ISERROR(SEARCH("3",F16)))</formula>
    </cfRule>
    <cfRule type="containsText" dxfId="5309" priority="1029" operator="containsText" text="2">
      <formula>NOT(ISERROR(SEARCH("2",F16)))</formula>
    </cfRule>
    <cfRule type="containsText" dxfId="5308" priority="1030" operator="containsText" text="4">
      <formula>NOT(ISERROR(SEARCH("4",F16)))</formula>
    </cfRule>
    <cfRule type="containsText" dxfId="5307" priority="1031" operator="containsText" text="1">
      <formula>NOT(ISERROR(SEARCH("1",F16)))</formula>
    </cfRule>
    <cfRule type="containsText" dxfId="5306" priority="1032" operator="containsText" text="1">
      <formula>NOT(ISERROR(SEARCH("1",F16)))</formula>
    </cfRule>
  </conditionalFormatting>
  <conditionalFormatting sqref="CK99:DT99">
    <cfRule type="containsText" dxfId="5305" priority="1025" operator="containsText" text="3">
      <formula>NOT(ISERROR(SEARCH("3",CK99)))</formula>
    </cfRule>
  </conditionalFormatting>
  <conditionalFormatting sqref="DG98:DT98">
    <cfRule type="containsText" dxfId="5304" priority="1024" operator="containsText" text="4">
      <formula>NOT(ISERROR(SEARCH("4",DG98)))</formula>
    </cfRule>
  </conditionalFormatting>
  <conditionalFormatting sqref="CS98:DT98">
    <cfRule type="containsText" dxfId="5303" priority="1023" operator="containsText" text="3">
      <formula>NOT(ISERROR(SEARCH("3",CS98)))</formula>
    </cfRule>
  </conditionalFormatting>
  <conditionalFormatting sqref="DI98:DQ98">
    <cfRule type="containsText" dxfId="5302" priority="1022" operator="containsText" text="2">
      <formula>NOT(ISERROR(SEARCH("2",DI98)))</formula>
    </cfRule>
  </conditionalFormatting>
  <conditionalFormatting sqref="DP98:DQ98">
    <cfRule type="containsText" dxfId="5301" priority="1021" operator="containsText" text="1">
      <formula>NOT(ISERROR(SEARCH("1",DP98)))</formula>
    </cfRule>
  </conditionalFormatting>
  <conditionalFormatting sqref="DP98:DR98">
    <cfRule type="containsText" dxfId="5300" priority="1020" operator="containsText" text="1">
      <formula>NOT(ISERROR(SEARCH("1",DP98)))</formula>
    </cfRule>
  </conditionalFormatting>
  <conditionalFormatting sqref="F99:DT99">
    <cfRule type="containsText" dxfId="5299" priority="1019" operator="containsText" text="3">
      <formula>NOT(ISERROR(SEARCH("3",F99)))</formula>
    </cfRule>
  </conditionalFormatting>
  <conditionalFormatting sqref="F98:BD99">
    <cfRule type="containsText" dxfId="5298" priority="1018" operator="containsText" text="3">
      <formula>NOT(ISERROR(SEARCH("3",F98)))</formula>
    </cfRule>
  </conditionalFormatting>
  <conditionalFormatting sqref="B94:C95">
    <cfRule type="duplicateValues" dxfId="5297" priority="1005"/>
  </conditionalFormatting>
  <conditionalFormatting sqref="BZ69:BZ70">
    <cfRule type="top10" dxfId="5296" priority="990" rank="10"/>
    <cfRule type="cellIs" dxfId="5295" priority="991" operator="equal">
      <formula>3</formula>
    </cfRule>
    <cfRule type="cellIs" dxfId="5294" priority="992" operator="equal">
      <formula>4</formula>
    </cfRule>
  </conditionalFormatting>
  <conditionalFormatting sqref="S69:S71 S47:S49">
    <cfRule type="top10" dxfId="5293" priority="988" rank="10"/>
    <cfRule type="top10" dxfId="5292" priority="989" rank="10"/>
  </conditionalFormatting>
  <conditionalFormatting sqref="BR71">
    <cfRule type="top10" dxfId="5291" priority="987" rank="10"/>
  </conditionalFormatting>
  <conditionalFormatting sqref="CY72:DE73">
    <cfRule type="top10" dxfId="5290" priority="985" rank="10"/>
    <cfRule type="top10" dxfId="5289" priority="986" rank="10"/>
  </conditionalFormatting>
  <conditionalFormatting sqref="DE71:DE77 DE41 DE49:DE51">
    <cfRule type="top10" dxfId="5288" priority="983" rank="10"/>
    <cfRule type="top10" dxfId="5287" priority="984" rank="10"/>
  </conditionalFormatting>
  <conditionalFormatting sqref="H72:H77 H41 H49:H50">
    <cfRule type="top10" dxfId="5286" priority="976" rank="10"/>
    <cfRule type="cellIs" dxfId="5285" priority="977" operator="equal">
      <formula>1</formula>
    </cfRule>
    <cfRule type="top10" dxfId="5284" priority="978" rank="10"/>
    <cfRule type="cellIs" dxfId="5283" priority="979" operator="equal">
      <formula>1</formula>
    </cfRule>
    <cfRule type="top10" dxfId="5282" priority="980" rank="10"/>
    <cfRule type="cellIs" dxfId="5281" priority="981" operator="equal">
      <formula>3</formula>
    </cfRule>
    <cfRule type="cellIs" dxfId="5280" priority="982" operator="equal">
      <formula>4</formula>
    </cfRule>
  </conditionalFormatting>
  <conditionalFormatting sqref="S72:S77 S41 S49:S50">
    <cfRule type="top10" dxfId="5279" priority="974" rank="10"/>
    <cfRule type="top10" dxfId="5278" priority="975" rank="10"/>
  </conditionalFormatting>
  <conditionalFormatting sqref="BR73:BR74">
    <cfRule type="top10" dxfId="5277" priority="973" rank="10"/>
  </conditionalFormatting>
  <conditionalFormatting sqref="BR69:BR77 BR16:BS16 BR19:BR40 BR42:BR61">
    <cfRule type="top10" dxfId="5276" priority="972" rank="10"/>
  </conditionalFormatting>
  <conditionalFormatting sqref="CX74 CX40 CX42:CX46">
    <cfRule type="top10" dxfId="5275" priority="971" rank="10"/>
  </conditionalFormatting>
  <conditionalFormatting sqref="DJ40">
    <cfRule type="top10" dxfId="5274" priority="969" rank="10"/>
    <cfRule type="top10" dxfId="5273" priority="970" rank="10"/>
  </conditionalFormatting>
  <conditionalFormatting sqref="J77 J72 J25 J48 J42:K42 I34:I35 I38:J38 I39:I61 I69:I81">
    <cfRule type="top10" dxfId="5272" priority="966" rank="10"/>
    <cfRule type="top10" dxfId="5271" priority="967" rank="10"/>
    <cfRule type="top10" dxfId="5270" priority="968" rank="10"/>
  </conditionalFormatting>
  <conditionalFormatting sqref="BX75 BV47 BT16 BV19 BX19:BX20 BX47 BW19:BW61 BW69:BW81 BV16:BY16 BY19:BY61 BY69:BY81">
    <cfRule type="top10" dxfId="5269" priority="965" rank="10"/>
  </conditionalFormatting>
  <conditionalFormatting sqref="CI77:CJ81 CI16:CJ16 CI42:CJ61 CI69:CJ75 CI76:CL76 CI19:CJ40">
    <cfRule type="top10" dxfId="5268" priority="963" rank="10"/>
    <cfRule type="top10" dxfId="5267" priority="964" rank="10"/>
  </conditionalFormatting>
  <conditionalFormatting sqref="CN72:CN79">
    <cfRule type="top10" dxfId="5266" priority="961" rank="10"/>
  </conditionalFormatting>
  <conditionalFormatting sqref="AD70:AE70 AP19:AQ19 BD48:BH48 AP21:AQ40 AP42:AQ61 AP69:AQ81">
    <cfRule type="top10" dxfId="5265" priority="960" rank="10"/>
  </conditionalFormatting>
  <conditionalFormatting sqref="BM69:BN81 BK16 BM16:BN16 BM19:BN61">
    <cfRule type="top10" dxfId="5264" priority="959" rank="10"/>
  </conditionalFormatting>
  <conditionalFormatting sqref="DD70 DA41:DB41 DF23 DJ16 DJ42:DJ61 DJ69:DJ81 DE16 DE42:DE61 DE69:DE81 DL16:DM16 DL42:DM61 DL69:DM81 DE41:DR41 DL19:DM40 DE19:DE40 DJ19:DJ40">
    <cfRule type="top10" dxfId="5263" priority="958" rank="10"/>
  </conditionalFormatting>
  <conditionalFormatting sqref="K69:R81 L37:R37 K34:R36 K38:R61 J29 J30:R33 K16:R16 K19:R29">
    <cfRule type="top10" dxfId="5262" priority="957" rank="10"/>
  </conditionalFormatting>
  <conditionalFormatting sqref="DG69:DH81 DG36:DH61 DG27:DI29 DE34:DH35 DG16:DH16 DG30:DH33 DG19:DH26">
    <cfRule type="top10" dxfId="5261" priority="956" rank="10"/>
  </conditionalFormatting>
  <conditionalFormatting sqref="V69:AB81 V16:AB16 V19:AB61">
    <cfRule type="top10" dxfId="5260" priority="954" rank="10"/>
    <cfRule type="cellIs" dxfId="5259" priority="955" operator="equal">
      <formula>1</formula>
    </cfRule>
  </conditionalFormatting>
  <conditionalFormatting sqref="AF69:AJ81 AD16 AF16:AJ16 AF19:AJ61">
    <cfRule type="top10" dxfId="5258" priority="952" rank="10"/>
    <cfRule type="cellIs" dxfId="5257" priority="953" operator="equal">
      <formula>1</formula>
    </cfRule>
  </conditionalFormatting>
  <conditionalFormatting sqref="AF69:AO81 AF16:AO16 AF19:AO61">
    <cfRule type="top10" dxfId="5256" priority="950" rank="10"/>
    <cfRule type="cellIs" dxfId="5255" priority="951" operator="equal">
      <formula>1</formula>
    </cfRule>
  </conditionalFormatting>
  <conditionalFormatting sqref="AK69:AO81 AK16:AO16 AK19:AO61">
    <cfRule type="top10" dxfId="5254" priority="948" rank="10"/>
    <cfRule type="cellIs" dxfId="5253" priority="949" operator="equal">
      <formula>1</formula>
    </cfRule>
  </conditionalFormatting>
  <conditionalFormatting sqref="AR69:BC81 AQ16:BC16 BD24 AR19:BC61">
    <cfRule type="top10" dxfId="5252" priority="947" rank="10"/>
  </conditionalFormatting>
  <conditionalFormatting sqref="AR69:BC81 BD24 AR16:BC16 AR19:BC61">
    <cfRule type="top10" dxfId="5251" priority="943" rank="10"/>
    <cfRule type="cellIs" dxfId="5250" priority="944" operator="equal">
      <formula>1</formula>
    </cfRule>
    <cfRule type="top10" dxfId="5249" priority="945" rank="10"/>
    <cfRule type="cellIs" dxfId="5248" priority="946" operator="equal">
      <formula>1</formula>
    </cfRule>
  </conditionalFormatting>
  <conditionalFormatting sqref="BG69:BH81 BF16:BH16 BG19:BH23 BG25:BH61 BF24:BH24">
    <cfRule type="top10" dxfId="5247" priority="937" rank="10"/>
    <cfRule type="cellIs" dxfId="5246" priority="938" operator="equal">
      <formula>1</formula>
    </cfRule>
    <cfRule type="top10" dxfId="5245" priority="939" rank="10"/>
    <cfRule type="cellIs" dxfId="5244" priority="940" operator="equal">
      <formula>1</formula>
    </cfRule>
    <cfRule type="top10" dxfId="5243" priority="941" rank="10"/>
    <cfRule type="cellIs" dxfId="5242" priority="942" operator="equal">
      <formula>1</formula>
    </cfRule>
  </conditionalFormatting>
  <conditionalFormatting sqref="BG69:BH81 BG16:BH16 BG25:BH61 BF24:BH24 BG19:BH23">
    <cfRule type="top10" dxfId="5241" priority="931" rank="10"/>
    <cfRule type="cellIs" dxfId="5240" priority="932" operator="equal">
      <formula>1</formula>
    </cfRule>
    <cfRule type="top10" dxfId="5239" priority="933" rank="10"/>
    <cfRule type="cellIs" dxfId="5238" priority="934" operator="equal">
      <formula>1</formula>
    </cfRule>
    <cfRule type="top10" dxfId="5237" priority="935" rank="10"/>
    <cfRule type="cellIs" dxfId="5236" priority="936" operator="equal">
      <formula>1</formula>
    </cfRule>
  </conditionalFormatting>
  <conditionalFormatting sqref="BM69:BO81 BM16:BO16 BM19:BO61">
    <cfRule type="top10" dxfId="5235" priority="913" rank="10"/>
    <cfRule type="cellIs" dxfId="5234" priority="914" operator="equal">
      <formula>1</formula>
    </cfRule>
    <cfRule type="top10" dxfId="5233" priority="915" rank="10"/>
    <cfRule type="cellIs" dxfId="5232" priority="916" operator="equal">
      <formula>1</formula>
    </cfRule>
    <cfRule type="top10" dxfId="5231" priority="917" rank="10"/>
    <cfRule type="cellIs" dxfId="5230" priority="918" operator="equal">
      <formula>1</formula>
    </cfRule>
    <cfRule type="cellIs" dxfId="5229" priority="919" operator="equal">
      <formula>4</formula>
    </cfRule>
    <cfRule type="cellIs" dxfId="5228" priority="920" operator="equal">
      <formula>3</formula>
    </cfRule>
    <cfRule type="top10" dxfId="5227" priority="921" rank="10"/>
    <cfRule type="cellIs" dxfId="5226" priority="922" operator="equal">
      <formula>1</formula>
    </cfRule>
    <cfRule type="top10" dxfId="5225" priority="923" rank="10"/>
    <cfRule type="cellIs" dxfId="5224" priority="924" operator="equal">
      <formula>1</formula>
    </cfRule>
    <cfRule type="cellIs" dxfId="5223" priority="925" operator="equal">
      <formula>4</formula>
    </cfRule>
    <cfRule type="cellIs" dxfId="5222" priority="926" operator="equal">
      <formula>3</formula>
    </cfRule>
    <cfRule type="top10" dxfId="5221" priority="927" rank="10"/>
    <cfRule type="cellIs" dxfId="5220" priority="928" operator="equal">
      <formula>1</formula>
    </cfRule>
    <cfRule type="cellIs" dxfId="5219" priority="929" operator="equal">
      <formula>4</formula>
    </cfRule>
    <cfRule type="cellIs" dxfId="5218" priority="930" operator="equal">
      <formula>3</formula>
    </cfRule>
  </conditionalFormatting>
  <conditionalFormatting sqref="BO69:BO81 BO16 BO19:BO61">
    <cfRule type="top10" dxfId="5217" priority="912" rank="10"/>
  </conditionalFormatting>
  <conditionalFormatting sqref="BW69:BW81 BW16 BW19:BW61">
    <cfRule type="top10" dxfId="5216" priority="891" rank="10"/>
    <cfRule type="cellIs" dxfId="5215" priority="892" operator="equal">
      <formula>1</formula>
    </cfRule>
    <cfRule type="top10" dxfId="5214" priority="893" rank="10"/>
    <cfRule type="cellIs" dxfId="5213" priority="894" operator="equal">
      <formula>1</formula>
    </cfRule>
    <cfRule type="top10" dxfId="5212" priority="895" rank="10"/>
    <cfRule type="cellIs" dxfId="5211" priority="896" operator="equal">
      <formula>1</formula>
    </cfRule>
    <cfRule type="cellIs" dxfId="5210" priority="897" operator="equal">
      <formula>2</formula>
    </cfRule>
    <cfRule type="cellIs" dxfId="5209" priority="898" operator="equal">
      <formula>4</formula>
    </cfRule>
    <cfRule type="cellIs" dxfId="5208" priority="899" operator="equal">
      <formula>3</formula>
    </cfRule>
    <cfRule type="top10" dxfId="5207" priority="900" rank="10"/>
    <cfRule type="cellIs" dxfId="5206" priority="901" operator="equal">
      <formula>1</formula>
    </cfRule>
    <cfRule type="top10" dxfId="5205" priority="902" rank="10"/>
    <cfRule type="cellIs" dxfId="5204" priority="903" operator="equal">
      <formula>1</formula>
    </cfRule>
    <cfRule type="cellIs" dxfId="5203" priority="904" operator="equal">
      <formula>4</formula>
    </cfRule>
    <cfRule type="cellIs" dxfId="5202" priority="905" operator="equal">
      <formula>3</formula>
    </cfRule>
    <cfRule type="top10" dxfId="5201" priority="906" rank="10"/>
    <cfRule type="cellIs" dxfId="5200" priority="907" operator="equal">
      <formula>1</formula>
    </cfRule>
    <cfRule type="cellIs" dxfId="5199" priority="908" operator="equal">
      <formula>4</formula>
    </cfRule>
    <cfRule type="cellIs" dxfId="5198" priority="909" operator="equal">
      <formula>3</formula>
    </cfRule>
    <cfRule type="top10" dxfId="5197" priority="910" rank="10"/>
    <cfRule type="cellIs" dxfId="5196" priority="911" operator="equal">
      <formula>1</formula>
    </cfRule>
  </conditionalFormatting>
  <conditionalFormatting sqref="BY69:BY81 BY16 BY19:BY61">
    <cfRule type="cellIs" dxfId="5195" priority="870" operator="equal">
      <formula>2</formula>
    </cfRule>
    <cfRule type="top10" dxfId="5194" priority="871" rank="10"/>
    <cfRule type="cellIs" dxfId="5193" priority="872" operator="equal">
      <formula>1</formula>
    </cfRule>
    <cfRule type="top10" dxfId="5192" priority="873" rank="10"/>
    <cfRule type="cellIs" dxfId="5191" priority="874" operator="equal">
      <formula>1</formula>
    </cfRule>
    <cfRule type="top10" dxfId="5190" priority="875" rank="10"/>
    <cfRule type="cellIs" dxfId="5189" priority="876" operator="equal">
      <formula>1</formula>
    </cfRule>
    <cfRule type="cellIs" dxfId="5188" priority="877" operator="equal">
      <formula>4</formula>
    </cfRule>
    <cfRule type="cellIs" dxfId="5187" priority="878" operator="equal">
      <formula>3</formula>
    </cfRule>
    <cfRule type="top10" dxfId="5186" priority="879" rank="10"/>
    <cfRule type="cellIs" dxfId="5185" priority="880" operator="equal">
      <formula>1</formula>
    </cfRule>
    <cfRule type="top10" dxfId="5184" priority="881" rank="10"/>
    <cfRule type="cellIs" dxfId="5183" priority="882" operator="equal">
      <formula>1</formula>
    </cfRule>
    <cfRule type="cellIs" dxfId="5182" priority="883" operator="equal">
      <formula>4</formula>
    </cfRule>
    <cfRule type="cellIs" dxfId="5181" priority="884" operator="equal">
      <formula>3</formula>
    </cfRule>
    <cfRule type="top10" dxfId="5180" priority="885" rank="10"/>
    <cfRule type="cellIs" dxfId="5179" priority="886" operator="equal">
      <formula>1</formula>
    </cfRule>
    <cfRule type="cellIs" dxfId="5178" priority="887" operator="equal">
      <formula>4</formula>
    </cfRule>
    <cfRule type="cellIs" dxfId="5177" priority="888" operator="equal">
      <formula>3</formula>
    </cfRule>
    <cfRule type="top10" dxfId="5176" priority="889" rank="10"/>
    <cfRule type="cellIs" dxfId="5175" priority="890" operator="equal">
      <formula>1</formula>
    </cfRule>
  </conditionalFormatting>
  <conditionalFormatting sqref="CV69:CV81 CW26 CW29 CV16:CW16 CV37:CV61 CT36:CV36 CV19:CV35">
    <cfRule type="top10" dxfId="5174" priority="869" rank="10"/>
  </conditionalFormatting>
  <conditionalFormatting sqref="CW69:CX81 CW16:CX16 CW19:CX61">
    <cfRule type="top10" dxfId="5173" priority="868" rank="10"/>
  </conditionalFormatting>
  <conditionalFormatting sqref="CY69:CY81 CY16 CZ21:CZ24 CY19:CY61">
    <cfRule type="top10" dxfId="5172" priority="867" rank="10"/>
  </conditionalFormatting>
  <conditionalFormatting sqref="DF69:DF81 DF16 DF19:DF61">
    <cfRule type="top10" dxfId="5171" priority="864" rank="10"/>
    <cfRule type="top10" dxfId="5170" priority="865" rank="10"/>
    <cfRule type="top10" dxfId="5169" priority="866" rank="10"/>
  </conditionalFormatting>
  <conditionalFormatting sqref="DI69:DI81 DI16 DI19:DI61">
    <cfRule type="top10" dxfId="5168" priority="862" rank="10"/>
    <cfRule type="top10" dxfId="5167" priority="863" rank="10"/>
  </conditionalFormatting>
  <conditionalFormatting sqref="DK69:DK81 DK16 DK19:DK61">
    <cfRule type="top10" dxfId="5166" priority="861" rank="10"/>
  </conditionalFormatting>
  <conditionalFormatting sqref="DO69:DO81 DO16 DO19:DO61">
    <cfRule type="top10" dxfId="5165" priority="860" rank="10"/>
  </conditionalFormatting>
  <conditionalFormatting sqref="DP69:DP81 DP16 DP19:DP61">
    <cfRule type="top10" dxfId="5164" priority="859" rank="10"/>
  </conditionalFormatting>
  <conditionalFormatting sqref="DQ69:DQ81 DQ16 DN16 DN69:DN81 DN19:DN61 DQ19:DQ61">
    <cfRule type="top10" dxfId="5163" priority="858" rank="10"/>
  </conditionalFormatting>
  <conditionalFormatting sqref="DR69:DT81 DR16:DT16 DR19:DT61 DT17:DT18">
    <cfRule type="top10" dxfId="5162" priority="855" rank="10"/>
    <cfRule type="top10" dxfId="5161" priority="856" rank="10"/>
    <cfRule type="cellIs" dxfId="5160" priority="857" operator="equal">
      <formula>1</formula>
    </cfRule>
  </conditionalFormatting>
  <conditionalFormatting sqref="AD69:AE81 AD19:AE19 AD21:AE40 AD42:AE61">
    <cfRule type="top10" dxfId="5159" priority="854" rank="10"/>
  </conditionalFormatting>
  <conditionalFormatting sqref="BD69:BH81 BD19:BH19 BD42:BH61 BD21:BH40">
    <cfRule type="top10" dxfId="5158" priority="853" rank="10"/>
  </conditionalFormatting>
  <conditionalFormatting sqref="BI69:BI81 BI21:BI40 BI42:BI61 BI19">
    <cfRule type="top10" dxfId="5157" priority="852" rank="10"/>
  </conditionalFormatting>
  <conditionalFormatting sqref="BJ69:BJ81 BJ16 BJ42:BJ61 BJ19:BJ40">
    <cfRule type="top10" dxfId="5156" priority="851" rank="10"/>
  </conditionalFormatting>
  <conditionalFormatting sqref="BK69:BK81 BK21:BK40 BK42:BK61 BK19 BI28:BJ28 BL28">
    <cfRule type="top10" dxfId="5155" priority="850" rank="10"/>
  </conditionalFormatting>
  <conditionalFormatting sqref="BL69:BL81 BK42:BL42 BL19 BL21:BL40 BL43:BL61">
    <cfRule type="top10" dxfId="5154" priority="849" rank="10"/>
  </conditionalFormatting>
  <conditionalFormatting sqref="BP69:BP81 BP21:BP40 BP42:BP61 BP19">
    <cfRule type="top10" dxfId="5153" priority="848" rank="10"/>
  </conditionalFormatting>
  <conditionalFormatting sqref="BS69:BS81 BS21:BS40 BS42:BS61 BS19">
    <cfRule type="top10" dxfId="5152" priority="847" rank="10"/>
  </conditionalFormatting>
  <conditionalFormatting sqref="BT69:BT81 BT19 BT21:BT40 BT42:BT61 BU35:BV35">
    <cfRule type="top10" dxfId="5151" priority="846" rank="10"/>
  </conditionalFormatting>
  <conditionalFormatting sqref="BU69:BV81 BU48:BV61 BU47 BU19 BU21:BV40 BU42:BV46">
    <cfRule type="top10" dxfId="5150" priority="845" rank="10"/>
  </conditionalFormatting>
  <conditionalFormatting sqref="BZ69:BZ81 BZ21:BZ40 BZ42:BZ61">
    <cfRule type="top10" dxfId="5149" priority="844" rank="10"/>
  </conditionalFormatting>
  <conditionalFormatting sqref="CA69:CC81 CA48:CC61 CA21:CC40 CA42:CC46">
    <cfRule type="top10" dxfId="5148" priority="843" rank="10"/>
  </conditionalFormatting>
  <conditionalFormatting sqref="CD69:CF81 CD16:CF16 CD42:CF61 CG53 CD19:CF40">
    <cfRule type="top10" dxfId="5147" priority="842" rank="10"/>
  </conditionalFormatting>
  <conditionalFormatting sqref="CG69:CG81 CG16:CH16 CG19:CG40 CG42:CG61">
    <cfRule type="top10" dxfId="5146" priority="841" rank="10"/>
  </conditionalFormatting>
  <conditionalFormatting sqref="CH69:CH81 CH48:CH61 CH21:CH40 CH42:CH46 CI31:CJ31">
    <cfRule type="top10" dxfId="5145" priority="840" rank="10"/>
  </conditionalFormatting>
  <conditionalFormatting sqref="CK69:CL81 CK16:CL16 CK42:CL61 CK19:CL40">
    <cfRule type="top10" dxfId="5144" priority="839" rank="10"/>
  </conditionalFormatting>
  <conditionalFormatting sqref="CM69:CQ81 CM68:CR68 CM61:CQ67 CR67:CU67 CR69">
    <cfRule type="top10" dxfId="5143" priority="838" rank="10"/>
  </conditionalFormatting>
  <conditionalFormatting sqref="CM69:CQ81 CM68:CR68 CM42:CR43 CM60:CQ67 CR67:CU67 CR69 CM16:CQ16 CM44:CQ58 CM19:CQ41">
    <cfRule type="top10" dxfId="5142" priority="837" rank="10"/>
  </conditionalFormatting>
  <conditionalFormatting sqref="G30:I33 H29:I29">
    <cfRule type="top10" dxfId="5141" priority="822" rank="10"/>
    <cfRule type="top10" dxfId="5140" priority="823" rank="10"/>
    <cfRule type="top10" dxfId="5139" priority="824" rank="10"/>
    <cfRule type="top10" dxfId="5138" priority="825" rank="10"/>
  </conditionalFormatting>
  <conditionalFormatting sqref="G30:I33">
    <cfRule type="top10" dxfId="5137" priority="821" rank="10"/>
  </conditionalFormatting>
  <conditionalFormatting sqref="H29:I33">
    <cfRule type="top10" dxfId="5136" priority="819" rank="10"/>
    <cfRule type="cellIs" dxfId="5135" priority="820" operator="equal">
      <formula>1</formula>
    </cfRule>
  </conditionalFormatting>
  <conditionalFormatting sqref="S29:S35">
    <cfRule type="top10" dxfId="5134" priority="817" rank="10"/>
    <cfRule type="top10" dxfId="5133" priority="818" rank="10"/>
  </conditionalFormatting>
  <conditionalFormatting sqref="CX30:CX34">
    <cfRule type="cellIs" dxfId="5132" priority="813" operator="equal">
      <formula>1</formula>
    </cfRule>
    <cfRule type="cellIs" dxfId="5131" priority="814" operator="equal">
      <formula>4</formula>
    </cfRule>
    <cfRule type="cellIs" dxfId="5130" priority="815" operator="equal">
      <formula>3</formula>
    </cfRule>
    <cfRule type="top10" dxfId="5129" priority="816" rank="10"/>
  </conditionalFormatting>
  <conditionalFormatting sqref="DE27:DE29">
    <cfRule type="top10" dxfId="5128" priority="812" rank="10"/>
  </conditionalFormatting>
  <conditionalFormatting sqref="CN27:CN31">
    <cfRule type="top10" dxfId="5127" priority="811" rank="10"/>
  </conditionalFormatting>
  <conditionalFormatting sqref="CO30:CO31">
    <cfRule type="top10" dxfId="5126" priority="810" rank="10"/>
  </conditionalFormatting>
  <conditionalFormatting sqref="CQ29:CQ30">
    <cfRule type="top10" dxfId="5125" priority="809" rank="10"/>
  </conditionalFormatting>
  <conditionalFormatting sqref="CU30:CU34">
    <cfRule type="top10" dxfId="5124" priority="808" rank="10"/>
  </conditionalFormatting>
  <conditionalFormatting sqref="AP97:AQ97 F97:G97 BN97 Z97 CZ97:DA97 DJ97:DT97">
    <cfRule type="cellIs" dxfId="5123" priority="791" operator="equal">
      <formula>1</formula>
    </cfRule>
  </conditionalFormatting>
  <conditionalFormatting sqref="BO97 CY97 AA97:AB97 DI97 BL97:BM97 AL97:AO97 AR97:BC97 V97:Y97">
    <cfRule type="cellIs" dxfId="5122" priority="746" operator="equal">
      <formula>1</formula>
    </cfRule>
  </conditionalFormatting>
  <conditionalFormatting sqref="AP97:AQ97 F97:G97 BN97 CU97:CX97 Z97 DJ97:DT97">
    <cfRule type="cellIs" dxfId="5121" priority="793" operator="equal">
      <formula>4</formula>
    </cfRule>
  </conditionalFormatting>
  <conditionalFormatting sqref="AP97:AQ97 BN97 CU97:CX97 F97:G97 Z97 DJ97:DT97">
    <cfRule type="cellIs" dxfId="5120" priority="794" operator="equal">
      <formula>3</formula>
    </cfRule>
  </conditionalFormatting>
  <conditionalFormatting sqref="CY97 AA97:AB97 BL97:BM97 AL97:AO97 H97:T97 V97:Y97">
    <cfRule type="cellIs" dxfId="5119" priority="785" operator="equal">
      <formula>4</formula>
    </cfRule>
  </conditionalFormatting>
  <conditionalFormatting sqref="H97:T97">
    <cfRule type="cellIs" dxfId="5118" priority="787" operator="equal">
      <formula>1</formula>
    </cfRule>
  </conditionalFormatting>
  <conditionalFormatting sqref="F97:DT97">
    <cfRule type="containsText" dxfId="5117" priority="730" operator="containsText" text="1">
      <formula>NOT(ISERROR(SEARCH("1",F97)))</formula>
    </cfRule>
    <cfRule type="containsText" dxfId="5116" priority="731" operator="containsText" text="1">
      <formula>NOT(ISERROR(SEARCH("1",F97)))</formula>
    </cfRule>
    <cfRule type="containsText" dxfId="5115" priority="732" operator="containsText" text="3">
      <formula>NOT(ISERROR(SEARCH("3",F97)))</formula>
    </cfRule>
    <cfRule type="containsText" dxfId="5114" priority="733" operator="containsText" text="1">
      <formula>NOT(ISERROR(SEARCH("1",F97)))</formula>
    </cfRule>
    <cfRule type="containsText" dxfId="5113" priority="734" operator="containsText" text="2">
      <formula>NOT(ISERROR(SEARCH("2",F97)))</formula>
    </cfRule>
    <cfRule type="cellIs" dxfId="5112" priority="735" operator="lessThan">
      <formula>1</formula>
    </cfRule>
    <cfRule type="cellIs" dxfId="5111" priority="736" operator="lessThan">
      <formula>1</formula>
    </cfRule>
    <cfRule type="cellIs" dxfId="5110" priority="737" operator="lessThan">
      <formula>2</formula>
    </cfRule>
    <cfRule type="containsText" dxfId="5109" priority="738" operator="containsText" text="3">
      <formula>NOT(ISERROR(SEARCH("3",F97)))</formula>
    </cfRule>
    <cfRule type="containsText" dxfId="5108" priority="739" operator="containsText" text="4">
      <formula>NOT(ISERROR(SEARCH("4",F97)))</formula>
    </cfRule>
  </conditionalFormatting>
  <conditionalFormatting sqref="AC97:AG97 AI97:AK97 U97 BD97 BJ97:BK97 BP97:BQ97 BS97:BT97 BZ97:CB97 CE97 CH97:CI97 CK97:CL97 CU97:CX97 DE97 DG97:DH97">
    <cfRule type="cellIs" dxfId="5107" priority="792" operator="equal">
      <formula>1</formula>
    </cfRule>
  </conditionalFormatting>
  <conditionalFormatting sqref="AC97:AG97 AI97:AK97 U97 BD97 BJ97:BK97 BP97:BQ97 BS97:BT97 BZ97:CB97 CE97 CH97:CI97 CK97:CL97 CZ97:DA97 DE97 DG97:DH97">
    <cfRule type="cellIs" dxfId="5106" priority="790" operator="equal">
      <formula>4</formula>
    </cfRule>
  </conditionalFormatting>
  <conditionalFormatting sqref="U97 AC97:AG97 AI97:AK97 BD97 BJ97:BK97 BP97:BQ97 BS97:BT97 BZ97:CB97 CE97 CH97:CI97 CK97:CL97 CZ97:DA97 DE97 DG97:DH97">
    <cfRule type="cellIs" dxfId="5105" priority="789" operator="equal">
      <formula>3</formula>
    </cfRule>
  </conditionalFormatting>
  <conditionalFormatting sqref="H97:J97">
    <cfRule type="cellIs" dxfId="5104" priority="788" operator="equal">
      <formula>4</formula>
    </cfRule>
  </conditionalFormatting>
  <conditionalFormatting sqref="BO97">
    <cfRule type="cellIs" dxfId="5103" priority="747" operator="equal">
      <formula>4</formula>
    </cfRule>
    <cfRule type="cellIs" dxfId="5102" priority="748" operator="equal">
      <formula>4</formula>
    </cfRule>
  </conditionalFormatting>
  <conditionalFormatting sqref="AD97:AG97 AI97">
    <cfRule type="top10" dxfId="5101" priority="784" rank="10"/>
  </conditionalFormatting>
  <conditionalFormatting sqref="AH97">
    <cfRule type="cellIs" dxfId="5100" priority="781" operator="equal">
      <formula>4</formula>
    </cfRule>
    <cfRule type="cellIs" dxfId="5099" priority="782" operator="equal">
      <formula>4</formula>
    </cfRule>
    <cfRule type="cellIs" dxfId="5098" priority="783" operator="equal">
      <formula>1</formula>
    </cfRule>
  </conditionalFormatting>
  <conditionalFormatting sqref="U97 AC97:AG97 AI97:AK97 BD97 BJ97:BK97 BP97:BQ97 BS97:BT97 BZ97:CB97 CE97 CH97:CI97 CK97:CL97 DE97 DG97:DH97">
    <cfRule type="cellIs" dxfId="5097" priority="780" operator="equal">
      <formula>2</formula>
    </cfRule>
  </conditionalFormatting>
  <conditionalFormatting sqref="AR97:BC97">
    <cfRule type="cellIs" dxfId="5096" priority="774" operator="equal">
      <formula>4</formula>
    </cfRule>
  </conditionalFormatting>
  <conditionalFormatting sqref="BE97:BI97">
    <cfRule type="cellIs" dxfId="5095" priority="770" operator="equal">
      <formula>4</formula>
    </cfRule>
    <cfRule type="cellIs" dxfId="5094" priority="771" operator="equal">
      <formula>4</formula>
    </cfRule>
    <cfRule type="cellIs" dxfId="5093" priority="772" operator="equal">
      <formula>1</formula>
    </cfRule>
  </conditionalFormatting>
  <conditionalFormatting sqref="BR97">
    <cfRule type="cellIs" dxfId="5092" priority="767" operator="equal">
      <formula>4</formula>
    </cfRule>
    <cfRule type="cellIs" dxfId="5091" priority="768" operator="equal">
      <formula>4</formula>
    </cfRule>
    <cfRule type="cellIs" dxfId="5090" priority="769" operator="equal">
      <formula>1</formula>
    </cfRule>
  </conditionalFormatting>
  <conditionalFormatting sqref="BU97:BY97">
    <cfRule type="cellIs" dxfId="5089" priority="764" operator="equal">
      <formula>4</formula>
    </cfRule>
    <cfRule type="cellIs" dxfId="5088" priority="766" operator="equal">
      <formula>1</formula>
    </cfRule>
  </conditionalFormatting>
  <conditionalFormatting sqref="CD97 CY97 AA97:AB97 BL97:BM97 DB97:DC97 AL97:AO97 BU97:BX97 K97:T97 V97:Y97">
    <cfRule type="cellIs" dxfId="5087" priority="786" operator="equal">
      <formula>4</formula>
    </cfRule>
  </conditionalFormatting>
  <conditionalFormatting sqref="BY97">
    <cfRule type="cellIs" dxfId="5086" priority="765" operator="equal">
      <formula>4</formula>
    </cfRule>
  </conditionalFormatting>
  <conditionalFormatting sqref="BZ97:CB97 U97 Z97 AJ97:AK97 AC97 BD97 BJ97:BK97 BN97 BP97:BQ97 CE97 CZ97:DA97 F97:G97 AP97:AQ97 DE97 BS97:BT97 CK97:CL97 CU97:CX97 DG97:DH97 DJ97:DT97 CH97:CI97">
    <cfRule type="top10" dxfId="5085" priority="779" rank="10"/>
  </conditionalFormatting>
  <conditionalFormatting sqref="CC97">
    <cfRule type="cellIs" dxfId="5084" priority="762" operator="equal">
      <formula>4</formula>
    </cfRule>
  </conditionalFormatting>
  <conditionalFormatting sqref="CC97:CD97">
    <cfRule type="cellIs" dxfId="5083" priority="761" operator="equal">
      <formula>4</formula>
    </cfRule>
    <cfRule type="cellIs" dxfId="5082" priority="763" operator="equal">
      <formula>1</formula>
    </cfRule>
  </conditionalFormatting>
  <conditionalFormatting sqref="CF97:CG97">
    <cfRule type="cellIs" dxfId="5081" priority="743" operator="equal">
      <formula>4</formula>
    </cfRule>
    <cfRule type="cellIs" dxfId="5080" priority="744" operator="equal">
      <formula>4</formula>
    </cfRule>
    <cfRule type="cellIs" dxfId="5079" priority="745" operator="equal">
      <formula>1</formula>
    </cfRule>
  </conditionalFormatting>
  <conditionalFormatting sqref="CJ97">
    <cfRule type="cellIs" dxfId="5078" priority="758" operator="equal">
      <formula>4</formula>
    </cfRule>
    <cfRule type="cellIs" dxfId="5077" priority="759" operator="equal">
      <formula>4</formula>
    </cfRule>
    <cfRule type="cellIs" dxfId="5076" priority="760" operator="equal">
      <formula>1</formula>
    </cfRule>
  </conditionalFormatting>
  <conditionalFormatting sqref="CM97:CT97">
    <cfRule type="cellIs" dxfId="5075" priority="740" operator="equal">
      <formula>4</formula>
    </cfRule>
    <cfRule type="cellIs" dxfId="5074" priority="741" operator="equal">
      <formula>4</formula>
    </cfRule>
    <cfRule type="cellIs" dxfId="5073" priority="742" operator="equal">
      <formula>1</formula>
    </cfRule>
  </conditionalFormatting>
  <conditionalFormatting sqref="DB97:DD97">
    <cfRule type="cellIs" dxfId="5072" priority="755" operator="equal">
      <formula>4</formula>
    </cfRule>
    <cfRule type="cellIs" dxfId="5071" priority="757" operator="equal">
      <formula>1</formula>
    </cfRule>
  </conditionalFormatting>
  <conditionalFormatting sqref="DD97">
    <cfRule type="cellIs" dxfId="5070" priority="756" operator="equal">
      <formula>4</formula>
    </cfRule>
  </conditionalFormatting>
  <conditionalFormatting sqref="DF97">
    <cfRule type="cellIs" dxfId="5069" priority="752" operator="equal">
      <formula>4</formula>
    </cfRule>
    <cfRule type="cellIs" dxfId="5068" priority="753" operator="equal">
      <formula>4</formula>
    </cfRule>
    <cfRule type="cellIs" dxfId="5067" priority="754" operator="equal">
      <formula>1</formula>
    </cfRule>
  </conditionalFormatting>
  <conditionalFormatting sqref="DI97">
    <cfRule type="cellIs" dxfId="5066" priority="750" operator="equal">
      <formula>4</formula>
    </cfRule>
    <cfRule type="cellIs" dxfId="5065" priority="751" operator="equal">
      <formula>4</formula>
    </cfRule>
  </conditionalFormatting>
  <conditionalFormatting sqref="AR97:BC97">
    <cfRule type="cellIs" dxfId="5064" priority="773" operator="equal">
      <formula>4</formula>
    </cfRule>
  </conditionalFormatting>
  <conditionalFormatting sqref="AP97:AQ97 BN97 CU97:CX97 F97:G97 Z97 CZ97:DA97 DJ97:DT97">
    <cfRule type="cellIs" dxfId="5063" priority="749" operator="equal">
      <formula>2</formula>
    </cfRule>
  </conditionalFormatting>
  <conditionalFormatting sqref="DU97">
    <cfRule type="cellIs" dxfId="5062" priority="775" operator="equal">
      <formula>4</formula>
    </cfRule>
    <cfRule type="cellIs" dxfId="5061" priority="776" operator="equal">
      <formula>2</formula>
    </cfRule>
    <cfRule type="cellIs" dxfId="5060" priority="777" operator="equal">
      <formula>3</formula>
    </cfRule>
    <cfRule type="cellIs" dxfId="5059" priority="778" operator="equal">
      <formula>1</formula>
    </cfRule>
  </conditionalFormatting>
  <conditionalFormatting sqref="H50">
    <cfRule type="cellIs" dxfId="5058" priority="250340" operator="equal">
      <formula>4</formula>
    </cfRule>
    <cfRule type="cellIs" dxfId="5057" priority="250341" operator="equal">
      <formula>3</formula>
    </cfRule>
    <cfRule type="cellIs" dxfId="5056" priority="250342" operator="equal">
      <formula>1</formula>
    </cfRule>
    <cfRule type="top10" dxfId="5055" priority="250343" rank="10"/>
    <cfRule type="top10" dxfId="5054" priority="250344" rank="10"/>
    <cfRule type="cellIs" dxfId="5053" priority="250345" operator="equal">
      <formula>4</formula>
    </cfRule>
    <cfRule type="cellIs" dxfId="5052" priority="250346" operator="equal">
      <formula>3</formula>
    </cfRule>
    <cfRule type="top10" dxfId="5051" priority="250347" rank="10"/>
    <cfRule type="cellIs" dxfId="5050" priority="250348" operator="equal">
      <formula>1</formula>
    </cfRule>
    <cfRule type="top10" dxfId="5049" priority="250349" rank="10"/>
    <cfRule type="top10" dxfId="5048" priority="250350" rank="10"/>
  </conditionalFormatting>
  <conditionalFormatting sqref="CR50:CR53">
    <cfRule type="top10" dxfId="5047" priority="250888" rank="10"/>
    <cfRule type="top10" dxfId="5046" priority="250889" rank="10"/>
  </conditionalFormatting>
  <conditionalFormatting sqref="CR50:CR53">
    <cfRule type="top10" dxfId="5045" priority="250890" rank="10"/>
  </conditionalFormatting>
  <conditionalFormatting sqref="CN68:CN70">
    <cfRule type="top10" dxfId="5044" priority="257796" rank="10"/>
  </conditionalFormatting>
  <conditionalFormatting sqref="CP68:CR68">
    <cfRule type="top10" dxfId="5043" priority="258252" rank="10"/>
  </conditionalFormatting>
  <conditionalFormatting sqref="S32">
    <cfRule type="top10" dxfId="5042" priority="728" rank="10"/>
    <cfRule type="cellIs" dxfId="5041" priority="729" operator="equal">
      <formula>1</formula>
    </cfRule>
  </conditionalFormatting>
  <conditionalFormatting sqref="S32">
    <cfRule type="top10" dxfId="5040" priority="726" rank="10"/>
    <cfRule type="cellIs" dxfId="5039" priority="727" operator="equal">
      <formula>1</formula>
    </cfRule>
  </conditionalFormatting>
  <conditionalFormatting sqref="B96:C96">
    <cfRule type="duplicateValues" dxfId="5038" priority="260023"/>
  </conditionalFormatting>
  <conditionalFormatting sqref="V82:DT88 F82:S88 F89:DT96">
    <cfRule type="top10" dxfId="5037" priority="260024" rank="10"/>
  </conditionalFormatting>
  <conditionalFormatting sqref="B94:B96">
    <cfRule type="duplicateValues" dxfId="5036" priority="260029"/>
    <cfRule type="duplicateValues" dxfId="5035" priority="260030"/>
    <cfRule type="duplicateValues" dxfId="5034" priority="260031"/>
    <cfRule type="duplicateValues" dxfId="5033" priority="260032"/>
    <cfRule type="duplicateValues" dxfId="5032" priority="260033"/>
    <cfRule type="duplicateValues" dxfId="5031" priority="260034"/>
  </conditionalFormatting>
  <conditionalFormatting sqref="B94:B96">
    <cfRule type="duplicateValues" dxfId="5030" priority="260035"/>
    <cfRule type="duplicateValues" dxfId="5029" priority="260036"/>
  </conditionalFormatting>
  <conditionalFormatting sqref="F89:DT96 CV41:DB41 BG41:BH41 BW41 H41:I41 BM41:BO41 BY41 K41:S41 AF41:AO41 AR41:BC41 CV42:DQ61 CV37:DQ40 CT36:DQ36 DE41:DR41 CV69:DQ81 CV62:DT68 F16:CL16 V42:CL81 V41:AB41 V82:DT88 T19:U41 F42:U88 CV16:DQ16 F19:S40 V19:CL40 CV19:DQ35">
    <cfRule type="top10" dxfId="5028" priority="260037" rank="10"/>
  </conditionalFormatting>
  <conditionalFormatting sqref="BR78:BR81">
    <cfRule type="top10" dxfId="5027" priority="262207" rank="10"/>
  </conditionalFormatting>
  <conditionalFormatting sqref="C65:C88 C53:C58 C25:C26 C28:C31 C34:C35 C38:C41 C60:C63 C17:C23">
    <cfRule type="duplicateValues" dxfId="5026" priority="262208"/>
    <cfRule type="duplicateValues" dxfId="5025" priority="262209"/>
    <cfRule type="duplicateValues" dxfId="5024" priority="262210"/>
  </conditionalFormatting>
  <conditionalFormatting sqref="BP40 BP35">
    <cfRule type="top10" dxfId="5023" priority="262425" rank="10"/>
    <cfRule type="top10" dxfId="5022" priority="262426" rank="10"/>
  </conditionalFormatting>
  <conditionalFormatting sqref="AD53:AD61">
    <cfRule type="top10" dxfId="5021" priority="263578" rank="10"/>
    <cfRule type="top10" dxfId="5020" priority="263579" rank="10"/>
  </conditionalFormatting>
  <conditionalFormatting sqref="DE61">
    <cfRule type="top10" dxfId="5019" priority="263580" rank="10"/>
    <cfRule type="top10" dxfId="5018" priority="263581" rank="10"/>
  </conditionalFormatting>
  <conditionalFormatting sqref="CR60:CU70 CT37:CU58 CR16:CU16 CR19:CS58 CT19:CU35">
    <cfRule type="top10" dxfId="5017" priority="263929" rank="10"/>
    <cfRule type="top10" dxfId="5016" priority="263930" rank="10"/>
  </conditionalFormatting>
  <conditionalFormatting sqref="CR61:CU81">
    <cfRule type="top10" dxfId="5015" priority="263939" rank="10"/>
  </conditionalFormatting>
  <conditionalFormatting sqref="CR60:CU81 CR16:CU16 CR36:CS36 CR37:CU58 CR19:CU35">
    <cfRule type="top10" dxfId="5014" priority="263941" rank="10"/>
  </conditionalFormatting>
  <conditionalFormatting sqref="S16:T16 T19:T96">
    <cfRule type="top10" dxfId="5013" priority="263998" rank="10"/>
    <cfRule type="top10" dxfId="5012" priority="263999" rank="10"/>
  </conditionalFormatting>
  <conditionalFormatting sqref="T16 T19:T96">
    <cfRule type="cellIs" dxfId="5011" priority="264004" operator="equal">
      <formula>4</formula>
    </cfRule>
    <cfRule type="cellIs" dxfId="5010" priority="264005" operator="equal">
      <formula>3</formula>
    </cfRule>
    <cfRule type="top10" dxfId="5009" priority="264006" rank="10"/>
    <cfRule type="cellIs" dxfId="5008" priority="264007" operator="equal">
      <formula>1</formula>
    </cfRule>
    <cfRule type="top10" dxfId="5007" priority="264008" rank="10"/>
    <cfRule type="cellIs" dxfId="5006" priority="264009" operator="equal">
      <formula>1</formula>
    </cfRule>
    <cfRule type="cellIs" dxfId="5005" priority="264010" operator="equal">
      <formula>4</formula>
    </cfRule>
    <cfRule type="cellIs" dxfId="5004" priority="264011" operator="equal">
      <formula>3</formula>
    </cfRule>
    <cfRule type="top10" dxfId="5003" priority="264012" rank="10"/>
  </conditionalFormatting>
  <conditionalFormatting sqref="U16 U19:U96">
    <cfRule type="top10" dxfId="5002" priority="264022" rank="10"/>
    <cfRule type="cellIs" dxfId="5001" priority="264023" operator="equal">
      <formula>1</formula>
    </cfRule>
  </conditionalFormatting>
  <conditionalFormatting sqref="C16:C97">
    <cfRule type="duplicateValues" dxfId="5000" priority="264026"/>
    <cfRule type="duplicateValues" dxfId="4999" priority="264027"/>
    <cfRule type="duplicateValues" dxfId="4998" priority="264028"/>
  </conditionalFormatting>
  <conditionalFormatting sqref="BO17 AJ17:AO17 BL17:BM17 AR17:BC17 V17:AG17 BR17:BW17 K17:R17 CK17:CS17">
    <cfRule type="cellIs" dxfId="4997" priority="382" operator="equal">
      <formula>1</formula>
    </cfRule>
  </conditionalFormatting>
  <conditionalFormatting sqref="F17 AL17:AO17 AR17:BC17 BL17:BM17 BR17 BG17:BH17 BO17 BU17:BW17">
    <cfRule type="cellIs" dxfId="4996" priority="381" operator="equal">
      <formula>1</formula>
    </cfRule>
  </conditionalFormatting>
  <conditionalFormatting sqref="H17 J17 BR17 AL17:AO17 AR17:BC17 BG17:BH17 BO17 BL17:BM17 BU17:BW17">
    <cfRule type="cellIs" dxfId="4995" priority="380" operator="equal">
      <formula>4</formula>
    </cfRule>
  </conditionalFormatting>
  <conditionalFormatting sqref="AL17:AO17 AR17:BC17 BR17 BG17:BH17 BL17:BM17 BO17 BU17:BW17">
    <cfRule type="cellIs" dxfId="4994" priority="379" operator="equal">
      <formula>4</formula>
    </cfRule>
  </conditionalFormatting>
  <conditionalFormatting sqref="DQ17:DR17 K17:CS17">
    <cfRule type="cellIs" dxfId="4993" priority="378" operator="equal">
      <formula>3</formula>
    </cfRule>
  </conditionalFormatting>
  <conditionalFormatting sqref="G17 J17 CT17:CU17 CY17:CZ17">
    <cfRule type="cellIs" dxfId="4992" priority="377" operator="equal">
      <formula>1</formula>
    </cfRule>
  </conditionalFormatting>
  <conditionalFormatting sqref="G17 J17">
    <cfRule type="top10" dxfId="4991" priority="376" rank="10"/>
  </conditionalFormatting>
  <conditionalFormatting sqref="AH17:AI17 AP17:AQ17 F17:H17 J17:U17">
    <cfRule type="top10" dxfId="4990" priority="375" rank="10"/>
  </conditionalFormatting>
  <conditionalFormatting sqref="AA17:AG17 Q17:R17">
    <cfRule type="cellIs" dxfId="4989" priority="371" operator="equal">
      <formula>1</formula>
    </cfRule>
    <cfRule type="cellIs" dxfId="4988" priority="372" operator="equal">
      <formula>4</formula>
    </cfRule>
    <cfRule type="cellIs" dxfId="4987" priority="373" operator="equal">
      <formula>4</formula>
    </cfRule>
    <cfRule type="cellIs" dxfId="4986" priority="374" operator="equal">
      <formula>1</formula>
    </cfRule>
  </conditionalFormatting>
  <conditionalFormatting sqref="F17:DS17">
    <cfRule type="containsText" dxfId="4985" priority="365" operator="containsText" text="1">
      <formula>NOT(ISERROR(SEARCH("1",F17)))</formula>
    </cfRule>
    <cfRule type="containsText" dxfId="4984" priority="366" operator="containsText" text="1">
      <formula>NOT(ISERROR(SEARCH("1",F17)))</formula>
    </cfRule>
    <cfRule type="containsText" dxfId="4983" priority="367" operator="containsText" text="3">
      <formula>NOT(ISERROR(SEARCH("3",F17)))</formula>
    </cfRule>
    <cfRule type="containsText" dxfId="4982" priority="368" operator="containsText" text="4">
      <formula>NOT(ISERROR(SEARCH("4",F17)))</formula>
    </cfRule>
    <cfRule type="containsText" dxfId="4981" priority="369" operator="containsText" text="3">
      <formula>NOT(ISERROR(SEARCH("3",F17)))</formula>
    </cfRule>
    <cfRule type="containsText" dxfId="4980" priority="370" operator="containsText" text="2">
      <formula>NOT(ISERROR(SEARCH("2",F17)))</formula>
    </cfRule>
  </conditionalFormatting>
  <conditionalFormatting sqref="H17 F17 AP17:AQ17 BX17:CF17 CV17:CX17 DA17:DB17">
    <cfRule type="cellIs" dxfId="4979" priority="364" operator="equal">
      <formula>1</formula>
    </cfRule>
  </conditionalFormatting>
  <conditionalFormatting sqref="K17:CF17 CK17:CS17">
    <cfRule type="cellIs" dxfId="4978" priority="363" operator="equal">
      <formula>4</formula>
    </cfRule>
  </conditionalFormatting>
  <conditionalFormatting sqref="J17 F17:H17">
    <cfRule type="cellIs" dxfId="4977" priority="362" operator="equal">
      <formula>4</formula>
    </cfRule>
  </conditionalFormatting>
  <conditionalFormatting sqref="G17 J17">
    <cfRule type="cellIs" dxfId="4976" priority="359" operator="equal">
      <formula>4</formula>
    </cfRule>
    <cfRule type="cellIs" dxfId="4975" priority="360" operator="equal">
      <formula>1</formula>
    </cfRule>
    <cfRule type="cellIs" dxfId="4974" priority="361" operator="equal">
      <formula>4</formula>
    </cfRule>
  </conditionalFormatting>
  <conditionalFormatting sqref="G17 J17">
    <cfRule type="cellIs" dxfId="4973" priority="358" operator="equal">
      <formula>4</formula>
    </cfRule>
  </conditionalFormatting>
  <conditionalFormatting sqref="G17 J17">
    <cfRule type="cellIs" dxfId="4972" priority="357" operator="equal">
      <formula>4</formula>
    </cfRule>
  </conditionalFormatting>
  <conditionalFormatting sqref="BG17:BW17 K17:BC17 CK17:CS17">
    <cfRule type="cellIs" dxfId="4971" priority="356" operator="equal">
      <formula>2</formula>
    </cfRule>
  </conditionalFormatting>
  <conditionalFormatting sqref="BD17:BF17 F17:G17 J17 CT17:DP17 BX17:CJ17">
    <cfRule type="cellIs" dxfId="4970" priority="355" operator="equal">
      <formula>2</formula>
    </cfRule>
  </conditionalFormatting>
  <conditionalFormatting sqref="G17:H17 J17">
    <cfRule type="cellIs" dxfId="4969" priority="354" operator="equal">
      <formula>1</formula>
    </cfRule>
  </conditionalFormatting>
  <conditionalFormatting sqref="H17:I17">
    <cfRule type="cellIs" dxfId="4968" priority="353" operator="equal">
      <formula>2</formula>
    </cfRule>
  </conditionalFormatting>
  <conditionalFormatting sqref="I17">
    <cfRule type="cellIs" dxfId="4967" priority="352" operator="equal">
      <formula>1</formula>
    </cfRule>
  </conditionalFormatting>
  <conditionalFormatting sqref="I17 F17:G17">
    <cfRule type="cellIs" dxfId="4966" priority="351" operator="equal">
      <formula>3</formula>
    </cfRule>
  </conditionalFormatting>
  <conditionalFormatting sqref="I17">
    <cfRule type="top10" dxfId="4965" priority="350" rank="10"/>
  </conditionalFormatting>
  <conditionalFormatting sqref="J17 G17">
    <cfRule type="cellIs" dxfId="4964" priority="349" operator="equal">
      <formula>1</formula>
    </cfRule>
  </conditionalFormatting>
  <conditionalFormatting sqref="G17 J17">
    <cfRule type="top10" dxfId="4963" priority="348" rank="10"/>
  </conditionalFormatting>
  <conditionalFormatting sqref="T17">
    <cfRule type="cellIs" dxfId="4962" priority="345" operator="equal">
      <formula>4</formula>
    </cfRule>
    <cfRule type="cellIs" dxfId="4961" priority="346" operator="equal">
      <formula>4</formula>
    </cfRule>
    <cfRule type="cellIs" dxfId="4960" priority="347" operator="equal">
      <formula>1</formula>
    </cfRule>
  </conditionalFormatting>
  <conditionalFormatting sqref="Q17:R17 AA17:AG17">
    <cfRule type="top10" dxfId="4959" priority="344" rank="10"/>
  </conditionalFormatting>
  <conditionalFormatting sqref="AA17:AG17">
    <cfRule type="top10" dxfId="4958" priority="343" rank="10"/>
  </conditionalFormatting>
  <conditionalFormatting sqref="AR17:BC17 AJ17 R17 AA17:AG17">
    <cfRule type="top10" dxfId="4957" priority="342" rank="10"/>
  </conditionalFormatting>
  <conditionalFormatting sqref="AH17:AI17">
    <cfRule type="cellIs" dxfId="4956" priority="341" operator="equal">
      <formula>1</formula>
    </cfRule>
  </conditionalFormatting>
  <conditionalFormatting sqref="CT17:DB17 H17">
    <cfRule type="cellIs" dxfId="4955" priority="340" operator="equal">
      <formula>3</formula>
    </cfRule>
  </conditionalFormatting>
  <conditionalFormatting sqref="AI17">
    <cfRule type="cellIs" dxfId="4954" priority="337" operator="equal">
      <formula>4</formula>
    </cfRule>
    <cfRule type="cellIs" dxfId="4953" priority="338" operator="equal">
      <formula>4</formula>
    </cfRule>
    <cfRule type="cellIs" dxfId="4952" priority="339" operator="equal">
      <formula>1</formula>
    </cfRule>
  </conditionalFormatting>
  <conditionalFormatting sqref="DS17">
    <cfRule type="cellIs" dxfId="4951" priority="336" operator="equal">
      <formula>4</formula>
    </cfRule>
  </conditionalFormatting>
  <conditionalFormatting sqref="J17">
    <cfRule type="cellIs" dxfId="4950" priority="335" operator="equal">
      <formula>3</formula>
    </cfRule>
  </conditionalFormatting>
  <conditionalFormatting sqref="AQ17">
    <cfRule type="cellIs" dxfId="4949" priority="332" operator="equal">
      <formula>4</formula>
    </cfRule>
    <cfRule type="cellIs" dxfId="4948" priority="333" operator="equal">
      <formula>4</formula>
    </cfRule>
    <cfRule type="cellIs" dxfId="4947" priority="334" operator="equal">
      <formula>1</formula>
    </cfRule>
  </conditionalFormatting>
  <conditionalFormatting sqref="BD17:BF17 BP17:BQ17 BN17 BI17:BK17">
    <cfRule type="top10" dxfId="4946" priority="331" rank="10"/>
  </conditionalFormatting>
  <conditionalFormatting sqref="BF17">
    <cfRule type="cellIs" dxfId="4945" priority="328" operator="equal">
      <formula>4</formula>
    </cfRule>
    <cfRule type="cellIs" dxfId="4944" priority="329" operator="equal">
      <formula>4</formula>
    </cfRule>
    <cfRule type="cellIs" dxfId="4943" priority="330" operator="equal">
      <formula>1</formula>
    </cfRule>
  </conditionalFormatting>
  <conditionalFormatting sqref="BI17:BK17 BN17 BP17:BQ17 BD17:BF17">
    <cfRule type="cellIs" dxfId="4942" priority="327" operator="equal">
      <formula>1</formula>
    </cfRule>
  </conditionalFormatting>
  <conditionalFormatting sqref="S17:U17">
    <cfRule type="cellIs" dxfId="4941" priority="326" operator="equal">
      <formula>1</formula>
    </cfRule>
  </conditionalFormatting>
  <conditionalFormatting sqref="DQ17:DR17 CT17:CU17 F17:J17">
    <cfRule type="cellIs" dxfId="4940" priority="325" operator="equal">
      <formula>4</formula>
    </cfRule>
  </conditionalFormatting>
  <conditionalFormatting sqref="BX17">
    <cfRule type="cellIs" dxfId="4939" priority="322" operator="equal">
      <formula>4</formula>
    </cfRule>
    <cfRule type="cellIs" dxfId="4938" priority="323" operator="equal">
      <formula>4</formula>
    </cfRule>
    <cfRule type="cellIs" dxfId="4937" priority="324" operator="equal">
      <formula>1</formula>
    </cfRule>
  </conditionalFormatting>
  <conditionalFormatting sqref="DS17">
    <cfRule type="cellIs" dxfId="4936" priority="321" operator="equal">
      <formula>1</formula>
    </cfRule>
  </conditionalFormatting>
  <conditionalFormatting sqref="CI17:CJ17">
    <cfRule type="cellIs" dxfId="4935" priority="320" operator="equal">
      <formula>1</formula>
    </cfRule>
  </conditionalFormatting>
  <conditionalFormatting sqref="CG17:CJ17">
    <cfRule type="cellIs" dxfId="4934" priority="319" operator="equal">
      <formula>4</formula>
    </cfRule>
  </conditionalFormatting>
  <conditionalFormatting sqref="CG17:CJ17">
    <cfRule type="cellIs" dxfId="4933" priority="318" operator="equal">
      <formula>1</formula>
    </cfRule>
  </conditionalFormatting>
  <conditionalFormatting sqref="CG17:CJ17 CT17:CU17">
    <cfRule type="top10" dxfId="4932" priority="317" rank="10"/>
  </conditionalFormatting>
  <conditionalFormatting sqref="DC17:DH17">
    <cfRule type="cellIs" dxfId="4931" priority="316" operator="equal">
      <formula>2</formula>
    </cfRule>
  </conditionalFormatting>
  <conditionalFormatting sqref="CI17:CJ17">
    <cfRule type="top10" dxfId="4930" priority="315" rank="10"/>
  </conditionalFormatting>
  <conditionalFormatting sqref="CQ17">
    <cfRule type="top10" dxfId="4929" priority="314" rank="10"/>
  </conditionalFormatting>
  <conditionalFormatting sqref="CT17">
    <cfRule type="cellIs" dxfId="4928" priority="313" operator="equal">
      <formula>1</formula>
    </cfRule>
  </conditionalFormatting>
  <conditionalFormatting sqref="CT17">
    <cfRule type="top10" dxfId="4927" priority="312" rank="10"/>
  </conditionalFormatting>
  <conditionalFormatting sqref="CT17:CU17">
    <cfRule type="cellIs" dxfId="4926" priority="311" operator="equal">
      <formula>4</formula>
    </cfRule>
  </conditionalFormatting>
  <conditionalFormatting sqref="CV17:CZ17 DC17:DR17">
    <cfRule type="top10" dxfId="4925" priority="310" rank="10"/>
  </conditionalFormatting>
  <conditionalFormatting sqref="CI17:CJ17">
    <cfRule type="cellIs" dxfId="4924" priority="309" operator="equal">
      <formula>4</formula>
    </cfRule>
  </conditionalFormatting>
  <conditionalFormatting sqref="CU17">
    <cfRule type="cellIs" dxfId="4923" priority="308" operator="equal">
      <formula>1</formula>
    </cfRule>
  </conditionalFormatting>
  <conditionalFormatting sqref="CU17">
    <cfRule type="top10" dxfId="4922" priority="307" rank="10"/>
  </conditionalFormatting>
  <conditionalFormatting sqref="CV17:CZ17">
    <cfRule type="cellIs" dxfId="4921" priority="306" operator="equal">
      <formula>4</formula>
    </cfRule>
  </conditionalFormatting>
  <conditionalFormatting sqref="CY17:CZ17 DC17:DH17">
    <cfRule type="top10" dxfId="4920" priority="305" rank="10"/>
  </conditionalFormatting>
  <conditionalFormatting sqref="CY17:CZ17 DC17:DP17">
    <cfRule type="cellIs" dxfId="4919" priority="304" operator="equal">
      <formula>1</formula>
    </cfRule>
  </conditionalFormatting>
  <conditionalFormatting sqref="CY17:CZ17 DC17:DH17">
    <cfRule type="cellIs" dxfId="4918" priority="303" operator="equal">
      <formula>4</formula>
    </cfRule>
  </conditionalFormatting>
  <conditionalFormatting sqref="DA17:DB17">
    <cfRule type="cellIs" dxfId="4917" priority="302" operator="equal">
      <formula>4</formula>
    </cfRule>
  </conditionalFormatting>
  <conditionalFormatting sqref="DJ17:DP17">
    <cfRule type="cellIs" dxfId="4916" priority="301" operator="equal">
      <formula>3</formula>
    </cfRule>
  </conditionalFormatting>
  <conditionalFormatting sqref="DC17:DH17">
    <cfRule type="cellIs" dxfId="4915" priority="300" operator="equal">
      <formula>3</formula>
    </cfRule>
  </conditionalFormatting>
  <conditionalFormatting sqref="DC17:DI17">
    <cfRule type="cellIs" dxfId="4914" priority="298" operator="equal">
      <formula>4</formula>
    </cfRule>
    <cfRule type="cellIs" dxfId="4913" priority="299" operator="equal">
      <formula>3</formula>
    </cfRule>
  </conditionalFormatting>
  <conditionalFormatting sqref="CI17:CJ17">
    <cfRule type="cellIs" dxfId="4912" priority="297" operator="equal">
      <formula>2</formula>
    </cfRule>
  </conditionalFormatting>
  <conditionalFormatting sqref="DA17:DB17 BX17:CF17 BS17:BT17">
    <cfRule type="top10" dxfId="4911" priority="296" rank="10"/>
  </conditionalFormatting>
  <conditionalFormatting sqref="DH17">
    <cfRule type="top10" dxfId="4910" priority="295" rank="10"/>
  </conditionalFormatting>
  <conditionalFormatting sqref="DI17">
    <cfRule type="cellIs" dxfId="4909" priority="294" operator="equal">
      <formula>3</formula>
    </cfRule>
  </conditionalFormatting>
  <conditionalFormatting sqref="DI17">
    <cfRule type="top10" dxfId="4908" priority="293" rank="10"/>
  </conditionalFormatting>
  <conditionalFormatting sqref="DI17">
    <cfRule type="cellIs" dxfId="4907" priority="292" operator="equal">
      <formula>4</formula>
    </cfRule>
  </conditionalFormatting>
  <conditionalFormatting sqref="DJ17:DP17">
    <cfRule type="cellIs" dxfId="4906" priority="291" operator="equal">
      <formula>4</formula>
    </cfRule>
  </conditionalFormatting>
  <conditionalFormatting sqref="DQ17:DR17">
    <cfRule type="cellIs" dxfId="4905" priority="290" operator="equal">
      <formula>1</formula>
    </cfRule>
  </conditionalFormatting>
  <conditionalFormatting sqref="DQ17:DR17">
    <cfRule type="cellIs" dxfId="4904" priority="289" operator="equal">
      <formula>2</formula>
    </cfRule>
  </conditionalFormatting>
  <conditionalFormatting sqref="F17:G17 DS17">
    <cfRule type="cellIs" dxfId="4903" priority="288" operator="equal">
      <formula>4</formula>
    </cfRule>
  </conditionalFormatting>
  <conditionalFormatting sqref="CP17:CS17">
    <cfRule type="top10" dxfId="4902" priority="285" rank="10"/>
    <cfRule type="top10" dxfId="4901" priority="286" rank="10"/>
    <cfRule type="top10" dxfId="4900" priority="287" rank="10"/>
  </conditionalFormatting>
  <conditionalFormatting sqref="Q17:R17">
    <cfRule type="top10" dxfId="4899" priority="283" rank="10"/>
    <cfRule type="cellIs" dxfId="4898" priority="284" operator="equal">
      <formula>1</formula>
    </cfRule>
  </conditionalFormatting>
  <conditionalFormatting sqref="V17:Z17">
    <cfRule type="top10" dxfId="4897" priority="282" rank="10"/>
  </conditionalFormatting>
  <conditionalFormatting sqref="AJ17:AO17 AR17:BC17">
    <cfRule type="top10" dxfId="4896" priority="277" rank="10"/>
    <cfRule type="cellIs" dxfId="4895" priority="278" operator="equal">
      <formula>1</formula>
    </cfRule>
    <cfRule type="cellIs" dxfId="4894" priority="279" operator="equal">
      <formula>4</formula>
    </cfRule>
    <cfRule type="cellIs" dxfId="4893" priority="280" operator="equal">
      <formula>4</formula>
    </cfRule>
    <cfRule type="cellIs" dxfId="4892" priority="281" operator="equal">
      <formula>1</formula>
    </cfRule>
  </conditionalFormatting>
  <conditionalFormatting sqref="AJ17:AO17">
    <cfRule type="top10" dxfId="4891" priority="276" rank="10"/>
  </conditionalFormatting>
  <conditionalFormatting sqref="AK17:AO17">
    <cfRule type="top10" dxfId="4890" priority="275" rank="10"/>
  </conditionalFormatting>
  <conditionalFormatting sqref="AL17:AO17">
    <cfRule type="top10" dxfId="4889" priority="272" rank="10"/>
    <cfRule type="top10" dxfId="4888" priority="273" rank="10"/>
    <cfRule type="cellIs" dxfId="4887" priority="274" operator="equal">
      <formula>1</formula>
    </cfRule>
  </conditionalFormatting>
  <conditionalFormatting sqref="Q17:R17">
    <cfRule type="top10" dxfId="4886" priority="271" rank="10"/>
  </conditionalFormatting>
  <conditionalFormatting sqref="AR17:BC17">
    <cfRule type="top10" dxfId="4885" priority="269" rank="10"/>
    <cfRule type="cellIs" dxfId="4884" priority="270" operator="equal">
      <formula>1</formula>
    </cfRule>
  </conditionalFormatting>
  <conditionalFormatting sqref="AR17:BC17 V17:Z17">
    <cfRule type="top10" dxfId="4883" priority="268" rank="10"/>
  </conditionalFormatting>
  <conditionalFormatting sqref="BL17:BM17">
    <cfRule type="top10" dxfId="4882" priority="267" rank="10"/>
  </conditionalFormatting>
  <conditionalFormatting sqref="BG17:BH17">
    <cfRule type="top10" dxfId="4881" priority="265" rank="10"/>
    <cfRule type="cellIs" dxfId="4880" priority="266" operator="equal">
      <formula>1</formula>
    </cfRule>
  </conditionalFormatting>
  <conditionalFormatting sqref="BL17:BM17">
    <cfRule type="top10" dxfId="4879" priority="263" rank="10"/>
    <cfRule type="cellIs" dxfId="4878" priority="264" operator="equal">
      <formula>1</formula>
    </cfRule>
  </conditionalFormatting>
  <conditionalFormatting sqref="BO17">
    <cfRule type="top10" dxfId="4877" priority="262" rank="10"/>
  </conditionalFormatting>
  <conditionalFormatting sqref="BO17">
    <cfRule type="top10" dxfId="4876" priority="261" rank="10"/>
  </conditionalFormatting>
  <conditionalFormatting sqref="BU17:BV17">
    <cfRule type="top10" dxfId="4875" priority="260" rank="10"/>
  </conditionalFormatting>
  <conditionalFormatting sqref="BW17">
    <cfRule type="top10" dxfId="4874" priority="259" rank="10"/>
  </conditionalFormatting>
  <conditionalFormatting sqref="BU17:BW17">
    <cfRule type="top10" dxfId="4873" priority="258" rank="10"/>
  </conditionalFormatting>
  <conditionalFormatting sqref="BR17">
    <cfRule type="top10" dxfId="4872" priority="257" rank="10"/>
  </conditionalFormatting>
  <conditionalFormatting sqref="CK17:CO17">
    <cfRule type="top10" dxfId="4871" priority="254" rank="10"/>
    <cfRule type="top10" dxfId="4870" priority="255" rank="10"/>
    <cfRule type="top10" dxfId="4869" priority="256" rank="10"/>
  </conditionalFormatting>
  <conditionalFormatting sqref="BO18 AJ18:AO18 BL18:BM18 AR18:BC18 V18:AG18 BU18:BW18 BR18 K18:R18 CK18:CS18">
    <cfRule type="cellIs" dxfId="4868" priority="126" operator="equal">
      <formula>1</formula>
    </cfRule>
  </conditionalFormatting>
  <conditionalFormatting sqref="AL18:AO18 AR18:BC18 BL18:BM18 BR18 BG18:BH18 BO18 BU18:BW18">
    <cfRule type="cellIs" dxfId="4867" priority="125" operator="equal">
      <formula>1</formula>
    </cfRule>
  </conditionalFormatting>
  <conditionalFormatting sqref="BR18 AL18:AO18 AR18:BC18 BG18:BH18 BO18 BL18:BM18 BU18:BW18">
    <cfRule type="cellIs" dxfId="4866" priority="124" operator="equal">
      <formula>4</formula>
    </cfRule>
  </conditionalFormatting>
  <conditionalFormatting sqref="G18 S18:T18 J18">
    <cfRule type="cellIs" dxfId="4865" priority="123" operator="equal">
      <formula>4</formula>
    </cfRule>
  </conditionalFormatting>
  <conditionalFormatting sqref="G18 S18:T18 AL18:AO18 AR18:BC18 BR18 BG18:BH18 BL18:BM18 BO18 BU18:BW18">
    <cfRule type="cellIs" dxfId="4864" priority="122" operator="equal">
      <formula>4</formula>
    </cfRule>
  </conditionalFormatting>
  <conditionalFormatting sqref="DQ18:DR18 BL18:BM18 BO18 BG18:BH18 BR18:CS18 K18:BC18 H18">
    <cfRule type="cellIs" dxfId="4863" priority="121" operator="equal">
      <formula>3</formula>
    </cfRule>
  </conditionalFormatting>
  <conditionalFormatting sqref="F18 H18">
    <cfRule type="cellIs" dxfId="4862" priority="120" operator="equal">
      <formula>1</formula>
    </cfRule>
  </conditionalFormatting>
  <conditionalFormatting sqref="F18 H18 K18:R18">
    <cfRule type="top10" dxfId="4861" priority="119" rank="10"/>
  </conditionalFormatting>
  <conditionalFormatting sqref="AA18:AG18 Q18:R18">
    <cfRule type="cellIs" dxfId="4860" priority="115" operator="equal">
      <formula>1</formula>
    </cfRule>
    <cfRule type="cellIs" dxfId="4859" priority="116" operator="equal">
      <formula>4</formula>
    </cfRule>
    <cfRule type="cellIs" dxfId="4858" priority="117" operator="equal">
      <formula>4</formula>
    </cfRule>
    <cfRule type="cellIs" dxfId="4857" priority="118" operator="equal">
      <formula>1</formula>
    </cfRule>
  </conditionalFormatting>
  <conditionalFormatting sqref="F18:DS18">
    <cfRule type="containsText" dxfId="4856" priority="109" operator="containsText" text="1">
      <formula>NOT(ISERROR(SEARCH("1",F18)))</formula>
    </cfRule>
    <cfRule type="containsText" dxfId="4855" priority="110" operator="containsText" text="1">
      <formula>NOT(ISERROR(SEARCH("1",F18)))</formula>
    </cfRule>
    <cfRule type="containsText" dxfId="4854" priority="111" operator="containsText" text="3">
      <formula>NOT(ISERROR(SEARCH("3",F18)))</formula>
    </cfRule>
    <cfRule type="containsText" dxfId="4853" priority="112" operator="containsText" text="4">
      <formula>NOT(ISERROR(SEARCH("4",F18)))</formula>
    </cfRule>
    <cfRule type="containsText" dxfId="4852" priority="113" operator="containsText" text="3">
      <formula>NOT(ISERROR(SEARCH("3",F18)))</formula>
    </cfRule>
    <cfRule type="containsText" dxfId="4851" priority="114" operator="containsText" text="2">
      <formula>NOT(ISERROR(SEARCH("2",F18)))</formula>
    </cfRule>
  </conditionalFormatting>
  <conditionalFormatting sqref="BO18 BL18:BM18 BG18:BH18 BU18:CF18 BR18 CK18:CS18 DQ18:DR18 G18:BC18">
    <cfRule type="cellIs" dxfId="4850" priority="108" operator="equal">
      <formula>4</formula>
    </cfRule>
  </conditionalFormatting>
  <conditionalFormatting sqref="BR18:BW18 CK18:CS18 F18:G18 J18:BO18 CY18:DP18">
    <cfRule type="cellIs" dxfId="4849" priority="107" operator="equal">
      <formula>2</formula>
    </cfRule>
  </conditionalFormatting>
  <conditionalFormatting sqref="BX18:CJ18 CT18:CX18 BP18:BQ18">
    <cfRule type="cellIs" dxfId="4848" priority="106" operator="equal">
      <formula>2</formula>
    </cfRule>
  </conditionalFormatting>
  <conditionalFormatting sqref="H18:I18">
    <cfRule type="cellIs" dxfId="4847" priority="105" operator="equal">
      <formula>2</formula>
    </cfRule>
  </conditionalFormatting>
  <conditionalFormatting sqref="I18">
    <cfRule type="cellIs" dxfId="4846" priority="103" operator="equal">
      <formula>4</formula>
    </cfRule>
    <cfRule type="cellIs" dxfId="4845" priority="104" operator="equal">
      <formula>1</formula>
    </cfRule>
  </conditionalFormatting>
  <conditionalFormatting sqref="I18">
    <cfRule type="top10" dxfId="4844" priority="101" rank="10"/>
    <cfRule type="cellIs" dxfId="4843" priority="102" operator="equal">
      <formula>4</formula>
    </cfRule>
  </conditionalFormatting>
  <conditionalFormatting sqref="I18:J18">
    <cfRule type="cellIs" dxfId="4842" priority="100" operator="equal">
      <formula>3</formula>
    </cfRule>
  </conditionalFormatting>
  <conditionalFormatting sqref="S18:U18 G18 AH18:AI18 AP18:AQ18 J18">
    <cfRule type="top10" dxfId="4841" priority="99" rank="10"/>
  </conditionalFormatting>
  <conditionalFormatting sqref="Q18:R18 AA18:AG18">
    <cfRule type="top10" dxfId="4840" priority="98" rank="10"/>
  </conditionalFormatting>
  <conditionalFormatting sqref="AA18:AG18">
    <cfRule type="top10" dxfId="4839" priority="97" rank="10"/>
  </conditionalFormatting>
  <conditionalFormatting sqref="AR18:BC18 AJ18 R18 AA18:AG18">
    <cfRule type="top10" dxfId="4838" priority="96" rank="10"/>
  </conditionalFormatting>
  <conditionalFormatting sqref="AH18">
    <cfRule type="cellIs" dxfId="4837" priority="94" operator="equal">
      <formula>4</formula>
    </cfRule>
    <cfRule type="cellIs" dxfId="4836" priority="95" operator="equal">
      <formula>1</formula>
    </cfRule>
  </conditionalFormatting>
  <conditionalFormatting sqref="AH18">
    <cfRule type="cellIs" dxfId="4835" priority="93" operator="equal">
      <formula>4</formula>
    </cfRule>
  </conditionalFormatting>
  <conditionalFormatting sqref="AH18:AI18">
    <cfRule type="cellIs" dxfId="4834" priority="92" operator="equal">
      <formula>1</formula>
    </cfRule>
  </conditionalFormatting>
  <conditionalFormatting sqref="BD18:BF18 BP18:BQ18 BI18:BK18 BN18 F18:G18">
    <cfRule type="cellIs" dxfId="4833" priority="91" operator="equal">
      <formula>3</formula>
    </cfRule>
  </conditionalFormatting>
  <conditionalFormatting sqref="G18 J18 S18:T18">
    <cfRule type="cellIs" dxfId="4832" priority="90" operator="equal">
      <formula>1</formula>
    </cfRule>
  </conditionalFormatting>
  <conditionalFormatting sqref="H18 F18">
    <cfRule type="cellIs" dxfId="4831" priority="89" operator="equal">
      <formula>4</formula>
    </cfRule>
  </conditionalFormatting>
  <conditionalFormatting sqref="AP18">
    <cfRule type="cellIs" dxfId="4830" priority="86" operator="equal">
      <formula>4</formula>
    </cfRule>
    <cfRule type="cellIs" dxfId="4829" priority="87" operator="equal">
      <formula>4</formula>
    </cfRule>
    <cfRule type="cellIs" dxfId="4828" priority="88" operator="equal">
      <formula>1</formula>
    </cfRule>
  </conditionalFormatting>
  <conditionalFormatting sqref="CT18:DP18">
    <cfRule type="cellIs" dxfId="4827" priority="85" operator="equal">
      <formula>1</formula>
    </cfRule>
  </conditionalFormatting>
  <conditionalFormatting sqref="BS18:BT18">
    <cfRule type="cellIs" dxfId="4826" priority="84" operator="equal">
      <formula>4</formula>
    </cfRule>
  </conditionalFormatting>
  <conditionalFormatting sqref="AP18:AQ18">
    <cfRule type="cellIs" dxfId="4825" priority="83" operator="equal">
      <formula>1</formula>
    </cfRule>
  </conditionalFormatting>
  <conditionalFormatting sqref="BD18:BF18 BI18:BK18">
    <cfRule type="cellIs" dxfId="4824" priority="82" operator="equal">
      <formula>1</formula>
    </cfRule>
  </conditionalFormatting>
  <conditionalFormatting sqref="BD18:BF18 BI18:BK18">
    <cfRule type="cellIs" dxfId="4823" priority="81" operator="equal">
      <formula>4</formula>
    </cfRule>
  </conditionalFormatting>
  <conditionalFormatting sqref="BD18:BF18 BP18:BQ18 BN18 BI18:BK18">
    <cfRule type="top10" dxfId="4822" priority="80" rank="10"/>
  </conditionalFormatting>
  <conditionalFormatting sqref="BP18:BQ18">
    <cfRule type="cellIs" dxfId="4821" priority="79" operator="equal">
      <formula>1</formula>
    </cfRule>
  </conditionalFormatting>
  <conditionalFormatting sqref="BD18:BF18 BI18:BK18">
    <cfRule type="cellIs" dxfId="4820" priority="78" operator="equal">
      <formula>4</formula>
    </cfRule>
  </conditionalFormatting>
  <conditionalFormatting sqref="BN18 BD18:BF18 BI18:BK18 BX18:CJ18 G18 I18:J18 S18:U18">
    <cfRule type="cellIs" dxfId="4819" priority="77" operator="equal">
      <formula>1</formula>
    </cfRule>
  </conditionalFormatting>
  <conditionalFormatting sqref="BQ18">
    <cfRule type="top10" dxfId="4818" priority="76" rank="10"/>
  </conditionalFormatting>
  <conditionalFormatting sqref="BQ18">
    <cfRule type="cellIs" dxfId="4817" priority="75" operator="equal">
      <formula>1</formula>
    </cfRule>
  </conditionalFormatting>
  <conditionalFormatting sqref="BS18:BT18">
    <cfRule type="cellIs" dxfId="4816" priority="74" operator="equal">
      <formula>1</formula>
    </cfRule>
  </conditionalFormatting>
  <conditionalFormatting sqref="F18 BD18:BF18 BP18:BQ18 BI18:BK18 BN18 CT18:CU18">
    <cfRule type="cellIs" dxfId="4815" priority="73" operator="equal">
      <formula>4</formula>
    </cfRule>
  </conditionalFormatting>
  <conditionalFormatting sqref="BX18:CA18">
    <cfRule type="cellIs" dxfId="4814" priority="72" operator="equal">
      <formula>4</formula>
    </cfRule>
  </conditionalFormatting>
  <conditionalFormatting sqref="BX18:CA18">
    <cfRule type="cellIs" dxfId="4813" priority="71" operator="equal">
      <formula>4</formula>
    </cfRule>
  </conditionalFormatting>
  <conditionalFormatting sqref="J18">
    <cfRule type="cellIs" dxfId="4812" priority="70" operator="equal">
      <formula>4</formula>
    </cfRule>
  </conditionalFormatting>
  <conditionalFormatting sqref="H18 F18">
    <cfRule type="cellIs" dxfId="4811" priority="69" operator="equal">
      <formula>1</formula>
    </cfRule>
  </conditionalFormatting>
  <conditionalFormatting sqref="BX18:CF18">
    <cfRule type="cellIs" dxfId="4810" priority="68" operator="equal">
      <formula>1</formula>
    </cfRule>
  </conditionalFormatting>
  <conditionalFormatting sqref="BX18:CF18 BS18:BT18">
    <cfRule type="top10" dxfId="4809" priority="67" rank="10"/>
  </conditionalFormatting>
  <conditionalFormatting sqref="CB18:CD18">
    <cfRule type="cellIs" dxfId="4808" priority="66" operator="equal">
      <formula>4</formula>
    </cfRule>
  </conditionalFormatting>
  <conditionalFormatting sqref="CB18:CD18">
    <cfRule type="cellIs" dxfId="4807" priority="65" operator="equal">
      <formula>4</formula>
    </cfRule>
  </conditionalFormatting>
  <conditionalFormatting sqref="CE18:CF18">
    <cfRule type="cellIs" dxfId="4806" priority="64" operator="equal">
      <formula>4</formula>
    </cfRule>
  </conditionalFormatting>
  <conditionalFormatting sqref="CE18:CF18">
    <cfRule type="cellIs" dxfId="4805" priority="63" operator="equal">
      <formula>4</formula>
    </cfRule>
  </conditionalFormatting>
  <conditionalFormatting sqref="CG18:CH18">
    <cfRule type="top10" dxfId="4804" priority="62" rank="10"/>
  </conditionalFormatting>
  <conditionalFormatting sqref="CG18:CJ18 CT18:CU18">
    <cfRule type="top10" dxfId="4803" priority="61" rank="10"/>
  </conditionalFormatting>
  <conditionalFormatting sqref="CG18:CJ18">
    <cfRule type="cellIs" dxfId="4802" priority="60" operator="equal">
      <formula>4</formula>
    </cfRule>
  </conditionalFormatting>
  <conditionalFormatting sqref="CI18:CJ18">
    <cfRule type="top10" dxfId="4801" priority="59" rank="10"/>
  </conditionalFormatting>
  <conditionalFormatting sqref="CT18">
    <cfRule type="cellIs" dxfId="4800" priority="58" operator="equal">
      <formula>3</formula>
    </cfRule>
  </conditionalFormatting>
  <conditionalFormatting sqref="CT18">
    <cfRule type="top10" dxfId="4799" priority="57" rank="10"/>
  </conditionalFormatting>
  <conditionalFormatting sqref="CT18">
    <cfRule type="cellIs" dxfId="4798" priority="56" operator="equal">
      <formula>1</formula>
    </cfRule>
  </conditionalFormatting>
  <conditionalFormatting sqref="DQ18:DR18">
    <cfRule type="top10" dxfId="4797" priority="55" rank="10"/>
  </conditionalFormatting>
  <conditionalFormatting sqref="CT18:DP18">
    <cfRule type="cellIs" dxfId="4796" priority="54" operator="equal">
      <formula>3</formula>
    </cfRule>
  </conditionalFormatting>
  <conditionalFormatting sqref="DA18:DB18">
    <cfRule type="cellIs" dxfId="4795" priority="53" operator="equal">
      <formula>4</formula>
    </cfRule>
  </conditionalFormatting>
  <conditionalFormatting sqref="CU18">
    <cfRule type="top10" dxfId="4794" priority="52" rank="10"/>
  </conditionalFormatting>
  <conditionalFormatting sqref="CV18:CZ18 DC18:DP18">
    <cfRule type="cellIs" dxfId="4793" priority="51" operator="equal">
      <formula>4</formula>
    </cfRule>
  </conditionalFormatting>
  <conditionalFormatting sqref="CY18:CZ18 DC18:DI18">
    <cfRule type="top10" dxfId="4792" priority="50" rank="10"/>
  </conditionalFormatting>
  <conditionalFormatting sqref="CY18:DB18">
    <cfRule type="cellIs" dxfId="4791" priority="49" operator="equal">
      <formula>3</formula>
    </cfRule>
  </conditionalFormatting>
  <conditionalFormatting sqref="DA18:DB18">
    <cfRule type="top10" dxfId="4790" priority="45" rank="10"/>
    <cfRule type="cellIs" dxfId="4789" priority="46" operator="equal">
      <formula>4</formula>
    </cfRule>
    <cfRule type="top10" dxfId="4788" priority="47" rank="10"/>
    <cfRule type="cellIs" dxfId="4787" priority="48" operator="equal">
      <formula>1</formula>
    </cfRule>
  </conditionalFormatting>
  <conditionalFormatting sqref="DC18:DI18">
    <cfRule type="cellIs" dxfId="4786" priority="44" operator="equal">
      <formula>3</formula>
    </cfRule>
  </conditionalFormatting>
  <conditionalFormatting sqref="DC18:DP18 CV18:CZ18">
    <cfRule type="top10" dxfId="4785" priority="43" rank="10"/>
  </conditionalFormatting>
  <conditionalFormatting sqref="DQ18:DR18">
    <cfRule type="cellIs" dxfId="4784" priority="42" operator="equal">
      <formula>2</formula>
    </cfRule>
  </conditionalFormatting>
  <conditionalFormatting sqref="DH18">
    <cfRule type="top10" dxfId="4783" priority="40" rank="10"/>
    <cfRule type="cellIs" dxfId="4782" priority="41" operator="equal">
      <formula>4</formula>
    </cfRule>
  </conditionalFormatting>
  <conditionalFormatting sqref="DQ18">
    <cfRule type="cellIs" dxfId="4781" priority="39" operator="equal">
      <formula>1</formula>
    </cfRule>
  </conditionalFormatting>
  <conditionalFormatting sqref="DQ18">
    <cfRule type="cellIs" dxfId="4780" priority="38" operator="equal">
      <formula>4</formula>
    </cfRule>
  </conditionalFormatting>
  <conditionalFormatting sqref="DQ18">
    <cfRule type="cellIs" dxfId="4779" priority="37" operator="equal">
      <formula>4</formula>
    </cfRule>
  </conditionalFormatting>
  <conditionalFormatting sqref="DQ18:DR18">
    <cfRule type="cellIs" dxfId="4778" priority="36" operator="equal">
      <formula>1</formula>
    </cfRule>
  </conditionalFormatting>
  <conditionalFormatting sqref="F18 H18">
    <cfRule type="cellIs" dxfId="4777" priority="35" operator="equal">
      <formula>4</formula>
    </cfRule>
  </conditionalFormatting>
  <conditionalFormatting sqref="CP18:CS18">
    <cfRule type="top10" dxfId="4776" priority="32" rank="10"/>
    <cfRule type="top10" dxfId="4775" priority="33" rank="10"/>
    <cfRule type="top10" dxfId="4774" priority="34" rank="10"/>
  </conditionalFormatting>
  <conditionalFormatting sqref="Q18:R18">
    <cfRule type="top10" dxfId="4773" priority="30" rank="10"/>
    <cfRule type="cellIs" dxfId="4772" priority="31" operator="equal">
      <formula>1</formula>
    </cfRule>
  </conditionalFormatting>
  <conditionalFormatting sqref="V18:Z18">
    <cfRule type="top10" dxfId="4771" priority="29" rank="10"/>
  </conditionalFormatting>
  <conditionalFormatting sqref="AJ18:AO18 AR18:BC18">
    <cfRule type="top10" dxfId="4770" priority="24" rank="10"/>
    <cfRule type="cellIs" dxfId="4769" priority="25" operator="equal">
      <formula>1</formula>
    </cfRule>
    <cfRule type="cellIs" dxfId="4768" priority="26" operator="equal">
      <formula>4</formula>
    </cfRule>
    <cfRule type="cellIs" dxfId="4767" priority="27" operator="equal">
      <formula>4</formula>
    </cfRule>
    <cfRule type="cellIs" dxfId="4766" priority="28" operator="equal">
      <formula>1</formula>
    </cfRule>
  </conditionalFormatting>
  <conditionalFormatting sqref="AJ18:AO18">
    <cfRule type="top10" dxfId="4765" priority="23" rank="10"/>
  </conditionalFormatting>
  <conditionalFormatting sqref="AK18:AO18">
    <cfRule type="top10" dxfId="4764" priority="22" rank="10"/>
  </conditionalFormatting>
  <conditionalFormatting sqref="AL18:AO18">
    <cfRule type="top10" dxfId="4763" priority="19" rank="10"/>
    <cfRule type="top10" dxfId="4762" priority="20" rank="10"/>
    <cfRule type="cellIs" dxfId="4761" priority="21" operator="equal">
      <formula>1</formula>
    </cfRule>
  </conditionalFormatting>
  <conditionalFormatting sqref="Q18:R18">
    <cfRule type="top10" dxfId="4760" priority="18" rank="10"/>
  </conditionalFormatting>
  <conditionalFormatting sqref="AR18:BC18">
    <cfRule type="top10" dxfId="4759" priority="16" rank="10"/>
    <cfRule type="cellIs" dxfId="4758" priority="17" operator="equal">
      <formula>1</formula>
    </cfRule>
  </conditionalFormatting>
  <conditionalFormatting sqref="AR18:BC18 V18:Z18">
    <cfRule type="top10" dxfId="4757" priority="15" rank="10"/>
  </conditionalFormatting>
  <conditionalFormatting sqref="BL18:BM18">
    <cfRule type="top10" dxfId="4756" priority="14" rank="10"/>
  </conditionalFormatting>
  <conditionalFormatting sqref="BG18:BH18">
    <cfRule type="top10" dxfId="4755" priority="12" rank="10"/>
    <cfRule type="cellIs" dxfId="4754" priority="13" operator="equal">
      <formula>1</formula>
    </cfRule>
  </conditionalFormatting>
  <conditionalFormatting sqref="BL18:BM18">
    <cfRule type="top10" dxfId="4753" priority="10" rank="10"/>
    <cfRule type="cellIs" dxfId="4752" priority="11" operator="equal">
      <formula>1</formula>
    </cfRule>
  </conditionalFormatting>
  <conditionalFormatting sqref="BO18">
    <cfRule type="top10" dxfId="4751" priority="9" rank="10"/>
  </conditionalFormatting>
  <conditionalFormatting sqref="BO18">
    <cfRule type="top10" dxfId="4750" priority="8" rank="10"/>
  </conditionalFormatting>
  <conditionalFormatting sqref="BU18:BV18">
    <cfRule type="top10" dxfId="4749" priority="7" rank="10"/>
  </conditionalFormatting>
  <conditionalFormatting sqref="BW18">
    <cfRule type="top10" dxfId="4748" priority="6" rank="10"/>
  </conditionalFormatting>
  <conditionalFormatting sqref="BU18:BW18">
    <cfRule type="top10" dxfId="4747" priority="5" rank="10"/>
  </conditionalFormatting>
  <conditionalFormatting sqref="BR18">
    <cfRule type="top10" dxfId="4746" priority="4" rank="10"/>
  </conditionalFormatting>
  <conditionalFormatting sqref="CK18:CO18">
    <cfRule type="top10" dxfId="4745" priority="1" rank="10"/>
    <cfRule type="top10" dxfId="4744" priority="2" rank="10"/>
    <cfRule type="top10" dxfId="4743" priority="3" rank="10"/>
  </conditionalFormatting>
  <printOptions horizontalCentered="1" verticalCentered="1"/>
  <pageMargins left="0" right="0" top="0" bottom="0" header="0" footer="0"/>
  <pageSetup paperSize="8" scale="10" fitToHeight="0" orientation="landscape" r:id="rId1"/>
  <headerFooter>
    <oddFooter>&amp;CICTMF020-HR&amp;RRev A 
date 11/03/2024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2B823BBCA17842BCB09463380788D6" ma:contentTypeVersion="14" ma:contentTypeDescription="Create a new document." ma:contentTypeScope="" ma:versionID="1109f55f2188e26884b5c0aaf2b08966">
  <xsd:schema xmlns:xsd="http://www.w3.org/2001/XMLSchema" xmlns:xs="http://www.w3.org/2001/XMLSchema" xmlns:p="http://schemas.microsoft.com/office/2006/metadata/properties" xmlns:ns3="80fabf8f-d1b1-44b2-ba3c-e1d73a257228" xmlns:ns4="7850d987-4729-4e3d-b6dd-a429100cc655" targetNamespace="http://schemas.microsoft.com/office/2006/metadata/properties" ma:root="true" ma:fieldsID="49caf9ec124b1e65fa8564596820fd10" ns3:_="" ns4:_="">
    <xsd:import namespace="80fabf8f-d1b1-44b2-ba3c-e1d73a257228"/>
    <xsd:import namespace="7850d987-4729-4e3d-b6dd-a429100cc6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abf8f-d1b1-44b2-ba3c-e1d73a257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0d987-4729-4e3d-b6dd-a429100cc65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fabf8f-d1b1-44b2-ba3c-e1d73a257228" xsi:nil="true"/>
  </documentManagement>
</p:properties>
</file>

<file path=customXml/itemProps1.xml><?xml version="1.0" encoding="utf-8"?>
<ds:datastoreItem xmlns:ds="http://schemas.openxmlformats.org/officeDocument/2006/customXml" ds:itemID="{DE367199-604C-4E8C-AB1D-8A80BC440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fabf8f-d1b1-44b2-ba3c-e1d73a257228"/>
    <ds:schemaRef ds:uri="7850d987-4729-4e3d-b6dd-a429100cc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4576B7-DD10-4A74-B3A0-0D1F79F7A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923065-0A46-4A30-A4C5-CB19068FD08A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7850d987-4729-4e3d-b6dd-a429100cc655"/>
    <ds:schemaRef ds:uri="80fabf8f-d1b1-44b2-ba3c-e1d73a257228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Noura</vt:lpstr>
      <vt:lpstr>Zakaria</vt:lpstr>
      <vt:lpstr>Ahmed </vt:lpstr>
      <vt:lpstr>Noura  (2)</vt:lpstr>
      <vt:lpstr>Hamza ,H </vt:lpstr>
      <vt:lpstr>Mourad  </vt:lpstr>
      <vt:lpstr>Hamza,M  </vt:lpstr>
      <vt:lpstr>noura-  </vt:lpstr>
      <vt:lpstr>Zakaria,</vt:lpstr>
      <vt:lpstr>Revision </vt:lpstr>
      <vt:lpstr>Sheet1</vt:lpstr>
      <vt:lpstr>Noura </vt:lpstr>
      <vt:lpstr>'Ahmed '!Print_Area</vt:lpstr>
      <vt:lpstr>'Hamza ,H '!Print_Area</vt:lpstr>
      <vt:lpstr>'Hamza,M  '!Print_Area</vt:lpstr>
      <vt:lpstr>'Mourad  '!Print_Area</vt:lpstr>
      <vt:lpstr>Noura!Print_Area</vt:lpstr>
      <vt:lpstr>'Noura '!Print_Area</vt:lpstr>
      <vt:lpstr>'noura-  '!Print_Area</vt:lpstr>
      <vt:lpstr>'Noura  (2)'!Print_Area</vt:lpstr>
      <vt:lpstr>Sheet1!Print_Area</vt:lpstr>
      <vt:lpstr>Zakaria!Print_Area</vt:lpstr>
      <vt:lpstr>'Zakaria,'!Print_Area</vt:lpstr>
      <vt:lpstr>'Hamza ,H '!Print_Titles</vt:lpstr>
      <vt:lpstr>'Hamza,M  '!Print_Titles</vt:lpstr>
      <vt:lpstr>'noura-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Kerti, Chaimae</dc:creator>
  <cp:lastModifiedBy>yahya elomari</cp:lastModifiedBy>
  <cp:lastPrinted>2026-06-04T10:44:04Z</cp:lastPrinted>
  <dcterms:created xsi:type="dcterms:W3CDTF">2023-12-07T15:48:35Z</dcterms:created>
  <dcterms:modified xsi:type="dcterms:W3CDTF">2026-07-15T14:35:57Z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0x0101002E2B823BBCA17842BCB09463380788D6</vt:lpwstr>
  </property>
</Properties>
</file>